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namedSheetViews/namedSheetView1.xml" ContentType="application/vnd.ms-excel.namedsheetview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4e90ebbf363778d/デスクトップ/"/>
    </mc:Choice>
  </mc:AlternateContent>
  <xr:revisionPtr revIDLastSave="10644" documentId="1_{77EBE7E4-FE92-4971-BCF9-1B06B8BFEDBE}" xr6:coauthVersionLast="47" xr6:coauthVersionMax="47" xr10:uidLastSave="{1571D0AF-4EF4-4522-B48F-9F673350CD47}"/>
  <bookViews>
    <workbookView xWindow="-105" yWindow="0" windowWidth="14610" windowHeight="16305" firstSheet="1" activeTab="1" xr2:uid="{9C53DED5-0F09-4FE3-B241-2A6861B76C22}"/>
  </bookViews>
  <sheets>
    <sheet name="ﾘｽﾄマスタ" sheetId="2" r:id="rId1"/>
    <sheet name="2024" sheetId="16" r:id="rId2"/>
    <sheet name="シフト抽出" sheetId="29" r:id="rId3"/>
    <sheet name="マップ用" sheetId="31" r:id="rId4"/>
    <sheet name="シフトスケジュール" sheetId="5" r:id="rId5"/>
    <sheet name="予定表" sheetId="30" r:id="rId6"/>
    <sheet name="曜日別回収表" sheetId="32" r:id="rId7"/>
    <sheet name="Sheet2" sheetId="33" r:id="rId8"/>
    <sheet name="syukujitsu" sheetId="35" r:id="rId9"/>
    <sheet name="Sheet1" sheetId="38" r:id="rId10"/>
    <sheet name="Sheet3" sheetId="37" r:id="rId11"/>
    <sheet name="Sheet4" sheetId="39" r:id="rId12"/>
  </sheets>
  <definedNames>
    <definedName name="_employees" localSheetId="1">車両_担当者[車両/担当者]</definedName>
    <definedName name="_employees" localSheetId="5">車両_担当者[車両/担当者]</definedName>
    <definedName name="_employees">車両_担当者[車両/担当者]</definedName>
    <definedName name="_xlnm._FilterDatabase" localSheetId="0" hidden="1">ﾘｽﾄマスタ!$I$8:$J$153</definedName>
    <definedName name="_xlnm._FilterDatabase" localSheetId="5" hidden="1">予定表!$A$1:$AC$35</definedName>
    <definedName name="_xlnm._FilterDatabase" localSheetId="6" hidden="1">曜日別回収表!$A$1:$P$130</definedName>
    <definedName name="_positions" localSheetId="1">ﾘｽﾄマスタ!$F$2:$F$172</definedName>
    <definedName name="_positions" localSheetId="5">ﾘｽﾄマスタ!$F$2:$F$172</definedName>
    <definedName name="_positions">ﾘｽﾄマスタ!$F$2:$F$172</definedName>
    <definedName name="eee">車両_担当者[車両/担当者]</definedName>
    <definedName name="EmployeeDayHoursTotal" localSheetId="4">シフトスケジュール!PeriodsPaid/(OneHour/シフトスケジュール!Granularity)</definedName>
    <definedName name="EmployeeDayHoursTotal" localSheetId="5">予定表!PeriodsPaid/([0]!OneHour/[0]!Granularity)</definedName>
    <definedName name="EmployeeDayHoursTotal">PeriodsPaid/(OneHour/Granularity)</definedName>
    <definedName name="ExternalData_1" localSheetId="8" hidden="1">syukujitsu!$A$1:$B$1033</definedName>
    <definedName name="Granularity" localSheetId="4">OneHour/シフトスケジュール!HourDivisor</definedName>
    <definedName name="Granularity">OneHour/HourDivisor</definedName>
    <definedName name="hhhh" localSheetId="1">SUM( ('2024'!A5:A53=TRANSPOSE(ﾘｽﾄマスタ!$F$2:$F$172))*TRANSPOSE(#REF!) )</definedName>
    <definedName name="hhhh" localSheetId="4">SUM( (#REF!=TRANSPOSE(#REF!))*TRANSPOSE(#REF!) )</definedName>
    <definedName name="hhhh" localSheetId="5">SUM( (#REF!=TRANSPOSE(ﾘｽﾄマスタ!$F$2:$F$172))*TRANSPOSE(#REF!) )</definedName>
    <definedName name="hhhh">SUM( (#REF!=TRANSPOSE(ﾘｽﾄマスタ!$F$2:$F$172))*TRANSPOSE(#REF!) )</definedName>
    <definedName name="hhhhhh">SUM( (#REF!=TRANSPOSE(ﾘｽﾄマスタ!$F$2:$F$172))*TRANSPOSE(#REF!) )</definedName>
    <definedName name="HourDivisor" localSheetId="4">#REF!</definedName>
    <definedName name="HourDivisor">ﾘｽﾄマスタ!#REF!</definedName>
    <definedName name="HourSlice" localSheetId="1">MOD('2024'!Periods,([0]!OneHour/[0]!Granularity))</definedName>
    <definedName name="HourSlice" localSheetId="4">MOD(シフトスケジュール!Periods,(OneHour/シフトスケジュール!Granularity))</definedName>
    <definedName name="HourSlice">MOD(Periods,(OneHour/Granularity))</definedName>
    <definedName name="IcEnDy">SUM( (ﾘｽﾄマスタ!XEU8=ﾘｽﾄマスタ!$F$2:$F$172)*(#REF!) )</definedName>
    <definedName name="IsColor" localSheetId="1">INDEX(ﾘｽﾄマスタ!$G$2:$G$172,MATCH(!A1,ﾘｽﾄマスタ!$F$2:$F$172,0))</definedName>
    <definedName name="IsColor" localSheetId="4">INDEX(#REF!,MATCH(!A1,#REF!,0))</definedName>
    <definedName name="IsColor" localSheetId="5">INDEX(ﾘｽﾄマスタ!$G$2:$G$172,MATCH(!A1,ﾘｽﾄマスタ!$F$2:$F$172,0))</definedName>
    <definedName name="IsColor">INDEX(ﾘｽﾄマスタ!$G$2:$G$172,MATCH(!A1,ﾘｽﾄマスタ!$F$2:$F$172,0))</definedName>
    <definedName name="IsCoool">INDEX(ﾘｽﾄマスタ!$G$2:$G$172,MATCH(!A1,ﾘｽﾄマスタ!$F$2:$F$172,0))</definedName>
    <definedName name="IsEnd" localSheetId="4">LEN(#REF!)=0</definedName>
    <definedName name="IsEnd">LEN(ﾘｽﾄマスタ!F1048562)=0</definedName>
    <definedName name="IsEntireDay" localSheetId="1">SUM( (ﾘｽﾄマスタ!XEU8=ﾘｽﾄマスタ!$F$2:$F$172)*(#REF!) )</definedName>
    <definedName name="IsEntireDay" localSheetId="4">SUM( (#REF!=#REF!)*(#REF!) )</definedName>
    <definedName name="IsEntireDay" localSheetId="5">SUM( (ﾘｽﾄマスタ!XEU8=ﾘｽﾄマスタ!$F$2:$F$172)*(#REF!) )</definedName>
    <definedName name="IsEntireDay">SUM( (ﾘｽﾄマスタ!XEU8=ﾘｽﾄマスタ!$F$2:$F$172)*(#REF!) )</definedName>
    <definedName name="mmmm" localSheetId="1">SUM( (ﾘｽﾄマスタ!XEU8=ﾘｽﾄマスタ!$F$2:$F$172)*(#REF!) )</definedName>
    <definedName name="mmmm" localSheetId="4">SUM( (#REF!=#REF!)*(#REF!) )</definedName>
    <definedName name="mmmm" localSheetId="5">SUM( (ﾘｽﾄマスタ!XEU8=ﾘｽﾄマスタ!$F$2:$F$172)*(#REF!) )</definedName>
    <definedName name="mmmm">SUM( (ﾘｽﾄマスタ!XEU8=ﾘｽﾄマスタ!$F$2:$F$172)*(#REF!) )</definedName>
    <definedName name="Mmmmm">SUM( (ﾘｽﾄマスタ!XEU8=ﾘｽﾄマスタ!$F$2:$F$172)*(#REF!) )</definedName>
    <definedName name="NameRepeated" localSheetId="1">MATCH('2024'!A1,'2024'!$C1:XFD1,0)</definedName>
    <definedName name="NameRepeated" localSheetId="4">MATCH(#REF!,#REF!,0)</definedName>
    <definedName name="NameRepeated">MATCH(#REF!,#REF!,0)</definedName>
    <definedName name="OneHour">1/24</definedName>
    <definedName name="PEpa">SUM( (#REF!=TRANSPOSE(ﾘｽﾄマスタ!$F$2:$F$172))*TRANSPOSE(#REF!) )</definedName>
    <definedName name="Periods" localSheetId="1">ROWS('2024'!#REF!)-1</definedName>
    <definedName name="Periods" localSheetId="4">ROWS(#REF!)-1</definedName>
    <definedName name="Periods">ROWS(#REF!)-1</definedName>
    <definedName name="PeriodsDisplay" localSheetId="1">'2024'!PeriodsDisplay_BetweenHours &amp; '2024'!PeriodsDisplay_OnHours</definedName>
    <definedName name="PeriodsDisplay" localSheetId="4">シフトスケジュール!PeriodsDisplay_BetweenHours &amp; シフトスケジュール!PeriodsDisplay_OnHours</definedName>
    <definedName name="PeriodsDisplay">PeriodsDisplay_BetweenHours &amp; PeriodsDisplay_OnHours</definedName>
    <definedName name="PeriodsDisplay_BetweenHours" localSheetId="1">CHOOSE(1+'2024'!HourSlice,"",":"&amp;MINUTE([0]!Granularity),":"&amp;MINUTE([0]!Granularity)*2,":"&amp;MINUTE([0]!Granularity)*3)</definedName>
    <definedName name="PeriodsDisplay_BetweenHours" localSheetId="4">CHOOSE(1+シフトスケジュール!HourSlice,"",":"&amp;MINUTE(シフトスケジュール!Granularity),":"&amp;MINUTE(シフトスケジュール!Granularity)*2,":"&amp;MINUTE(シフトスケジュール!Granularity)*3)</definedName>
    <definedName name="PeriodsDisplay_BetweenHours">CHOOSE(1+HourSlice,"",":"&amp;MINUTE(Granularity),":"&amp;MINUTE(Granularity)*2,":"&amp;MINUTE(Granularity)*3)</definedName>
    <definedName name="PeriodsDisplay_OnHours" localSheetId="1">REPT(TEXT('2024'!#REF!+[0]!Granularity*'2024'!Periods,"h:mm "),NOT('2024'!HourSlice))</definedName>
    <definedName name="PeriodsDisplay_OnHours" localSheetId="4">REPT(TEXT(#REF!+シフトスケジュール!Granularity*シフトスケジュール!Periods,"h:mm "),NOT(シフトスケジュール!HourSlice))</definedName>
    <definedName name="PeriodsDisplay_OnHours">REPT(TEXT(#REF!+Granularity*Periods,"h:mm "),NOT(HourSlice))</definedName>
    <definedName name="PeriodsPaid" localSheetId="1">SUM( ('2024'!A5:A53=TRANSPOSE(ﾘｽﾄマスタ!$F$2:$F$172))*TRANSPOSE(#REF!) )</definedName>
    <definedName name="PeriodsPaid" localSheetId="4">SUM( (#REF!=TRANSPOSE(#REF!))*TRANSPOSE(#REF!) )</definedName>
    <definedName name="PeriodsPaid" localSheetId="5">SUM( (#REF!=TRANSPOSE(ﾘｽﾄマスタ!$F$2:$F$172))*TRANSPOSE(#REF!) )</definedName>
    <definedName name="PeriodsPaid">SUM( (#REF!=TRANSPOSE(ﾘｽﾄマスタ!$F$2:$F$172))*TRANSPOSE(#REF!) )</definedName>
    <definedName name="popo">ﾘｽﾄマスタ!$F$2:$F$172</definedName>
    <definedName name="ｐｐｐｐ" localSheetId="1">SUM( ('2024'!A5:A53=TRANSPOSE(ﾘｽﾄマスタ!$F$2:$F$172))*TRANSPOSE(#REF!) )</definedName>
    <definedName name="ｐｐｐｐ" localSheetId="4">SUM( (#REF!=TRANSPOSE(#REF!))*TRANSPOSE(#REF!) )</definedName>
    <definedName name="ｐｐｐｐ" localSheetId="5">SUM( (#REF!=TRANSPOSE(ﾘｽﾄマスタ!$F$2:$F$172))*TRANSPOSE(#REF!) )</definedName>
    <definedName name="ｐｐｐｐ">SUM( (#REF!=TRANSPOSE(ﾘｽﾄマスタ!$F$2:$F$172))*TRANSPOSE(#REF!) )</definedName>
    <definedName name="ｐｐｐｐｐｐ" localSheetId="1">SUM( (ﾘｽﾄマスタ!XEU8=ﾘｽﾄマスタ!$F$2:$F$172)*(#REF!) )</definedName>
    <definedName name="ｐｐｐｐｐｐ" localSheetId="4">SUM( (#REF!=#REF!)*(#REF!) )</definedName>
    <definedName name="ｐｐｐｐｐｐ" localSheetId="5">SUM( (ﾘｽﾄマスタ!XEU8=ﾘｽﾄマスタ!$F$2:$F$172)*(#REF!) )</definedName>
    <definedName name="ｐｐｐｐｐｐ">SUM( (ﾘｽﾄマスタ!XEU8=ﾘｽﾄマスタ!$F$2:$F$172)*(#REF!) )</definedName>
    <definedName name="ppppppp" localSheetId="1">SUM( ('2024'!A5:A53=TRANSPOSE(ﾘｽﾄマスタ!$F$2:$F$172))*TRANSPOSE(#REF!) )</definedName>
    <definedName name="ppppppp" localSheetId="4">SUM( (#REF!=TRANSPOSE(#REF!))*TRANSPOSE(#REF!) )</definedName>
    <definedName name="ppppppp" localSheetId="5">SUM( (#REF!=TRANSPOSE(ﾘｽﾄマスタ!$F$2:$F$172))*TRANSPOSE(#REF!) )</definedName>
    <definedName name="ppppppp">SUM( (#REF!=TRANSPOSE(ﾘｽﾄマスタ!$F$2:$F$172))*TRANSPOSE(#REF!) )</definedName>
    <definedName name="PPPPPPPP">SUM( (#REF!=TRANSPOSE(ﾘｽﾄマスタ!$F$2:$F$172))*TRANSPOSE(#REF!) )</definedName>
    <definedName name="PPPPPPPPPPPPPP">SUM( (ﾘｽﾄマスタ!XEU8=ﾘｽﾄマスタ!$F$2:$F$172)*(#REF!) )</definedName>
    <definedName name="PPPPPPPPPPPPPPPPPPP">SUM( (#REF!=TRANSPOSE(ﾘｽﾄマスタ!$F$2:$F$172))*TRANSPOSE(#REF!) )</definedName>
    <definedName name="_xlnm.Print_Area" localSheetId="1">'2024'!$A$1:$I$7157</definedName>
    <definedName name="_xlnm.Print_Area" localSheetId="4">シフトスケジュール!$A$1:$J$7</definedName>
    <definedName name="ShowAssignmentColor">(LEN(!A1048576)&gt;0)*(LEN(!A1)&gt;0)</definedName>
    <definedName name="ShowAssignmentName">(((LEN(!A1048576)=0)*(LEN(!A1)&gt;0))+((LEN(!A1048576)&gt;0)*(LEN(!A1)&gt;0)*(!A1048576&lt;&gt;!A1)))</definedName>
    <definedName name="StartTime">!$B$9</definedName>
    <definedName name="リストアイテム">#REF!</definedName>
    <definedName name="品目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6472" i="16" l="1"/>
  <c r="A6469" i="16" l="1"/>
  <c r="D794" i="30" l="1"/>
  <c r="D1107" i="30" l="1"/>
  <c r="D1108" i="30"/>
  <c r="D1109" i="30"/>
  <c r="D1110" i="30"/>
  <c r="D1111" i="30"/>
  <c r="D1112" i="30"/>
  <c r="D1113" i="30"/>
  <c r="D1114" i="30"/>
  <c r="D1115" i="30"/>
  <c r="D1116" i="30"/>
  <c r="D1117" i="30"/>
  <c r="D1118" i="30"/>
  <c r="D1119" i="30"/>
  <c r="D1120" i="30"/>
  <c r="D1121" i="30"/>
  <c r="D1122" i="30"/>
  <c r="D1123" i="30"/>
  <c r="D1124" i="30"/>
  <c r="D1125" i="30"/>
  <c r="D1126" i="30"/>
  <c r="D1127" i="30"/>
  <c r="D1128" i="30"/>
  <c r="D1129" i="30"/>
  <c r="D1130" i="30"/>
  <c r="D1131" i="30"/>
  <c r="D1132" i="30"/>
  <c r="D1133" i="30"/>
  <c r="D1134" i="30"/>
  <c r="D1135" i="30"/>
  <c r="D1136" i="30"/>
  <c r="D1137" i="30"/>
  <c r="D1138" i="30"/>
  <c r="D1139" i="30"/>
  <c r="D1140" i="30"/>
  <c r="D1141" i="30"/>
  <c r="D1142" i="30"/>
  <c r="D1143" i="30"/>
  <c r="D1144" i="30"/>
  <c r="D1145" i="30"/>
  <c r="D1146" i="30"/>
  <c r="D1147" i="30"/>
  <c r="D1148" i="30"/>
  <c r="D1149" i="30"/>
  <c r="D1150" i="30"/>
  <c r="D1151" i="30"/>
  <c r="D1152" i="30"/>
  <c r="D1153" i="30"/>
  <c r="D1154" i="30"/>
  <c r="D1155" i="30"/>
  <c r="D1156" i="30"/>
  <c r="D1157" i="30"/>
  <c r="D1158" i="30"/>
  <c r="D1159" i="30"/>
  <c r="D1160" i="30"/>
  <c r="D1161" i="30"/>
  <c r="D1162" i="30"/>
  <c r="D1163" i="30"/>
  <c r="D1164" i="30"/>
  <c r="D1165" i="30"/>
  <c r="D1166" i="30"/>
  <c r="D1167" i="30"/>
  <c r="D1168" i="30"/>
  <c r="D1169" i="30"/>
  <c r="D1170" i="30"/>
  <c r="D1171" i="30"/>
  <c r="D1172" i="30"/>
  <c r="D1173" i="30"/>
  <c r="D1174" i="30"/>
  <c r="D1175" i="30"/>
  <c r="D1176" i="30"/>
  <c r="D1177" i="30"/>
  <c r="D1178" i="30"/>
  <c r="D1179" i="30"/>
  <c r="D1180" i="30"/>
  <c r="D1181" i="30"/>
  <c r="D1182" i="30"/>
  <c r="D1183" i="30"/>
  <c r="D1184" i="30"/>
  <c r="D1185" i="30"/>
  <c r="D1186" i="30"/>
  <c r="D1187" i="30"/>
  <c r="D1188" i="30"/>
  <c r="D1189" i="30"/>
  <c r="D1190" i="30"/>
  <c r="D1191" i="30"/>
  <c r="D1192" i="30"/>
  <c r="D1193" i="30"/>
  <c r="D1194" i="30"/>
  <c r="D1195" i="30"/>
  <c r="D1196" i="30"/>
  <c r="D1197" i="30"/>
  <c r="D1198" i="30"/>
  <c r="D1199" i="30"/>
  <c r="D1200" i="30"/>
  <c r="D1201" i="30"/>
  <c r="D1202" i="30"/>
  <c r="D1203" i="30"/>
  <c r="D1204" i="30"/>
  <c r="D1205" i="30"/>
  <c r="D1206" i="30"/>
  <c r="D1207" i="30"/>
  <c r="D1208" i="30"/>
  <c r="D1209" i="30"/>
  <c r="D1210" i="30"/>
  <c r="D1211" i="30"/>
  <c r="D1212" i="30"/>
  <c r="D1213" i="30"/>
  <c r="D1214" i="30"/>
  <c r="D1215" i="30"/>
  <c r="D1216" i="30"/>
  <c r="D1217" i="30"/>
  <c r="D1218" i="30"/>
  <c r="D1219" i="30"/>
  <c r="D1220" i="30"/>
  <c r="D1221" i="30"/>
  <c r="D1222" i="30"/>
  <c r="D1223" i="30"/>
  <c r="D1224" i="30"/>
  <c r="D1225" i="30"/>
  <c r="D1226" i="30"/>
  <c r="D1227" i="30"/>
  <c r="D1228" i="30"/>
  <c r="D1229" i="30"/>
  <c r="D1230" i="30"/>
  <c r="D1231" i="30"/>
  <c r="D1232" i="30"/>
  <c r="D1233" i="30"/>
  <c r="D1234" i="30"/>
  <c r="D1235" i="30"/>
  <c r="D1236" i="30"/>
  <c r="D1237" i="30"/>
  <c r="D1238" i="30"/>
  <c r="D1239" i="30"/>
  <c r="D1240" i="30"/>
  <c r="D1241" i="30"/>
  <c r="D1242" i="30"/>
  <c r="D1243" i="30"/>
  <c r="D1244" i="30"/>
  <c r="D1245" i="30"/>
  <c r="D1246" i="30"/>
  <c r="D1247" i="30"/>
  <c r="D1248" i="30"/>
  <c r="D1249" i="30"/>
  <c r="D1250" i="30"/>
  <c r="D1251" i="30"/>
  <c r="D1252" i="30"/>
  <c r="D1253" i="30"/>
  <c r="D1254" i="30"/>
  <c r="D1255" i="30"/>
  <c r="D1256" i="30"/>
  <c r="D1257" i="30"/>
  <c r="D1258" i="30"/>
  <c r="D1259" i="30"/>
  <c r="D1260" i="30"/>
  <c r="D1261" i="30"/>
  <c r="D1262" i="30"/>
  <c r="D1263" i="30"/>
  <c r="D1264" i="30"/>
  <c r="D1265" i="30"/>
  <c r="D1266" i="30"/>
  <c r="D1267" i="30"/>
  <c r="D1268" i="30"/>
  <c r="D1269" i="30"/>
  <c r="D1270" i="30"/>
  <c r="D1271" i="30"/>
  <c r="D1272" i="30"/>
  <c r="D1273" i="30"/>
  <c r="D1274" i="30"/>
  <c r="D1275" i="30"/>
  <c r="D1276" i="30"/>
  <c r="D1277" i="30"/>
  <c r="D1278" i="30"/>
  <c r="D1279" i="30"/>
  <c r="D1280" i="30"/>
  <c r="D1281" i="30"/>
  <c r="D1282" i="30"/>
  <c r="D1283" i="30"/>
  <c r="D1284" i="30"/>
  <c r="D1285" i="30"/>
  <c r="D1286" i="30"/>
  <c r="D1287" i="30"/>
  <c r="D1288" i="30"/>
  <c r="D1289" i="30"/>
  <c r="D1290" i="30"/>
  <c r="D1291" i="30"/>
  <c r="D1292" i="30"/>
  <c r="D1293" i="30"/>
  <c r="D1294" i="30"/>
  <c r="D1295" i="30"/>
  <c r="D1296" i="30"/>
  <c r="D1297" i="30"/>
  <c r="D1298" i="30"/>
  <c r="D1299" i="30"/>
  <c r="D1300" i="30"/>
  <c r="D1301" i="30"/>
  <c r="D1302" i="30"/>
  <c r="D1303" i="30"/>
  <c r="D1304" i="30"/>
  <c r="D1305" i="30"/>
  <c r="D1306" i="30"/>
  <c r="D1307" i="30"/>
  <c r="D1308" i="30"/>
  <c r="D1309" i="30"/>
  <c r="D1310" i="30"/>
  <c r="D1311" i="30"/>
  <c r="D1312" i="30"/>
  <c r="D1313" i="30"/>
  <c r="D1314" i="30"/>
  <c r="D1315" i="30"/>
  <c r="D1316" i="30"/>
  <c r="D1317" i="30"/>
  <c r="D1318" i="30"/>
  <c r="D1319" i="30"/>
  <c r="D1320" i="30"/>
  <c r="D1321" i="30"/>
  <c r="D1322" i="30"/>
  <c r="D1323" i="30"/>
  <c r="D1324" i="30"/>
  <c r="D1325" i="30"/>
  <c r="D1326" i="30"/>
  <c r="D1327" i="30"/>
  <c r="D1328" i="30"/>
  <c r="D1329" i="30"/>
  <c r="D1330" i="30"/>
  <c r="D1331" i="30"/>
  <c r="D1332" i="30"/>
  <c r="D1333" i="30"/>
  <c r="D1334" i="30"/>
  <c r="D1335" i="30"/>
  <c r="D1336" i="30"/>
  <c r="D1337" i="30"/>
  <c r="D1338" i="30"/>
  <c r="D1339" i="30"/>
  <c r="D1340" i="30"/>
  <c r="D1341" i="30"/>
  <c r="D1342" i="30"/>
  <c r="D1343" i="30"/>
  <c r="D1344" i="30"/>
  <c r="D1345" i="30"/>
  <c r="D1346" i="30"/>
  <c r="D1347" i="30"/>
  <c r="D1348" i="30"/>
  <c r="D1349" i="30"/>
  <c r="D1350" i="30"/>
  <c r="D1351" i="30"/>
  <c r="D1352" i="30"/>
  <c r="D1353" i="30"/>
  <c r="D1354" i="30"/>
  <c r="D1355" i="30"/>
  <c r="D1356" i="30"/>
  <c r="D1357" i="30"/>
  <c r="D1358" i="30"/>
  <c r="D1359" i="30"/>
  <c r="D1360" i="30"/>
  <c r="D1361" i="30"/>
  <c r="D1362" i="30"/>
  <c r="D1363" i="30"/>
  <c r="D1364" i="30"/>
  <c r="D1365" i="30"/>
  <c r="D1366" i="30"/>
  <c r="D1367" i="30"/>
  <c r="D1368" i="30"/>
  <c r="D1369" i="30"/>
  <c r="D1370" i="30"/>
  <c r="D1371" i="30"/>
  <c r="D1372" i="30"/>
  <c r="D1373" i="30"/>
  <c r="D1374" i="30"/>
  <c r="D1375" i="30"/>
  <c r="D1376" i="30"/>
  <c r="D1377" i="30"/>
  <c r="D1378" i="30"/>
  <c r="D1379" i="30"/>
  <c r="D1380" i="30"/>
  <c r="D1381" i="30"/>
  <c r="D1382" i="30"/>
  <c r="D1383" i="30"/>
  <c r="D1384" i="30"/>
  <c r="D1385" i="30"/>
  <c r="D1386" i="30"/>
  <c r="D1387" i="30"/>
  <c r="D1388" i="30"/>
  <c r="D1389" i="30"/>
  <c r="D1390" i="30"/>
  <c r="D1391" i="30"/>
  <c r="D1392" i="30"/>
  <c r="D1393" i="30"/>
  <c r="D1394" i="30"/>
  <c r="D1395" i="30"/>
  <c r="D1396" i="30"/>
  <c r="D1397" i="30"/>
  <c r="D1398" i="30"/>
  <c r="D1399" i="30"/>
  <c r="D1400" i="30"/>
  <c r="D1401" i="30"/>
  <c r="D1402" i="30"/>
  <c r="D1403" i="30"/>
  <c r="D1404" i="30"/>
  <c r="D1405" i="30"/>
  <c r="D1406" i="30"/>
  <c r="D1407" i="30"/>
  <c r="D1408" i="30"/>
  <c r="D1409" i="30"/>
  <c r="D1410" i="30"/>
  <c r="D1411" i="30"/>
  <c r="D1412" i="30"/>
  <c r="D1413" i="30"/>
  <c r="D1414" i="30"/>
  <c r="D1415" i="30"/>
  <c r="D1416" i="30"/>
  <c r="D1417" i="30"/>
  <c r="D1418" i="30"/>
  <c r="D1419" i="30"/>
  <c r="D1420" i="30"/>
  <c r="D1421" i="30"/>
  <c r="D1422" i="30"/>
  <c r="D1423" i="30"/>
  <c r="D1424" i="30"/>
  <c r="D1425" i="30"/>
  <c r="D1426" i="30"/>
  <c r="D1427" i="30"/>
  <c r="D1428" i="30"/>
  <c r="D1429" i="30"/>
  <c r="D1430" i="30"/>
  <c r="D1431" i="30"/>
  <c r="D1432" i="30"/>
  <c r="D1433" i="30"/>
  <c r="D1434" i="30"/>
  <c r="D1435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D1005" i="30"/>
  <c r="D1006" i="30"/>
  <c r="D1007" i="30"/>
  <c r="D1008" i="30"/>
  <c r="D1009" i="30"/>
  <c r="D1010" i="30"/>
  <c r="D1011" i="30"/>
  <c r="D1012" i="30"/>
  <c r="D1013" i="30"/>
  <c r="D1014" i="30"/>
  <c r="D1015" i="30"/>
  <c r="D1016" i="30"/>
  <c r="D1017" i="30"/>
  <c r="D1018" i="30"/>
  <c r="D1019" i="30"/>
  <c r="D1020" i="30"/>
  <c r="D1021" i="30"/>
  <c r="D1022" i="30"/>
  <c r="D1023" i="30"/>
  <c r="D1024" i="30"/>
  <c r="D1025" i="30"/>
  <c r="D1026" i="30"/>
  <c r="D1027" i="30"/>
  <c r="D1028" i="30"/>
  <c r="D1029" i="30"/>
  <c r="D1030" i="30"/>
  <c r="D1031" i="30"/>
  <c r="D1032" i="30"/>
  <c r="D1033" i="30"/>
  <c r="D1034" i="30"/>
  <c r="D1035" i="30"/>
  <c r="D1036" i="30"/>
  <c r="D1037" i="30"/>
  <c r="D1038" i="30"/>
  <c r="D1039" i="30"/>
  <c r="D1040" i="30"/>
  <c r="D1041" i="30"/>
  <c r="D1042" i="30"/>
  <c r="D1043" i="30"/>
  <c r="D1044" i="30"/>
  <c r="D1045" i="30"/>
  <c r="D1046" i="30"/>
  <c r="D1047" i="30"/>
  <c r="D1048" i="30"/>
  <c r="D1049" i="30"/>
  <c r="D1050" i="30"/>
  <c r="D1051" i="30"/>
  <c r="D1052" i="30"/>
  <c r="D1053" i="30"/>
  <c r="D1054" i="30"/>
  <c r="D1055" i="30"/>
  <c r="D1056" i="30"/>
  <c r="D1057" i="30"/>
  <c r="D1058" i="30"/>
  <c r="D1059" i="30"/>
  <c r="D1060" i="30"/>
  <c r="D1061" i="30"/>
  <c r="D1062" i="30"/>
  <c r="D1063" i="30"/>
  <c r="D1064" i="30"/>
  <c r="D1065" i="30"/>
  <c r="D1066" i="30"/>
  <c r="D1067" i="30"/>
  <c r="D1068" i="30"/>
  <c r="D1069" i="30"/>
  <c r="D1070" i="30"/>
  <c r="D1071" i="30"/>
  <c r="D1072" i="30"/>
  <c r="D1073" i="30"/>
  <c r="D1074" i="30"/>
  <c r="D1075" i="30"/>
  <c r="D1076" i="30"/>
  <c r="D1077" i="30"/>
  <c r="D1078" i="30"/>
  <c r="D1079" i="30"/>
  <c r="D1080" i="30"/>
  <c r="D1081" i="30"/>
  <c r="D1082" i="30"/>
  <c r="D1083" i="30"/>
  <c r="D1084" i="30"/>
  <c r="D1085" i="30"/>
  <c r="D1086" i="30"/>
  <c r="D1087" i="30"/>
  <c r="D1088" i="30"/>
  <c r="D1089" i="30"/>
  <c r="D1090" i="30"/>
  <c r="D1091" i="30"/>
  <c r="D1092" i="30"/>
  <c r="D1093" i="30"/>
  <c r="D1094" i="30"/>
  <c r="D1095" i="30"/>
  <c r="D1096" i="30"/>
  <c r="D1097" i="30"/>
  <c r="D1098" i="30"/>
  <c r="D1099" i="30"/>
  <c r="D1100" i="30"/>
  <c r="D1101" i="30"/>
  <c r="D1102" i="30"/>
  <c r="D1103" i="30"/>
  <c r="D1104" i="30"/>
  <c r="D1105" i="30"/>
  <c r="D1106" i="30"/>
  <c r="C203" i="30" l="1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260" i="30"/>
  <c r="C261" i="30"/>
  <c r="C262" i="30"/>
  <c r="C263" i="30"/>
  <c r="C264" i="30"/>
  <c r="C265" i="30"/>
  <c r="C266" i="30"/>
  <c r="C267" i="30"/>
  <c r="C268" i="30"/>
  <c r="C269" i="30"/>
  <c r="C270" i="30"/>
  <c r="C271" i="30"/>
  <c r="C272" i="30"/>
  <c r="C273" i="30"/>
  <c r="C274" i="30"/>
  <c r="C275" i="30"/>
  <c r="C276" i="30"/>
  <c r="C277" i="30"/>
  <c r="C278" i="30"/>
  <c r="C279" i="30"/>
  <c r="C280" i="30"/>
  <c r="C281" i="30"/>
  <c r="C282" i="30"/>
  <c r="C283" i="30"/>
  <c r="C284" i="30"/>
  <c r="C285" i="30"/>
  <c r="C286" i="30"/>
  <c r="C287" i="30"/>
  <c r="C288" i="30"/>
  <c r="C289" i="30"/>
  <c r="C290" i="30"/>
  <c r="C291" i="30"/>
  <c r="C292" i="30"/>
  <c r="C293" i="30"/>
  <c r="C294" i="30"/>
  <c r="C295" i="30"/>
  <c r="C296" i="30"/>
  <c r="C297" i="30"/>
  <c r="C298" i="30"/>
  <c r="C299" i="30"/>
  <c r="C300" i="30"/>
  <c r="C301" i="30"/>
  <c r="C302" i="30"/>
  <c r="C303" i="30"/>
  <c r="C304" i="30"/>
  <c r="C305" i="30"/>
  <c r="C306" i="30"/>
  <c r="C307" i="30"/>
  <c r="C308" i="30"/>
  <c r="C309" i="30"/>
  <c r="C310" i="30"/>
  <c r="C311" i="30"/>
  <c r="C312" i="30"/>
  <c r="C313" i="30"/>
  <c r="C314" i="30"/>
  <c r="C315" i="30"/>
  <c r="C316" i="30"/>
  <c r="C317" i="30"/>
  <c r="C318" i="30"/>
  <c r="C319" i="30"/>
  <c r="C320" i="30"/>
  <c r="C321" i="30"/>
  <c r="C322" i="30"/>
  <c r="C323" i="30"/>
  <c r="C324" i="30"/>
  <c r="C325" i="30"/>
  <c r="C326" i="30"/>
  <c r="C327" i="30"/>
  <c r="C328" i="30"/>
  <c r="C329" i="30"/>
  <c r="C330" i="30"/>
  <c r="C331" i="30"/>
  <c r="C332" i="30"/>
  <c r="C333" i="30"/>
  <c r="C334" i="30"/>
  <c r="C335" i="30"/>
  <c r="C336" i="30"/>
  <c r="C337" i="30"/>
  <c r="C338" i="30"/>
  <c r="C339" i="30"/>
  <c r="C340" i="30"/>
  <c r="C341" i="30"/>
  <c r="C342" i="30"/>
  <c r="C343" i="30"/>
  <c r="C344" i="30"/>
  <c r="C345" i="30"/>
  <c r="C346" i="30"/>
  <c r="C347" i="30"/>
  <c r="C348" i="30"/>
  <c r="C349" i="30"/>
  <c r="C350" i="30"/>
  <c r="C351" i="30"/>
  <c r="C352" i="30"/>
  <c r="C353" i="30"/>
  <c r="C354" i="30"/>
  <c r="C355" i="30"/>
  <c r="C356" i="30"/>
  <c r="C357" i="30"/>
  <c r="C358" i="30"/>
  <c r="C359" i="30"/>
  <c r="C360" i="30"/>
  <c r="C361" i="30"/>
  <c r="C362" i="30"/>
  <c r="C363" i="30"/>
  <c r="C364" i="30"/>
  <c r="C365" i="30"/>
  <c r="C366" i="30"/>
  <c r="C367" i="30"/>
  <c r="C368" i="30"/>
  <c r="C369" i="30"/>
  <c r="C370" i="30"/>
  <c r="C371" i="30"/>
  <c r="C372" i="30"/>
  <c r="C373" i="30"/>
  <c r="C374" i="30"/>
  <c r="C375" i="30"/>
  <c r="C376" i="30"/>
  <c r="C377" i="30"/>
  <c r="C378" i="30"/>
  <c r="C379" i="30"/>
  <c r="C380" i="30"/>
  <c r="C381" i="30"/>
  <c r="C382" i="30"/>
  <c r="C383" i="30"/>
  <c r="C384" i="30"/>
  <c r="C385" i="30"/>
  <c r="C386" i="30"/>
  <c r="C387" i="30"/>
  <c r="C388" i="30"/>
  <c r="C389" i="30"/>
  <c r="C390" i="30"/>
  <c r="C391" i="30"/>
  <c r="C392" i="30"/>
  <c r="C393" i="30"/>
  <c r="C394" i="30"/>
  <c r="C395" i="30"/>
  <c r="C396" i="30"/>
  <c r="C397" i="30"/>
  <c r="C398" i="30"/>
  <c r="C399" i="30"/>
  <c r="C400" i="30"/>
  <c r="C401" i="30"/>
  <c r="C402" i="30"/>
  <c r="C403" i="30"/>
  <c r="C404" i="30"/>
  <c r="C405" i="30"/>
  <c r="C406" i="30"/>
  <c r="C407" i="30"/>
  <c r="C408" i="30"/>
  <c r="C409" i="30"/>
  <c r="C410" i="30"/>
  <c r="C411" i="30"/>
  <c r="C412" i="30"/>
  <c r="C413" i="30"/>
  <c r="C414" i="30"/>
  <c r="C415" i="30"/>
  <c r="C416" i="30"/>
  <c r="C417" i="30"/>
  <c r="C418" i="30"/>
  <c r="C419" i="30"/>
  <c r="C420" i="30"/>
  <c r="C421" i="30"/>
  <c r="C422" i="30"/>
  <c r="C423" i="30"/>
  <c r="C424" i="30"/>
  <c r="C425" i="30"/>
  <c r="C426" i="30"/>
  <c r="C427" i="30"/>
  <c r="C428" i="30"/>
  <c r="C429" i="30"/>
  <c r="C430" i="30"/>
  <c r="C431" i="30"/>
  <c r="C432" i="30"/>
  <c r="C433" i="30"/>
  <c r="C434" i="30"/>
  <c r="C435" i="30"/>
  <c r="C436" i="30"/>
  <c r="C437" i="30"/>
  <c r="C438" i="30"/>
  <c r="C439" i="30"/>
  <c r="C440" i="30"/>
  <c r="C441" i="30"/>
  <c r="C442" i="30"/>
  <c r="C443" i="30"/>
  <c r="C444" i="30"/>
  <c r="C445" i="30"/>
  <c r="C446" i="30"/>
  <c r="C447" i="30"/>
  <c r="C448" i="30"/>
  <c r="C449" i="30"/>
  <c r="C450" i="30"/>
  <c r="C451" i="30"/>
  <c r="C452" i="30"/>
  <c r="C453" i="30"/>
  <c r="C454" i="30"/>
  <c r="C455" i="30"/>
  <c r="C456" i="30"/>
  <c r="C457" i="30"/>
  <c r="C458" i="30"/>
  <c r="C459" i="30"/>
  <c r="C460" i="30"/>
  <c r="C461" i="30"/>
  <c r="C462" i="30"/>
  <c r="C463" i="30"/>
  <c r="C464" i="30"/>
  <c r="C465" i="30"/>
  <c r="C466" i="30"/>
  <c r="C467" i="30"/>
  <c r="C468" i="30"/>
  <c r="C469" i="30"/>
  <c r="C470" i="30"/>
  <c r="C471" i="30"/>
  <c r="C472" i="30"/>
  <c r="C473" i="30"/>
  <c r="C474" i="30"/>
  <c r="C475" i="30"/>
  <c r="C476" i="30"/>
  <c r="C477" i="30"/>
  <c r="C478" i="30"/>
  <c r="C479" i="30"/>
  <c r="C480" i="30"/>
  <c r="C481" i="30"/>
  <c r="C482" i="30"/>
  <c r="C483" i="30"/>
  <c r="C484" i="30"/>
  <c r="C485" i="30"/>
  <c r="C486" i="30"/>
  <c r="C487" i="30"/>
  <c r="C488" i="30"/>
  <c r="C489" i="30"/>
  <c r="C490" i="30"/>
  <c r="C491" i="30"/>
  <c r="C492" i="30"/>
  <c r="C493" i="30"/>
  <c r="C494" i="30"/>
  <c r="C495" i="30"/>
  <c r="C496" i="30"/>
  <c r="C497" i="30"/>
  <c r="C498" i="30"/>
  <c r="C499" i="30"/>
  <c r="C500" i="30"/>
  <c r="C501" i="30"/>
  <c r="C502" i="30"/>
  <c r="C503" i="30"/>
  <c r="C504" i="30"/>
  <c r="C505" i="30"/>
  <c r="C506" i="30"/>
  <c r="C507" i="30"/>
  <c r="C508" i="30"/>
  <c r="C509" i="30"/>
  <c r="C510" i="30"/>
  <c r="C511" i="30"/>
  <c r="C512" i="30"/>
  <c r="C513" i="30"/>
  <c r="C514" i="30"/>
  <c r="C515" i="30"/>
  <c r="C516" i="30"/>
  <c r="C517" i="30"/>
  <c r="C518" i="30"/>
  <c r="C519" i="30"/>
  <c r="C520" i="30"/>
  <c r="C521" i="30"/>
  <c r="C522" i="30"/>
  <c r="C523" i="30"/>
  <c r="C524" i="30"/>
  <c r="C525" i="30"/>
  <c r="C526" i="30"/>
  <c r="C527" i="30"/>
  <c r="C528" i="30"/>
  <c r="C529" i="30"/>
  <c r="C530" i="30"/>
  <c r="C531" i="30"/>
  <c r="C532" i="30"/>
  <c r="C533" i="30"/>
  <c r="C534" i="30"/>
  <c r="C535" i="30"/>
  <c r="C536" i="30"/>
  <c r="C537" i="30"/>
  <c r="C538" i="30"/>
  <c r="C539" i="30"/>
  <c r="C540" i="30"/>
  <c r="C541" i="30"/>
  <c r="C542" i="30"/>
  <c r="C543" i="30"/>
  <c r="C544" i="30"/>
  <c r="C545" i="30"/>
  <c r="C546" i="30"/>
  <c r="C547" i="30"/>
  <c r="C548" i="30"/>
  <c r="C549" i="30"/>
  <c r="C550" i="30"/>
  <c r="C551" i="30"/>
  <c r="C552" i="30"/>
  <c r="C553" i="30"/>
  <c r="C554" i="30"/>
  <c r="C555" i="30"/>
  <c r="C556" i="30"/>
  <c r="C557" i="30"/>
  <c r="C558" i="30"/>
  <c r="C559" i="30"/>
  <c r="C560" i="30"/>
  <c r="C561" i="30"/>
  <c r="C562" i="30"/>
  <c r="C563" i="30"/>
  <c r="C564" i="30"/>
  <c r="C565" i="30"/>
  <c r="C566" i="30"/>
  <c r="C567" i="30"/>
  <c r="C568" i="30"/>
  <c r="C569" i="30"/>
  <c r="C570" i="30"/>
  <c r="C571" i="30"/>
  <c r="C572" i="30"/>
  <c r="C573" i="30"/>
  <c r="C574" i="30"/>
  <c r="C575" i="30"/>
  <c r="C576" i="30"/>
  <c r="C577" i="30"/>
  <c r="C578" i="30"/>
  <c r="C579" i="30"/>
  <c r="C580" i="30"/>
  <c r="C581" i="30"/>
  <c r="C582" i="30"/>
  <c r="C583" i="30"/>
  <c r="C584" i="30"/>
  <c r="C585" i="30"/>
  <c r="C586" i="30"/>
  <c r="C587" i="30"/>
  <c r="C588" i="30"/>
  <c r="C589" i="30"/>
  <c r="C590" i="30"/>
  <c r="C591" i="30"/>
  <c r="C592" i="30"/>
  <c r="C593" i="30"/>
  <c r="C594" i="30"/>
  <c r="C595" i="30"/>
  <c r="C596" i="30"/>
  <c r="C597" i="30"/>
  <c r="C598" i="30"/>
  <c r="C599" i="30"/>
  <c r="C600" i="30"/>
  <c r="C601" i="30"/>
  <c r="C602" i="30"/>
  <c r="C603" i="30"/>
  <c r="C604" i="30"/>
  <c r="C605" i="30"/>
  <c r="C606" i="30"/>
  <c r="C607" i="30"/>
  <c r="C608" i="30"/>
  <c r="C609" i="30"/>
  <c r="C610" i="30"/>
  <c r="C611" i="30"/>
  <c r="C612" i="30"/>
  <c r="C613" i="30"/>
  <c r="C614" i="30"/>
  <c r="C615" i="30"/>
  <c r="C616" i="30"/>
  <c r="C617" i="30"/>
  <c r="C618" i="30"/>
  <c r="C619" i="30"/>
  <c r="C620" i="30"/>
  <c r="C621" i="30"/>
  <c r="C622" i="30"/>
  <c r="C623" i="30"/>
  <c r="C624" i="30"/>
  <c r="C625" i="30"/>
  <c r="C626" i="30"/>
  <c r="C627" i="30"/>
  <c r="C628" i="30"/>
  <c r="C629" i="30"/>
  <c r="C630" i="30"/>
  <c r="C631" i="30"/>
  <c r="C632" i="30"/>
  <c r="C633" i="30"/>
  <c r="C634" i="30"/>
  <c r="C635" i="30"/>
  <c r="C636" i="30"/>
  <c r="C637" i="30"/>
  <c r="C638" i="30"/>
  <c r="C639" i="30"/>
  <c r="C640" i="30"/>
  <c r="C641" i="30"/>
  <c r="C642" i="30"/>
  <c r="C643" i="30"/>
  <c r="C644" i="30"/>
  <c r="C645" i="30"/>
  <c r="C646" i="30"/>
  <c r="C647" i="30"/>
  <c r="C648" i="30"/>
  <c r="C649" i="30"/>
  <c r="C650" i="30"/>
  <c r="C651" i="30"/>
  <c r="C652" i="30"/>
  <c r="C653" i="30"/>
  <c r="C654" i="30"/>
  <c r="C655" i="30"/>
  <c r="C656" i="30"/>
  <c r="C657" i="30"/>
  <c r="C658" i="30"/>
  <c r="C659" i="30"/>
  <c r="C660" i="30"/>
  <c r="C661" i="30"/>
  <c r="C662" i="30"/>
  <c r="C663" i="30"/>
  <c r="C664" i="30"/>
  <c r="C665" i="30"/>
  <c r="C666" i="30"/>
  <c r="C667" i="30"/>
  <c r="C668" i="30"/>
  <c r="C669" i="30"/>
  <c r="C670" i="30"/>
  <c r="C671" i="30"/>
  <c r="C672" i="30"/>
  <c r="C673" i="30"/>
  <c r="C674" i="30"/>
  <c r="C675" i="30"/>
  <c r="C676" i="30"/>
  <c r="C677" i="30"/>
  <c r="C678" i="30"/>
  <c r="C679" i="30"/>
  <c r="C680" i="30"/>
  <c r="C681" i="30"/>
  <c r="C682" i="30"/>
  <c r="C683" i="30"/>
  <c r="C684" i="30"/>
  <c r="C685" i="30"/>
  <c r="C686" i="30"/>
  <c r="C687" i="30"/>
  <c r="C688" i="30"/>
  <c r="C689" i="30"/>
  <c r="C690" i="30"/>
  <c r="C691" i="30"/>
  <c r="C692" i="30"/>
  <c r="C693" i="30"/>
  <c r="C694" i="30"/>
  <c r="C695" i="30"/>
  <c r="C696" i="30"/>
  <c r="C697" i="30"/>
  <c r="C698" i="30"/>
  <c r="C699" i="30"/>
  <c r="C700" i="30"/>
  <c r="C701" i="30"/>
  <c r="C702" i="30"/>
  <c r="C703" i="30"/>
  <c r="C704" i="30"/>
  <c r="C705" i="30"/>
  <c r="C706" i="30"/>
  <c r="C707" i="30"/>
  <c r="C708" i="30"/>
  <c r="C709" i="30"/>
  <c r="C710" i="30"/>
  <c r="C711" i="30"/>
  <c r="C712" i="30"/>
  <c r="C713" i="30"/>
  <c r="C714" i="30"/>
  <c r="C715" i="30"/>
  <c r="C716" i="30"/>
  <c r="C717" i="30"/>
  <c r="C718" i="30"/>
  <c r="C719" i="30"/>
  <c r="C720" i="30"/>
  <c r="C721" i="30"/>
  <c r="C722" i="30"/>
  <c r="C723" i="30"/>
  <c r="C724" i="30"/>
  <c r="C725" i="30"/>
  <c r="C726" i="30"/>
  <c r="C727" i="30"/>
  <c r="C728" i="30"/>
  <c r="C729" i="30"/>
  <c r="C730" i="30"/>
  <c r="C731" i="30"/>
  <c r="C732" i="30"/>
  <c r="C733" i="30"/>
  <c r="C734" i="30"/>
  <c r="C735" i="30"/>
  <c r="C736" i="30"/>
  <c r="C737" i="30"/>
  <c r="C738" i="30"/>
  <c r="C739" i="30"/>
  <c r="C740" i="30"/>
  <c r="C741" i="30"/>
  <c r="C742" i="30"/>
  <c r="C743" i="30"/>
  <c r="C744" i="30"/>
  <c r="C745" i="30"/>
  <c r="C746" i="30"/>
  <c r="C747" i="30"/>
  <c r="C748" i="30"/>
  <c r="C749" i="30"/>
  <c r="C750" i="30"/>
  <c r="C751" i="30"/>
  <c r="C752" i="30"/>
  <c r="C753" i="30"/>
  <c r="C754" i="30"/>
  <c r="C755" i="30"/>
  <c r="C756" i="30"/>
  <c r="C757" i="30"/>
  <c r="C758" i="30"/>
  <c r="C759" i="30"/>
  <c r="C760" i="30"/>
  <c r="C761" i="30"/>
  <c r="C762" i="30"/>
  <c r="C763" i="30"/>
  <c r="C764" i="30"/>
  <c r="C765" i="30"/>
  <c r="C766" i="30"/>
  <c r="C767" i="30"/>
  <c r="C768" i="30"/>
  <c r="C769" i="30"/>
  <c r="C770" i="30"/>
  <c r="C771" i="30"/>
  <c r="C772" i="30"/>
  <c r="C773" i="30"/>
  <c r="C774" i="30"/>
  <c r="C775" i="30"/>
  <c r="C776" i="30"/>
  <c r="C777" i="30"/>
  <c r="C778" i="30"/>
  <c r="C779" i="30"/>
  <c r="C780" i="30"/>
  <c r="C781" i="30"/>
  <c r="C782" i="30"/>
  <c r="C783" i="30"/>
  <c r="C784" i="30"/>
  <c r="C785" i="30"/>
  <c r="C786" i="30"/>
  <c r="C787" i="30"/>
  <c r="C788" i="30"/>
  <c r="C789" i="30"/>
  <c r="C790" i="30"/>
  <c r="C791" i="30"/>
  <c r="C792" i="30"/>
  <c r="C793" i="30"/>
  <c r="C794" i="30"/>
  <c r="C795" i="30"/>
  <c r="C796" i="30"/>
  <c r="C797" i="30"/>
  <c r="C798" i="30"/>
  <c r="C799" i="30"/>
  <c r="C800" i="30"/>
  <c r="C801" i="30"/>
  <c r="C802" i="30"/>
  <c r="C803" i="30"/>
  <c r="C804" i="30"/>
  <c r="C805" i="30"/>
  <c r="C806" i="30"/>
  <c r="C807" i="30"/>
  <c r="C808" i="30"/>
  <c r="C809" i="30"/>
  <c r="C810" i="30"/>
  <c r="C811" i="30"/>
  <c r="C812" i="30"/>
  <c r="C813" i="30"/>
  <c r="C814" i="30"/>
  <c r="C815" i="30"/>
  <c r="C816" i="30"/>
  <c r="C817" i="30"/>
  <c r="C818" i="30"/>
  <c r="C819" i="30"/>
  <c r="C820" i="30"/>
  <c r="C821" i="30"/>
  <c r="C822" i="30"/>
  <c r="C823" i="30"/>
  <c r="C824" i="30"/>
  <c r="C825" i="30"/>
  <c r="C826" i="30"/>
  <c r="C827" i="30"/>
  <c r="C828" i="30"/>
  <c r="C829" i="30"/>
  <c r="C830" i="30"/>
  <c r="C831" i="30"/>
  <c r="C832" i="30"/>
  <c r="C833" i="30"/>
  <c r="C834" i="30"/>
  <c r="C835" i="30"/>
  <c r="C836" i="30"/>
  <c r="C837" i="30"/>
  <c r="C838" i="30"/>
  <c r="C839" i="30"/>
  <c r="C840" i="30"/>
  <c r="C841" i="30"/>
  <c r="C842" i="30"/>
  <c r="C843" i="30"/>
  <c r="C844" i="30"/>
  <c r="C845" i="30"/>
  <c r="C846" i="30"/>
  <c r="C847" i="30"/>
  <c r="C848" i="30"/>
  <c r="C849" i="30"/>
  <c r="C850" i="30"/>
  <c r="C851" i="30"/>
  <c r="C852" i="30"/>
  <c r="C853" i="30"/>
  <c r="C854" i="30"/>
  <c r="C855" i="30"/>
  <c r="C856" i="30"/>
  <c r="C857" i="30"/>
  <c r="C858" i="30"/>
  <c r="C859" i="30"/>
  <c r="C860" i="30"/>
  <c r="C861" i="30"/>
  <c r="C862" i="30"/>
  <c r="C863" i="30"/>
  <c r="C864" i="30"/>
  <c r="C865" i="30"/>
  <c r="C866" i="30"/>
  <c r="C867" i="30"/>
  <c r="C868" i="30"/>
  <c r="C869" i="30"/>
  <c r="C870" i="30"/>
  <c r="C871" i="30"/>
  <c r="C872" i="30"/>
  <c r="C873" i="30"/>
  <c r="C874" i="30"/>
  <c r="C875" i="30"/>
  <c r="C876" i="30"/>
  <c r="C877" i="30"/>
  <c r="C878" i="30"/>
  <c r="C879" i="30"/>
  <c r="C880" i="30"/>
  <c r="C881" i="30"/>
  <c r="C882" i="30"/>
  <c r="C883" i="30"/>
  <c r="C884" i="30"/>
  <c r="C885" i="30"/>
  <c r="C886" i="30"/>
  <c r="C887" i="30"/>
  <c r="C888" i="30"/>
  <c r="C889" i="30"/>
  <c r="C890" i="30"/>
  <c r="C891" i="30"/>
  <c r="C892" i="30"/>
  <c r="C893" i="30"/>
  <c r="C894" i="30"/>
  <c r="C895" i="30"/>
  <c r="C896" i="30"/>
  <c r="C897" i="30"/>
  <c r="C898" i="30"/>
  <c r="C899" i="30"/>
  <c r="C900" i="30"/>
  <c r="C901" i="30"/>
  <c r="C902" i="30"/>
  <c r="C903" i="30"/>
  <c r="C904" i="30"/>
  <c r="C905" i="30"/>
  <c r="C906" i="30"/>
  <c r="C907" i="30"/>
  <c r="C908" i="30"/>
  <c r="C909" i="30"/>
  <c r="C910" i="30"/>
  <c r="C911" i="30"/>
  <c r="C912" i="30"/>
  <c r="C913" i="30"/>
  <c r="C914" i="30"/>
  <c r="C915" i="30"/>
  <c r="C916" i="30"/>
  <c r="C917" i="30"/>
  <c r="C918" i="30"/>
  <c r="C919" i="30"/>
  <c r="C920" i="30"/>
  <c r="C921" i="30"/>
  <c r="C922" i="30"/>
  <c r="C923" i="30"/>
  <c r="C924" i="30"/>
  <c r="C925" i="30"/>
  <c r="C926" i="30"/>
  <c r="C927" i="30"/>
  <c r="C928" i="30"/>
  <c r="C929" i="30"/>
  <c r="C930" i="30"/>
  <c r="C931" i="30"/>
  <c r="C932" i="30"/>
  <c r="C933" i="30"/>
  <c r="C934" i="30"/>
  <c r="C935" i="30"/>
  <c r="C936" i="30"/>
  <c r="C937" i="30"/>
  <c r="C938" i="30"/>
  <c r="C939" i="30"/>
  <c r="C940" i="30"/>
  <c r="C941" i="30"/>
  <c r="C942" i="30"/>
  <c r="C943" i="30"/>
  <c r="C944" i="30"/>
  <c r="C945" i="30"/>
  <c r="C946" i="30"/>
  <c r="C947" i="30"/>
  <c r="C948" i="30"/>
  <c r="C949" i="30"/>
  <c r="C950" i="30"/>
  <c r="C951" i="30"/>
  <c r="C952" i="30"/>
  <c r="C953" i="30"/>
  <c r="C954" i="30"/>
  <c r="C955" i="30"/>
  <c r="C956" i="30"/>
  <c r="C957" i="30"/>
  <c r="C958" i="30"/>
  <c r="C959" i="30"/>
  <c r="C960" i="30"/>
  <c r="C961" i="30"/>
  <c r="C962" i="30"/>
  <c r="C963" i="30"/>
  <c r="C964" i="30"/>
  <c r="C965" i="30"/>
  <c r="C966" i="30"/>
  <c r="C967" i="30"/>
  <c r="C968" i="30"/>
  <c r="C969" i="30"/>
  <c r="C970" i="30"/>
  <c r="C971" i="30"/>
  <c r="C972" i="30"/>
  <c r="C973" i="30"/>
  <c r="C974" i="30"/>
  <c r="C975" i="30"/>
  <c r="C976" i="30"/>
  <c r="C977" i="30"/>
  <c r="C978" i="30"/>
  <c r="C979" i="30"/>
  <c r="C980" i="30"/>
  <c r="C981" i="30"/>
  <c r="C982" i="30"/>
  <c r="C983" i="30"/>
  <c r="C984" i="30"/>
  <c r="C985" i="30"/>
  <c r="C986" i="30"/>
  <c r="C987" i="30"/>
  <c r="C988" i="30"/>
  <c r="C989" i="30"/>
  <c r="C990" i="30"/>
  <c r="C991" i="30"/>
  <c r="C992" i="30"/>
  <c r="C993" i="30"/>
  <c r="C994" i="30"/>
  <c r="C995" i="30"/>
  <c r="C996" i="30"/>
  <c r="C997" i="30"/>
  <c r="C998" i="30"/>
  <c r="C999" i="30"/>
  <c r="C1000" i="30"/>
  <c r="C1001" i="30"/>
  <c r="C1002" i="30"/>
  <c r="C1003" i="30"/>
  <c r="C1004" i="30"/>
  <c r="C1005" i="30"/>
  <c r="C1006" i="30"/>
  <c r="C1007" i="30"/>
  <c r="C1008" i="30"/>
  <c r="C1009" i="30"/>
  <c r="C1010" i="30"/>
  <c r="C1011" i="30"/>
  <c r="C1012" i="30"/>
  <c r="C1013" i="30"/>
  <c r="C1014" i="30"/>
  <c r="C1015" i="30"/>
  <c r="C1016" i="30"/>
  <c r="C1017" i="30"/>
  <c r="C1018" i="30"/>
  <c r="C1019" i="30"/>
  <c r="C1020" i="30"/>
  <c r="C1021" i="30"/>
  <c r="C1022" i="30"/>
  <c r="C1023" i="30"/>
  <c r="C1024" i="30"/>
  <c r="C1025" i="30"/>
  <c r="C1026" i="30"/>
  <c r="C1027" i="30"/>
  <c r="C1028" i="30"/>
  <c r="C1029" i="30"/>
  <c r="C1030" i="30"/>
  <c r="C1031" i="30"/>
  <c r="C1032" i="30"/>
  <c r="C1033" i="30"/>
  <c r="C1034" i="30"/>
  <c r="C1035" i="30"/>
  <c r="C1036" i="30"/>
  <c r="C1037" i="30"/>
  <c r="C1038" i="30"/>
  <c r="C1039" i="30"/>
  <c r="C1040" i="30"/>
  <c r="C1041" i="30"/>
  <c r="C1042" i="30"/>
  <c r="C1043" i="30"/>
  <c r="C1044" i="30"/>
  <c r="C1045" i="30"/>
  <c r="C1046" i="30"/>
  <c r="C1047" i="30"/>
  <c r="C1048" i="30"/>
  <c r="C1049" i="30"/>
  <c r="C1050" i="30"/>
  <c r="C1051" i="30"/>
  <c r="C1052" i="30"/>
  <c r="C1053" i="30"/>
  <c r="C1054" i="30"/>
  <c r="C1055" i="30"/>
  <c r="C1056" i="30"/>
  <c r="C1057" i="30"/>
  <c r="C1058" i="30"/>
  <c r="C1059" i="30"/>
  <c r="C1060" i="30"/>
  <c r="C1061" i="30"/>
  <c r="C1062" i="30"/>
  <c r="C1063" i="30"/>
  <c r="C1064" i="30"/>
  <c r="C1065" i="30"/>
  <c r="C1066" i="30"/>
  <c r="C1067" i="30"/>
  <c r="C1068" i="30"/>
  <c r="C1069" i="30"/>
  <c r="C1070" i="30"/>
  <c r="C1071" i="30"/>
  <c r="C1072" i="30"/>
  <c r="C1073" i="30"/>
  <c r="C1074" i="30"/>
  <c r="C1075" i="30"/>
  <c r="C1076" i="30"/>
  <c r="C1077" i="30"/>
  <c r="C1078" i="30"/>
  <c r="C1079" i="30"/>
  <c r="C1080" i="30"/>
  <c r="C1081" i="30"/>
  <c r="C1082" i="30"/>
  <c r="C1083" i="30"/>
  <c r="C1084" i="30"/>
  <c r="C1085" i="30"/>
  <c r="C1086" i="30"/>
  <c r="C1087" i="30"/>
  <c r="C1088" i="30"/>
  <c r="C1089" i="30"/>
  <c r="C1090" i="30"/>
  <c r="C1091" i="30"/>
  <c r="C1092" i="30"/>
  <c r="C1093" i="30"/>
  <c r="C1094" i="30"/>
  <c r="C1095" i="30"/>
  <c r="C1096" i="30"/>
  <c r="C1097" i="30"/>
  <c r="C1098" i="30"/>
  <c r="C1099" i="30"/>
  <c r="C1100" i="30"/>
  <c r="C1101" i="30"/>
  <c r="C1102" i="30"/>
  <c r="C1103" i="30"/>
  <c r="C1104" i="30"/>
  <c r="C1105" i="30"/>
  <c r="C1106" i="30"/>
  <c r="C1107" i="30"/>
  <c r="C1108" i="30"/>
  <c r="C1109" i="30"/>
  <c r="C1110" i="30"/>
  <c r="C1111" i="30"/>
  <c r="C1112" i="30"/>
  <c r="C1113" i="30"/>
  <c r="C1114" i="30"/>
  <c r="C1115" i="30"/>
  <c r="C1116" i="30"/>
  <c r="C1117" i="30"/>
  <c r="C1118" i="30"/>
  <c r="C1119" i="30"/>
  <c r="C1120" i="30"/>
  <c r="C1121" i="30"/>
  <c r="C1122" i="30"/>
  <c r="C1123" i="30"/>
  <c r="C1124" i="30"/>
  <c r="C1125" i="30"/>
  <c r="C1126" i="30"/>
  <c r="C1127" i="30"/>
  <c r="C1128" i="30"/>
  <c r="C1129" i="30"/>
  <c r="C1130" i="30"/>
  <c r="C1131" i="30"/>
  <c r="C1132" i="30"/>
  <c r="C1133" i="30"/>
  <c r="C1134" i="30"/>
  <c r="C1135" i="30"/>
  <c r="C1136" i="30"/>
  <c r="C1137" i="30"/>
  <c r="C1138" i="30"/>
  <c r="C1139" i="30"/>
  <c r="C1140" i="30"/>
  <c r="C1141" i="30"/>
  <c r="C1142" i="30"/>
  <c r="C1143" i="30"/>
  <c r="C1144" i="30"/>
  <c r="C1145" i="30"/>
  <c r="C1146" i="30"/>
  <c r="C1147" i="30"/>
  <c r="C1148" i="30"/>
  <c r="C1149" i="30"/>
  <c r="C1150" i="30"/>
  <c r="C1151" i="30"/>
  <c r="C1152" i="30"/>
  <c r="C1153" i="30"/>
  <c r="C1154" i="30"/>
  <c r="C1155" i="30"/>
  <c r="C1156" i="30"/>
  <c r="C1157" i="30"/>
  <c r="C1158" i="30"/>
  <c r="C1159" i="30"/>
  <c r="C1160" i="30"/>
  <c r="C1161" i="30"/>
  <c r="C1162" i="30"/>
  <c r="C1163" i="30"/>
  <c r="C1164" i="30"/>
  <c r="C1165" i="30"/>
  <c r="C1166" i="30"/>
  <c r="C1167" i="30"/>
  <c r="C1168" i="30"/>
  <c r="C1169" i="30"/>
  <c r="C1170" i="30"/>
  <c r="C1171" i="30"/>
  <c r="C1172" i="30"/>
  <c r="C1173" i="30"/>
  <c r="C1174" i="30"/>
  <c r="C1175" i="30"/>
  <c r="C1176" i="30"/>
  <c r="C1177" i="30"/>
  <c r="C1178" i="30"/>
  <c r="C1179" i="30"/>
  <c r="C1180" i="30"/>
  <c r="C1181" i="30"/>
  <c r="C1182" i="30"/>
  <c r="C1183" i="30"/>
  <c r="C1184" i="30"/>
  <c r="C1185" i="30"/>
  <c r="C1186" i="30"/>
  <c r="C1187" i="30"/>
  <c r="C1188" i="30"/>
  <c r="C1189" i="30"/>
  <c r="C1190" i="30"/>
  <c r="C1191" i="30"/>
  <c r="C1192" i="30"/>
  <c r="C1193" i="30"/>
  <c r="C1194" i="30"/>
  <c r="C1195" i="30"/>
  <c r="C1196" i="30"/>
  <c r="C1197" i="30"/>
  <c r="C1198" i="30"/>
  <c r="C1199" i="30"/>
  <c r="C1200" i="30"/>
  <c r="C1201" i="30"/>
  <c r="C1202" i="30"/>
  <c r="C1203" i="30"/>
  <c r="C1204" i="30"/>
  <c r="C1205" i="30"/>
  <c r="C1206" i="30"/>
  <c r="C1207" i="30"/>
  <c r="C1208" i="30"/>
  <c r="C1209" i="30"/>
  <c r="C1210" i="30"/>
  <c r="C1211" i="30"/>
  <c r="C1212" i="30"/>
  <c r="C1213" i="30"/>
  <c r="C1214" i="30"/>
  <c r="C1215" i="30"/>
  <c r="C1216" i="30"/>
  <c r="C1217" i="30"/>
  <c r="C1218" i="30"/>
  <c r="C1219" i="30"/>
  <c r="C1220" i="30"/>
  <c r="C1221" i="30"/>
  <c r="C1222" i="30"/>
  <c r="C1223" i="30"/>
  <c r="C1224" i="30"/>
  <c r="C1225" i="30"/>
  <c r="C1226" i="30"/>
  <c r="C1227" i="30"/>
  <c r="C1228" i="30"/>
  <c r="C1229" i="30"/>
  <c r="C1230" i="30"/>
  <c r="C1231" i="30"/>
  <c r="C1232" i="30"/>
  <c r="C1233" i="30"/>
  <c r="C1234" i="30"/>
  <c r="C1235" i="30"/>
  <c r="C1236" i="30"/>
  <c r="C1237" i="30"/>
  <c r="C1238" i="30"/>
  <c r="C1239" i="30"/>
  <c r="C1240" i="30"/>
  <c r="C1241" i="30"/>
  <c r="C1242" i="30"/>
  <c r="C1243" i="30"/>
  <c r="C1244" i="30"/>
  <c r="C1245" i="30"/>
  <c r="C1246" i="30"/>
  <c r="C1247" i="30"/>
  <c r="C1248" i="30"/>
  <c r="C1249" i="30"/>
  <c r="C1250" i="30"/>
  <c r="C1251" i="30"/>
  <c r="C1252" i="30"/>
  <c r="C1253" i="30"/>
  <c r="C1254" i="30"/>
  <c r="C1255" i="30"/>
  <c r="C1256" i="30"/>
  <c r="C1257" i="30"/>
  <c r="C1258" i="30"/>
  <c r="C1259" i="30"/>
  <c r="C1260" i="30"/>
  <c r="C1261" i="30"/>
  <c r="C1262" i="30"/>
  <c r="C1263" i="30"/>
  <c r="C1264" i="30"/>
  <c r="C1265" i="30"/>
  <c r="C1266" i="30"/>
  <c r="C1267" i="30"/>
  <c r="C1268" i="30"/>
  <c r="C1269" i="30"/>
  <c r="C1270" i="30"/>
  <c r="C1271" i="30"/>
  <c r="C1272" i="30"/>
  <c r="C1273" i="30"/>
  <c r="C1274" i="30"/>
  <c r="C1275" i="30"/>
  <c r="C1276" i="30"/>
  <c r="C1277" i="30"/>
  <c r="C1278" i="30"/>
  <c r="C1279" i="30"/>
  <c r="C1280" i="30"/>
  <c r="C1281" i="30"/>
  <c r="C1282" i="30"/>
  <c r="C1283" i="30"/>
  <c r="C1284" i="30"/>
  <c r="C1285" i="30"/>
  <c r="C1286" i="30"/>
  <c r="C1287" i="30"/>
  <c r="C1288" i="30"/>
  <c r="C1289" i="30"/>
  <c r="C1290" i="30"/>
  <c r="C1291" i="30"/>
  <c r="C1292" i="30"/>
  <c r="C1293" i="30"/>
  <c r="C1294" i="30"/>
  <c r="C1295" i="30"/>
  <c r="C1296" i="30"/>
  <c r="C1297" i="30"/>
  <c r="C1298" i="30"/>
  <c r="C1299" i="30"/>
  <c r="C1300" i="30"/>
  <c r="C1301" i="30"/>
  <c r="C1302" i="30"/>
  <c r="C1303" i="30"/>
  <c r="C1304" i="30"/>
  <c r="C1305" i="30"/>
  <c r="C1306" i="30"/>
  <c r="C1307" i="30"/>
  <c r="C1308" i="30"/>
  <c r="C1309" i="30"/>
  <c r="C1310" i="30"/>
  <c r="C1311" i="30"/>
  <c r="C1312" i="30"/>
  <c r="C1313" i="30"/>
  <c r="C1314" i="30"/>
  <c r="C1315" i="30"/>
  <c r="C1316" i="30"/>
  <c r="C1317" i="30"/>
  <c r="C1318" i="30"/>
  <c r="C1319" i="30"/>
  <c r="C1320" i="30"/>
  <c r="C1321" i="30"/>
  <c r="C1322" i="30"/>
  <c r="C1323" i="30"/>
  <c r="C1324" i="30"/>
  <c r="C1325" i="30"/>
  <c r="C1326" i="30"/>
  <c r="C1327" i="30"/>
  <c r="C1328" i="30"/>
  <c r="C1329" i="30"/>
  <c r="C1330" i="30"/>
  <c r="C1331" i="30"/>
  <c r="C1332" i="30"/>
  <c r="C1333" i="30"/>
  <c r="C1334" i="30"/>
  <c r="C1335" i="30"/>
  <c r="C1336" i="30"/>
  <c r="C1337" i="30"/>
  <c r="C1338" i="30"/>
  <c r="C1339" i="30"/>
  <c r="C1340" i="30"/>
  <c r="C1341" i="30"/>
  <c r="C1342" i="30"/>
  <c r="C1343" i="30"/>
  <c r="C1344" i="30"/>
  <c r="C1345" i="30"/>
  <c r="C1346" i="30"/>
  <c r="C1347" i="30"/>
  <c r="C1348" i="30"/>
  <c r="C1349" i="30"/>
  <c r="C1350" i="30"/>
  <c r="C1351" i="30"/>
  <c r="C1352" i="30"/>
  <c r="C1353" i="30"/>
  <c r="C1354" i="30"/>
  <c r="C1355" i="30"/>
  <c r="C1356" i="30"/>
  <c r="C1357" i="30"/>
  <c r="C1358" i="30"/>
  <c r="C1359" i="30"/>
  <c r="C1360" i="30"/>
  <c r="C1361" i="30"/>
  <c r="C1362" i="30"/>
  <c r="C1363" i="30"/>
  <c r="C1364" i="30"/>
  <c r="C1365" i="30"/>
  <c r="C1366" i="30"/>
  <c r="C1367" i="30"/>
  <c r="C1368" i="30"/>
  <c r="C1369" i="30"/>
  <c r="C1370" i="30"/>
  <c r="C1371" i="30"/>
  <c r="C1372" i="30"/>
  <c r="C1373" i="30"/>
  <c r="C1374" i="30"/>
  <c r="C1375" i="30"/>
  <c r="C1376" i="30"/>
  <c r="C1377" i="30"/>
  <c r="C1378" i="30"/>
  <c r="C1379" i="30"/>
  <c r="C1380" i="30"/>
  <c r="C1381" i="30"/>
  <c r="C1382" i="30"/>
  <c r="C1383" i="30"/>
  <c r="C1384" i="30"/>
  <c r="C1385" i="30"/>
  <c r="C1386" i="30"/>
  <c r="C1387" i="30"/>
  <c r="C1388" i="30"/>
  <c r="C1389" i="30"/>
  <c r="C1390" i="30"/>
  <c r="C1391" i="30"/>
  <c r="C1392" i="30"/>
  <c r="C1393" i="30"/>
  <c r="C1394" i="30"/>
  <c r="C1395" i="30"/>
  <c r="C1396" i="30"/>
  <c r="C1397" i="30"/>
  <c r="C1398" i="30"/>
  <c r="C1399" i="30"/>
  <c r="C1400" i="30"/>
  <c r="C1401" i="30"/>
  <c r="C1402" i="30"/>
  <c r="C1403" i="30"/>
  <c r="C1404" i="30"/>
  <c r="C1405" i="30"/>
  <c r="C1406" i="30"/>
  <c r="C1407" i="30"/>
  <c r="C1408" i="30"/>
  <c r="C1409" i="30"/>
  <c r="C1410" i="30"/>
  <c r="C1411" i="30"/>
  <c r="C1412" i="30"/>
  <c r="C1413" i="30"/>
  <c r="C1414" i="30"/>
  <c r="C1415" i="30"/>
  <c r="C1416" i="30"/>
  <c r="C1417" i="30"/>
  <c r="C1418" i="30"/>
  <c r="C1419" i="30"/>
  <c r="C1420" i="30"/>
  <c r="C1421" i="30"/>
  <c r="C1422" i="30"/>
  <c r="C1423" i="30"/>
  <c r="C1424" i="30"/>
  <c r="C1425" i="30"/>
  <c r="C1426" i="30"/>
  <c r="C1427" i="30"/>
  <c r="C1428" i="30"/>
  <c r="C1429" i="30"/>
  <c r="C1430" i="30"/>
  <c r="C1431" i="30"/>
  <c r="C1432" i="30"/>
  <c r="C1433" i="30"/>
  <c r="C1434" i="30"/>
  <c r="C1435" i="30"/>
  <c r="C1436" i="30"/>
  <c r="C1437" i="30"/>
  <c r="C1438" i="30"/>
  <c r="C1439" i="30"/>
  <c r="C1440" i="30"/>
  <c r="C1441" i="30"/>
  <c r="C1442" i="30"/>
  <c r="C1443" i="30"/>
  <c r="C1444" i="30"/>
  <c r="C1445" i="30"/>
  <c r="C1446" i="30"/>
  <c r="C1447" i="30"/>
  <c r="C1448" i="30"/>
  <c r="C1449" i="30"/>
  <c r="C1450" i="30"/>
  <c r="C1451" i="30"/>
  <c r="C1452" i="30"/>
  <c r="C1453" i="30"/>
  <c r="C1454" i="30"/>
  <c r="C1455" i="30"/>
  <c r="C1456" i="30"/>
  <c r="C1457" i="30"/>
  <c r="C1458" i="30"/>
  <c r="C1459" i="30"/>
  <c r="C1460" i="30"/>
  <c r="C1461" i="30"/>
  <c r="C1462" i="30"/>
  <c r="C1463" i="30"/>
  <c r="C1464" i="30"/>
  <c r="C1465" i="30"/>
  <c r="C1466" i="30"/>
  <c r="C1467" i="30"/>
  <c r="C1468" i="30"/>
  <c r="C1469" i="30"/>
  <c r="C1470" i="30"/>
  <c r="C1471" i="30"/>
  <c r="C1472" i="30"/>
  <c r="C1473" i="30"/>
  <c r="C1474" i="30"/>
  <c r="C1475" i="30"/>
  <c r="C1476" i="30"/>
  <c r="C1477" i="30"/>
  <c r="C1478" i="30"/>
  <c r="C1479" i="30"/>
  <c r="C1480" i="30"/>
  <c r="C1481" i="30"/>
  <c r="C1482" i="30"/>
  <c r="C1483" i="30"/>
  <c r="C1484" i="30"/>
  <c r="C1485" i="30"/>
  <c r="C1486" i="30"/>
  <c r="C1487" i="30"/>
  <c r="C1488" i="30"/>
  <c r="C1489" i="30"/>
  <c r="C1490" i="30"/>
  <c r="C1491" i="30"/>
  <c r="C1492" i="30"/>
  <c r="C1493" i="30"/>
  <c r="C1494" i="30"/>
  <c r="C1495" i="30"/>
  <c r="C1496" i="30"/>
  <c r="C1497" i="30"/>
  <c r="C1498" i="30"/>
  <c r="C1499" i="30"/>
  <c r="C1500" i="30"/>
  <c r="C1501" i="30"/>
  <c r="C1502" i="30"/>
  <c r="C1503" i="30"/>
  <c r="C1504" i="30"/>
  <c r="C1505" i="30"/>
  <c r="C1506" i="30"/>
  <c r="C1507" i="30"/>
  <c r="C1508" i="30"/>
  <c r="C1509" i="30"/>
  <c r="C1510" i="30"/>
  <c r="C1511" i="30"/>
  <c r="C1512" i="30"/>
  <c r="C1513" i="30"/>
  <c r="C1514" i="30"/>
  <c r="C1515" i="30"/>
  <c r="C1516" i="30"/>
  <c r="C1517" i="30"/>
  <c r="C1518" i="30"/>
  <c r="C1519" i="30"/>
  <c r="C1520" i="30"/>
  <c r="C1521" i="30"/>
  <c r="C1522" i="30"/>
  <c r="C1523" i="30"/>
  <c r="C1524" i="30"/>
  <c r="C1525" i="30"/>
  <c r="C1526" i="30"/>
  <c r="C1527" i="30"/>
  <c r="C1528" i="30"/>
  <c r="C1529" i="30"/>
  <c r="C1530" i="30"/>
  <c r="C1531" i="30"/>
  <c r="C1532" i="30"/>
  <c r="C1533" i="30"/>
  <c r="C1534" i="30"/>
  <c r="C1535" i="30"/>
  <c r="C1536" i="30"/>
  <c r="C1537" i="30"/>
  <c r="C1538" i="30"/>
  <c r="C1539" i="30"/>
  <c r="C1540" i="30"/>
  <c r="C1541" i="30"/>
  <c r="C1542" i="30"/>
  <c r="C1543" i="30"/>
  <c r="C1544" i="30"/>
  <c r="C1545" i="30"/>
  <c r="C1546" i="30"/>
  <c r="C1547" i="30"/>
  <c r="C1548" i="30"/>
  <c r="C1549" i="30"/>
  <c r="C1550" i="30"/>
  <c r="C1551" i="30"/>
  <c r="C1552" i="30"/>
  <c r="C1553" i="30"/>
  <c r="C1554" i="30"/>
  <c r="C1555" i="30"/>
  <c r="C1556" i="30"/>
  <c r="C1557" i="30"/>
  <c r="C1558" i="30"/>
  <c r="C1559" i="30"/>
  <c r="C1560" i="30"/>
  <c r="C1561" i="30"/>
  <c r="C1562" i="30"/>
  <c r="C1563" i="30"/>
  <c r="C1564" i="30"/>
  <c r="C1565" i="30"/>
  <c r="C1566" i="30"/>
  <c r="C1567" i="30"/>
  <c r="C1568" i="30"/>
  <c r="C1569" i="30"/>
  <c r="C1570" i="30"/>
  <c r="C1571" i="30"/>
  <c r="C1572" i="30"/>
  <c r="C1573" i="30"/>
  <c r="C1574" i="30"/>
  <c r="C1575" i="30"/>
  <c r="C1576" i="30"/>
  <c r="C1577" i="30"/>
  <c r="C1578" i="30"/>
  <c r="C1579" i="30"/>
  <c r="C1580" i="30"/>
  <c r="C1581" i="30"/>
  <c r="C1582" i="30"/>
  <c r="C1583" i="30"/>
  <c r="C1584" i="30"/>
  <c r="C1585" i="30"/>
  <c r="C1586" i="30"/>
  <c r="C1587" i="30"/>
  <c r="C1588" i="30"/>
  <c r="C1589" i="30"/>
  <c r="C1590" i="30"/>
  <c r="C1591" i="30"/>
  <c r="C1592" i="30"/>
  <c r="C1593" i="30"/>
  <c r="C1594" i="30"/>
  <c r="C1595" i="30"/>
  <c r="C1596" i="30"/>
  <c r="C1597" i="30"/>
  <c r="C1598" i="30"/>
  <c r="C1599" i="30"/>
  <c r="C1600" i="30"/>
  <c r="C1601" i="30"/>
  <c r="C1602" i="30"/>
  <c r="C1603" i="30"/>
  <c r="C1604" i="30"/>
  <c r="C1605" i="30"/>
  <c r="C1606" i="30"/>
  <c r="C1607" i="30"/>
  <c r="C1608" i="30"/>
  <c r="C1609" i="30"/>
  <c r="C1610" i="30"/>
  <c r="C1611" i="30"/>
  <c r="C1612" i="30"/>
  <c r="C1613" i="30"/>
  <c r="C1614" i="30"/>
  <c r="C1615" i="30"/>
  <c r="C1616" i="30"/>
  <c r="C1617" i="30"/>
  <c r="C1618" i="30"/>
  <c r="C1619" i="30"/>
  <c r="C1620" i="30"/>
  <c r="C1621" i="30"/>
  <c r="C1622" i="30"/>
  <c r="C1623" i="30"/>
  <c r="C1624" i="30"/>
  <c r="C1625" i="30"/>
  <c r="C1626" i="30"/>
  <c r="C1627" i="30"/>
  <c r="C1628" i="30"/>
  <c r="C1629" i="30"/>
  <c r="C1630" i="30"/>
  <c r="C1631" i="30"/>
  <c r="C1632" i="30"/>
  <c r="C1633" i="30"/>
  <c r="C1634" i="30"/>
  <c r="C1635" i="30"/>
  <c r="C1636" i="30"/>
  <c r="C1637" i="30"/>
  <c r="C1638" i="30"/>
  <c r="C1639" i="30"/>
  <c r="C1640" i="30"/>
  <c r="C1641" i="30"/>
  <c r="C1642" i="30"/>
  <c r="C1643" i="30"/>
  <c r="C1644" i="30"/>
  <c r="C1645" i="30"/>
  <c r="C1646" i="30"/>
  <c r="C1647" i="30"/>
  <c r="C1648" i="30"/>
  <c r="C1649" i="30"/>
  <c r="C1650" i="30"/>
  <c r="C1651" i="30"/>
  <c r="C1652" i="30"/>
  <c r="C1653" i="30"/>
  <c r="C1654" i="30"/>
  <c r="C1655" i="30"/>
  <c r="C1656" i="30"/>
  <c r="C1657" i="30"/>
  <c r="C1658" i="30"/>
  <c r="C1659" i="30"/>
  <c r="C1660" i="30"/>
  <c r="C1661" i="30"/>
  <c r="C1662" i="30"/>
  <c r="C1663" i="30"/>
  <c r="C1664" i="30"/>
  <c r="C1665" i="30"/>
  <c r="C1666" i="30"/>
  <c r="C1667" i="30"/>
  <c r="C1668" i="30"/>
  <c r="C1669" i="30"/>
  <c r="C1670" i="30"/>
  <c r="C1671" i="30"/>
  <c r="C1672" i="30"/>
  <c r="C1673" i="30"/>
  <c r="C1674" i="30"/>
  <c r="C1675" i="30"/>
  <c r="C1676" i="30"/>
  <c r="C1677" i="30"/>
  <c r="C1678" i="30"/>
  <c r="C1679" i="30"/>
  <c r="C1680" i="30"/>
  <c r="C1681" i="30"/>
  <c r="C1682" i="30"/>
  <c r="C1683" i="30"/>
  <c r="C1684" i="30"/>
  <c r="C1685" i="30"/>
  <c r="C1686" i="30"/>
  <c r="C1687" i="30"/>
  <c r="C1688" i="30"/>
  <c r="C1689" i="30"/>
  <c r="C1690" i="30"/>
  <c r="C1691" i="30"/>
  <c r="C1692" i="30"/>
  <c r="C1693" i="30"/>
  <c r="C1694" i="30"/>
  <c r="C1695" i="30"/>
  <c r="C1696" i="30"/>
  <c r="C1697" i="30"/>
  <c r="C1698" i="30"/>
  <c r="C1699" i="30"/>
  <c r="C1700" i="30"/>
  <c r="C1701" i="30"/>
  <c r="C1702" i="30"/>
  <c r="C1703" i="30"/>
  <c r="C1704" i="30"/>
  <c r="C1705" i="30"/>
  <c r="C1706" i="30"/>
  <c r="C1707" i="30"/>
  <c r="C1708" i="30"/>
  <c r="C1709" i="30"/>
  <c r="C1710" i="30"/>
  <c r="C1711" i="30"/>
  <c r="C1712" i="30"/>
  <c r="C1713" i="30"/>
  <c r="C1714" i="30"/>
  <c r="C1715" i="30"/>
  <c r="C1716" i="30"/>
  <c r="C1717" i="30"/>
  <c r="C1718" i="30"/>
  <c r="C1719" i="30"/>
  <c r="C1720" i="30"/>
  <c r="C1721" i="30"/>
  <c r="C1722" i="30"/>
  <c r="C1723" i="30"/>
  <c r="C1724" i="30"/>
  <c r="C1725" i="30"/>
  <c r="C1726" i="30"/>
  <c r="C1727" i="30"/>
  <c r="C1728" i="30"/>
  <c r="C1729" i="30"/>
  <c r="C1730" i="30"/>
  <c r="C1731" i="30"/>
  <c r="C1732" i="30"/>
  <c r="C1733" i="30"/>
  <c r="C1734" i="30"/>
  <c r="C1735" i="30"/>
  <c r="C1736" i="30"/>
  <c r="C1737" i="30"/>
  <c r="C1738" i="30"/>
  <c r="C1739" i="30"/>
  <c r="C1740" i="30"/>
  <c r="C1741" i="30"/>
  <c r="C1742" i="30"/>
  <c r="C1743" i="30"/>
  <c r="C1744" i="30"/>
  <c r="C1745" i="30"/>
  <c r="C1746" i="30"/>
  <c r="C1747" i="30"/>
  <c r="C1748" i="30"/>
  <c r="C1749" i="30"/>
  <c r="C1750" i="30"/>
  <c r="C1751" i="30"/>
  <c r="C1752" i="30"/>
  <c r="C1753" i="30"/>
  <c r="C1754" i="30"/>
  <c r="C1755" i="30"/>
  <c r="C1756" i="30"/>
  <c r="C1757" i="30"/>
  <c r="C1758" i="30"/>
  <c r="C1759" i="30"/>
  <c r="C1760" i="30"/>
  <c r="C1761" i="30"/>
  <c r="C1762" i="30"/>
  <c r="C1763" i="30"/>
  <c r="C1764" i="30"/>
  <c r="C1765" i="30"/>
  <c r="C1766" i="30"/>
  <c r="C1767" i="30"/>
  <c r="C1768" i="30"/>
  <c r="C1769" i="30"/>
  <c r="C1770" i="30"/>
  <c r="C1771" i="30"/>
  <c r="C1772" i="30"/>
  <c r="C1773" i="30"/>
  <c r="C1774" i="30"/>
  <c r="C1775" i="30"/>
  <c r="C1776" i="30"/>
  <c r="C1777" i="30"/>
  <c r="C1778" i="30"/>
  <c r="C1779" i="30"/>
  <c r="C1780" i="30"/>
  <c r="C1781" i="30"/>
  <c r="C1782" i="30"/>
  <c r="C1783" i="30"/>
  <c r="C1784" i="30"/>
  <c r="C1785" i="30"/>
  <c r="C1786" i="30"/>
  <c r="C1787" i="30"/>
  <c r="C1788" i="30"/>
  <c r="C1789" i="30"/>
  <c r="C1790" i="30"/>
  <c r="C1791" i="30"/>
  <c r="C1792" i="30"/>
  <c r="C1793" i="30"/>
  <c r="C1794" i="30"/>
  <c r="C1795" i="30"/>
  <c r="C1796" i="30"/>
  <c r="C1797" i="30"/>
  <c r="C1798" i="30"/>
  <c r="C1799" i="30"/>
  <c r="C1800" i="30"/>
  <c r="C1801" i="30"/>
  <c r="C1802" i="30"/>
  <c r="C1803" i="30"/>
  <c r="C1804" i="30"/>
  <c r="C1805" i="30"/>
  <c r="C1806" i="30"/>
  <c r="C1807" i="30"/>
  <c r="C1808" i="30"/>
  <c r="C1809" i="30"/>
  <c r="C1810" i="30"/>
  <c r="C1811" i="30"/>
  <c r="C1812" i="30"/>
  <c r="C1813" i="30"/>
  <c r="C1814" i="30"/>
  <c r="C1815" i="30"/>
  <c r="C1816" i="30"/>
  <c r="C1817" i="30"/>
  <c r="C1818" i="30"/>
  <c r="C1819" i="30"/>
  <c r="C1820" i="30"/>
  <c r="C1821" i="30"/>
  <c r="C1822" i="30"/>
  <c r="C1823" i="30"/>
  <c r="C1824" i="30"/>
  <c r="C1825" i="30"/>
  <c r="C1826" i="30"/>
  <c r="C1827" i="30"/>
  <c r="C1828" i="30"/>
  <c r="C1829" i="30"/>
  <c r="C1830" i="30"/>
  <c r="C1831" i="30"/>
  <c r="C1832" i="30"/>
  <c r="C1833" i="30"/>
  <c r="C1834" i="30"/>
  <c r="C1835" i="30"/>
  <c r="C1836" i="30"/>
  <c r="C1837" i="30"/>
  <c r="C1838" i="30"/>
  <c r="C1839" i="30"/>
  <c r="C1840" i="30"/>
  <c r="C1841" i="30"/>
  <c r="C1842" i="30"/>
  <c r="C1843" i="30"/>
  <c r="C1844" i="30"/>
  <c r="C1845" i="30"/>
  <c r="C1846" i="30"/>
  <c r="C1847" i="30"/>
  <c r="C1848" i="30"/>
  <c r="C1849" i="30"/>
  <c r="C1850" i="30"/>
  <c r="C199" i="30"/>
  <c r="C200" i="30"/>
  <c r="C201" i="30"/>
  <c r="C202" i="30"/>
  <c r="A736" i="30"/>
  <c r="B736" i="30"/>
  <c r="B737" i="30"/>
  <c r="A737" i="30" s="1"/>
  <c r="B738" i="30"/>
  <c r="A738" i="30" s="1"/>
  <c r="B739" i="30"/>
  <c r="A739" i="30" s="1"/>
  <c r="B740" i="30"/>
  <c r="B741" i="30" l="1"/>
  <c r="A740" i="30"/>
  <c r="B742" i="30" l="1"/>
  <c r="A741" i="30"/>
  <c r="A742" i="30" l="1"/>
  <c r="B743" i="30"/>
  <c r="B744" i="30" l="1"/>
  <c r="A743" i="30"/>
  <c r="A744" i="30" l="1"/>
  <c r="B745" i="30"/>
  <c r="B746" i="30" l="1"/>
  <c r="A745" i="30"/>
  <c r="A746" i="30" l="1"/>
  <c r="B747" i="30"/>
  <c r="B748" i="30" l="1"/>
  <c r="A747" i="30"/>
  <c r="A748" i="30" l="1"/>
  <c r="B749" i="30"/>
  <c r="A749" i="30" l="1"/>
  <c r="B750" i="30"/>
  <c r="A750" i="30" l="1"/>
  <c r="B751" i="30"/>
  <c r="A751" i="30" l="1"/>
  <c r="B752" i="30"/>
  <c r="B753" i="30" l="1"/>
  <c r="A752" i="30"/>
  <c r="B754" i="30" l="1"/>
  <c r="A753" i="30"/>
  <c r="A754" i="30" l="1"/>
  <c r="B755" i="30"/>
  <c r="B756" i="30" l="1"/>
  <c r="A755" i="30"/>
  <c r="A756" i="30" l="1"/>
  <c r="B757" i="30"/>
  <c r="B758" i="30" l="1"/>
  <c r="A757" i="30"/>
  <c r="A758" i="30" l="1"/>
  <c r="B759" i="30"/>
  <c r="B760" i="30" l="1"/>
  <c r="A759" i="30"/>
  <c r="A760" i="30" l="1"/>
  <c r="B761" i="30"/>
  <c r="A761" i="30" l="1"/>
  <c r="B762" i="30"/>
  <c r="A762" i="30" l="1"/>
  <c r="B763" i="30"/>
  <c r="A763" i="30" l="1"/>
  <c r="B764" i="30"/>
  <c r="B765" i="30" l="1"/>
  <c r="A764" i="30"/>
  <c r="B766" i="30" l="1"/>
  <c r="A765" i="30"/>
  <c r="A766" i="30" l="1"/>
  <c r="B767" i="30"/>
  <c r="B768" i="30" l="1"/>
  <c r="A767" i="30"/>
  <c r="A768" i="30" l="1"/>
  <c r="B769" i="30"/>
  <c r="B770" i="30" l="1"/>
  <c r="A769" i="30"/>
  <c r="A770" i="30" l="1"/>
  <c r="B771" i="30"/>
  <c r="B772" i="30" l="1"/>
  <c r="A771" i="30"/>
  <c r="A772" i="30" l="1"/>
  <c r="B773" i="30"/>
  <c r="A773" i="30" l="1"/>
  <c r="B774" i="30"/>
  <c r="A774" i="30" l="1"/>
  <c r="B775" i="30"/>
  <c r="A775" i="30" l="1"/>
  <c r="B776" i="30"/>
  <c r="B777" i="30" l="1"/>
  <c r="A776" i="30"/>
  <c r="B778" i="30" l="1"/>
  <c r="A777" i="30"/>
  <c r="A778" i="30" l="1"/>
  <c r="B779" i="30"/>
  <c r="B780" i="30" l="1"/>
  <c r="A779" i="30"/>
  <c r="A780" i="30" l="1"/>
  <c r="B781" i="30"/>
  <c r="B782" i="30" l="1"/>
  <c r="A781" i="30"/>
  <c r="A782" i="30" l="1"/>
  <c r="B783" i="30"/>
  <c r="B784" i="30" l="1"/>
  <c r="A783" i="30"/>
  <c r="A784" i="30" l="1"/>
  <c r="B785" i="30"/>
  <c r="A785" i="30" l="1"/>
  <c r="B786" i="30"/>
  <c r="A786" i="30" l="1"/>
  <c r="B787" i="30"/>
  <c r="A787" i="30" l="1"/>
  <c r="B788" i="30"/>
  <c r="B789" i="30" l="1"/>
  <c r="A788" i="30"/>
  <c r="B790" i="30" l="1"/>
  <c r="A789" i="30"/>
  <c r="A790" i="30" l="1"/>
  <c r="B791" i="30"/>
  <c r="B792" i="30" l="1"/>
  <c r="A791" i="30"/>
  <c r="A792" i="30" l="1"/>
  <c r="B793" i="30"/>
  <c r="B794" i="30" l="1"/>
  <c r="A793" i="30"/>
  <c r="A794" i="30" l="1"/>
  <c r="B795" i="30"/>
  <c r="B796" i="30" l="1"/>
  <c r="A795" i="30"/>
  <c r="A796" i="30" l="1"/>
  <c r="B797" i="30"/>
  <c r="A797" i="30" l="1"/>
  <c r="B798" i="30"/>
  <c r="B799" i="30" l="1"/>
  <c r="A798" i="30"/>
  <c r="B800" i="30" l="1"/>
  <c r="A799" i="30"/>
  <c r="B801" i="30" l="1"/>
  <c r="A800" i="30"/>
  <c r="B802" i="30" l="1"/>
  <c r="A801" i="30"/>
  <c r="A802" i="30" l="1"/>
  <c r="B803" i="30"/>
  <c r="B804" i="30" l="1"/>
  <c r="A803" i="30"/>
  <c r="A804" i="30" l="1"/>
  <c r="B805" i="30"/>
  <c r="B806" i="30" l="1"/>
  <c r="A805" i="30"/>
  <c r="A806" i="30" l="1"/>
  <c r="B807" i="30"/>
  <c r="B808" i="30" l="1"/>
  <c r="A807" i="30"/>
  <c r="A808" i="30" l="1"/>
  <c r="B809" i="30"/>
  <c r="A809" i="30" l="1"/>
  <c r="B810" i="30"/>
  <c r="A810" i="30" l="1"/>
  <c r="B811" i="30"/>
  <c r="A811" i="30" l="1"/>
  <c r="B812" i="30"/>
  <c r="B813" i="30" l="1"/>
  <c r="A812" i="30"/>
  <c r="B814" i="30" l="1"/>
  <c r="A813" i="30"/>
  <c r="A814" i="30" l="1"/>
  <c r="B815" i="30"/>
  <c r="B816" i="30" l="1"/>
  <c r="A815" i="30"/>
  <c r="A816" i="30" l="1"/>
  <c r="B817" i="30"/>
  <c r="B818" i="30" l="1"/>
  <c r="A817" i="30"/>
  <c r="A818" i="30" l="1"/>
  <c r="B819" i="30"/>
  <c r="B820" i="30" l="1"/>
  <c r="A819" i="30"/>
  <c r="A820" i="30" l="1"/>
  <c r="B821" i="30"/>
  <c r="A821" i="30" l="1"/>
  <c r="B822" i="30"/>
  <c r="A822" i="30" l="1"/>
  <c r="B823" i="30"/>
  <c r="A823" i="30" l="1"/>
  <c r="B824" i="30"/>
  <c r="B825" i="30" l="1"/>
  <c r="A824" i="30"/>
  <c r="B826" i="30" l="1"/>
  <c r="A825" i="30"/>
  <c r="A826" i="30" l="1"/>
  <c r="B827" i="30"/>
  <c r="B828" i="30" l="1"/>
  <c r="A827" i="30"/>
  <c r="A828" i="30" l="1"/>
  <c r="B829" i="30"/>
  <c r="B830" i="30" l="1"/>
  <c r="A829" i="30"/>
  <c r="A830" i="30" l="1"/>
  <c r="B831" i="30"/>
  <c r="B832" i="30" l="1"/>
  <c r="A831" i="30"/>
  <c r="A832" i="30" l="1"/>
  <c r="B833" i="30"/>
  <c r="A833" i="30" l="1"/>
  <c r="B834" i="30"/>
  <c r="A834" i="30" l="1"/>
  <c r="B835" i="30"/>
  <c r="B836" i="30" l="1"/>
  <c r="A835" i="30"/>
  <c r="B837" i="30" l="1"/>
  <c r="A836" i="30"/>
  <c r="A837" i="30" l="1"/>
  <c r="B838" i="30"/>
  <c r="A838" i="30" l="1"/>
  <c r="B839" i="30"/>
  <c r="B840" i="30" l="1"/>
  <c r="A839" i="30"/>
  <c r="A840" i="30" l="1"/>
  <c r="B841" i="30"/>
  <c r="A841" i="30" l="1"/>
  <c r="B842" i="30"/>
  <c r="A842" i="30" l="1"/>
  <c r="B843" i="30"/>
  <c r="B844" i="30" l="1"/>
  <c r="A843" i="30"/>
  <c r="A844" i="30" l="1"/>
  <c r="B845" i="30"/>
  <c r="A845" i="30" l="1"/>
  <c r="B846" i="30"/>
  <c r="A846" i="30" l="1"/>
  <c r="B847" i="30"/>
  <c r="B848" i="30" l="1"/>
  <c r="A847" i="30"/>
  <c r="B849" i="30" l="1"/>
  <c r="A848" i="30"/>
  <c r="A849" i="30" l="1"/>
  <c r="B850" i="30"/>
  <c r="A850" i="30" l="1"/>
  <c r="B851" i="30"/>
  <c r="B852" i="30" l="1"/>
  <c r="A851" i="30"/>
  <c r="A852" i="30" l="1"/>
  <c r="B853" i="30"/>
  <c r="A853" i="30" l="1"/>
  <c r="B854" i="30"/>
  <c r="A854" i="30" l="1"/>
  <c r="B855" i="30"/>
  <c r="B856" i="30" l="1"/>
  <c r="A855" i="30"/>
  <c r="A856" i="30" l="1"/>
  <c r="B857" i="30"/>
  <c r="A857" i="30" l="1"/>
  <c r="B858" i="30"/>
  <c r="A858" i="30" l="1"/>
  <c r="B859" i="30"/>
  <c r="A859" i="30" l="1"/>
  <c r="B860" i="30"/>
  <c r="B861" i="30" l="1"/>
  <c r="A860" i="30"/>
  <c r="B862" i="30" l="1"/>
  <c r="A861" i="30"/>
  <c r="A862" i="30" l="1"/>
  <c r="B863" i="30"/>
  <c r="B864" i="30" l="1"/>
  <c r="A863" i="30"/>
  <c r="A864" i="30" l="1"/>
  <c r="B865" i="30"/>
  <c r="B866" i="30" l="1"/>
  <c r="A865" i="30"/>
  <c r="A866" i="30" l="1"/>
  <c r="B867" i="30"/>
  <c r="B868" i="30" l="1"/>
  <c r="A867" i="30"/>
  <c r="A868" i="30" l="1"/>
  <c r="B869" i="30"/>
  <c r="A869" i="30" l="1"/>
  <c r="B870" i="30"/>
  <c r="A870" i="30" l="1"/>
  <c r="B871" i="30"/>
  <c r="A3" i="16"/>
  <c r="B59" i="16"/>
  <c r="L71" i="16" s="1"/>
  <c r="L66" i="16" l="1"/>
  <c r="L74" i="16"/>
  <c r="A56" i="16"/>
  <c r="L75" i="16" s="1"/>
  <c r="L67" i="16"/>
  <c r="L73" i="16"/>
  <c r="L68" i="16"/>
  <c r="L72" i="16"/>
  <c r="A871" i="30"/>
  <c r="B872" i="30"/>
  <c r="B112" i="16"/>
  <c r="L69" i="16"/>
  <c r="L70" i="16"/>
  <c r="B873" i="30" l="1"/>
  <c r="A872" i="30"/>
  <c r="B165" i="16"/>
  <c r="A109" i="16"/>
  <c r="L128" i="16" s="1"/>
  <c r="L126" i="16"/>
  <c r="L125" i="16"/>
  <c r="L124" i="16"/>
  <c r="L122" i="16"/>
  <c r="L121" i="16"/>
  <c r="L120" i="16"/>
  <c r="L127" i="16"/>
  <c r="L119" i="16"/>
  <c r="L123" i="16"/>
  <c r="A873" i="30" l="1"/>
  <c r="B874" i="30"/>
  <c r="B218" i="16"/>
  <c r="L180" i="16"/>
  <c r="L178" i="16"/>
  <c r="L179" i="16"/>
  <c r="L177" i="16"/>
  <c r="L176" i="16"/>
  <c r="L175" i="16"/>
  <c r="L174" i="16"/>
  <c r="L173" i="16"/>
  <c r="L172" i="16"/>
  <c r="A162" i="16"/>
  <c r="L181" i="16" s="1"/>
  <c r="A874" i="30" l="1"/>
  <c r="B875" i="30"/>
  <c r="L226" i="16"/>
  <c r="L225" i="16"/>
  <c r="A215" i="16"/>
  <c r="L234" i="16" s="1"/>
  <c r="L228" i="16"/>
  <c r="L227" i="16"/>
  <c r="L233" i="16"/>
  <c r="L230" i="16"/>
  <c r="B271" i="16"/>
  <c r="L232" i="16"/>
  <c r="L231" i="16"/>
  <c r="L229" i="16"/>
  <c r="B876" i="30" l="1"/>
  <c r="A875" i="30"/>
  <c r="L285" i="16"/>
  <c r="L286" i="16"/>
  <c r="L284" i="16"/>
  <c r="L283" i="16"/>
  <c r="L280" i="16"/>
  <c r="A268" i="16"/>
  <c r="L287" i="16" s="1"/>
  <c r="B324" i="16"/>
  <c r="L282" i="16"/>
  <c r="L281" i="16"/>
  <c r="L279" i="16"/>
  <c r="L278" i="16"/>
  <c r="A876" i="30" l="1"/>
  <c r="B877" i="30"/>
  <c r="L334" i="16"/>
  <c r="L333" i="16"/>
  <c r="L332" i="16"/>
  <c r="L331" i="16"/>
  <c r="A321" i="16"/>
  <c r="L340" i="16" s="1"/>
  <c r="L339" i="16"/>
  <c r="L336" i="16"/>
  <c r="L335" i="16"/>
  <c r="L338" i="16"/>
  <c r="L337" i="16"/>
  <c r="B377" i="16"/>
  <c r="B5" i="16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C26" i="29" a="1"/>
  <c r="L20" i="29" a="1"/>
  <c r="D20" i="29" a="1"/>
  <c r="C21" i="29" a="1"/>
  <c r="C30" i="29" a="1"/>
  <c r="C20" i="29" a="1"/>
  <c r="B878" i="30" l="1"/>
  <c r="A877" i="30"/>
  <c r="L392" i="16"/>
  <c r="L386" i="16"/>
  <c r="B430" i="16"/>
  <c r="L391" i="16"/>
  <c r="L388" i="16"/>
  <c r="L385" i="16"/>
  <c r="A374" i="16"/>
  <c r="L393" i="16" s="1"/>
  <c r="L387" i="16"/>
  <c r="L384" i="16"/>
  <c r="L390" i="16"/>
  <c r="L389" i="16"/>
  <c r="D20" i="29"/>
  <c r="L58" i="16" s="1"/>
  <c r="C20" i="29"/>
  <c r="C30" i="29"/>
  <c r="C26" i="29"/>
  <c r="C21" i="29"/>
  <c r="L20" i="29"/>
  <c r="L429" i="16" s="1"/>
  <c r="N21" i="29" a="1"/>
  <c r="M23" i="29" a="1"/>
  <c r="K26" i="29" a="1"/>
  <c r="L29" i="29" a="1"/>
  <c r="H27" i="29" a="1"/>
  <c r="J21" i="29" a="1"/>
  <c r="H21" i="29" a="1"/>
  <c r="O30" i="29" a="1"/>
  <c r="L28" i="29" a="1"/>
  <c r="K27" i="29" a="1"/>
  <c r="O27" i="29" a="1"/>
  <c r="J24" i="29" a="1"/>
  <c r="D22" i="29" a="1"/>
  <c r="G22" i="29" a="1"/>
  <c r="I27" i="29" a="1"/>
  <c r="L24" i="29" a="1"/>
  <c r="I24" i="29" a="1"/>
  <c r="O25" i="29" a="1"/>
  <c r="E22" i="29" a="1"/>
  <c r="L25" i="29" a="1"/>
  <c r="N27" i="29" a="1"/>
  <c r="H30" i="29" a="1"/>
  <c r="E28" i="29" a="1"/>
  <c r="E29" i="29" a="1"/>
  <c r="C25" i="29" a="1"/>
  <c r="J27" i="29" a="1"/>
  <c r="G20" i="29" a="1"/>
  <c r="G23" i="29" a="1"/>
  <c r="D30" i="29" a="1"/>
  <c r="F20" i="29" a="1"/>
  <c r="G25" i="29" a="1"/>
  <c r="I30" i="29" a="1"/>
  <c r="D29" i="29" a="1"/>
  <c r="O28" i="29" a="1"/>
  <c r="M28" i="29" a="1"/>
  <c r="H20" i="29" a="1"/>
  <c r="N24" i="29" a="1"/>
  <c r="J26" i="29" a="1"/>
  <c r="M26" i="29" a="1"/>
  <c r="N29" i="29" a="1"/>
  <c r="D21" i="29" a="1"/>
  <c r="K30" i="29" a="1"/>
  <c r="O20" i="29" a="1"/>
  <c r="F24" i="29" a="1"/>
  <c r="G27" i="29" a="1"/>
  <c r="K29" i="29" a="1"/>
  <c r="F25" i="29" a="1"/>
  <c r="G29" i="29" a="1"/>
  <c r="J28" i="29" a="1"/>
  <c r="O22" i="29" a="1"/>
  <c r="M27" i="29" a="1"/>
  <c r="F26" i="29" a="1"/>
  <c r="E24" i="29" a="1"/>
  <c r="N28" i="29" a="1"/>
  <c r="E25" i="29" a="1"/>
  <c r="D28" i="29" a="1"/>
  <c r="H28" i="29" a="1"/>
  <c r="J20" i="29" a="1"/>
  <c r="C28" i="29" a="1"/>
  <c r="M29" i="29" a="1"/>
  <c r="J29" i="29" a="1"/>
  <c r="M20" i="29" a="1"/>
  <c r="F23" i="29" a="1"/>
  <c r="H23" i="29" a="1"/>
  <c r="K21" i="29" a="1"/>
  <c r="L30" i="29" a="1"/>
  <c r="C27" i="29" a="1"/>
  <c r="O23" i="29" a="1"/>
  <c r="I26" i="29" a="1"/>
  <c r="F27" i="29" a="1"/>
  <c r="M22" i="29" a="1"/>
  <c r="O29" i="29" a="1"/>
  <c r="M30" i="29" a="1"/>
  <c r="H24" i="29" a="1"/>
  <c r="I25" i="29" a="1"/>
  <c r="H26" i="29" a="1"/>
  <c r="L22" i="29" a="1"/>
  <c r="I20" i="29" a="1"/>
  <c r="E20" i="29" a="1"/>
  <c r="I23" i="29" a="1"/>
  <c r="F21" i="29" a="1"/>
  <c r="G26" i="29" a="1"/>
  <c r="L26" i="29" a="1"/>
  <c r="M21" i="29" a="1"/>
  <c r="D25" i="29" a="1"/>
  <c r="I29" i="29" a="1"/>
  <c r="E21" i="29" a="1"/>
  <c r="N25" i="29" a="1"/>
  <c r="E30" i="29" a="1"/>
  <c r="N26" i="29" a="1"/>
  <c r="J25" i="29" a="1"/>
  <c r="D23" i="29" a="1"/>
  <c r="D26" i="29" a="1"/>
  <c r="K28" i="29" a="1"/>
  <c r="M25" i="29" a="1"/>
  <c r="I22" i="29" a="1"/>
  <c r="E23" i="29" a="1"/>
  <c r="I21" i="29" a="1"/>
  <c r="J22" i="29" a="1"/>
  <c r="L23" i="29" a="1"/>
  <c r="H29" i="29" a="1"/>
  <c r="J30" i="29" a="1"/>
  <c r="K22" i="29" a="1"/>
  <c r="N30" i="29" a="1"/>
  <c r="J23" i="29" a="1"/>
  <c r="H25" i="29" a="1"/>
  <c r="K24" i="29" a="1"/>
  <c r="K25" i="29" a="1"/>
  <c r="D24" i="29" a="1"/>
  <c r="N20" i="29" a="1"/>
  <c r="K20" i="29" a="1"/>
  <c r="I28" i="29" a="1"/>
  <c r="D27" i="29" a="1"/>
  <c r="C23" i="29" a="1"/>
  <c r="L21" i="29" a="1"/>
  <c r="E27" i="29" a="1"/>
  <c r="O21" i="29" a="1"/>
  <c r="O26" i="29" a="1"/>
  <c r="G28" i="29" a="1"/>
  <c r="G30" i="29" a="1"/>
  <c r="L27" i="29" a="1"/>
  <c r="F28" i="29" a="1"/>
  <c r="N23" i="29" a="1"/>
  <c r="G24" i="29" a="1"/>
  <c r="F29" i="29" a="1"/>
  <c r="F30" i="29" a="1"/>
  <c r="C22" i="29" a="1"/>
  <c r="G21" i="29" a="1"/>
  <c r="C29" i="29" a="1"/>
  <c r="K23" i="29" a="1"/>
  <c r="E26" i="29" a="1"/>
  <c r="N22" i="29" a="1"/>
  <c r="H22" i="29" a="1"/>
  <c r="C24" i="29" a="1"/>
  <c r="M24" i="29" a="1"/>
  <c r="O24" i="29" a="1"/>
  <c r="F22" i="29" a="1"/>
  <c r="A878" i="30" l="1"/>
  <c r="B879" i="30"/>
  <c r="L444" i="16"/>
  <c r="L443" i="16"/>
  <c r="L440" i="16"/>
  <c r="L442" i="16"/>
  <c r="L441" i="16"/>
  <c r="A427" i="16"/>
  <c r="L446" i="16" s="1"/>
  <c r="L439" i="16"/>
  <c r="L438" i="16"/>
  <c r="L437" i="16"/>
  <c r="L445" i="16"/>
  <c r="B483" i="16"/>
  <c r="O20" i="29"/>
  <c r="H20" i="29"/>
  <c r="L217" i="16" s="1"/>
  <c r="L24" i="29"/>
  <c r="L432" i="16" s="1"/>
  <c r="G29" i="29"/>
  <c r="H28" i="29"/>
  <c r="L223" i="16" s="1"/>
  <c r="I27" i="29"/>
  <c r="L275" i="16" s="1"/>
  <c r="J26" i="29"/>
  <c r="L327" i="16" s="1"/>
  <c r="J25" i="29"/>
  <c r="K24" i="29"/>
  <c r="L379" i="16" s="1"/>
  <c r="L23" i="29"/>
  <c r="L431" i="16" s="1"/>
  <c r="M22" i="29"/>
  <c r="N21" i="29"/>
  <c r="N20" i="29"/>
  <c r="D27" i="29"/>
  <c r="L63" i="16" s="1"/>
  <c r="H29" i="29"/>
  <c r="L224" i="16" s="1"/>
  <c r="L22" i="29"/>
  <c r="G23" i="29"/>
  <c r="K25" i="29"/>
  <c r="H27" i="29"/>
  <c r="L222" i="16" s="1"/>
  <c r="K23" i="29"/>
  <c r="L378" i="16" s="1"/>
  <c r="M21" i="29"/>
  <c r="M20" i="29"/>
  <c r="L482" i="16" s="1"/>
  <c r="I21" i="29"/>
  <c r="L271" i="16" s="1"/>
  <c r="G30" i="29"/>
  <c r="G28" i="29"/>
  <c r="E30" i="29"/>
  <c r="L129" i="16" s="1"/>
  <c r="E29" i="29"/>
  <c r="L118" i="16" s="1"/>
  <c r="F28" i="29"/>
  <c r="L170" i="16" s="1"/>
  <c r="G27" i="29"/>
  <c r="H26" i="29"/>
  <c r="L221" i="16" s="1"/>
  <c r="H25" i="29"/>
  <c r="I24" i="29"/>
  <c r="L273" i="16" s="1"/>
  <c r="J23" i="29"/>
  <c r="L325" i="16" s="1"/>
  <c r="K22" i="29"/>
  <c r="L21" i="29"/>
  <c r="L430" i="16" s="1"/>
  <c r="K20" i="29"/>
  <c r="L376" i="16" s="1"/>
  <c r="M23" i="29"/>
  <c r="E25" i="29"/>
  <c r="K26" i="29"/>
  <c r="L380" i="16" s="1"/>
  <c r="I26" i="29"/>
  <c r="L274" i="16" s="1"/>
  <c r="J20" i="29"/>
  <c r="L323" i="16" s="1"/>
  <c r="H22" i="29"/>
  <c r="I28" i="29"/>
  <c r="L276" i="16" s="1"/>
  <c r="F30" i="29"/>
  <c r="L182" i="16" s="1"/>
  <c r="J24" i="29"/>
  <c r="L326" i="16" s="1"/>
  <c r="D29" i="29"/>
  <c r="L65" i="16" s="1"/>
  <c r="F27" i="29"/>
  <c r="L169" i="16" s="1"/>
  <c r="G26" i="29"/>
  <c r="G25" i="29"/>
  <c r="H24" i="29"/>
  <c r="L220" i="16" s="1"/>
  <c r="I23" i="29"/>
  <c r="L272" i="16" s="1"/>
  <c r="J22" i="29"/>
  <c r="K21" i="29"/>
  <c r="L377" i="16" s="1"/>
  <c r="O28" i="29"/>
  <c r="J27" i="29"/>
  <c r="L328" i="16" s="1"/>
  <c r="F29" i="29"/>
  <c r="L171" i="16" s="1"/>
  <c r="I25" i="29"/>
  <c r="D30" i="29"/>
  <c r="L76" i="16" s="1"/>
  <c r="E28" i="29"/>
  <c r="L117" i="16" s="1"/>
  <c r="O30" i="29"/>
  <c r="O29" i="29"/>
  <c r="C29" i="29"/>
  <c r="D28" i="29"/>
  <c r="L64" i="16" s="1"/>
  <c r="E27" i="29"/>
  <c r="L116" i="16" s="1"/>
  <c r="F26" i="29"/>
  <c r="L168" i="16" s="1"/>
  <c r="F25" i="29"/>
  <c r="G24" i="29"/>
  <c r="H23" i="29"/>
  <c r="L219" i="16" s="1"/>
  <c r="I22" i="29"/>
  <c r="J21" i="29"/>
  <c r="L324" i="16" s="1"/>
  <c r="I20" i="29"/>
  <c r="L270" i="16" s="1"/>
  <c r="G20" i="29"/>
  <c r="C28" i="29"/>
  <c r="O27" i="29"/>
  <c r="D25" i="29"/>
  <c r="L30" i="29"/>
  <c r="L447" i="16" s="1"/>
  <c r="O26" i="29"/>
  <c r="E23" i="29"/>
  <c r="L113" i="16" s="1"/>
  <c r="K29" i="29"/>
  <c r="L383" i="16" s="1"/>
  <c r="N25" i="29"/>
  <c r="E22" i="29"/>
  <c r="F21" i="29"/>
  <c r="L165" i="16" s="1"/>
  <c r="E20" i="29"/>
  <c r="L111" i="16" s="1"/>
  <c r="N29" i="29"/>
  <c r="C27" i="29"/>
  <c r="F23" i="29"/>
  <c r="L166" i="16" s="1"/>
  <c r="L29" i="29"/>
  <c r="L436" i="16" s="1"/>
  <c r="O25" i="29"/>
  <c r="F22" i="29"/>
  <c r="K30" i="29"/>
  <c r="L394" i="16" s="1"/>
  <c r="N26" i="29"/>
  <c r="D23" i="29"/>
  <c r="L60" i="16" s="1"/>
  <c r="J30" i="29"/>
  <c r="L341" i="16" s="1"/>
  <c r="K28" i="29"/>
  <c r="L382" i="16" s="1"/>
  <c r="L27" i="29"/>
  <c r="L434" i="16" s="1"/>
  <c r="M26" i="29"/>
  <c r="L486" i="16" s="1"/>
  <c r="M25" i="29"/>
  <c r="N24" i="29"/>
  <c r="O23" i="29"/>
  <c r="C23" i="29"/>
  <c r="E21" i="29"/>
  <c r="L112" i="16" s="1"/>
  <c r="F24" i="29"/>
  <c r="L167" i="16" s="1"/>
  <c r="N28" i="29"/>
  <c r="E24" i="29"/>
  <c r="L114" i="16" s="1"/>
  <c r="N27" i="29"/>
  <c r="D24" i="29"/>
  <c r="L61" i="16" s="1"/>
  <c r="G21" i="29"/>
  <c r="L28" i="29"/>
  <c r="L435" i="16" s="1"/>
  <c r="O24" i="29"/>
  <c r="D22" i="29"/>
  <c r="N30" i="29"/>
  <c r="M30" i="29"/>
  <c r="D26" i="29"/>
  <c r="L62" i="16" s="1"/>
  <c r="G22" i="29"/>
  <c r="M28" i="29"/>
  <c r="C25" i="29"/>
  <c r="F20" i="29"/>
  <c r="L164" i="16" s="1"/>
  <c r="M27" i="29"/>
  <c r="L487" i="16" s="1"/>
  <c r="C24" i="29"/>
  <c r="J29" i="29"/>
  <c r="L330" i="16" s="1"/>
  <c r="I30" i="29"/>
  <c r="L288" i="16" s="1"/>
  <c r="I29" i="29"/>
  <c r="L277" i="16" s="1"/>
  <c r="J28" i="29"/>
  <c r="L329" i="16" s="1"/>
  <c r="K27" i="29"/>
  <c r="L381" i="16" s="1"/>
  <c r="L26" i="29"/>
  <c r="L433" i="16" s="1"/>
  <c r="L25" i="29"/>
  <c r="M24" i="29"/>
  <c r="N23" i="29"/>
  <c r="O22" i="29"/>
  <c r="C22" i="29"/>
  <c r="D21" i="29"/>
  <c r="L59" i="16" s="1"/>
  <c r="E26" i="29"/>
  <c r="L115" i="16" s="1"/>
  <c r="M29" i="29"/>
  <c r="H21" i="29"/>
  <c r="L218" i="16" s="1"/>
  <c r="H30" i="29"/>
  <c r="L235" i="16" s="1"/>
  <c r="N22" i="29"/>
  <c r="O21" i="29"/>
  <c r="D643" i="30"/>
  <c r="A4" i="35"/>
  <c r="A5" i="35" s="1"/>
  <c r="A3" i="35"/>
  <c r="B2" i="35"/>
  <c r="B3" i="35"/>
  <c r="B4" i="35"/>
  <c r="D51" i="2"/>
  <c r="D52" i="2"/>
  <c r="D53" i="2"/>
  <c r="D54" i="2"/>
  <c r="D46" i="2"/>
  <c r="D47" i="2"/>
  <c r="D48" i="2"/>
  <c r="D49" i="2"/>
  <c r="D50" i="2"/>
  <c r="D13" i="2"/>
  <c r="F34" i="2"/>
  <c r="F35" i="2"/>
  <c r="F37" i="2"/>
  <c r="L483" i="16" l="1"/>
  <c r="L485" i="16"/>
  <c r="L489" i="16"/>
  <c r="L484" i="16"/>
  <c r="B880" i="30"/>
  <c r="A879" i="30"/>
  <c r="L494" i="16"/>
  <c r="L493" i="16"/>
  <c r="L496" i="16"/>
  <c r="L495" i="16"/>
  <c r="A480" i="16"/>
  <c r="L499" i="16" s="1"/>
  <c r="B536" i="16"/>
  <c r="L491" i="16"/>
  <c r="L490" i="16"/>
  <c r="L498" i="16"/>
  <c r="L497" i="16"/>
  <c r="L492" i="16"/>
  <c r="L537" i="16"/>
  <c r="L542" i="16"/>
  <c r="L536" i="16"/>
  <c r="L500" i="16"/>
  <c r="L541" i="16"/>
  <c r="L488" i="16"/>
  <c r="A6" i="35"/>
  <c r="B6" i="35" s="1"/>
  <c r="B5" i="35"/>
  <c r="A7" i="35"/>
  <c r="F30" i="2"/>
  <c r="F18" i="2"/>
  <c r="F8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A880" i="30" l="1"/>
  <c r="B881" i="30"/>
  <c r="A533" i="16"/>
  <c r="L552" i="16" s="1"/>
  <c r="L551" i="16"/>
  <c r="L550" i="16"/>
  <c r="L548" i="16"/>
  <c r="L543" i="16"/>
  <c r="L549" i="16"/>
  <c r="L545" i="16"/>
  <c r="L547" i="16"/>
  <c r="L544" i="16"/>
  <c r="L546" i="16"/>
  <c r="B589" i="16"/>
  <c r="L540" i="16"/>
  <c r="L535" i="16"/>
  <c r="L538" i="16"/>
  <c r="L539" i="16"/>
  <c r="L553" i="16"/>
  <c r="A8" i="35"/>
  <c r="B7" i="35"/>
  <c r="F10" i="2"/>
  <c r="A881" i="30" l="1"/>
  <c r="B882" i="30"/>
  <c r="L597" i="16"/>
  <c r="L596" i="16"/>
  <c r="L599" i="16"/>
  <c r="L602" i="16"/>
  <c r="L601" i="16"/>
  <c r="L604" i="16"/>
  <c r="L598" i="16"/>
  <c r="L603" i="16"/>
  <c r="L600" i="16"/>
  <c r="B642" i="16"/>
  <c r="A586" i="16"/>
  <c r="L605" i="16" s="1"/>
  <c r="A9" i="35"/>
  <c r="B8" i="35"/>
  <c r="B883" i="30" l="1"/>
  <c r="A882" i="30"/>
  <c r="L651" i="16"/>
  <c r="L652" i="16"/>
  <c r="L657" i="16"/>
  <c r="L655" i="16"/>
  <c r="L650" i="16"/>
  <c r="L649" i="16"/>
  <c r="L656" i="16"/>
  <c r="L654" i="16"/>
  <c r="L653" i="16"/>
  <c r="A639" i="16"/>
  <c r="L658" i="16" s="1"/>
  <c r="B695" i="16"/>
  <c r="A10" i="35"/>
  <c r="B9" i="35"/>
  <c r="B884" i="30" l="1"/>
  <c r="A883" i="30"/>
  <c r="L707" i="16"/>
  <c r="L706" i="16"/>
  <c r="L703" i="16"/>
  <c r="L705" i="16"/>
  <c r="L704" i="16"/>
  <c r="L702" i="16"/>
  <c r="L708" i="16"/>
  <c r="L710" i="16"/>
  <c r="L709" i="16"/>
  <c r="A692" i="16"/>
  <c r="L711" i="16" s="1"/>
  <c r="B748" i="16"/>
  <c r="B10" i="35"/>
  <c r="A11" i="35"/>
  <c r="B885" i="30" l="1"/>
  <c r="A884" i="30"/>
  <c r="L759" i="16"/>
  <c r="L756" i="16"/>
  <c r="L760" i="16"/>
  <c r="L757" i="16"/>
  <c r="L763" i="16"/>
  <c r="L761" i="16"/>
  <c r="L762" i="16"/>
  <c r="L758" i="16"/>
  <c r="L755" i="16"/>
  <c r="B801" i="16"/>
  <c r="A745" i="16"/>
  <c r="L764" i="16" s="1"/>
  <c r="A12" i="35"/>
  <c r="B11" i="35"/>
  <c r="A885" i="30" l="1"/>
  <c r="B886" i="30"/>
  <c r="A798" i="16"/>
  <c r="L817" i="16" s="1"/>
  <c r="L816" i="16"/>
  <c r="L815" i="16"/>
  <c r="L814" i="16"/>
  <c r="L813" i="16"/>
  <c r="L812" i="16"/>
  <c r="L811" i="16"/>
  <c r="L810" i="16"/>
  <c r="B854" i="16"/>
  <c r="L809" i="16"/>
  <c r="L808" i="16"/>
  <c r="B12" i="35"/>
  <c r="A13" i="35"/>
  <c r="A886" i="30" l="1"/>
  <c r="B887" i="30"/>
  <c r="B907" i="16"/>
  <c r="L863" i="16"/>
  <c r="L867" i="16"/>
  <c r="L869" i="16"/>
  <c r="L868" i="16"/>
  <c r="L864" i="16"/>
  <c r="L862" i="16"/>
  <c r="L861" i="16"/>
  <c r="L866" i="16"/>
  <c r="L865" i="16"/>
  <c r="A851" i="16"/>
  <c r="L870" i="16" s="1"/>
  <c r="A14" i="35"/>
  <c r="B13" i="35"/>
  <c r="B888" i="30" l="1"/>
  <c r="A887" i="30"/>
  <c r="L915" i="16"/>
  <c r="L922" i="16"/>
  <c r="L921" i="16"/>
  <c r="L920" i="16"/>
  <c r="L917" i="16"/>
  <c r="L919" i="16"/>
  <c r="L918" i="16"/>
  <c r="L914" i="16"/>
  <c r="L916" i="16"/>
  <c r="B960" i="16"/>
  <c r="A904" i="16"/>
  <c r="L923" i="16" s="1"/>
  <c r="A15" i="35"/>
  <c r="B14" i="35"/>
  <c r="G26" i="5"/>
  <c r="A888" i="30" l="1"/>
  <c r="B889" i="30"/>
  <c r="L970" i="16"/>
  <c r="L969" i="16"/>
  <c r="L968" i="16"/>
  <c r="L967" i="16"/>
  <c r="L972" i="16"/>
  <c r="L975" i="16"/>
  <c r="L974" i="16"/>
  <c r="L971" i="16"/>
  <c r="L973" i="16"/>
  <c r="A957" i="16"/>
  <c r="L976" i="16" s="1"/>
  <c r="B1013" i="16"/>
  <c r="B15" i="35"/>
  <c r="A16" i="35"/>
  <c r="D45" i="2"/>
  <c r="D40" i="2"/>
  <c r="D41" i="2"/>
  <c r="D42" i="2"/>
  <c r="D43" i="2"/>
  <c r="D44" i="2"/>
  <c r="D11" i="2"/>
  <c r="D34" i="2"/>
  <c r="D35" i="2"/>
  <c r="D36" i="2"/>
  <c r="D37" i="2"/>
  <c r="D38" i="2"/>
  <c r="D39" i="2"/>
  <c r="D28" i="2"/>
  <c r="D29" i="2"/>
  <c r="D30" i="2"/>
  <c r="D31" i="2"/>
  <c r="D32" i="2"/>
  <c r="D33" i="2"/>
  <c r="D5" i="2"/>
  <c r="A889" i="30" l="1"/>
  <c r="B890" i="30"/>
  <c r="L1022" i="16"/>
  <c r="L1021" i="16"/>
  <c r="L1028" i="16"/>
  <c r="L1026" i="16"/>
  <c r="L1020" i="16"/>
  <c r="L1027" i="16"/>
  <c r="L1025" i="16"/>
  <c r="L1023" i="16"/>
  <c r="L1024" i="16"/>
  <c r="A1010" i="16"/>
  <c r="L1029" i="16" s="1"/>
  <c r="B1066" i="16"/>
  <c r="A17" i="35"/>
  <c r="B16" i="35"/>
  <c r="A890" i="30" l="1"/>
  <c r="B891" i="30"/>
  <c r="L1080" i="16"/>
  <c r="L1079" i="16"/>
  <c r="L1076" i="16"/>
  <c r="L1078" i="16"/>
  <c r="L1077" i="16"/>
  <c r="L1075" i="16"/>
  <c r="L1074" i="16"/>
  <c r="L1073" i="16"/>
  <c r="L1081" i="16"/>
  <c r="B1119" i="16"/>
  <c r="A1063" i="16"/>
  <c r="L1082" i="16" s="1"/>
  <c r="B17" i="35"/>
  <c r="A18" i="35"/>
  <c r="B892" i="30" l="1"/>
  <c r="A891" i="30"/>
  <c r="A1116" i="16"/>
  <c r="L1135" i="16" s="1"/>
  <c r="B1172" i="16"/>
  <c r="L1131" i="16"/>
  <c r="L1134" i="16"/>
  <c r="L1133" i="16"/>
  <c r="L1129" i="16"/>
  <c r="L1127" i="16"/>
  <c r="L1128" i="16"/>
  <c r="L1130" i="16"/>
  <c r="L1126" i="16"/>
  <c r="L1132" i="16"/>
  <c r="B18" i="35"/>
  <c r="A19" i="35"/>
  <c r="A892" i="30" l="1"/>
  <c r="B893" i="30"/>
  <c r="B1225" i="16"/>
  <c r="L1186" i="16"/>
  <c r="L1187" i="16"/>
  <c r="L1180" i="16"/>
  <c r="L1185" i="16"/>
  <c r="L1184" i="16"/>
  <c r="L1183" i="16"/>
  <c r="L1182" i="16"/>
  <c r="L1179" i="16"/>
  <c r="L1181" i="16"/>
  <c r="A1169" i="16"/>
  <c r="L1188" i="16" s="1"/>
  <c r="B19" i="35"/>
  <c r="A20" i="35"/>
  <c r="A893" i="30" l="1"/>
  <c r="B894" i="30"/>
  <c r="L1233" i="16"/>
  <c r="L1232" i="16"/>
  <c r="L1238" i="16"/>
  <c r="L1239" i="16"/>
  <c r="L1234" i="16"/>
  <c r="L1240" i="16"/>
  <c r="L1236" i="16"/>
  <c r="L1235" i="16"/>
  <c r="L1237" i="16"/>
  <c r="B1278" i="16"/>
  <c r="A1222" i="16"/>
  <c r="L1241" i="16" s="1"/>
  <c r="B20" i="35"/>
  <c r="A21" i="35"/>
  <c r="F17" i="2"/>
  <c r="B895" i="30" l="1"/>
  <c r="A894" i="30"/>
  <c r="L1290" i="16"/>
  <c r="L1288" i="16"/>
  <c r="L1293" i="16"/>
  <c r="L1291" i="16"/>
  <c r="L1285" i="16"/>
  <c r="L1292" i="16"/>
  <c r="L1289" i="16"/>
  <c r="L1287" i="16"/>
  <c r="L1286" i="16"/>
  <c r="B1331" i="16"/>
  <c r="A1275" i="16"/>
  <c r="L1294" i="16" s="1"/>
  <c r="A22" i="35"/>
  <c r="B21" i="35"/>
  <c r="B896" i="30" l="1"/>
  <c r="A895" i="30"/>
  <c r="L1343" i="16"/>
  <c r="L1342" i="16"/>
  <c r="L1339" i="16"/>
  <c r="L1341" i="16"/>
  <c r="L1340" i="16"/>
  <c r="L1344" i="16"/>
  <c r="L1338" i="16"/>
  <c r="L1346" i="16"/>
  <c r="L1345" i="16"/>
  <c r="A1328" i="16"/>
  <c r="L1347" i="16" s="1"/>
  <c r="B1384" i="16"/>
  <c r="B22" i="35"/>
  <c r="A23" i="35"/>
  <c r="B897" i="30" l="1"/>
  <c r="A896" i="30"/>
  <c r="L1399" i="16"/>
  <c r="L1394" i="16"/>
  <c r="L1397" i="16"/>
  <c r="L1396" i="16"/>
  <c r="L1392" i="16"/>
  <c r="L1395" i="16"/>
  <c r="L1391" i="16"/>
  <c r="L1398" i="16"/>
  <c r="L1393" i="16"/>
  <c r="B1437" i="16"/>
  <c r="A1381" i="16"/>
  <c r="L1400" i="16" s="1"/>
  <c r="B23" i="35"/>
  <c r="A24" i="35"/>
  <c r="F19" i="2"/>
  <c r="A897" i="30" l="1"/>
  <c r="B898" i="30"/>
  <c r="A1434" i="16"/>
  <c r="L1453" i="16" s="1"/>
  <c r="B1490" i="16"/>
  <c r="L1452" i="16"/>
  <c r="L1451" i="16"/>
  <c r="L1450" i="16"/>
  <c r="L1449" i="16"/>
  <c r="L1448" i="16"/>
  <c r="L1447" i="16"/>
  <c r="L1446" i="16"/>
  <c r="L1445" i="16"/>
  <c r="L1444" i="16"/>
  <c r="B24" i="35"/>
  <c r="A25" i="35"/>
  <c r="A898" i="30" l="1"/>
  <c r="B899" i="30"/>
  <c r="L1502" i="16"/>
  <c r="B1543" i="16"/>
  <c r="L1505" i="16"/>
  <c r="L1504" i="16"/>
  <c r="L1503" i="16"/>
  <c r="A1487" i="16"/>
  <c r="L1506" i="16" s="1"/>
  <c r="L1497" i="16"/>
  <c r="L1498" i="16"/>
  <c r="L1499" i="16"/>
  <c r="L1500" i="16"/>
  <c r="L1501" i="16"/>
  <c r="B25" i="35"/>
  <c r="A26" i="35"/>
  <c r="B900" i="30" l="1"/>
  <c r="A899" i="30"/>
  <c r="A1540" i="16"/>
  <c r="L1559" i="16" s="1"/>
  <c r="L1550" i="16"/>
  <c r="L1551" i="16"/>
  <c r="L1552" i="16"/>
  <c r="L1553" i="16"/>
  <c r="L1554" i="16"/>
  <c r="L1555" i="16"/>
  <c r="L1556" i="16"/>
  <c r="L1557" i="16"/>
  <c r="L1558" i="16"/>
  <c r="B1596" i="16"/>
  <c r="B26" i="35"/>
  <c r="A27" i="35"/>
  <c r="A900" i="30" l="1"/>
  <c r="B901" i="30"/>
  <c r="B1649" i="16"/>
  <c r="L1608" i="16"/>
  <c r="L1611" i="16"/>
  <c r="L1605" i="16"/>
  <c r="L1603" i="16"/>
  <c r="L1607" i="16"/>
  <c r="L1606" i="16"/>
  <c r="L1610" i="16"/>
  <c r="L1609" i="16"/>
  <c r="L1604" i="16"/>
  <c r="A1593" i="16"/>
  <c r="L1612" i="16" s="1"/>
  <c r="A28" i="35"/>
  <c r="B27" i="35"/>
  <c r="A901" i="30" l="1"/>
  <c r="B902" i="30"/>
  <c r="B1702" i="16"/>
  <c r="L1664" i="16"/>
  <c r="A1646" i="16"/>
  <c r="L1665" i="16" s="1"/>
  <c r="L1656" i="16"/>
  <c r="L1657" i="16"/>
  <c r="L1658" i="16"/>
  <c r="L1661" i="16"/>
  <c r="L1662" i="16"/>
  <c r="L1659" i="16"/>
  <c r="L1660" i="16"/>
  <c r="L1663" i="16"/>
  <c r="A29" i="35"/>
  <c r="B28" i="35"/>
  <c r="A902" i="30" l="1"/>
  <c r="B903" i="30"/>
  <c r="B1755" i="16"/>
  <c r="A1699" i="16"/>
  <c r="L1718" i="16" s="1"/>
  <c r="L1711" i="16"/>
  <c r="L1712" i="16"/>
  <c r="L1714" i="16"/>
  <c r="L1716" i="16"/>
  <c r="L1709" i="16"/>
  <c r="L1710" i="16"/>
  <c r="L1713" i="16"/>
  <c r="L1715" i="16"/>
  <c r="L1717" i="16"/>
  <c r="A30" i="35"/>
  <c r="B29" i="35"/>
  <c r="B904" i="30" l="1"/>
  <c r="A903" i="30"/>
  <c r="L1764" i="16"/>
  <c r="L1767" i="16"/>
  <c r="L1768" i="16"/>
  <c r="L1769" i="16"/>
  <c r="B1808" i="16"/>
  <c r="L1762" i="16"/>
  <c r="L1763" i="16"/>
  <c r="L1765" i="16"/>
  <c r="L1766" i="16"/>
  <c r="L1770" i="16"/>
  <c r="A1752" i="16"/>
  <c r="L1771" i="16" s="1"/>
  <c r="B30" i="35"/>
  <c r="A31" i="35"/>
  <c r="A904" i="30" l="1"/>
  <c r="B905" i="30"/>
  <c r="L1822" i="16"/>
  <c r="L1815" i="16"/>
  <c r="L1819" i="16"/>
  <c r="L1816" i="16"/>
  <c r="L1818" i="16"/>
  <c r="L1817" i="16"/>
  <c r="A1805" i="16"/>
  <c r="L1824" i="16" s="1"/>
  <c r="B1861" i="16"/>
  <c r="L1823" i="16"/>
  <c r="L1821" i="16"/>
  <c r="L1820" i="16"/>
  <c r="A32" i="35"/>
  <c r="B31" i="35"/>
  <c r="A905" i="30" l="1"/>
  <c r="B906" i="30"/>
  <c r="L1869" i="16"/>
  <c r="L1876" i="16"/>
  <c r="L1872" i="16"/>
  <c r="L1875" i="16"/>
  <c r="L1874" i="16"/>
  <c r="L1873" i="16"/>
  <c r="A1858" i="16"/>
  <c r="L1877" i="16" s="1"/>
  <c r="B1914" i="16"/>
  <c r="L1871" i="16"/>
  <c r="L1870" i="16"/>
  <c r="L1868" i="16"/>
  <c r="B32" i="35"/>
  <c r="A33" i="35"/>
  <c r="B907" i="30" l="1"/>
  <c r="A906" i="30"/>
  <c r="L1921" i="16"/>
  <c r="L1927" i="16"/>
  <c r="L1926" i="16"/>
  <c r="L1929" i="16"/>
  <c r="L1928" i="16"/>
  <c r="L1924" i="16"/>
  <c r="L1922" i="16"/>
  <c r="L1925" i="16"/>
  <c r="L1923" i="16"/>
  <c r="A1911" i="16"/>
  <c r="L1930" i="16" s="1"/>
  <c r="B1967" i="16"/>
  <c r="B33" i="35"/>
  <c r="A34" i="35"/>
  <c r="A907" i="30" l="1"/>
  <c r="B908" i="30"/>
  <c r="L1974" i="16"/>
  <c r="L1982" i="16"/>
  <c r="A1964" i="16"/>
  <c r="L1983" i="16" s="1"/>
  <c r="L1979" i="16"/>
  <c r="L1980" i="16"/>
  <c r="L1978" i="16"/>
  <c r="B2020" i="16"/>
  <c r="L1977" i="16"/>
  <c r="L1976" i="16"/>
  <c r="L1975" i="16"/>
  <c r="L1981" i="16"/>
  <c r="B34" i="35"/>
  <c r="A35" i="35"/>
  <c r="B909" i="30" l="1"/>
  <c r="A908" i="30"/>
  <c r="L2028" i="16"/>
  <c r="L2033" i="16"/>
  <c r="B2073" i="16"/>
  <c r="L2035" i="16"/>
  <c r="A2017" i="16"/>
  <c r="L2036" i="16" s="1"/>
  <c r="L2032" i="16"/>
  <c r="L2031" i="16"/>
  <c r="L2030" i="16"/>
  <c r="L2029" i="16"/>
  <c r="L2027" i="16"/>
  <c r="L2034" i="16"/>
  <c r="A36" i="35"/>
  <c r="B35" i="35"/>
  <c r="A909" i="30" l="1"/>
  <c r="B910" i="30"/>
  <c r="B2126" i="16"/>
  <c r="L2088" i="16"/>
  <c r="L2087" i="16"/>
  <c r="L2086" i="16"/>
  <c r="L2085" i="16"/>
  <c r="L2083" i="16"/>
  <c r="L2084" i="16"/>
  <c r="A2070" i="16"/>
  <c r="L2089" i="16" s="1"/>
  <c r="L2082" i="16"/>
  <c r="L2081" i="16"/>
  <c r="L2080" i="16"/>
  <c r="A37" i="35"/>
  <c r="B36" i="35"/>
  <c r="A910" i="30" l="1"/>
  <c r="B911" i="30"/>
  <c r="L2134" i="16"/>
  <c r="A2123" i="16"/>
  <c r="L2142" i="16" s="1"/>
  <c r="B2179" i="16"/>
  <c r="L2141" i="16"/>
  <c r="L2140" i="16"/>
  <c r="L2139" i="16"/>
  <c r="L2138" i="16"/>
  <c r="L2137" i="16"/>
  <c r="L2136" i="16"/>
  <c r="L2135" i="16"/>
  <c r="L2133" i="16"/>
  <c r="A38" i="35"/>
  <c r="B37" i="35"/>
  <c r="B912" i="30" l="1"/>
  <c r="A911" i="30"/>
  <c r="L2189" i="16"/>
  <c r="L2187" i="16"/>
  <c r="L2186" i="16"/>
  <c r="A2176" i="16"/>
  <c r="L2195" i="16" s="1"/>
  <c r="B2232" i="16"/>
  <c r="L2194" i="16"/>
  <c r="L2193" i="16"/>
  <c r="L2192" i="16"/>
  <c r="L2191" i="16"/>
  <c r="L2190" i="16"/>
  <c r="L2188" i="16"/>
  <c r="B38" i="35"/>
  <c r="A39" i="35"/>
  <c r="A912" i="30" l="1"/>
  <c r="B913" i="30"/>
  <c r="L2245" i="16"/>
  <c r="L2241" i="16"/>
  <c r="L2244" i="16"/>
  <c r="L2242" i="16"/>
  <c r="A2229" i="16"/>
  <c r="L2248" i="16" s="1"/>
  <c r="B2285" i="16"/>
  <c r="L2247" i="16"/>
  <c r="L2246" i="16"/>
  <c r="L2240" i="16"/>
  <c r="L2239" i="16"/>
  <c r="L2243" i="16"/>
  <c r="A40" i="35"/>
  <c r="B39" i="35"/>
  <c r="A913" i="30" l="1"/>
  <c r="B914" i="30"/>
  <c r="L2295" i="16"/>
  <c r="L2300" i="16"/>
  <c r="L2299" i="16"/>
  <c r="L2298" i="16"/>
  <c r="L2297" i="16"/>
  <c r="L2294" i="16"/>
  <c r="L2292" i="16"/>
  <c r="A2282" i="16"/>
  <c r="L2301" i="16" s="1"/>
  <c r="B2338" i="16"/>
  <c r="L2296" i="16"/>
  <c r="L2293" i="16"/>
  <c r="A41" i="35"/>
  <c r="B40" i="35"/>
  <c r="F24" i="2"/>
  <c r="A914" i="30" l="1"/>
  <c r="B915" i="30"/>
  <c r="L2351" i="16"/>
  <c r="L2349" i="16"/>
  <c r="L2353" i="16"/>
  <c r="L2352" i="16"/>
  <c r="L2346" i="16"/>
  <c r="L2347" i="16"/>
  <c r="L2348" i="16"/>
  <c r="L2345" i="16"/>
  <c r="A2335" i="16"/>
  <c r="L2354" i="16" s="1"/>
  <c r="L2350" i="16"/>
  <c r="B2391" i="16"/>
  <c r="A42" i="35"/>
  <c r="B41" i="35"/>
  <c r="C3" i="30"/>
  <c r="G14" i="5"/>
  <c r="G13" i="5"/>
  <c r="G12" i="5"/>
  <c r="G17" i="5"/>
  <c r="G16" i="5"/>
  <c r="G15" i="5"/>
  <c r="G9" i="5"/>
  <c r="G18" i="5"/>
  <c r="G19" i="5"/>
  <c r="G20" i="5"/>
  <c r="G21" i="5"/>
  <c r="G22" i="5"/>
  <c r="G23" i="5"/>
  <c r="G24" i="5"/>
  <c r="G25" i="5"/>
  <c r="G27" i="5"/>
  <c r="G28" i="5"/>
  <c r="G29" i="5"/>
  <c r="G30" i="5"/>
  <c r="G31" i="5"/>
  <c r="G32" i="5"/>
  <c r="G33" i="5"/>
  <c r="G34" i="5"/>
  <c r="G35" i="5"/>
  <c r="G10" i="5"/>
  <c r="B916" i="30" l="1"/>
  <c r="A915" i="30"/>
  <c r="L2406" i="16"/>
  <c r="L2405" i="16"/>
  <c r="L2404" i="16"/>
  <c r="A2388" i="16"/>
  <c r="L2407" i="16" s="1"/>
  <c r="B2444" i="16"/>
  <c r="L2400" i="16"/>
  <c r="L2399" i="16"/>
  <c r="L2398" i="16"/>
  <c r="L2401" i="16"/>
  <c r="L2403" i="16"/>
  <c r="L2402" i="16"/>
  <c r="A43" i="35"/>
  <c r="B42" i="35"/>
  <c r="G8" i="5"/>
  <c r="G7" i="5"/>
  <c r="G6" i="5"/>
  <c r="A916" i="30" l="1"/>
  <c r="B917" i="30"/>
  <c r="L2457" i="16"/>
  <c r="A2441" i="16"/>
  <c r="L2460" i="16" s="1"/>
  <c r="L2456" i="16"/>
  <c r="L2455" i="16"/>
  <c r="L2454" i="16"/>
  <c r="L2453" i="16"/>
  <c r="L2452" i="16"/>
  <c r="L2459" i="16"/>
  <c r="L2451" i="16"/>
  <c r="B2497" i="16"/>
  <c r="L2458" i="16"/>
  <c r="A44" i="35"/>
  <c r="B43" i="35"/>
  <c r="G11" i="5"/>
  <c r="L22" i="16"/>
  <c r="A917" i="30" l="1"/>
  <c r="B918" i="30"/>
  <c r="L2508" i="16"/>
  <c r="L2506" i="16"/>
  <c r="L2505" i="16"/>
  <c r="L2512" i="16"/>
  <c r="L2509" i="16"/>
  <c r="L2507" i="16"/>
  <c r="L2504" i="16"/>
  <c r="A2494" i="16"/>
  <c r="L2513" i="16" s="1"/>
  <c r="L2511" i="16"/>
  <c r="L2510" i="16"/>
  <c r="B2550" i="16"/>
  <c r="A45" i="35"/>
  <c r="B44" i="35"/>
  <c r="B919" i="30" l="1"/>
  <c r="A918" i="30"/>
  <c r="L2558" i="16"/>
  <c r="L2557" i="16"/>
  <c r="B2603" i="16"/>
  <c r="A2547" i="16"/>
  <c r="L2566" i="16" s="1"/>
  <c r="L2565" i="16"/>
  <c r="L2563" i="16"/>
  <c r="L2564" i="16"/>
  <c r="L2562" i="16"/>
  <c r="L2561" i="16"/>
  <c r="L2560" i="16"/>
  <c r="L2559" i="16"/>
  <c r="B45" i="35"/>
  <c r="A46" i="35"/>
  <c r="A919" i="30" l="1"/>
  <c r="B920" i="30"/>
  <c r="L2614" i="16"/>
  <c r="L2613" i="16"/>
  <c r="L2612" i="16"/>
  <c r="L2611" i="16"/>
  <c r="L2610" i="16"/>
  <c r="A2600" i="16"/>
  <c r="L2619" i="16" s="1"/>
  <c r="B2656" i="16"/>
  <c r="L2618" i="16"/>
  <c r="L2617" i="16"/>
  <c r="L2616" i="16"/>
  <c r="L2615" i="16"/>
  <c r="B46" i="35"/>
  <c r="A47" i="35"/>
  <c r="B921" i="30" l="1"/>
  <c r="A920" i="30"/>
  <c r="L2670" i="16"/>
  <c r="L2669" i="16"/>
  <c r="L2668" i="16"/>
  <c r="L2664" i="16"/>
  <c r="L2667" i="16"/>
  <c r="L2666" i="16"/>
  <c r="L2663" i="16"/>
  <c r="L2665" i="16"/>
  <c r="A2653" i="16"/>
  <c r="L2672" i="16" s="1"/>
  <c r="B2709" i="16"/>
  <c r="L2671" i="16"/>
  <c r="A48" i="35"/>
  <c r="B47" i="35"/>
  <c r="A921" i="30" l="1"/>
  <c r="B922" i="30"/>
  <c r="B2762" i="16"/>
  <c r="L2726" i="16"/>
  <c r="L2716" i="16"/>
  <c r="L2719" i="16"/>
  <c r="L2714" i="16"/>
  <c r="L2724" i="16"/>
  <c r="L2723" i="16"/>
  <c r="L2722" i="16"/>
  <c r="L2721" i="16"/>
  <c r="L2715" i="16"/>
  <c r="L2712" i="16"/>
  <c r="L2711" i="16"/>
  <c r="L2718" i="16"/>
  <c r="L2710" i="16"/>
  <c r="L2709" i="16"/>
  <c r="L2717" i="16"/>
  <c r="L2708" i="16"/>
  <c r="A2706" i="16"/>
  <c r="L2725" i="16" s="1"/>
  <c r="L2713" i="16"/>
  <c r="L2720" i="16"/>
  <c r="B48" i="35"/>
  <c r="A49" i="35"/>
  <c r="A922" i="30" l="1"/>
  <c r="B923" i="30"/>
  <c r="L2775" i="16"/>
  <c r="L2776" i="16"/>
  <c r="L2779" i="16"/>
  <c r="L2761" i="16"/>
  <c r="A2759" i="16"/>
  <c r="L2778" i="16" s="1"/>
  <c r="L2777" i="16"/>
  <c r="B2815" i="16"/>
  <c r="B2868" i="16" s="1"/>
  <c r="L2765" i="16"/>
  <c r="L2770" i="16"/>
  <c r="L2771" i="16"/>
  <c r="L2772" i="16"/>
  <c r="L2773" i="16"/>
  <c r="L2774" i="16"/>
  <c r="L2766" i="16"/>
  <c r="L2767" i="16"/>
  <c r="L2768" i="16"/>
  <c r="L2769" i="16"/>
  <c r="L2762" i="16"/>
  <c r="L2763" i="16"/>
  <c r="L2764" i="16"/>
  <c r="B49" i="35"/>
  <c r="A50" i="35"/>
  <c r="L2876" i="16" l="1"/>
  <c r="L2880" i="16"/>
  <c r="L2879" i="16"/>
  <c r="L2878" i="16"/>
  <c r="L2877" i="16"/>
  <c r="L2872" i="16"/>
  <c r="L2871" i="16"/>
  <c r="L2870" i="16"/>
  <c r="L2882" i="16"/>
  <c r="B2921" i="16"/>
  <c r="L2881" i="16"/>
  <c r="L2885" i="16"/>
  <c r="A2865" i="16"/>
  <c r="L2884" i="16" s="1"/>
  <c r="L2883" i="16"/>
  <c r="L2868" i="16"/>
  <c r="L2869" i="16"/>
  <c r="L2874" i="16"/>
  <c r="L2867" i="16"/>
  <c r="L2873" i="16"/>
  <c r="L2875" i="16"/>
  <c r="B924" i="30"/>
  <c r="A923" i="30"/>
  <c r="L2832" i="16"/>
  <c r="A2812" i="16"/>
  <c r="L2831" i="16" s="1"/>
  <c r="L2814" i="16"/>
  <c r="L2821" i="16"/>
  <c r="L2822" i="16"/>
  <c r="L2815" i="16"/>
  <c r="L2817" i="16"/>
  <c r="L2818" i="16"/>
  <c r="L2819" i="16"/>
  <c r="L2823" i="16"/>
  <c r="L2824" i="16"/>
  <c r="L2825" i="16"/>
  <c r="L2826" i="16"/>
  <c r="L2827" i="16"/>
  <c r="L2828" i="16"/>
  <c r="L2816" i="16"/>
  <c r="L2829" i="16"/>
  <c r="L2830" i="16"/>
  <c r="L2820" i="16"/>
  <c r="B50" i="35"/>
  <c r="A51" i="35"/>
  <c r="L2936" i="16" l="1"/>
  <c r="L2938" i="16"/>
  <c r="L2935" i="16"/>
  <c r="L2931" i="16"/>
  <c r="L2930" i="16"/>
  <c r="L2926" i="16"/>
  <c r="L2925" i="16"/>
  <c r="L2924" i="16"/>
  <c r="L2923" i="16"/>
  <c r="L2933" i="16"/>
  <c r="L2922" i="16"/>
  <c r="L2921" i="16"/>
  <c r="A2918" i="16"/>
  <c r="L2937" i="16" s="1"/>
  <c r="L2920" i="16"/>
  <c r="L2932" i="16"/>
  <c r="L2927" i="16"/>
  <c r="L2928" i="16"/>
  <c r="L2934" i="16"/>
  <c r="B2974" i="16"/>
  <c r="L2929" i="16"/>
  <c r="A924" i="30"/>
  <c r="B925" i="30"/>
  <c r="A52" i="35"/>
  <c r="B51" i="35"/>
  <c r="L2983" i="16" l="1"/>
  <c r="L2991" i="16"/>
  <c r="L2979" i="16"/>
  <c r="L2977" i="16"/>
  <c r="L2973" i="16"/>
  <c r="L2988" i="16"/>
  <c r="L2980" i="16"/>
  <c r="L2978" i="16"/>
  <c r="B3027" i="16"/>
  <c r="L2984" i="16"/>
  <c r="L2989" i="16"/>
  <c r="L2976" i="16"/>
  <c r="A2971" i="16"/>
  <c r="L2990" i="16" s="1"/>
  <c r="L2987" i="16"/>
  <c r="L2982" i="16"/>
  <c r="L2986" i="16"/>
  <c r="L2985" i="16"/>
  <c r="L2981" i="16"/>
  <c r="L2974" i="16"/>
  <c r="L2975" i="16"/>
  <c r="A925" i="30"/>
  <c r="B926" i="30"/>
  <c r="A53" i="35"/>
  <c r="B52" i="35"/>
  <c r="B3080" i="16" l="1"/>
  <c r="L3039" i="16"/>
  <c r="L3037" i="16"/>
  <c r="L3036" i="16"/>
  <c r="L3027" i="16"/>
  <c r="L3026" i="16"/>
  <c r="L3035" i="16"/>
  <c r="L3034" i="16"/>
  <c r="L3033" i="16"/>
  <c r="L3028" i="16"/>
  <c r="A3024" i="16"/>
  <c r="L3043" i="16" s="1"/>
  <c r="L3031" i="16"/>
  <c r="L3030" i="16"/>
  <c r="L3044" i="16"/>
  <c r="L3040" i="16"/>
  <c r="L3038" i="16"/>
  <c r="L3042" i="16"/>
  <c r="L3041" i="16"/>
  <c r="L3029" i="16"/>
  <c r="L3032" i="16"/>
  <c r="A926" i="30"/>
  <c r="B927" i="30"/>
  <c r="A54" i="35"/>
  <c r="B53" i="35"/>
  <c r="A3077" i="16" l="1"/>
  <c r="L3096" i="16" s="1"/>
  <c r="L3079" i="16"/>
  <c r="L3081" i="16"/>
  <c r="L3086" i="16"/>
  <c r="L3088" i="16"/>
  <c r="L3090" i="16"/>
  <c r="L3091" i="16"/>
  <c r="L3092" i="16"/>
  <c r="L3093" i="16"/>
  <c r="L3085" i="16"/>
  <c r="L3084" i="16"/>
  <c r="B3133" i="16"/>
  <c r="L3083" i="16"/>
  <c r="L3094" i="16"/>
  <c r="L3089" i="16"/>
  <c r="L3095" i="16"/>
  <c r="L3080" i="16"/>
  <c r="L3087" i="16"/>
  <c r="L3082" i="16"/>
  <c r="L3097" i="16"/>
  <c r="B928" i="30"/>
  <c r="A927" i="30"/>
  <c r="B54" i="35"/>
  <c r="A55" i="35"/>
  <c r="A3130" i="16" l="1"/>
  <c r="L3149" i="16" s="1"/>
  <c r="L3142" i="16"/>
  <c r="B3186" i="16"/>
  <c r="L3136" i="16"/>
  <c r="L3146" i="16"/>
  <c r="L3140" i="16"/>
  <c r="L3135" i="16"/>
  <c r="L3150" i="16"/>
  <c r="L3148" i="16"/>
  <c r="L3147" i="16"/>
  <c r="L3145" i="16"/>
  <c r="L3144" i="16"/>
  <c r="L3138" i="16"/>
  <c r="L3141" i="16"/>
  <c r="L3139" i="16"/>
  <c r="L3137" i="16"/>
  <c r="L3134" i="16"/>
  <c r="L3133" i="16"/>
  <c r="L3143" i="16"/>
  <c r="L3132" i="16"/>
  <c r="A928" i="30"/>
  <c r="B929" i="30"/>
  <c r="B55" i="35"/>
  <c r="A56" i="35"/>
  <c r="L3186" i="16" l="1"/>
  <c r="L3196" i="16"/>
  <c r="L3185" i="16"/>
  <c r="L3193" i="16"/>
  <c r="L3191" i="16"/>
  <c r="A3183" i="16"/>
  <c r="L3202" i="16" s="1"/>
  <c r="L3200" i="16"/>
  <c r="B3239" i="16"/>
  <c r="L3195" i="16"/>
  <c r="L3192" i="16"/>
  <c r="L3188" i="16"/>
  <c r="L3198" i="16"/>
  <c r="L3203" i="16"/>
  <c r="L3197" i="16"/>
  <c r="L3190" i="16"/>
  <c r="L3201" i="16"/>
  <c r="L3199" i="16"/>
  <c r="L3194" i="16"/>
  <c r="L3189" i="16"/>
  <c r="L3187" i="16"/>
  <c r="A929" i="30"/>
  <c r="B930" i="30"/>
  <c r="B56" i="35"/>
  <c r="A57" i="35"/>
  <c r="L3242" i="16" l="1"/>
  <c r="L3253" i="16"/>
  <c r="L3250" i="16"/>
  <c r="L3241" i="16"/>
  <c r="L3240" i="16"/>
  <c r="L3251" i="16"/>
  <c r="L3239" i="16"/>
  <c r="L3238" i="16"/>
  <c r="A3236" i="16"/>
  <c r="L3255" i="16" s="1"/>
  <c r="B3292" i="16"/>
  <c r="L3256" i="16"/>
  <c r="L3254" i="16"/>
  <c r="L3247" i="16"/>
  <c r="L3243" i="16"/>
  <c r="L3252" i="16"/>
  <c r="L3245" i="16"/>
  <c r="L3249" i="16"/>
  <c r="L3248" i="16"/>
  <c r="L3246" i="16"/>
  <c r="L3244" i="16"/>
  <c r="A930" i="30"/>
  <c r="B931" i="30"/>
  <c r="A58" i="35"/>
  <c r="B57" i="35"/>
  <c r="Q3" i="30"/>
  <c r="Q6" i="30" s="1"/>
  <c r="O3" i="30"/>
  <c r="O7" i="30" s="1"/>
  <c r="N3" i="30"/>
  <c r="M3" i="30"/>
  <c r="M5" i="30" s="1"/>
  <c r="R7" i="30"/>
  <c r="G5" i="5"/>
  <c r="G4" i="5"/>
  <c r="G3" i="5"/>
  <c r="G2" i="5"/>
  <c r="P3" i="30" s="1"/>
  <c r="P6" i="30" s="1"/>
  <c r="A3" i="30"/>
  <c r="L3301" i="16" l="1"/>
  <c r="L3300" i="16"/>
  <c r="L3299" i="16"/>
  <c r="L3298" i="16"/>
  <c r="L3304" i="16"/>
  <c r="L3296" i="16"/>
  <c r="L3309" i="16"/>
  <c r="L3295" i="16"/>
  <c r="L3307" i="16"/>
  <c r="L3302" i="16"/>
  <c r="L3292" i="16"/>
  <c r="B3345" i="16"/>
  <c r="L3306" i="16"/>
  <c r="L3297" i="16"/>
  <c r="L3305" i="16"/>
  <c r="L3294" i="16"/>
  <c r="A3289" i="16"/>
  <c r="L3308" i="16" s="1"/>
  <c r="L3303" i="16"/>
  <c r="L3293" i="16"/>
  <c r="L3291" i="16"/>
  <c r="A931" i="30"/>
  <c r="B932" i="30"/>
  <c r="A59" i="35"/>
  <c r="B58" i="35"/>
  <c r="P7" i="30"/>
  <c r="P5" i="30"/>
  <c r="P4" i="30"/>
  <c r="M7" i="30"/>
  <c r="M4" i="30"/>
  <c r="M6" i="30"/>
  <c r="O6" i="30"/>
  <c r="N6" i="30"/>
  <c r="R5" i="30"/>
  <c r="Q5" i="30"/>
  <c r="O5" i="30"/>
  <c r="N5" i="30"/>
  <c r="R4" i="30"/>
  <c r="Q4" i="30"/>
  <c r="O4" i="30"/>
  <c r="N4" i="30"/>
  <c r="Q7" i="30"/>
  <c r="N7" i="30"/>
  <c r="R6" i="30"/>
  <c r="F120" i="2"/>
  <c r="B3398" i="16" l="1"/>
  <c r="L3362" i="16"/>
  <c r="L3360" i="16"/>
  <c r="L3359" i="16"/>
  <c r="L3357" i="16"/>
  <c r="L3356" i="16"/>
  <c r="L3355" i="16"/>
  <c r="L3354" i="16"/>
  <c r="L3344" i="16"/>
  <c r="L3353" i="16"/>
  <c r="L3358" i="16"/>
  <c r="L3351" i="16"/>
  <c r="L3345" i="16"/>
  <c r="L3350" i="16"/>
  <c r="L3347" i="16"/>
  <c r="L3346" i="16"/>
  <c r="A3342" i="16"/>
  <c r="L3361" i="16" s="1"/>
  <c r="L3348" i="16"/>
  <c r="L3352" i="16"/>
  <c r="L3349" i="16"/>
  <c r="B933" i="30"/>
  <c r="A932" i="30"/>
  <c r="A60" i="35"/>
  <c r="B59" i="35"/>
  <c r="L3400" i="16" l="1"/>
  <c r="L3415" i="16"/>
  <c r="L3413" i="16"/>
  <c r="L3411" i="16"/>
  <c r="L3410" i="16"/>
  <c r="L3409" i="16"/>
  <c r="L3408" i="16"/>
  <c r="L3407" i="16"/>
  <c r="L3406" i="16"/>
  <c r="L3405" i="16"/>
  <c r="L3403" i="16"/>
  <c r="L3402" i="16"/>
  <c r="L3401" i="16"/>
  <c r="L3412" i="16"/>
  <c r="L3404" i="16"/>
  <c r="B3451" i="16"/>
  <c r="L3397" i="16"/>
  <c r="L3398" i="16"/>
  <c r="L3399" i="16"/>
  <c r="A3395" i="16"/>
  <c r="L3414" i="16" s="1"/>
  <c r="A933" i="30"/>
  <c r="B934" i="30"/>
  <c r="B60" i="35"/>
  <c r="A61" i="35"/>
  <c r="L3456" i="16" l="1"/>
  <c r="L3455" i="16"/>
  <c r="L3468" i="16"/>
  <c r="L3453" i="16"/>
  <c r="L3452" i="16"/>
  <c r="L3451" i="16"/>
  <c r="L3450" i="16"/>
  <c r="A3448" i="16"/>
  <c r="L3467" i="16" s="1"/>
  <c r="B3504" i="16"/>
  <c r="L3462" i="16"/>
  <c r="L3464" i="16"/>
  <c r="L3458" i="16"/>
  <c r="L3454" i="16"/>
  <c r="L3461" i="16"/>
  <c r="L3465" i="16"/>
  <c r="L3460" i="16"/>
  <c r="L3457" i="16"/>
  <c r="L3466" i="16"/>
  <c r="L3459" i="16"/>
  <c r="L3463" i="16"/>
  <c r="A934" i="30"/>
  <c r="B935" i="30"/>
  <c r="B61" i="35"/>
  <c r="A62" i="35"/>
  <c r="L3512" i="16" l="1"/>
  <c r="B3557" i="16"/>
  <c r="L3511" i="16"/>
  <c r="L3506" i="16"/>
  <c r="A3501" i="16"/>
  <c r="L3520" i="16" s="1"/>
  <c r="L3505" i="16"/>
  <c r="L3509" i="16"/>
  <c r="L3508" i="16"/>
  <c r="L3519" i="16"/>
  <c r="L3515" i="16"/>
  <c r="L3507" i="16"/>
  <c r="L3504" i="16"/>
  <c r="L3503" i="16"/>
  <c r="L3517" i="16"/>
  <c r="L3521" i="16"/>
  <c r="L3516" i="16"/>
  <c r="L3510" i="16"/>
  <c r="L3518" i="16"/>
  <c r="L3513" i="16"/>
  <c r="L3514" i="16"/>
  <c r="B936" i="30"/>
  <c r="A935" i="30"/>
  <c r="B62" i="35"/>
  <c r="A63" i="35"/>
  <c r="L3568" i="16" l="1"/>
  <c r="L3571" i="16"/>
  <c r="L3562" i="16"/>
  <c r="L3557" i="16"/>
  <c r="L3567" i="16"/>
  <c r="L3560" i="16"/>
  <c r="L3556" i="16"/>
  <c r="L3566" i="16"/>
  <c r="L3563" i="16"/>
  <c r="L3565" i="16"/>
  <c r="L3564" i="16"/>
  <c r="L3574" i="16"/>
  <c r="B3610" i="16"/>
  <c r="L3569" i="16"/>
  <c r="L3559" i="16"/>
  <c r="L3561" i="16"/>
  <c r="L3558" i="16"/>
  <c r="A3554" i="16"/>
  <c r="L3573" i="16" s="1"/>
  <c r="L3572" i="16"/>
  <c r="L3570" i="16"/>
  <c r="A936" i="30"/>
  <c r="B937" i="30"/>
  <c r="B63" i="35"/>
  <c r="A64" i="35"/>
  <c r="L3619" i="16" l="1"/>
  <c r="L3624" i="16"/>
  <c r="L3623" i="16"/>
  <c r="L3614" i="16"/>
  <c r="L3612" i="16"/>
  <c r="L3611" i="16"/>
  <c r="L3622" i="16"/>
  <c r="L3616" i="16"/>
  <c r="L3621" i="16"/>
  <c r="L3615" i="16"/>
  <c r="L3618" i="16"/>
  <c r="L3613" i="16"/>
  <c r="L3610" i="16"/>
  <c r="A3607" i="16"/>
  <c r="L3626" i="16" s="1"/>
  <c r="L3609" i="16"/>
  <c r="L3625" i="16"/>
  <c r="L3620" i="16"/>
  <c r="L3617" i="16"/>
  <c r="B3663" i="16"/>
  <c r="L3627" i="16"/>
  <c r="A937" i="30"/>
  <c r="B938" i="30"/>
  <c r="B64" i="35"/>
  <c r="A65" i="35"/>
  <c r="B3716" i="16" l="1"/>
  <c r="L3680" i="16"/>
  <c r="L3675" i="16"/>
  <c r="L3673" i="16"/>
  <c r="L3669" i="16"/>
  <c r="L3671" i="16"/>
  <c r="L3677" i="16"/>
  <c r="L3672" i="16"/>
  <c r="L3670" i="16"/>
  <c r="L3667" i="16"/>
  <c r="L3662" i="16"/>
  <c r="L3678" i="16"/>
  <c r="L3676" i="16"/>
  <c r="L3668" i="16"/>
  <c r="L3666" i="16"/>
  <c r="A3660" i="16"/>
  <c r="L3679" i="16" s="1"/>
  <c r="L3674" i="16"/>
  <c r="L3663" i="16"/>
  <c r="L3664" i="16"/>
  <c r="L3665" i="16"/>
  <c r="A938" i="30"/>
  <c r="B939" i="30"/>
  <c r="A66" i="35"/>
  <c r="B65" i="35"/>
  <c r="L3733" i="16" l="1"/>
  <c r="B3769" i="16"/>
  <c r="A3713" i="16"/>
  <c r="L3732" i="16" s="1"/>
  <c r="L3719" i="16"/>
  <c r="L3724" i="16"/>
  <c r="L3725" i="16"/>
  <c r="L3718" i="16"/>
  <c r="L3721" i="16"/>
  <c r="L3723" i="16"/>
  <c r="L3726" i="16"/>
  <c r="L3728" i="16"/>
  <c r="L3731" i="16"/>
  <c r="L3716" i="16"/>
  <c r="L3717" i="16"/>
  <c r="L3720" i="16"/>
  <c r="L3722" i="16"/>
  <c r="L3727" i="16"/>
  <c r="L3715" i="16"/>
  <c r="L3729" i="16"/>
  <c r="L3730" i="16"/>
  <c r="B940" i="30"/>
  <c r="A939" i="30"/>
  <c r="B66" i="35"/>
  <c r="A67" i="35"/>
  <c r="A3766" i="16" l="1"/>
  <c r="L3785" i="16" s="1"/>
  <c r="L3768" i="16"/>
  <c r="L3772" i="16"/>
  <c r="L3781" i="16"/>
  <c r="L3776" i="16"/>
  <c r="B3822" i="16"/>
  <c r="L3784" i="16"/>
  <c r="L3786" i="16"/>
  <c r="L3783" i="16"/>
  <c r="L3782" i="16"/>
  <c r="L3780" i="16"/>
  <c r="L3779" i="16"/>
  <c r="L3778" i="16"/>
  <c r="L3775" i="16"/>
  <c r="L3773" i="16"/>
  <c r="L3771" i="16"/>
  <c r="L3769" i="16"/>
  <c r="L3777" i="16"/>
  <c r="L3774" i="16"/>
  <c r="L3770" i="16"/>
  <c r="A940" i="30"/>
  <c r="B941" i="30"/>
  <c r="A68" i="35"/>
  <c r="B67" i="35"/>
  <c r="L3821" i="16" l="1"/>
  <c r="L3829" i="16"/>
  <c r="L3837" i="16"/>
  <c r="L3836" i="16"/>
  <c r="L3824" i="16"/>
  <c r="L3822" i="16"/>
  <c r="L3834" i="16"/>
  <c r="L3825" i="16"/>
  <c r="L3827" i="16"/>
  <c r="A3819" i="16"/>
  <c r="L3838" i="16" s="1"/>
  <c r="L3833" i="16"/>
  <c r="B3875" i="16"/>
  <c r="L3839" i="16"/>
  <c r="L3835" i="16"/>
  <c r="L3832" i="16"/>
  <c r="L3831" i="16"/>
  <c r="L3830" i="16"/>
  <c r="L3828" i="16"/>
  <c r="L3826" i="16"/>
  <c r="L3823" i="16"/>
  <c r="A941" i="30"/>
  <c r="B942" i="30"/>
  <c r="A69" i="35"/>
  <c r="B68" i="35"/>
  <c r="L3877" i="16" l="1"/>
  <c r="L3876" i="16"/>
  <c r="L3884" i="16"/>
  <c r="L3883" i="16"/>
  <c r="L3875" i="16"/>
  <c r="L3874" i="16"/>
  <c r="A3872" i="16"/>
  <c r="L3891" i="16" s="1"/>
  <c r="B3928" i="16"/>
  <c r="L3892" i="16"/>
  <c r="L3890" i="16"/>
  <c r="L3888" i="16"/>
  <c r="L3886" i="16"/>
  <c r="L3881" i="16"/>
  <c r="L3880" i="16"/>
  <c r="L3878" i="16"/>
  <c r="L3885" i="16"/>
  <c r="L3887" i="16"/>
  <c r="L3889" i="16"/>
  <c r="L3882" i="16"/>
  <c r="L3879" i="16"/>
  <c r="A942" i="30"/>
  <c r="B943" i="30"/>
  <c r="A70" i="35"/>
  <c r="B69" i="35"/>
  <c r="L3933" i="16" l="1"/>
  <c r="L3932" i="16"/>
  <c r="L3928" i="16"/>
  <c r="L3927" i="16"/>
  <c r="B3981" i="16"/>
  <c r="L3945" i="16"/>
  <c r="L3942" i="16"/>
  <c r="L3941" i="16"/>
  <c r="L3940" i="16"/>
  <c r="L3931" i="16"/>
  <c r="L3930" i="16"/>
  <c r="L3929" i="16"/>
  <c r="A3925" i="16"/>
  <c r="L3944" i="16" s="1"/>
  <c r="L3943" i="16"/>
  <c r="L3939" i="16"/>
  <c r="L3937" i="16"/>
  <c r="L3935" i="16"/>
  <c r="L3934" i="16"/>
  <c r="L3938" i="16"/>
  <c r="L3936" i="16"/>
  <c r="A943" i="30"/>
  <c r="B944" i="30"/>
  <c r="A71" i="35"/>
  <c r="B70" i="35"/>
  <c r="L3989" i="16" l="1"/>
  <c r="L3985" i="16"/>
  <c r="L3983" i="16"/>
  <c r="L3981" i="16"/>
  <c r="L3996" i="16"/>
  <c r="L3993" i="16"/>
  <c r="L3987" i="16"/>
  <c r="L3984" i="16"/>
  <c r="L3982" i="16"/>
  <c r="L3994" i="16"/>
  <c r="L3991" i="16"/>
  <c r="L3990" i="16"/>
  <c r="L3988" i="16"/>
  <c r="A3978" i="16"/>
  <c r="L3997" i="16" s="1"/>
  <c r="L3995" i="16"/>
  <c r="L3986" i="16"/>
  <c r="L3980" i="16"/>
  <c r="L3998" i="16"/>
  <c r="L3992" i="16"/>
  <c r="B4034" i="16"/>
  <c r="B945" i="30"/>
  <c r="A944" i="30"/>
  <c r="A72" i="35"/>
  <c r="B71" i="35"/>
  <c r="L4045" i="16" l="1"/>
  <c r="L4035" i="16"/>
  <c r="L4033" i="16"/>
  <c r="L4043" i="16"/>
  <c r="L4040" i="16"/>
  <c r="L4037" i="16"/>
  <c r="L4034" i="16"/>
  <c r="L4051" i="16"/>
  <c r="L4046" i="16"/>
  <c r="L4044" i="16"/>
  <c r="L4038" i="16"/>
  <c r="B4087" i="16"/>
  <c r="L4042" i="16"/>
  <c r="L4041" i="16"/>
  <c r="L4039" i="16"/>
  <c r="L4036" i="16"/>
  <c r="A4031" i="16"/>
  <c r="L4050" i="16" s="1"/>
  <c r="L4049" i="16"/>
  <c r="L4048" i="16"/>
  <c r="L4047" i="16"/>
  <c r="A945" i="30"/>
  <c r="B946" i="30"/>
  <c r="A73" i="35"/>
  <c r="B72" i="35"/>
  <c r="L4101" i="16" l="1"/>
  <c r="L4100" i="16"/>
  <c r="L4096" i="16"/>
  <c r="L4094" i="16"/>
  <c r="L4092" i="16"/>
  <c r="L4091" i="16"/>
  <c r="L4089" i="16"/>
  <c r="L4088" i="16"/>
  <c r="L4087" i="16"/>
  <c r="B4140" i="16"/>
  <c r="L4099" i="16"/>
  <c r="L4098" i="16"/>
  <c r="L4097" i="16"/>
  <c r="L4095" i="16"/>
  <c r="L4086" i="16"/>
  <c r="L4104" i="16"/>
  <c r="L4090" i="16"/>
  <c r="L4093" i="16"/>
  <c r="A4084" i="16"/>
  <c r="L4103" i="16" s="1"/>
  <c r="L4102" i="16"/>
  <c r="A946" i="30"/>
  <c r="B947" i="30"/>
  <c r="A74" i="35"/>
  <c r="B73" i="35"/>
  <c r="B4193" i="16" l="1"/>
  <c r="L4157" i="16"/>
  <c r="L4151" i="16"/>
  <c r="L4149" i="16"/>
  <c r="L4141" i="16"/>
  <c r="L4140" i="16"/>
  <c r="L4155" i="16"/>
  <c r="L4152" i="16"/>
  <c r="L4150" i="16"/>
  <c r="L4148" i="16"/>
  <c r="L4147" i="16"/>
  <c r="L4146" i="16"/>
  <c r="L4145" i="16"/>
  <c r="L4144" i="16"/>
  <c r="L4143" i="16"/>
  <c r="L4142" i="16"/>
  <c r="L4139" i="16"/>
  <c r="L4154" i="16"/>
  <c r="L4153" i="16"/>
  <c r="A4137" i="16"/>
  <c r="L4156" i="16" s="1"/>
  <c r="B948" i="30"/>
  <c r="A947" i="30"/>
  <c r="B74" i="35"/>
  <c r="A75" i="35"/>
  <c r="L4207" i="16" l="1"/>
  <c r="B4246" i="16"/>
  <c r="L4192" i="16"/>
  <c r="A4190" i="16"/>
  <c r="L4209" i="16" s="1"/>
  <c r="L4199" i="16"/>
  <c r="L4200" i="16"/>
  <c r="L4208" i="16"/>
  <c r="L4201" i="16"/>
  <c r="L4210" i="16"/>
  <c r="L4202" i="16"/>
  <c r="L4203" i="16"/>
  <c r="L4204" i="16"/>
  <c r="L4206" i="16"/>
  <c r="L4195" i="16"/>
  <c r="L4205" i="16"/>
  <c r="L4193" i="16"/>
  <c r="L4194" i="16"/>
  <c r="L4196" i="16"/>
  <c r="L4197" i="16"/>
  <c r="L4198" i="16"/>
  <c r="A948" i="30"/>
  <c r="B949" i="30"/>
  <c r="A76" i="35"/>
  <c r="B75" i="35"/>
  <c r="L4263" i="16" l="1"/>
  <c r="L4259" i="16"/>
  <c r="L4245" i="16"/>
  <c r="A4243" i="16"/>
  <c r="L4262" i="16" s="1"/>
  <c r="B4299" i="16"/>
  <c r="L4255" i="16"/>
  <c r="L4246" i="16"/>
  <c r="L4248" i="16"/>
  <c r="L4249" i="16"/>
  <c r="L4250" i="16"/>
  <c r="L4257" i="16"/>
  <c r="L4258" i="16"/>
  <c r="L4260" i="16"/>
  <c r="L4261" i="16"/>
  <c r="L4247" i="16"/>
  <c r="L4251" i="16"/>
  <c r="L4253" i="16"/>
  <c r="L4254" i="16"/>
  <c r="L4256" i="16"/>
  <c r="L4252" i="16"/>
  <c r="A949" i="30"/>
  <c r="B950" i="30"/>
  <c r="B76" i="35"/>
  <c r="A77" i="35"/>
  <c r="L4316" i="16" l="1"/>
  <c r="L4304" i="16"/>
  <c r="L4303" i="16"/>
  <c r="L4298" i="16"/>
  <c r="L4312" i="16"/>
  <c r="L4308" i="16"/>
  <c r="L4305" i="16"/>
  <c r="L4310" i="16"/>
  <c r="L4307" i="16"/>
  <c r="A4296" i="16"/>
  <c r="L4315" i="16" s="1"/>
  <c r="B4352" i="16"/>
  <c r="L4311" i="16"/>
  <c r="L4309" i="16"/>
  <c r="L4306" i="16"/>
  <c r="L4314" i="16"/>
  <c r="L4299" i="16"/>
  <c r="L4301" i="16"/>
  <c r="L4300" i="16"/>
  <c r="L4302" i="16"/>
  <c r="L4313" i="16"/>
  <c r="A950" i="30"/>
  <c r="B951" i="30"/>
  <c r="A78" i="35"/>
  <c r="B77" i="35"/>
  <c r="L4366" i="16" l="1"/>
  <c r="L4367" i="16"/>
  <c r="B4405" i="16"/>
  <c r="L4351" i="16"/>
  <c r="L4355" i="16"/>
  <c r="L4357" i="16"/>
  <c r="L4361" i="16"/>
  <c r="L4364" i="16"/>
  <c r="L4352" i="16"/>
  <c r="L4353" i="16"/>
  <c r="L4356" i="16"/>
  <c r="L4358" i="16"/>
  <c r="L4365" i="16"/>
  <c r="L4360" i="16"/>
  <c r="L4363" i="16"/>
  <c r="L4369" i="16"/>
  <c r="A4349" i="16"/>
  <c r="L4368" i="16" s="1"/>
  <c r="L4354" i="16"/>
  <c r="L4359" i="16"/>
  <c r="L4362" i="16"/>
  <c r="B952" i="30"/>
  <c r="A951" i="30"/>
  <c r="B78" i="35"/>
  <c r="A79" i="35"/>
  <c r="B4458" i="16" l="1"/>
  <c r="L4408" i="16"/>
  <c r="L4406" i="16"/>
  <c r="L4405" i="16"/>
  <c r="L4417" i="16"/>
  <c r="L4414" i="16"/>
  <c r="L4412" i="16"/>
  <c r="L4410" i="16"/>
  <c r="L4420" i="16"/>
  <c r="L4419" i="16"/>
  <c r="L4415" i="16"/>
  <c r="L4409" i="16"/>
  <c r="L4418" i="16"/>
  <c r="A4402" i="16"/>
  <c r="L4421" i="16" s="1"/>
  <c r="L4422" i="16"/>
  <c r="L4413" i="16"/>
  <c r="L4407" i="16"/>
  <c r="L4404" i="16"/>
  <c r="L4416" i="16"/>
  <c r="L4411" i="16"/>
  <c r="A952" i="30"/>
  <c r="B953" i="30"/>
  <c r="A80" i="35"/>
  <c r="B79" i="35"/>
  <c r="L4466" i="16" l="1"/>
  <c r="B4511" i="16"/>
  <c r="L4475" i="16"/>
  <c r="L4473" i="16"/>
  <c r="L4471" i="16"/>
  <c r="L4470" i="16"/>
  <c r="L4467" i="16"/>
  <c r="L4472" i="16"/>
  <c r="L4469" i="16"/>
  <c r="L4468" i="16"/>
  <c r="A4455" i="16"/>
  <c r="L4474" i="16" s="1"/>
  <c r="L4457" i="16"/>
  <c r="L4458" i="16"/>
  <c r="L4459" i="16"/>
  <c r="L4462" i="16"/>
  <c r="L4460" i="16"/>
  <c r="L4465" i="16"/>
  <c r="L4461" i="16"/>
  <c r="L4463" i="16"/>
  <c r="L4464" i="16"/>
  <c r="A953" i="30"/>
  <c r="B954" i="30"/>
  <c r="A81" i="35"/>
  <c r="B80" i="35"/>
  <c r="L4522" i="16" l="1"/>
  <c r="L4524" i="16"/>
  <c r="L4523" i="16"/>
  <c r="L4526" i="16"/>
  <c r="L4521" i="16"/>
  <c r="L4528" i="16"/>
  <c r="B4564" i="16"/>
  <c r="A4508" i="16"/>
  <c r="L4527" i="16" s="1"/>
  <c r="L4510" i="16"/>
  <c r="L4525" i="16"/>
  <c r="L4511" i="16"/>
  <c r="L4512" i="16"/>
  <c r="L4513" i="16"/>
  <c r="L4515" i="16"/>
  <c r="L4516" i="16"/>
  <c r="L4514" i="16"/>
  <c r="L4518" i="16"/>
  <c r="L4517" i="16"/>
  <c r="L4519" i="16"/>
  <c r="L4520" i="16"/>
  <c r="B955" i="30"/>
  <c r="A954" i="30"/>
  <c r="B81" i="35"/>
  <c r="A82" i="35"/>
  <c r="L4578" i="16" l="1"/>
  <c r="L4576" i="16"/>
  <c r="L4574" i="16"/>
  <c r="B4617" i="16"/>
  <c r="L4577" i="16"/>
  <c r="L4575" i="16"/>
  <c r="L4573" i="16"/>
  <c r="L4572" i="16"/>
  <c r="L4571" i="16"/>
  <c r="L4570" i="16"/>
  <c r="L4569" i="16"/>
  <c r="L4568" i="16"/>
  <c r="L4567" i="16"/>
  <c r="L4566" i="16"/>
  <c r="L4565" i="16"/>
  <c r="L4564" i="16"/>
  <c r="L4563" i="16"/>
  <c r="A4561" i="16"/>
  <c r="L4580" i="16" s="1"/>
  <c r="L4579" i="16"/>
  <c r="L4581" i="16"/>
  <c r="A955" i="30"/>
  <c r="B956" i="30"/>
  <c r="B82" i="35"/>
  <c r="A83" i="35"/>
  <c r="B4670" i="16" l="1"/>
  <c r="L4634" i="16"/>
  <c r="L4630" i="16"/>
  <c r="L4627" i="16"/>
  <c r="L4625" i="16"/>
  <c r="L4623" i="16"/>
  <c r="L4622" i="16"/>
  <c r="L4621" i="16"/>
  <c r="L4620" i="16"/>
  <c r="L4618" i="16"/>
  <c r="L4632" i="16"/>
  <c r="L4631" i="16"/>
  <c r="L4629" i="16"/>
  <c r="L4628" i="16"/>
  <c r="L4626" i="16"/>
  <c r="L4624" i="16"/>
  <c r="L4619" i="16"/>
  <c r="L4617" i="16"/>
  <c r="L4616" i="16"/>
  <c r="A4614" i="16"/>
  <c r="L4633" i="16" s="1"/>
  <c r="B957" i="30"/>
  <c r="A956" i="30"/>
  <c r="A84" i="35"/>
  <c r="B83" i="35"/>
  <c r="F29" i="2"/>
  <c r="F11" i="2"/>
  <c r="F12" i="2"/>
  <c r="F13" i="2"/>
  <c r="F14" i="2"/>
  <c r="F15" i="2"/>
  <c r="F16" i="2"/>
  <c r="F20" i="2"/>
  <c r="F21" i="2"/>
  <c r="F22" i="2"/>
  <c r="F23" i="2"/>
  <c r="F25" i="2"/>
  <c r="F26" i="2"/>
  <c r="F27" i="2"/>
  <c r="F28" i="2"/>
  <c r="A4667" i="16" l="1"/>
  <c r="L4686" i="16" s="1"/>
  <c r="B4723" i="16"/>
  <c r="B4776" i="16" s="1"/>
  <c r="L4678" i="16"/>
  <c r="L4682" i="16"/>
  <c r="L4684" i="16"/>
  <c r="L4685" i="16"/>
  <c r="L4687" i="16"/>
  <c r="L4670" i="16"/>
  <c r="L4671" i="16"/>
  <c r="L4672" i="16"/>
  <c r="L4673" i="16"/>
  <c r="L4674" i="16"/>
  <c r="L4675" i="16"/>
  <c r="L4676" i="16"/>
  <c r="L4677" i="16"/>
  <c r="L4679" i="16"/>
  <c r="L4680" i="16"/>
  <c r="L4681" i="16"/>
  <c r="L4683" i="16"/>
  <c r="L4669" i="16"/>
  <c r="A957" i="30"/>
  <c r="B958" i="30"/>
  <c r="A85" i="35"/>
  <c r="B84" i="35"/>
  <c r="F116" i="2"/>
  <c r="A4773" i="16" l="1"/>
  <c r="L4792" i="16" s="1"/>
  <c r="L4780" i="16"/>
  <c r="L4793" i="16"/>
  <c r="L4786" i="16"/>
  <c r="L4779" i="16"/>
  <c r="L4778" i="16"/>
  <c r="L4777" i="16"/>
  <c r="L4776" i="16"/>
  <c r="L4781" i="16"/>
  <c r="L4775" i="16"/>
  <c r="L4785" i="16"/>
  <c r="L4783" i="16"/>
  <c r="L4791" i="16"/>
  <c r="L4790" i="16"/>
  <c r="L4789" i="16"/>
  <c r="L4788" i="16"/>
  <c r="L4787" i="16"/>
  <c r="L4784" i="16"/>
  <c r="L4782" i="16"/>
  <c r="B4829" i="16"/>
  <c r="L4740" i="16"/>
  <c r="L4738" i="16"/>
  <c r="L4727" i="16"/>
  <c r="A4720" i="16"/>
  <c r="L4739" i="16" s="1"/>
  <c r="L4725" i="16"/>
  <c r="L4729" i="16"/>
  <c r="L4733" i="16"/>
  <c r="L4726" i="16"/>
  <c r="L4732" i="16"/>
  <c r="L4722" i="16"/>
  <c r="L4724" i="16"/>
  <c r="L4728" i="16"/>
  <c r="L4736" i="16"/>
  <c r="L4737" i="16"/>
  <c r="L4734" i="16"/>
  <c r="L4723" i="16"/>
  <c r="L4730" i="16"/>
  <c r="L4731" i="16"/>
  <c r="L4735" i="16"/>
  <c r="A958" i="30"/>
  <c r="B959" i="30"/>
  <c r="B85" i="35"/>
  <c r="A86" i="35"/>
  <c r="F9" i="2"/>
  <c r="L4838" i="16" l="1"/>
  <c r="L4829" i="16"/>
  <c r="L4828" i="16"/>
  <c r="L4837" i="16"/>
  <c r="L4831" i="16"/>
  <c r="L4841" i="16"/>
  <c r="L4836" i="16"/>
  <c r="L4835" i="16"/>
  <c r="L4830" i="16"/>
  <c r="L4834" i="16"/>
  <c r="L4833" i="16"/>
  <c r="L4832" i="16"/>
  <c r="L4843" i="16"/>
  <c r="L4839" i="16"/>
  <c r="L4846" i="16"/>
  <c r="L4844" i="16"/>
  <c r="L4842" i="16"/>
  <c r="L4840" i="16"/>
  <c r="B4882" i="16"/>
  <c r="A4826" i="16"/>
  <c r="L4845" i="16" s="1"/>
  <c r="B960" i="30"/>
  <c r="A959" i="30"/>
  <c r="A87" i="35"/>
  <c r="B86" i="35"/>
  <c r="BJ19" i="29"/>
  <c r="BK19" i="29"/>
  <c r="BL19" i="29"/>
  <c r="BM19" i="29"/>
  <c r="BN19" i="29"/>
  <c r="BO19" i="29"/>
  <c r="BP19" i="29"/>
  <c r="BQ19" i="29"/>
  <c r="BR19" i="29"/>
  <c r="BS19" i="29"/>
  <c r="BT19" i="29"/>
  <c r="BU19" i="29"/>
  <c r="BV19" i="29"/>
  <c r="BW19" i="29"/>
  <c r="BX19" i="29"/>
  <c r="BY19" i="29"/>
  <c r="BZ19" i="29"/>
  <c r="CA19" i="29"/>
  <c r="CB19" i="29"/>
  <c r="CC19" i="29"/>
  <c r="CD19" i="29"/>
  <c r="CE19" i="29"/>
  <c r="CF19" i="29"/>
  <c r="CG19" i="29"/>
  <c r="CH19" i="29"/>
  <c r="CI19" i="29"/>
  <c r="CJ19" i="29"/>
  <c r="CK19" i="29"/>
  <c r="CL19" i="29"/>
  <c r="CM19" i="29"/>
  <c r="CN19" i="29"/>
  <c r="CO19" i="29"/>
  <c r="CP19" i="29"/>
  <c r="CQ19" i="29"/>
  <c r="CR19" i="29"/>
  <c r="CS19" i="29"/>
  <c r="CT19" i="29"/>
  <c r="AH2" i="29"/>
  <c r="B2" i="29"/>
  <c r="L4896" i="16" l="1"/>
  <c r="L4884" i="16"/>
  <c r="L4895" i="16"/>
  <c r="L4888" i="16"/>
  <c r="L4894" i="16"/>
  <c r="L4889" i="16"/>
  <c r="L4887" i="16"/>
  <c r="L4883" i="16"/>
  <c r="L4899" i="16"/>
  <c r="L4893" i="16"/>
  <c r="L4892" i="16"/>
  <c r="L4886" i="16"/>
  <c r="L4891" i="16"/>
  <c r="L4890" i="16"/>
  <c r="L4885" i="16"/>
  <c r="L4882" i="16"/>
  <c r="L4881" i="16"/>
  <c r="L4897" i="16"/>
  <c r="B4935" i="16"/>
  <c r="A4879" i="16"/>
  <c r="L4898" i="16" s="1"/>
  <c r="A960" i="30"/>
  <c r="B961" i="30"/>
  <c r="A88" i="35"/>
  <c r="B87" i="35"/>
  <c r="D25" i="2"/>
  <c r="D26" i="2"/>
  <c r="D27" i="2"/>
  <c r="D4" i="2"/>
  <c r="D6" i="2"/>
  <c r="D7" i="2"/>
  <c r="D8" i="2"/>
  <c r="D9" i="2"/>
  <c r="D10" i="2"/>
  <c r="D12" i="2"/>
  <c r="D14" i="2"/>
  <c r="D15" i="2"/>
  <c r="D16" i="2"/>
  <c r="D17" i="2"/>
  <c r="D18" i="2"/>
  <c r="D19" i="2"/>
  <c r="D20" i="2"/>
  <c r="D21" i="2"/>
  <c r="D22" i="2"/>
  <c r="D23" i="2"/>
  <c r="D24" i="2"/>
  <c r="A4932" i="16" l="1"/>
  <c r="L4951" i="16" s="1"/>
  <c r="B4988" i="16"/>
  <c r="L4952" i="16"/>
  <c r="L4943" i="16"/>
  <c r="L4944" i="16"/>
  <c r="L4942" i="16"/>
  <c r="L4950" i="16"/>
  <c r="L4947" i="16"/>
  <c r="L4946" i="16"/>
  <c r="L4949" i="16"/>
  <c r="L4941" i="16"/>
  <c r="L4948" i="16"/>
  <c r="L4945" i="16"/>
  <c r="L4940" i="16"/>
  <c r="L4939" i="16"/>
  <c r="L4938" i="16"/>
  <c r="L4937" i="16"/>
  <c r="L4935" i="16"/>
  <c r="L4936" i="16"/>
  <c r="L4934" i="16"/>
  <c r="A961" i="30"/>
  <c r="B962" i="30"/>
  <c r="B88" i="35"/>
  <c r="A89" i="35"/>
  <c r="B4" i="30"/>
  <c r="L4990" i="16" l="1"/>
  <c r="B5041" i="16"/>
  <c r="L5003" i="16"/>
  <c r="L5001" i="16"/>
  <c r="L5000" i="16"/>
  <c r="L4999" i="16"/>
  <c r="L4996" i="16"/>
  <c r="L4995" i="16"/>
  <c r="L5002" i="16"/>
  <c r="L4998" i="16"/>
  <c r="L4997" i="16"/>
  <c r="L4994" i="16"/>
  <c r="L4992" i="16"/>
  <c r="L4991" i="16"/>
  <c r="L5005" i="16"/>
  <c r="L4993" i="16"/>
  <c r="A4985" i="16"/>
  <c r="L5004" i="16" s="1"/>
  <c r="L4988" i="16"/>
  <c r="L4987" i="16"/>
  <c r="L4989" i="16"/>
  <c r="A962" i="30"/>
  <c r="B963" i="30"/>
  <c r="B89" i="35"/>
  <c r="A90" i="35"/>
  <c r="B5" i="30"/>
  <c r="C4" i="30"/>
  <c r="A4" i="30"/>
  <c r="A5038" i="16" l="1"/>
  <c r="L5057" i="16" s="1"/>
  <c r="L5043" i="16"/>
  <c r="L5048" i="16"/>
  <c r="L5042" i="16"/>
  <c r="L5049" i="16"/>
  <c r="L5055" i="16"/>
  <c r="L5058" i="16"/>
  <c r="L5041" i="16"/>
  <c r="L5044" i="16"/>
  <c r="L5045" i="16"/>
  <c r="L5046" i="16"/>
  <c r="L5047" i="16"/>
  <c r="L5050" i="16"/>
  <c r="L5051" i="16"/>
  <c r="L5052" i="16"/>
  <c r="L5053" i="16"/>
  <c r="L5056" i="16"/>
  <c r="L5054" i="16"/>
  <c r="L5040" i="16"/>
  <c r="B5094" i="16"/>
  <c r="B964" i="30"/>
  <c r="A963" i="30"/>
  <c r="B90" i="35"/>
  <c r="A91" i="35"/>
  <c r="B6" i="30"/>
  <c r="C5" i="30"/>
  <c r="A5" i="30"/>
  <c r="L5102" i="16" l="1"/>
  <c r="A5091" i="16"/>
  <c r="L5110" i="16" s="1"/>
  <c r="L5105" i="16"/>
  <c r="L5101" i="16"/>
  <c r="L5109" i="16"/>
  <c r="L5094" i="16"/>
  <c r="L5103" i="16"/>
  <c r="L5106" i="16"/>
  <c r="L5111" i="16"/>
  <c r="L5100" i="16"/>
  <c r="L5095" i="16"/>
  <c r="L5108" i="16"/>
  <c r="L5099" i="16"/>
  <c r="B5147" i="16"/>
  <c r="L5096" i="16"/>
  <c r="L5097" i="16"/>
  <c r="L5107" i="16"/>
  <c r="L5093" i="16"/>
  <c r="L5104" i="16"/>
  <c r="L5098" i="16"/>
  <c r="A964" i="30"/>
  <c r="B965" i="30"/>
  <c r="B91" i="35"/>
  <c r="A92" i="35"/>
  <c r="B7" i="30"/>
  <c r="C6" i="30"/>
  <c r="A6" i="30"/>
  <c r="A7" i="30"/>
  <c r="L5157" i="16" l="1"/>
  <c r="L5164" i="16"/>
  <c r="A5144" i="16"/>
  <c r="L5163" i="16" s="1"/>
  <c r="L5146" i="16"/>
  <c r="L5149" i="16"/>
  <c r="L5153" i="16"/>
  <c r="L5155" i="16"/>
  <c r="L5147" i="16"/>
  <c r="L5150" i="16"/>
  <c r="L5148" i="16"/>
  <c r="L5151" i="16"/>
  <c r="L5156" i="16"/>
  <c r="L5152" i="16"/>
  <c r="L5154" i="16"/>
  <c r="B5200" i="16"/>
  <c r="L5162" i="16"/>
  <c r="L5158" i="16"/>
  <c r="L5160" i="16"/>
  <c r="L5161" i="16"/>
  <c r="L5159" i="16"/>
  <c r="A965" i="30"/>
  <c r="B966" i="30"/>
  <c r="B92" i="35"/>
  <c r="A93" i="35"/>
  <c r="C7" i="30"/>
  <c r="B8" i="30"/>
  <c r="A8" i="30"/>
  <c r="L5210" i="16" l="1"/>
  <c r="L5208" i="16"/>
  <c r="L5212" i="16"/>
  <c r="L5207" i="16"/>
  <c r="L5217" i="16"/>
  <c r="L5201" i="16"/>
  <c r="B5253" i="16"/>
  <c r="L5209" i="16"/>
  <c r="A5197" i="16"/>
  <c r="L5216" i="16" s="1"/>
  <c r="L5199" i="16"/>
  <c r="L5211" i="16"/>
  <c r="L5200" i="16"/>
  <c r="L5204" i="16"/>
  <c r="L5202" i="16"/>
  <c r="L5213" i="16"/>
  <c r="L5206" i="16"/>
  <c r="L5203" i="16"/>
  <c r="L5214" i="16"/>
  <c r="L5215" i="16"/>
  <c r="L5205" i="16"/>
  <c r="A966" i="30"/>
  <c r="B967" i="30"/>
  <c r="A94" i="35"/>
  <c r="B93" i="35"/>
  <c r="C8" i="30"/>
  <c r="B9" i="30"/>
  <c r="A9" i="30"/>
  <c r="B5306" i="16" l="1"/>
  <c r="L5267" i="16"/>
  <c r="L5268" i="16"/>
  <c r="L5264" i="16"/>
  <c r="L5260" i="16"/>
  <c r="L5263" i="16"/>
  <c r="L5254" i="16"/>
  <c r="L5257" i="16"/>
  <c r="A5250" i="16"/>
  <c r="L5269" i="16" s="1"/>
  <c r="L5252" i="16"/>
  <c r="L5270" i="16"/>
  <c r="L5261" i="16"/>
  <c r="L5266" i="16"/>
  <c r="L5258" i="16"/>
  <c r="L5256" i="16"/>
  <c r="L5262" i="16"/>
  <c r="L5259" i="16"/>
  <c r="L5253" i="16"/>
  <c r="L5265" i="16"/>
  <c r="L5255" i="16"/>
  <c r="A967" i="30"/>
  <c r="B968" i="30"/>
  <c r="B94" i="35"/>
  <c r="A95" i="35"/>
  <c r="C9" i="30"/>
  <c r="B10" i="30"/>
  <c r="L5305" i="16" l="1"/>
  <c r="L5308" i="16"/>
  <c r="L5309" i="16"/>
  <c r="L5313" i="16"/>
  <c r="L5316" i="16"/>
  <c r="L5317" i="16"/>
  <c r="L5310" i="16"/>
  <c r="L5311" i="16"/>
  <c r="L5312" i="16"/>
  <c r="L5319" i="16"/>
  <c r="B5359" i="16"/>
  <c r="L5306" i="16"/>
  <c r="L5307" i="16"/>
  <c r="L5320" i="16"/>
  <c r="L5321" i="16"/>
  <c r="L5323" i="16"/>
  <c r="L5318" i="16"/>
  <c r="A5303" i="16"/>
  <c r="L5322" i="16" s="1"/>
  <c r="L5315" i="16"/>
  <c r="L5314" i="16"/>
  <c r="B969" i="30"/>
  <c r="A968" i="30"/>
  <c r="B95" i="35"/>
  <c r="A96" i="35"/>
  <c r="A10" i="30"/>
  <c r="C10" i="30"/>
  <c r="B11" i="30"/>
  <c r="N10" i="30"/>
  <c r="M10" i="30"/>
  <c r="P10" i="30"/>
  <c r="O10" i="30"/>
  <c r="Q10" i="30"/>
  <c r="L5369" i="16" l="1"/>
  <c r="L5373" i="16"/>
  <c r="L5374" i="16"/>
  <c r="L5376" i="16"/>
  <c r="L5360" i="16"/>
  <c r="L5363" i="16"/>
  <c r="L5364" i="16"/>
  <c r="L5367" i="16"/>
  <c r="L5368" i="16"/>
  <c r="L5370" i="16"/>
  <c r="L5372" i="16"/>
  <c r="L5366" i="16"/>
  <c r="L5371" i="16"/>
  <c r="B5412" i="16"/>
  <c r="L5359" i="16"/>
  <c r="L5361" i="16"/>
  <c r="L5362" i="16"/>
  <c r="A5356" i="16"/>
  <c r="L5375" i="16" s="1"/>
  <c r="L5365" i="16"/>
  <c r="L5358" i="16"/>
  <c r="A969" i="30"/>
  <c r="B970" i="30"/>
  <c r="B96" i="35"/>
  <c r="A97" i="35"/>
  <c r="A11" i="30"/>
  <c r="P11" i="30"/>
  <c r="P12" i="30"/>
  <c r="P14" i="30"/>
  <c r="P13" i="30"/>
  <c r="M11" i="30"/>
  <c r="M12" i="30"/>
  <c r="M14" i="30"/>
  <c r="M13" i="30"/>
  <c r="R14" i="30"/>
  <c r="R12" i="30"/>
  <c r="R13" i="30"/>
  <c r="R11" i="30"/>
  <c r="N14" i="30"/>
  <c r="N13" i="30"/>
  <c r="N12" i="30"/>
  <c r="N11" i="30"/>
  <c r="O14" i="30"/>
  <c r="O13" i="30"/>
  <c r="O11" i="30"/>
  <c r="O12" i="30"/>
  <c r="C11" i="30"/>
  <c r="B12" i="30"/>
  <c r="A12" i="30" s="1"/>
  <c r="Q14" i="30"/>
  <c r="Q11" i="30"/>
  <c r="Q12" i="30"/>
  <c r="Q13" i="30"/>
  <c r="L5412" i="16" l="1"/>
  <c r="L5425" i="16"/>
  <c r="L5426" i="16"/>
  <c r="L5429" i="16"/>
  <c r="L5427" i="16"/>
  <c r="B5465" i="16"/>
  <c r="L5424" i="16"/>
  <c r="L5413" i="16"/>
  <c r="L5421" i="16"/>
  <c r="L5420" i="16"/>
  <c r="L5422" i="16"/>
  <c r="A5409" i="16"/>
  <c r="L5428" i="16" s="1"/>
  <c r="L5411" i="16"/>
  <c r="L5423" i="16"/>
  <c r="L5414" i="16"/>
  <c r="L5419" i="16"/>
  <c r="L5418" i="16"/>
  <c r="L5415" i="16"/>
  <c r="L5417" i="16"/>
  <c r="L5416" i="16"/>
  <c r="A970" i="30"/>
  <c r="B971" i="30"/>
  <c r="A98" i="35"/>
  <c r="B97" i="35"/>
  <c r="B13" i="30"/>
  <c r="C12" i="30"/>
  <c r="A13" i="30"/>
  <c r="L5468" i="16" l="1"/>
  <c r="L5476" i="16"/>
  <c r="L5477" i="16"/>
  <c r="L5479" i="16"/>
  <c r="L5480" i="16"/>
  <c r="L5482" i="16"/>
  <c r="L5478" i="16"/>
  <c r="B5518" i="16"/>
  <c r="L5472" i="16"/>
  <c r="L5467" i="16"/>
  <c r="L5466" i="16"/>
  <c r="L5469" i="16"/>
  <c r="L5464" i="16"/>
  <c r="A5462" i="16"/>
  <c r="L5481" i="16" s="1"/>
  <c r="L5470" i="16"/>
  <c r="L5475" i="16"/>
  <c r="L5474" i="16"/>
  <c r="L5473" i="16"/>
  <c r="L5471" i="16"/>
  <c r="L5465" i="16"/>
  <c r="B972" i="30"/>
  <c r="A971" i="30"/>
  <c r="B98" i="35"/>
  <c r="A99" i="35"/>
  <c r="C13" i="30"/>
  <c r="B14" i="30"/>
  <c r="L5524" i="16" l="1"/>
  <c r="L5518" i="16"/>
  <c r="L5517" i="16"/>
  <c r="L5531" i="16"/>
  <c r="L5522" i="16"/>
  <c r="L5520" i="16"/>
  <c r="L5535" i="16"/>
  <c r="L5519" i="16"/>
  <c r="L5532" i="16"/>
  <c r="L5523" i="16"/>
  <c r="A5515" i="16"/>
  <c r="L5534" i="16" s="1"/>
  <c r="L5525" i="16"/>
  <c r="L5528" i="16"/>
  <c r="L5530" i="16"/>
  <c r="L5527" i="16"/>
  <c r="B5571" i="16"/>
  <c r="L5533" i="16"/>
  <c r="L5529" i="16"/>
  <c r="L5521" i="16"/>
  <c r="L5526" i="16"/>
  <c r="A972" i="30"/>
  <c r="B973" i="30"/>
  <c r="A100" i="35"/>
  <c r="B99" i="35"/>
  <c r="C14" i="30"/>
  <c r="B15" i="30"/>
  <c r="A14" i="30"/>
  <c r="L5570" i="16" l="1"/>
  <c r="L5586" i="16"/>
  <c r="L5581" i="16"/>
  <c r="L5573" i="16"/>
  <c r="L5588" i="16"/>
  <c r="L5578" i="16"/>
  <c r="L5583" i="16"/>
  <c r="L5575" i="16"/>
  <c r="L5579" i="16"/>
  <c r="L5585" i="16"/>
  <c r="L5584" i="16"/>
  <c r="L5577" i="16"/>
  <c r="L5582" i="16"/>
  <c r="L5572" i="16"/>
  <c r="L5576" i="16"/>
  <c r="B5624" i="16"/>
  <c r="L5580" i="16"/>
  <c r="L5571" i="16"/>
  <c r="A5568" i="16"/>
  <c r="L5587" i="16" s="1"/>
  <c r="L5574" i="16"/>
  <c r="B974" i="30"/>
  <c r="A973" i="30"/>
  <c r="B100" i="35"/>
  <c r="A101" i="35"/>
  <c r="C15" i="30"/>
  <c r="B16" i="30"/>
  <c r="A15" i="30"/>
  <c r="B5677" i="16" l="1"/>
  <c r="L5633" i="16"/>
  <c r="L5625" i="16"/>
  <c r="L5632" i="16"/>
  <c r="L5641" i="16"/>
  <c r="L5631" i="16"/>
  <c r="L5635" i="16"/>
  <c r="L5634" i="16"/>
  <c r="L5623" i="16"/>
  <c r="L5627" i="16"/>
  <c r="L5639" i="16"/>
  <c r="L5629" i="16"/>
  <c r="L5628" i="16"/>
  <c r="L5637" i="16"/>
  <c r="A5621" i="16"/>
  <c r="L5640" i="16" s="1"/>
  <c r="L5630" i="16"/>
  <c r="L5638" i="16"/>
  <c r="L5626" i="16"/>
  <c r="L5624" i="16"/>
  <c r="L5636" i="16"/>
  <c r="A974" i="30"/>
  <c r="B975" i="30"/>
  <c r="B101" i="35"/>
  <c r="A102" i="35"/>
  <c r="B17" i="30"/>
  <c r="C16" i="30"/>
  <c r="A16" i="30"/>
  <c r="L5678" i="16" l="1"/>
  <c r="B5730" i="16"/>
  <c r="L5677" i="16"/>
  <c r="L5691" i="16"/>
  <c r="L5689" i="16"/>
  <c r="L5687" i="16"/>
  <c r="L5684" i="16"/>
  <c r="L5679" i="16"/>
  <c r="L5690" i="16"/>
  <c r="L5688" i="16"/>
  <c r="L5686" i="16"/>
  <c r="L5685" i="16"/>
  <c r="L5683" i="16"/>
  <c r="L5692" i="16"/>
  <c r="L5682" i="16"/>
  <c r="L5676" i="16"/>
  <c r="L5694" i="16"/>
  <c r="L5680" i="16"/>
  <c r="A5674" i="16"/>
  <c r="L5693" i="16" s="1"/>
  <c r="L5681" i="16"/>
  <c r="B976" i="30"/>
  <c r="A975" i="30"/>
  <c r="B102" i="35"/>
  <c r="A103" i="35"/>
  <c r="B18" i="30"/>
  <c r="C17" i="30"/>
  <c r="O17" i="30"/>
  <c r="N17" i="30"/>
  <c r="P17" i="30"/>
  <c r="M17" i="30"/>
  <c r="Q17" i="30"/>
  <c r="A17" i="30"/>
  <c r="L5731" i="16" l="1"/>
  <c r="L5729" i="16"/>
  <c r="A5727" i="16"/>
  <c r="L5746" i="16" s="1"/>
  <c r="B5783" i="16"/>
  <c r="L5730" i="16"/>
  <c r="L5733" i="16"/>
  <c r="L5734" i="16"/>
  <c r="L5735" i="16"/>
  <c r="L5739" i="16"/>
  <c r="L5744" i="16"/>
  <c r="L5742" i="16"/>
  <c r="L5747" i="16"/>
  <c r="L5738" i="16"/>
  <c r="L5736" i="16"/>
  <c r="L5737" i="16"/>
  <c r="L5741" i="16"/>
  <c r="L5745" i="16"/>
  <c r="L5743" i="16"/>
  <c r="L5740" i="16"/>
  <c r="L5732" i="16"/>
  <c r="A976" i="30"/>
  <c r="B977" i="30"/>
  <c r="A104" i="35"/>
  <c r="B103" i="35"/>
  <c r="M21" i="30"/>
  <c r="M18" i="30"/>
  <c r="M19" i="30"/>
  <c r="M20" i="30"/>
  <c r="N21" i="30"/>
  <c r="N20" i="30"/>
  <c r="N19" i="30"/>
  <c r="N18" i="30"/>
  <c r="R20" i="30"/>
  <c r="R21" i="30"/>
  <c r="R19" i="30"/>
  <c r="R18" i="30"/>
  <c r="O18" i="30"/>
  <c r="O21" i="30"/>
  <c r="O19" i="30"/>
  <c r="O20" i="30"/>
  <c r="Q20" i="30"/>
  <c r="Q19" i="30"/>
  <c r="Q18" i="30"/>
  <c r="Q21" i="30"/>
  <c r="P20" i="30"/>
  <c r="P21" i="30"/>
  <c r="P19" i="30"/>
  <c r="P18" i="30"/>
  <c r="B19" i="30"/>
  <c r="C18" i="30"/>
  <c r="A18" i="30"/>
  <c r="L5784" i="16" l="1"/>
  <c r="B5836" i="16"/>
  <c r="L5794" i="16"/>
  <c r="L5800" i="16"/>
  <c r="L5795" i="16"/>
  <c r="A5780" i="16"/>
  <c r="L5799" i="16" s="1"/>
  <c r="L5796" i="16"/>
  <c r="L5782" i="16"/>
  <c r="L5787" i="16"/>
  <c r="L5793" i="16"/>
  <c r="L5798" i="16"/>
  <c r="L5791" i="16"/>
  <c r="L5792" i="16"/>
  <c r="L5789" i="16"/>
  <c r="L5797" i="16"/>
  <c r="L5790" i="16"/>
  <c r="L5785" i="16"/>
  <c r="L5786" i="16"/>
  <c r="L5788" i="16"/>
  <c r="L5783" i="16"/>
  <c r="A977" i="30"/>
  <c r="B978" i="30"/>
  <c r="A105" i="35"/>
  <c r="B104" i="35"/>
  <c r="C19" i="30"/>
  <c r="B20" i="30"/>
  <c r="A19" i="30"/>
  <c r="A5833" i="16" l="1"/>
  <c r="L5852" i="16" s="1"/>
  <c r="L5853" i="16"/>
  <c r="L5836" i="16"/>
  <c r="L5842" i="16"/>
  <c r="L5851" i="16"/>
  <c r="L5848" i="16"/>
  <c r="L5835" i="16"/>
  <c r="L5844" i="16"/>
  <c r="L5837" i="16"/>
  <c r="L5840" i="16"/>
  <c r="B5889" i="16"/>
  <c r="L5841" i="16"/>
  <c r="L5849" i="16"/>
  <c r="L5843" i="16"/>
  <c r="L5839" i="16"/>
  <c r="L5846" i="16"/>
  <c r="L5838" i="16"/>
  <c r="L5850" i="16"/>
  <c r="L5845" i="16"/>
  <c r="L5847" i="16"/>
  <c r="A978" i="30"/>
  <c r="B979" i="30"/>
  <c r="A106" i="35"/>
  <c r="B105" i="35"/>
  <c r="B21" i="30"/>
  <c r="C20" i="30"/>
  <c r="A20" i="30"/>
  <c r="L5891" i="16" l="1"/>
  <c r="L5890" i="16"/>
  <c r="L5889" i="16"/>
  <c r="L5888" i="16"/>
  <c r="A5886" i="16"/>
  <c r="L5905" i="16" s="1"/>
  <c r="L5897" i="16"/>
  <c r="L5902" i="16"/>
  <c r="L5896" i="16"/>
  <c r="L5900" i="16"/>
  <c r="L5894" i="16"/>
  <c r="B5942" i="16"/>
  <c r="L5903" i="16"/>
  <c r="L5906" i="16"/>
  <c r="L5898" i="16"/>
  <c r="L5901" i="16"/>
  <c r="L5904" i="16"/>
  <c r="L5895" i="16"/>
  <c r="L5892" i="16"/>
  <c r="L5899" i="16"/>
  <c r="L5893" i="16"/>
  <c r="B980" i="30"/>
  <c r="A979" i="30"/>
  <c r="A107" i="35"/>
  <c r="B106" i="35"/>
  <c r="C21" i="30"/>
  <c r="B22" i="30"/>
  <c r="A21" i="30"/>
  <c r="L5947" i="16" l="1"/>
  <c r="L5945" i="16"/>
  <c r="L5944" i="16"/>
  <c r="L5946" i="16"/>
  <c r="L5943" i="16"/>
  <c r="A5939" i="16"/>
  <c r="L5958" i="16" s="1"/>
  <c r="L5949" i="16"/>
  <c r="L5948" i="16"/>
  <c r="L5957" i="16"/>
  <c r="L5956" i="16"/>
  <c r="L5953" i="16"/>
  <c r="L5942" i="16"/>
  <c r="L5941" i="16"/>
  <c r="B5995" i="16"/>
  <c r="L5951" i="16"/>
  <c r="L5959" i="16"/>
  <c r="L5952" i="16"/>
  <c r="L5950" i="16"/>
  <c r="L5954" i="16"/>
  <c r="L5955" i="16"/>
  <c r="B981" i="30"/>
  <c r="A980" i="30"/>
  <c r="A108" i="35"/>
  <c r="B107" i="35"/>
  <c r="B23" i="30"/>
  <c r="C22" i="30"/>
  <c r="A22" i="30"/>
  <c r="B6048" i="16" l="1"/>
  <c r="L6003" i="16"/>
  <c r="L6002" i="16"/>
  <c r="L6001" i="16"/>
  <c r="L6000" i="16"/>
  <c r="L5998" i="16"/>
  <c r="L5997" i="16"/>
  <c r="L6009" i="16"/>
  <c r="L6006" i="16"/>
  <c r="L6007" i="16"/>
  <c r="L5996" i="16"/>
  <c r="L5995" i="16"/>
  <c r="L6012" i="16"/>
  <c r="L6010" i="16"/>
  <c r="L5999" i="16"/>
  <c r="L6004" i="16"/>
  <c r="L6005" i="16"/>
  <c r="A5992" i="16"/>
  <c r="L6011" i="16" s="1"/>
  <c r="L6008" i="16"/>
  <c r="L5994" i="16"/>
  <c r="B6101" i="16"/>
  <c r="A981" i="30"/>
  <c r="B982" i="30"/>
  <c r="A109" i="35"/>
  <c r="B108" i="35"/>
  <c r="C23" i="30"/>
  <c r="B24" i="30"/>
  <c r="A23" i="30"/>
  <c r="L6112" i="16" l="1"/>
  <c r="L6109" i="16"/>
  <c r="L6107" i="16"/>
  <c r="L6106" i="16"/>
  <c r="L6108" i="16"/>
  <c r="L6116" i="16"/>
  <c r="B6154" i="16"/>
  <c r="L6113" i="16"/>
  <c r="L6100" i="16"/>
  <c r="L6101" i="16"/>
  <c r="A6098" i="16"/>
  <c r="L6117" i="16" s="1"/>
  <c r="L6111" i="16"/>
  <c r="L6114" i="16"/>
  <c r="L6104" i="16"/>
  <c r="L6110" i="16"/>
  <c r="L6118" i="16"/>
  <c r="L6102" i="16"/>
  <c r="L6115" i="16"/>
  <c r="L6105" i="16"/>
  <c r="L6103" i="16"/>
  <c r="L6065" i="16"/>
  <c r="L6062" i="16"/>
  <c r="L6060" i="16"/>
  <c r="L6058" i="16"/>
  <c r="L6055" i="16"/>
  <c r="L6053" i="16"/>
  <c r="L6051" i="16"/>
  <c r="L6048" i="16"/>
  <c r="L6047" i="16"/>
  <c r="A6045" i="16"/>
  <c r="L6064" i="16" s="1"/>
  <c r="L6061" i="16"/>
  <c r="L6057" i="16"/>
  <c r="L6056" i="16"/>
  <c r="L6054" i="16"/>
  <c r="L6052" i="16"/>
  <c r="L6050" i="16"/>
  <c r="L6049" i="16"/>
  <c r="L6063" i="16"/>
  <c r="L6059" i="16"/>
  <c r="A982" i="30"/>
  <c r="B983" i="30"/>
  <c r="A110" i="35"/>
  <c r="B109" i="35"/>
  <c r="C24" i="30"/>
  <c r="B25" i="30"/>
  <c r="O24" i="30"/>
  <c r="P24" i="30"/>
  <c r="Q24" i="30"/>
  <c r="M24" i="30"/>
  <c r="N24" i="30"/>
  <c r="A24" i="30"/>
  <c r="L6168" i="16" l="1"/>
  <c r="L6164" i="16"/>
  <c r="L6167" i="16"/>
  <c r="L6153" i="16"/>
  <c r="L6166" i="16"/>
  <c r="L6161" i="16"/>
  <c r="L6165" i="16"/>
  <c r="L6157" i="16"/>
  <c r="L6156" i="16"/>
  <c r="L6160" i="16"/>
  <c r="L6159" i="16"/>
  <c r="L6163" i="16"/>
  <c r="A6151" i="16"/>
  <c r="L6170" i="16" s="1"/>
  <c r="L6169" i="16"/>
  <c r="L6155" i="16"/>
  <c r="L6162" i="16"/>
  <c r="L6171" i="16"/>
  <c r="L6158" i="16"/>
  <c r="B6207" i="16"/>
  <c r="L6154" i="16"/>
  <c r="B984" i="30"/>
  <c r="A983" i="30"/>
  <c r="A111" i="35"/>
  <c r="B110" i="35"/>
  <c r="M27" i="30"/>
  <c r="M25" i="30"/>
  <c r="M28" i="30"/>
  <c r="M26" i="30"/>
  <c r="N26" i="30"/>
  <c r="N25" i="30"/>
  <c r="N27" i="30"/>
  <c r="N28" i="30"/>
  <c r="P26" i="30"/>
  <c r="P25" i="30"/>
  <c r="P28" i="30"/>
  <c r="P27" i="30"/>
  <c r="R26" i="30"/>
  <c r="R28" i="30"/>
  <c r="R27" i="30"/>
  <c r="R25" i="30"/>
  <c r="O27" i="30"/>
  <c r="O25" i="30"/>
  <c r="O28" i="30"/>
  <c r="O26" i="30"/>
  <c r="C25" i="30"/>
  <c r="B26" i="30"/>
  <c r="A25" i="30"/>
  <c r="Q26" i="30"/>
  <c r="Q28" i="30"/>
  <c r="Q25" i="30"/>
  <c r="Q27" i="30"/>
  <c r="L6224" i="16" l="1"/>
  <c r="L6213" i="16"/>
  <c r="L6219" i="16"/>
  <c r="L6215" i="16"/>
  <c r="B6260" i="16"/>
  <c r="L6217" i="16"/>
  <c r="L6222" i="16"/>
  <c r="L6221" i="16"/>
  <c r="L6220" i="16"/>
  <c r="L6216" i="16"/>
  <c r="L6211" i="16"/>
  <c r="L6218" i="16"/>
  <c r="L6214" i="16"/>
  <c r="L6212" i="16"/>
  <c r="L6210" i="16"/>
  <c r="L6209" i="16"/>
  <c r="L6208" i="16"/>
  <c r="L6207" i="16"/>
  <c r="L6206" i="16"/>
  <c r="A6204" i="16"/>
  <c r="L6223" i="16" s="1"/>
  <c r="A984" i="30"/>
  <c r="B985" i="30"/>
  <c r="A112" i="35"/>
  <c r="B111" i="35"/>
  <c r="C26" i="30"/>
  <c r="B27" i="30"/>
  <c r="A26" i="30"/>
  <c r="B6313" i="16" l="1"/>
  <c r="L6271" i="16"/>
  <c r="L6277" i="16"/>
  <c r="L6274" i="16"/>
  <c r="L6273" i="16"/>
  <c r="L6275" i="16"/>
  <c r="L6261" i="16"/>
  <c r="L6260" i="16"/>
  <c r="L6259" i="16"/>
  <c r="L6269" i="16"/>
  <c r="L6270" i="16"/>
  <c r="L6268" i="16"/>
  <c r="L6262" i="16"/>
  <c r="L6263" i="16"/>
  <c r="A6257" i="16"/>
  <c r="L6276" i="16" s="1"/>
  <c r="L6272" i="16"/>
  <c r="L6267" i="16"/>
  <c r="L6266" i="16"/>
  <c r="L6265" i="16"/>
  <c r="L6264" i="16"/>
  <c r="A985" i="30"/>
  <c r="B986" i="30"/>
  <c r="A113" i="35"/>
  <c r="B112" i="35"/>
  <c r="C27" i="30"/>
  <c r="B28" i="30"/>
  <c r="A27" i="30"/>
  <c r="A6310" i="16" l="1"/>
  <c r="L6329" i="16" s="1"/>
  <c r="B6366" i="16"/>
  <c r="B6419" i="16" s="1"/>
  <c r="L6330" i="16"/>
  <c r="L6325" i="16"/>
  <c r="L6316" i="16"/>
  <c r="L6320" i="16"/>
  <c r="L6317" i="16"/>
  <c r="L6322" i="16"/>
  <c r="L6321" i="16"/>
  <c r="L6328" i="16"/>
  <c r="L6312" i="16"/>
  <c r="L6318" i="16"/>
  <c r="L6324" i="16"/>
  <c r="L6314" i="16"/>
  <c r="L6326" i="16"/>
  <c r="L6315" i="16"/>
  <c r="L6313" i="16"/>
  <c r="L6319" i="16"/>
  <c r="L6327" i="16"/>
  <c r="L6323" i="16"/>
  <c r="A986" i="30"/>
  <c r="B987" i="30"/>
  <c r="A114" i="35"/>
  <c r="B113" i="35"/>
  <c r="B29" i="30"/>
  <c r="C28" i="30"/>
  <c r="A28" i="30"/>
  <c r="L6434" i="16" l="1"/>
  <c r="L6433" i="16"/>
  <c r="L6430" i="16"/>
  <c r="L6429" i="16"/>
  <c r="L6428" i="16"/>
  <c r="L6427" i="16"/>
  <c r="L6426" i="16"/>
  <c r="L6425" i="16"/>
  <c r="L6424" i="16"/>
  <c r="L6423" i="16"/>
  <c r="L6422" i="16"/>
  <c r="L6421" i="16"/>
  <c r="L6420" i="16"/>
  <c r="L6419" i="16"/>
  <c r="L6418" i="16"/>
  <c r="A6416" i="16"/>
  <c r="L6435" i="16" s="1"/>
  <c r="L6436" i="16"/>
  <c r="L6432" i="16"/>
  <c r="L6431" i="16"/>
  <c r="L6368" i="16"/>
  <c r="L6366" i="16"/>
  <c r="L6367" i="16"/>
  <c r="L6365" i="16"/>
  <c r="A6363" i="16"/>
  <c r="L6382" i="16" s="1"/>
  <c r="L6369" i="16"/>
  <c r="L6381" i="16"/>
  <c r="L6380" i="16"/>
  <c r="L6378" i="16"/>
  <c r="L6377" i="16"/>
  <c r="L6372" i="16"/>
  <c r="L6375" i="16"/>
  <c r="L6374" i="16"/>
  <c r="L6370" i="16"/>
  <c r="L6383" i="16"/>
  <c r="L6376" i="16"/>
  <c r="L6379" i="16"/>
  <c r="L6371" i="16"/>
  <c r="L6373" i="16"/>
  <c r="B988" i="30"/>
  <c r="A987" i="30"/>
  <c r="A115" i="35"/>
  <c r="B114" i="35"/>
  <c r="B30" i="30"/>
  <c r="C29" i="30"/>
  <c r="A29" i="30"/>
  <c r="L6477" i="16" l="1"/>
  <c r="L6473" i="16"/>
  <c r="L6472" i="16"/>
  <c r="L6471" i="16"/>
  <c r="L6476" i="16"/>
  <c r="L6475" i="16"/>
  <c r="L6474" i="16"/>
  <c r="L6481" i="16"/>
  <c r="L6478" i="16"/>
  <c r="L6489" i="16"/>
  <c r="L6479" i="16"/>
  <c r="L6485" i="16"/>
  <c r="L6484" i="16"/>
  <c r="B6525" i="16"/>
  <c r="L6487" i="16"/>
  <c r="L6486" i="16"/>
  <c r="L6480" i="16"/>
  <c r="L6482" i="16"/>
  <c r="L6483" i="16"/>
  <c r="L6488" i="16"/>
  <c r="A988" i="30"/>
  <c r="B989" i="30"/>
  <c r="A116" i="35"/>
  <c r="B115" i="35"/>
  <c r="B31" i="30"/>
  <c r="C30" i="30"/>
  <c r="A30" i="30"/>
  <c r="L6533" i="16" l="1"/>
  <c r="L6530" i="16"/>
  <c r="L6532" i="16"/>
  <c r="L6529" i="16"/>
  <c r="L6527" i="16"/>
  <c r="L6539" i="16"/>
  <c r="L6534" i="16"/>
  <c r="L6542" i="16"/>
  <c r="L6538" i="16"/>
  <c r="L6536" i="16"/>
  <c r="L6540" i="16"/>
  <c r="A6522" i="16"/>
  <c r="L6541" i="16" s="1"/>
  <c r="L6531" i="16"/>
  <c r="L6528" i="16"/>
  <c r="L6526" i="16"/>
  <c r="B6578" i="16"/>
  <c r="L6525" i="16"/>
  <c r="L6537" i="16"/>
  <c r="L6535" i="16"/>
  <c r="L6524" i="16"/>
  <c r="A989" i="30"/>
  <c r="B990" i="30"/>
  <c r="B116" i="35"/>
  <c r="A117" i="35"/>
  <c r="C31" i="30"/>
  <c r="B32" i="30"/>
  <c r="M31" i="30"/>
  <c r="N31" i="30"/>
  <c r="Q31" i="30"/>
  <c r="O31" i="30"/>
  <c r="P31" i="30"/>
  <c r="A31" i="30"/>
  <c r="L6589" i="16" l="1"/>
  <c r="L6587" i="16"/>
  <c r="L6585" i="16"/>
  <c r="L6584" i="16"/>
  <c r="L6588" i="16"/>
  <c r="L6583" i="16"/>
  <c r="L6582" i="16"/>
  <c r="L6577" i="16"/>
  <c r="A6575" i="16"/>
  <c r="L6594" i="16" s="1"/>
  <c r="L6579" i="16"/>
  <c r="L6592" i="16"/>
  <c r="L6593" i="16"/>
  <c r="L6581" i="16"/>
  <c r="L6580" i="16"/>
  <c r="L6586" i="16"/>
  <c r="L6578" i="16"/>
  <c r="L6595" i="16"/>
  <c r="L6590" i="16"/>
  <c r="B6631" i="16"/>
  <c r="L6591" i="16"/>
  <c r="A990" i="30"/>
  <c r="B991" i="30"/>
  <c r="B117" i="35"/>
  <c r="A118" i="35"/>
  <c r="O34" i="30"/>
  <c r="O35" i="30"/>
  <c r="O33" i="30"/>
  <c r="O32" i="30"/>
  <c r="N33" i="30"/>
  <c r="N34" i="30"/>
  <c r="N32" i="30"/>
  <c r="N35" i="30"/>
  <c r="R32" i="30"/>
  <c r="R33" i="30"/>
  <c r="R34" i="30"/>
  <c r="R35" i="30"/>
  <c r="M33" i="30"/>
  <c r="M35" i="30"/>
  <c r="M34" i="30"/>
  <c r="M32" i="30"/>
  <c r="C32" i="30"/>
  <c r="B33" i="30"/>
  <c r="A32" i="30"/>
  <c r="P35" i="30"/>
  <c r="P34" i="30"/>
  <c r="P32" i="30"/>
  <c r="P33" i="30"/>
  <c r="Q35" i="30"/>
  <c r="Q33" i="30"/>
  <c r="Q32" i="30"/>
  <c r="Q34" i="30"/>
  <c r="L6645" i="16" l="1"/>
  <c r="L6643" i="16"/>
  <c r="L6642" i="16"/>
  <c r="L6639" i="16"/>
  <c r="L6638" i="16"/>
  <c r="L6644" i="16"/>
  <c r="L6640" i="16"/>
  <c r="L6648" i="16"/>
  <c r="L6636" i="16"/>
  <c r="L6633" i="16"/>
  <c r="L6631" i="16"/>
  <c r="L6630" i="16"/>
  <c r="L6635" i="16"/>
  <c r="A6628" i="16"/>
  <c r="L6647" i="16" s="1"/>
  <c r="L6641" i="16"/>
  <c r="L6646" i="16"/>
  <c r="L6632" i="16"/>
  <c r="L6634" i="16"/>
  <c r="B6684" i="16"/>
  <c r="L6637" i="16"/>
  <c r="A991" i="30"/>
  <c r="B992" i="30"/>
  <c r="B118" i="35"/>
  <c r="A119" i="35"/>
  <c r="C33" i="30"/>
  <c r="B34" i="30"/>
  <c r="A33" i="30"/>
  <c r="L6701" i="16" l="1"/>
  <c r="L6699" i="16"/>
  <c r="L6697" i="16"/>
  <c r="L6696" i="16"/>
  <c r="L6698" i="16"/>
  <c r="L6695" i="16"/>
  <c r="L6694" i="16"/>
  <c r="A6681" i="16"/>
  <c r="L6700" i="16" s="1"/>
  <c r="B6737" i="16"/>
  <c r="L6693" i="16"/>
  <c r="L6689" i="16"/>
  <c r="L6692" i="16"/>
  <c r="L6691" i="16"/>
  <c r="L6688" i="16"/>
  <c r="L6685" i="16"/>
  <c r="L6690" i="16"/>
  <c r="L6687" i="16"/>
  <c r="L6686" i="16"/>
  <c r="L6684" i="16"/>
  <c r="L6683" i="16"/>
  <c r="B993" i="30"/>
  <c r="A992" i="30"/>
  <c r="B119" i="35"/>
  <c r="A120" i="35"/>
  <c r="B35" i="30"/>
  <c r="C34" i="30"/>
  <c r="A34" i="30"/>
  <c r="F118" i="2"/>
  <c r="B6790" i="16" l="1"/>
  <c r="L6752" i="16"/>
  <c r="L6751" i="16"/>
  <c r="L6754" i="16"/>
  <c r="L6750" i="16"/>
  <c r="L6745" i="16"/>
  <c r="L6736" i="16"/>
  <c r="A6734" i="16"/>
  <c r="L6753" i="16" s="1"/>
  <c r="L6744" i="16"/>
  <c r="L6743" i="16"/>
  <c r="L6739" i="16"/>
  <c r="L6737" i="16"/>
  <c r="L6747" i="16"/>
  <c r="L6749" i="16"/>
  <c r="L6740" i="16"/>
  <c r="L6742" i="16"/>
  <c r="L6738" i="16"/>
  <c r="L6741" i="16"/>
  <c r="L6748" i="16"/>
  <c r="L6746" i="16"/>
  <c r="A993" i="30"/>
  <c r="B994" i="30"/>
  <c r="B120" i="35"/>
  <c r="A121" i="35"/>
  <c r="C35" i="30"/>
  <c r="B36" i="30"/>
  <c r="A35" i="30"/>
  <c r="F119" i="2"/>
  <c r="S53" i="2"/>
  <c r="S54" i="2"/>
  <c r="S55" i="2"/>
  <c r="S56" i="2"/>
  <c r="S57" i="2"/>
  <c r="F117" i="2"/>
  <c r="F113" i="2"/>
  <c r="F115" i="2"/>
  <c r="I1" i="29"/>
  <c r="C3" i="29" s="1"/>
  <c r="F112" i="2"/>
  <c r="F104" i="2"/>
  <c r="F105" i="2"/>
  <c r="F106" i="2"/>
  <c r="F107" i="2"/>
  <c r="F108" i="2"/>
  <c r="F109" i="2"/>
  <c r="F110" i="2"/>
  <c r="F111" i="2"/>
  <c r="F114" i="2"/>
  <c r="D3" i="2"/>
  <c r="E1" i="16"/>
  <c r="L6789" i="16" l="1"/>
  <c r="A6787" i="16"/>
  <c r="L6806" i="16" s="1"/>
  <c r="B6843" i="16"/>
  <c r="L6807" i="16"/>
  <c r="L6802" i="16"/>
  <c r="L6801" i="16"/>
  <c r="L6799" i="16"/>
  <c r="L6793" i="16"/>
  <c r="L6805" i="16"/>
  <c r="L6804" i="16"/>
  <c r="L6800" i="16"/>
  <c r="L6798" i="16"/>
  <c r="L6797" i="16"/>
  <c r="L6795" i="16"/>
  <c r="L6790" i="16"/>
  <c r="L6792" i="16"/>
  <c r="L6803" i="16"/>
  <c r="L6794" i="16"/>
  <c r="L6791" i="16"/>
  <c r="L6796" i="16"/>
  <c r="A994" i="30"/>
  <c r="B995" i="30"/>
  <c r="A122" i="35"/>
  <c r="B121" i="35"/>
  <c r="B37" i="30"/>
  <c r="C36" i="30"/>
  <c r="A36" i="30"/>
  <c r="D3" i="29"/>
  <c r="L6845" i="16" l="1"/>
  <c r="L6843" i="16"/>
  <c r="L6842" i="16"/>
  <c r="B6896" i="16"/>
  <c r="L6844" i="16"/>
  <c r="A6840" i="16"/>
  <c r="L6859" i="16" s="1"/>
  <c r="L6849" i="16"/>
  <c r="L6848" i="16"/>
  <c r="L6853" i="16"/>
  <c r="L6851" i="16"/>
  <c r="L6847" i="16"/>
  <c r="L6846" i="16"/>
  <c r="L6852" i="16"/>
  <c r="L6850" i="16"/>
  <c r="L6860" i="16"/>
  <c r="L6855" i="16"/>
  <c r="L6857" i="16"/>
  <c r="L6856" i="16"/>
  <c r="L6858" i="16"/>
  <c r="L6854" i="16"/>
  <c r="B996" i="30"/>
  <c r="A995" i="30"/>
  <c r="B122" i="35"/>
  <c r="A123" i="35"/>
  <c r="B38" i="30"/>
  <c r="C37" i="30"/>
  <c r="A37" i="30"/>
  <c r="E3" i="29"/>
  <c r="L6901" i="16" l="1"/>
  <c r="L6899" i="16"/>
  <c r="L6896" i="16"/>
  <c r="L6900" i="16"/>
  <c r="L6897" i="16"/>
  <c r="L6895" i="16"/>
  <c r="L6913" i="16"/>
  <c r="L6904" i="16"/>
  <c r="L6908" i="16"/>
  <c r="A6893" i="16"/>
  <c r="L6912" i="16" s="1"/>
  <c r="L6903" i="16"/>
  <c r="L6898" i="16"/>
  <c r="L6907" i="16"/>
  <c r="L6910" i="16"/>
  <c r="L6902" i="16"/>
  <c r="L6911" i="16"/>
  <c r="L6909" i="16"/>
  <c r="L6906" i="16"/>
  <c r="L6905" i="16"/>
  <c r="B6949" i="16"/>
  <c r="A996" i="30"/>
  <c r="B997" i="30"/>
  <c r="A124" i="35"/>
  <c r="B123" i="35"/>
  <c r="Q38" i="30"/>
  <c r="M38" i="30"/>
  <c r="O38" i="30"/>
  <c r="N38" i="30"/>
  <c r="B39" i="30"/>
  <c r="C38" i="30"/>
  <c r="A38" i="30"/>
  <c r="P38" i="30"/>
  <c r="F3" i="29"/>
  <c r="L6957" i="16" l="1"/>
  <c r="L6955" i="16"/>
  <c r="L6953" i="16"/>
  <c r="L6950" i="16"/>
  <c r="L6956" i="16"/>
  <c r="L6952" i="16"/>
  <c r="L6951" i="16"/>
  <c r="L6966" i="16"/>
  <c r="L6960" i="16"/>
  <c r="L6958" i="16"/>
  <c r="B7002" i="16"/>
  <c r="L6964" i="16"/>
  <c r="L6962" i="16"/>
  <c r="L6959" i="16"/>
  <c r="L6948" i="16"/>
  <c r="L6954" i="16"/>
  <c r="A6946" i="16"/>
  <c r="L6965" i="16" s="1"/>
  <c r="L6961" i="16"/>
  <c r="L6949" i="16"/>
  <c r="L6963" i="16"/>
  <c r="A997" i="30"/>
  <c r="B998" i="30"/>
  <c r="B124" i="35"/>
  <c r="A125" i="35"/>
  <c r="P40" i="30"/>
  <c r="P39" i="30"/>
  <c r="P42" i="30"/>
  <c r="P41" i="30"/>
  <c r="B40" i="30"/>
  <c r="A39" i="30"/>
  <c r="C39" i="30"/>
  <c r="O39" i="30"/>
  <c r="O42" i="30"/>
  <c r="O40" i="30"/>
  <c r="O41" i="30"/>
  <c r="R42" i="30"/>
  <c r="R40" i="30"/>
  <c r="R39" i="30"/>
  <c r="R41" i="30"/>
  <c r="N39" i="30"/>
  <c r="N41" i="30"/>
  <c r="N40" i="30"/>
  <c r="N42" i="30"/>
  <c r="M41" i="30"/>
  <c r="M39" i="30"/>
  <c r="M40" i="30"/>
  <c r="M42" i="30"/>
  <c r="Q42" i="30"/>
  <c r="Q40" i="30"/>
  <c r="Q39" i="30"/>
  <c r="Q41" i="30"/>
  <c r="G3" i="29"/>
  <c r="L7013" i="16" l="1"/>
  <c r="L7011" i="16"/>
  <c r="L7009" i="16"/>
  <c r="L7008" i="16"/>
  <c r="L7007" i="16"/>
  <c r="L7010" i="16"/>
  <c r="L7006" i="16"/>
  <c r="L7017" i="16"/>
  <c r="L7014" i="16"/>
  <c r="L7004" i="16"/>
  <c r="L7002" i="16"/>
  <c r="A6999" i="16"/>
  <c r="L7018" i="16" s="1"/>
  <c r="L7003" i="16"/>
  <c r="L7012" i="16"/>
  <c r="L7016" i="16"/>
  <c r="L7015" i="16"/>
  <c r="L7005" i="16"/>
  <c r="L7019" i="16"/>
  <c r="L7001" i="16"/>
  <c r="B7055" i="16"/>
  <c r="A998" i="30"/>
  <c r="B999" i="30"/>
  <c r="B125" i="35"/>
  <c r="A126" i="35"/>
  <c r="B41" i="30"/>
  <c r="C40" i="30"/>
  <c r="A40" i="30"/>
  <c r="H3" i="29"/>
  <c r="L7069" i="16" l="1"/>
  <c r="L7066" i="16"/>
  <c r="L7064" i="16"/>
  <c r="L7062" i="16"/>
  <c r="L7068" i="16"/>
  <c r="L7067" i="16"/>
  <c r="L7065" i="16"/>
  <c r="B7108" i="16"/>
  <c r="L7070" i="16"/>
  <c r="L7072" i="16"/>
  <c r="L7061" i="16"/>
  <c r="L7060" i="16"/>
  <c r="L7058" i="16"/>
  <c r="L7056" i="16"/>
  <c r="L7054" i="16"/>
  <c r="L7063" i="16"/>
  <c r="L7059" i="16"/>
  <c r="L7055" i="16"/>
  <c r="A7052" i="16"/>
  <c r="L7071" i="16" s="1"/>
  <c r="L7057" i="16"/>
  <c r="B1000" i="30"/>
  <c r="A999" i="30"/>
  <c r="B126" i="35"/>
  <c r="A127" i="35"/>
  <c r="B42" i="30"/>
  <c r="C41" i="30"/>
  <c r="A41" i="30"/>
  <c r="I3" i="29"/>
  <c r="L7125" i="16" l="1"/>
  <c r="L7123" i="16"/>
  <c r="L7121" i="16"/>
  <c r="L7119" i="16"/>
  <c r="L7122" i="16"/>
  <c r="L7120" i="16"/>
  <c r="L7118" i="16"/>
  <c r="L7111" i="16"/>
  <c r="L7110" i="16"/>
  <c r="L7117" i="16"/>
  <c r="L7116" i="16"/>
  <c r="L7108" i="16"/>
  <c r="L7109" i="16"/>
  <c r="L7113" i="16"/>
  <c r="L7112" i="16"/>
  <c r="L7115" i="16"/>
  <c r="L7107" i="16"/>
  <c r="L7114" i="16"/>
  <c r="A7105" i="16"/>
  <c r="L7124" i="16" s="1"/>
  <c r="A1000" i="30"/>
  <c r="B1001" i="30"/>
  <c r="B127" i="35"/>
  <c r="A128" i="35"/>
  <c r="C42" i="30"/>
  <c r="B43" i="30"/>
  <c r="A42" i="30"/>
  <c r="J3" i="29"/>
  <c r="A1001" i="30" l="1"/>
  <c r="B1002" i="30"/>
  <c r="A129" i="35"/>
  <c r="B128" i="35"/>
  <c r="C43" i="30"/>
  <c r="B44" i="30"/>
  <c r="A43" i="30"/>
  <c r="K3" i="29"/>
  <c r="A1002" i="30" l="1"/>
  <c r="B1003" i="30"/>
  <c r="A130" i="35"/>
  <c r="B129" i="35"/>
  <c r="C44" i="30"/>
  <c r="B45" i="30"/>
  <c r="A44" i="30"/>
  <c r="L3" i="29"/>
  <c r="A1003" i="30" l="1"/>
  <c r="B1004" i="30"/>
  <c r="B130" i="35"/>
  <c r="A131" i="35"/>
  <c r="Q45" i="30"/>
  <c r="B46" i="30"/>
  <c r="M45" i="30"/>
  <c r="N45" i="30"/>
  <c r="O45" i="30"/>
  <c r="P45" i="30"/>
  <c r="C45" i="30"/>
  <c r="A45" i="30"/>
  <c r="M3" i="29"/>
  <c r="B1005" i="30" l="1"/>
  <c r="A1004" i="30"/>
  <c r="B131" i="35"/>
  <c r="A132" i="35"/>
  <c r="P46" i="30"/>
  <c r="P48" i="30"/>
  <c r="P47" i="30"/>
  <c r="P49" i="30"/>
  <c r="R47" i="30"/>
  <c r="R48" i="30"/>
  <c r="R49" i="30"/>
  <c r="R46" i="30"/>
  <c r="M46" i="30"/>
  <c r="M49" i="30"/>
  <c r="M48" i="30"/>
  <c r="M47" i="30"/>
  <c r="C46" i="30"/>
  <c r="B47" i="30"/>
  <c r="A46" i="30"/>
  <c r="O48" i="30"/>
  <c r="O47" i="30"/>
  <c r="O49" i="30"/>
  <c r="O46" i="30"/>
  <c r="Q49" i="30"/>
  <c r="Q47" i="30"/>
  <c r="Q48" i="30"/>
  <c r="Q46" i="30"/>
  <c r="N47" i="30"/>
  <c r="N48" i="30"/>
  <c r="N46" i="30"/>
  <c r="N49" i="30"/>
  <c r="N3" i="29"/>
  <c r="B1006" i="30" l="1"/>
  <c r="A1005" i="30"/>
  <c r="A133" i="35"/>
  <c r="B132" i="35"/>
  <c r="C47" i="30"/>
  <c r="B48" i="30"/>
  <c r="A47" i="30"/>
  <c r="O3" i="29"/>
  <c r="A1006" i="30" l="1"/>
  <c r="B1007" i="30"/>
  <c r="A134" i="35"/>
  <c r="B133" i="35"/>
  <c r="C48" i="30"/>
  <c r="B49" i="30"/>
  <c r="A48" i="30"/>
  <c r="P3" i="29"/>
  <c r="P19" i="29" s="1"/>
  <c r="B1008" i="30" l="1"/>
  <c r="A1007" i="30"/>
  <c r="A135" i="35"/>
  <c r="B134" i="35"/>
  <c r="C49" i="30"/>
  <c r="B50" i="30"/>
  <c r="A49" i="30"/>
  <c r="Q3" i="29"/>
  <c r="Q19" i="29" s="1"/>
  <c r="A1008" i="30" l="1"/>
  <c r="B1009" i="30"/>
  <c r="B135" i="35"/>
  <c r="A136" i="35"/>
  <c r="C50" i="30"/>
  <c r="B51" i="30"/>
  <c r="A50" i="30"/>
  <c r="R3" i="29"/>
  <c r="R19" i="29" s="1"/>
  <c r="A1009" i="30" l="1"/>
  <c r="B1010" i="30"/>
  <c r="A137" i="35"/>
  <c r="B136" i="35"/>
  <c r="C51" i="30"/>
  <c r="B52" i="30"/>
  <c r="A51" i="30"/>
  <c r="S3" i="29"/>
  <c r="S19" i="29" s="1"/>
  <c r="A1010" i="30" l="1"/>
  <c r="B1011" i="30"/>
  <c r="A138" i="35"/>
  <c r="B137" i="35"/>
  <c r="B53" i="30"/>
  <c r="N52" i="30"/>
  <c r="P52" i="30"/>
  <c r="C52" i="30"/>
  <c r="Q52" i="30"/>
  <c r="A52" i="30"/>
  <c r="M52" i="30"/>
  <c r="T3" i="29"/>
  <c r="T19" i="29" s="1"/>
  <c r="B1012" i="30" l="1"/>
  <c r="A1011" i="30"/>
  <c r="A139" i="35"/>
  <c r="B138" i="35"/>
  <c r="M56" i="30"/>
  <c r="M54" i="30"/>
  <c r="M55" i="30"/>
  <c r="M53" i="30"/>
  <c r="R56" i="30"/>
  <c r="R55" i="30"/>
  <c r="R54" i="30"/>
  <c r="R53" i="30"/>
  <c r="Q55" i="30"/>
  <c r="Q53" i="30"/>
  <c r="Q54" i="30"/>
  <c r="Q56" i="30"/>
  <c r="P56" i="30"/>
  <c r="P55" i="30"/>
  <c r="P54" i="30"/>
  <c r="P53" i="30"/>
  <c r="N53" i="30"/>
  <c r="N55" i="30"/>
  <c r="N54" i="30"/>
  <c r="N56" i="30"/>
  <c r="B54" i="30"/>
  <c r="A53" i="30"/>
  <c r="C53" i="30"/>
  <c r="U3" i="29"/>
  <c r="U19" i="29" s="1"/>
  <c r="A1012" i="30" l="1"/>
  <c r="B1013" i="30"/>
  <c r="A140" i="35"/>
  <c r="B139" i="35"/>
  <c r="B55" i="30"/>
  <c r="C54" i="30"/>
  <c r="A54" i="30"/>
  <c r="V3" i="29"/>
  <c r="V19" i="29" s="1"/>
  <c r="A1013" i="30" l="1"/>
  <c r="B1014" i="30"/>
  <c r="A141" i="35"/>
  <c r="B140" i="35"/>
  <c r="C55" i="30"/>
  <c r="B56" i="30"/>
  <c r="A55" i="30"/>
  <c r="W3" i="29"/>
  <c r="A1014" i="30" l="1"/>
  <c r="B1015" i="30"/>
  <c r="A142" i="35"/>
  <c r="B141" i="35"/>
  <c r="C56" i="30"/>
  <c r="B57" i="30"/>
  <c r="A56" i="30"/>
  <c r="W19" i="29"/>
  <c r="X3" i="29"/>
  <c r="A1015" i="30" l="1"/>
  <c r="B1016" i="30"/>
  <c r="A143" i="35"/>
  <c r="B142" i="35"/>
  <c r="C57" i="30"/>
  <c r="B58" i="30"/>
  <c r="A57" i="30"/>
  <c r="Y3" i="29"/>
  <c r="X19" i="29"/>
  <c r="B1017" i="30" l="1"/>
  <c r="A1016" i="30"/>
  <c r="A144" i="35"/>
  <c r="B143" i="35"/>
  <c r="C58" i="30"/>
  <c r="B59" i="30"/>
  <c r="A58" i="30"/>
  <c r="Z3" i="29"/>
  <c r="Y19" i="29"/>
  <c r="A1017" i="30" l="1"/>
  <c r="B1018" i="30"/>
  <c r="B144" i="35"/>
  <c r="A145" i="35"/>
  <c r="C59" i="30"/>
  <c r="B60" i="30"/>
  <c r="M59" i="30"/>
  <c r="N59" i="30"/>
  <c r="P59" i="30"/>
  <c r="Q59" i="30"/>
  <c r="A59" i="30"/>
  <c r="Z19" i="29"/>
  <c r="AA3" i="29"/>
  <c r="A1018" i="30" l="1"/>
  <c r="B1019" i="30"/>
  <c r="A146" i="35"/>
  <c r="B145" i="35"/>
  <c r="R60" i="30"/>
  <c r="R63" i="30"/>
  <c r="R61" i="30"/>
  <c r="R62" i="30"/>
  <c r="P61" i="30"/>
  <c r="P63" i="30"/>
  <c r="P60" i="30"/>
  <c r="P62" i="30"/>
  <c r="N61" i="30"/>
  <c r="N63" i="30"/>
  <c r="N62" i="30"/>
  <c r="N60" i="30"/>
  <c r="M60" i="30"/>
  <c r="M61" i="30"/>
  <c r="M63" i="30"/>
  <c r="M62" i="30"/>
  <c r="B61" i="30"/>
  <c r="A60" i="30"/>
  <c r="C60" i="30"/>
  <c r="Q60" i="30"/>
  <c r="Q62" i="30"/>
  <c r="Q63" i="30"/>
  <c r="Q61" i="30"/>
  <c r="AB3" i="29"/>
  <c r="AA19" i="29"/>
  <c r="B1020" i="30" l="1"/>
  <c r="A1019" i="30"/>
  <c r="A147" i="35"/>
  <c r="B146" i="35"/>
  <c r="B62" i="30"/>
  <c r="C61" i="30"/>
  <c r="A61" i="30"/>
  <c r="AC3" i="29"/>
  <c r="AB19" i="29"/>
  <c r="A1020" i="30" l="1"/>
  <c r="B1021" i="30"/>
  <c r="A148" i="35"/>
  <c r="B147" i="35"/>
  <c r="C62" i="30"/>
  <c r="B63" i="30"/>
  <c r="A62" i="30"/>
  <c r="AD3" i="29"/>
  <c r="AC19" i="29"/>
  <c r="A1021" i="30" l="1"/>
  <c r="B1022" i="30"/>
  <c r="A149" i="35"/>
  <c r="B148" i="35"/>
  <c r="B64" i="30"/>
  <c r="A63" i="30"/>
  <c r="C63" i="30"/>
  <c r="AE3" i="29"/>
  <c r="AD19" i="29"/>
  <c r="A1022" i="30" l="1"/>
  <c r="B1023" i="30"/>
  <c r="B149" i="35"/>
  <c r="A150" i="35"/>
  <c r="B65" i="30"/>
  <c r="C64" i="30"/>
  <c r="A64" i="30"/>
  <c r="AF3" i="29"/>
  <c r="AE19" i="29"/>
  <c r="B1024" i="30" l="1"/>
  <c r="A1023" i="30"/>
  <c r="B150" i="35"/>
  <c r="A151" i="35"/>
  <c r="B66" i="30"/>
  <c r="C65" i="30"/>
  <c r="A65" i="30"/>
  <c r="AG3" i="29"/>
  <c r="AF19" i="29"/>
  <c r="V30" i="29" a="1"/>
  <c r="S21" i="29" a="1"/>
  <c r="P21" i="29" a="1"/>
  <c r="Q21" i="29" a="1"/>
  <c r="T24" i="29" a="1"/>
  <c r="T27" i="29" a="1"/>
  <c r="U22" i="29" a="1"/>
  <c r="V23" i="29" a="1"/>
  <c r="R20" i="29" a="1"/>
  <c r="U23" i="29" a="1"/>
  <c r="T30" i="29" a="1"/>
  <c r="V25" i="29" a="1"/>
  <c r="V29" i="29" a="1"/>
  <c r="P23" i="29" a="1"/>
  <c r="U21" i="29" a="1"/>
  <c r="S20" i="29" a="1"/>
  <c r="V27" i="29" a="1"/>
  <c r="V21" i="29" a="1"/>
  <c r="Q24" i="29" a="1"/>
  <c r="S30" i="29" a="1"/>
  <c r="U26" i="29" a="1"/>
  <c r="Q29" i="29" a="1"/>
  <c r="S25" i="29" a="1"/>
  <c r="P25" i="29" a="1"/>
  <c r="R27" i="29" a="1"/>
  <c r="T26" i="29" a="1"/>
  <c r="U29" i="29" a="1"/>
  <c r="U24" i="29" a="1"/>
  <c r="S28" i="29" a="1"/>
  <c r="T22" i="29" a="1"/>
  <c r="T29" i="29" a="1"/>
  <c r="Q20" i="29" a="1"/>
  <c r="U30" i="29" a="1"/>
  <c r="S22" i="29" a="1"/>
  <c r="R29" i="29" a="1"/>
  <c r="S29" i="29" a="1"/>
  <c r="R26" i="29" a="1"/>
  <c r="U27" i="29" a="1"/>
  <c r="Q28" i="29" a="1"/>
  <c r="Q30" i="29" a="1"/>
  <c r="P24" i="29" a="1"/>
  <c r="R30" i="29" a="1"/>
  <c r="P30" i="29" a="1"/>
  <c r="U20" i="29" a="1"/>
  <c r="Q26" i="29" a="1"/>
  <c r="U28" i="29" a="1"/>
  <c r="R25" i="29" a="1"/>
  <c r="S24" i="29" a="1"/>
  <c r="R22" i="29" a="1"/>
  <c r="P28" i="29" a="1"/>
  <c r="T21" i="29" a="1"/>
  <c r="P20" i="29" a="1"/>
  <c r="R24" i="29" a="1"/>
  <c r="R23" i="29" a="1"/>
  <c r="V24" i="29" a="1"/>
  <c r="P26" i="29" a="1"/>
  <c r="T28" i="29" a="1"/>
  <c r="V26" i="29" a="1"/>
  <c r="Q22" i="29" a="1"/>
  <c r="T25" i="29" a="1"/>
  <c r="V28" i="29" a="1"/>
  <c r="P22" i="29" a="1"/>
  <c r="Q27" i="29" a="1"/>
  <c r="V22" i="29" a="1"/>
  <c r="P29" i="29" a="1"/>
  <c r="S26" i="29" a="1"/>
  <c r="T20" i="29" a="1"/>
  <c r="U25" i="29" a="1"/>
  <c r="Q23" i="29" a="1"/>
  <c r="R28" i="29" a="1"/>
  <c r="Q25" i="29" a="1"/>
  <c r="V20" i="29" a="1"/>
  <c r="P27" i="29" a="1"/>
  <c r="R21" i="29" a="1"/>
  <c r="S23" i="29" a="1"/>
  <c r="T23" i="29" a="1"/>
  <c r="S27" i="29" a="1"/>
  <c r="A1024" i="30" l="1"/>
  <c r="B1025" i="30"/>
  <c r="B151" i="35"/>
  <c r="A152" i="35"/>
  <c r="Q66" i="30"/>
  <c r="B67" i="30"/>
  <c r="M66" i="30"/>
  <c r="P66" i="30"/>
  <c r="C66" i="30"/>
  <c r="A66" i="30"/>
  <c r="N66" i="30"/>
  <c r="T26" i="29"/>
  <c r="L804" i="16" s="1"/>
  <c r="Q27" i="29"/>
  <c r="L646" i="16" s="1"/>
  <c r="R20" i="29"/>
  <c r="L694" i="16" s="1"/>
  <c r="S24" i="29"/>
  <c r="L750" i="16" s="1"/>
  <c r="S21" i="29"/>
  <c r="L748" i="16" s="1"/>
  <c r="T27" i="29"/>
  <c r="L805" i="16" s="1"/>
  <c r="T20" i="29"/>
  <c r="L800" i="16" s="1"/>
  <c r="P22" i="29"/>
  <c r="R25" i="29"/>
  <c r="Q28" i="29"/>
  <c r="L647" i="16" s="1"/>
  <c r="V20" i="29"/>
  <c r="L853" i="16" s="1"/>
  <c r="U22" i="29"/>
  <c r="P29" i="29"/>
  <c r="L595" i="16" s="1"/>
  <c r="Q23" i="29"/>
  <c r="L643" i="16" s="1"/>
  <c r="S22" i="29"/>
  <c r="U20" i="29"/>
  <c r="R22" i="29"/>
  <c r="V29" i="29"/>
  <c r="L860" i="16" s="1"/>
  <c r="R23" i="29"/>
  <c r="L696" i="16" s="1"/>
  <c r="Q29" i="29"/>
  <c r="L648" i="16" s="1"/>
  <c r="V30" i="29"/>
  <c r="L871" i="16" s="1"/>
  <c r="U27" i="29"/>
  <c r="U28" i="29"/>
  <c r="P25" i="29"/>
  <c r="S27" i="29"/>
  <c r="L752" i="16" s="1"/>
  <c r="T23" i="29"/>
  <c r="L802" i="16" s="1"/>
  <c r="P23" i="29"/>
  <c r="L590" i="16" s="1"/>
  <c r="V25" i="29"/>
  <c r="T24" i="29"/>
  <c r="L803" i="16" s="1"/>
  <c r="V28" i="29"/>
  <c r="L859" i="16" s="1"/>
  <c r="Q20" i="29"/>
  <c r="L641" i="16" s="1"/>
  <c r="T22" i="29"/>
  <c r="S28" i="29"/>
  <c r="L753" i="16" s="1"/>
  <c r="U25" i="29"/>
  <c r="R26" i="29"/>
  <c r="L698" i="16" s="1"/>
  <c r="U24" i="29"/>
  <c r="V22" i="29"/>
  <c r="U23" i="29"/>
  <c r="Q24" i="29"/>
  <c r="L644" i="16" s="1"/>
  <c r="Q25" i="29"/>
  <c r="P24" i="29"/>
  <c r="L591" i="16" s="1"/>
  <c r="S25" i="29"/>
  <c r="T30" i="29"/>
  <c r="L818" i="16" s="1"/>
  <c r="P30" i="29"/>
  <c r="L606" i="16" s="1"/>
  <c r="V27" i="29"/>
  <c r="L858" i="16" s="1"/>
  <c r="R30" i="29"/>
  <c r="L712" i="16" s="1"/>
  <c r="Q22" i="29"/>
  <c r="S30" i="29"/>
  <c r="L765" i="16" s="1"/>
  <c r="R24" i="29"/>
  <c r="L697" i="16" s="1"/>
  <c r="P26" i="29"/>
  <c r="L592" i="16" s="1"/>
  <c r="S26" i="29"/>
  <c r="L751" i="16" s="1"/>
  <c r="P27" i="29"/>
  <c r="L593" i="16" s="1"/>
  <c r="V26" i="29"/>
  <c r="L857" i="16" s="1"/>
  <c r="T28" i="29"/>
  <c r="L806" i="16" s="1"/>
  <c r="R21" i="29"/>
  <c r="L695" i="16" s="1"/>
  <c r="P20" i="29"/>
  <c r="L588" i="16" s="1"/>
  <c r="R27" i="29"/>
  <c r="L699" i="16" s="1"/>
  <c r="S23" i="29"/>
  <c r="L749" i="16" s="1"/>
  <c r="V24" i="29"/>
  <c r="L856" i="16" s="1"/>
  <c r="S29" i="29"/>
  <c r="L754" i="16" s="1"/>
  <c r="U21" i="29"/>
  <c r="Q26" i="29"/>
  <c r="L645" i="16" s="1"/>
  <c r="S20" i="29"/>
  <c r="L747" i="16" s="1"/>
  <c r="R29" i="29"/>
  <c r="L701" i="16" s="1"/>
  <c r="U26" i="29"/>
  <c r="T25" i="29"/>
  <c r="Q30" i="29"/>
  <c r="L659" i="16" s="1"/>
  <c r="R28" i="29"/>
  <c r="L700" i="16" s="1"/>
  <c r="U30" i="29"/>
  <c r="U29" i="29"/>
  <c r="Q21" i="29"/>
  <c r="L642" i="16" s="1"/>
  <c r="P28" i="29"/>
  <c r="L594" i="16" s="1"/>
  <c r="P21" i="29"/>
  <c r="L589" i="16" s="1"/>
  <c r="T29" i="29"/>
  <c r="L807" i="16" s="1"/>
  <c r="T21" i="29"/>
  <c r="L801" i="16" s="1"/>
  <c r="V21" i="29"/>
  <c r="L854" i="16" s="1"/>
  <c r="V23" i="29"/>
  <c r="L855" i="16" s="1"/>
  <c r="AG19" i="29"/>
  <c r="AH3" i="29"/>
  <c r="A1025" i="30" l="1"/>
  <c r="B1026" i="30"/>
  <c r="B152" i="35"/>
  <c r="A153" i="35"/>
  <c r="P70" i="30"/>
  <c r="P68" i="30"/>
  <c r="P67" i="30"/>
  <c r="P69" i="30"/>
  <c r="M67" i="30"/>
  <c r="M68" i="30"/>
  <c r="M70" i="30"/>
  <c r="M69" i="30"/>
  <c r="C67" i="30"/>
  <c r="A67" i="30"/>
  <c r="B68" i="30"/>
  <c r="R67" i="30"/>
  <c r="R70" i="30"/>
  <c r="R69" i="30"/>
  <c r="R68" i="30"/>
  <c r="N67" i="30"/>
  <c r="N69" i="30"/>
  <c r="N70" i="30"/>
  <c r="N68" i="30"/>
  <c r="Q70" i="30"/>
  <c r="Q67" i="30"/>
  <c r="Q68" i="30"/>
  <c r="Q69" i="30"/>
  <c r="AI3" i="29"/>
  <c r="AH19" i="29"/>
  <c r="A1026" i="30" l="1"/>
  <c r="B1027" i="30"/>
  <c r="A154" i="35"/>
  <c r="B153" i="35"/>
  <c r="C68" i="30"/>
  <c r="A68" i="30"/>
  <c r="B69" i="30"/>
  <c r="AJ3" i="29"/>
  <c r="AI19" i="29"/>
  <c r="B1028" i="30" l="1"/>
  <c r="A1027" i="30"/>
  <c r="A155" i="35"/>
  <c r="B154" i="35"/>
  <c r="B70" i="30"/>
  <c r="C69" i="30"/>
  <c r="A69" i="30"/>
  <c r="AK3" i="29"/>
  <c r="AJ19" i="29"/>
  <c r="B1029" i="30" l="1"/>
  <c r="A1028" i="30"/>
  <c r="B155" i="35"/>
  <c r="A156" i="35"/>
  <c r="C70" i="30"/>
  <c r="B71" i="30"/>
  <c r="A70" i="30"/>
  <c r="AL3" i="29"/>
  <c r="AK19" i="29"/>
  <c r="A1029" i="30" l="1"/>
  <c r="B1030" i="30"/>
  <c r="B156" i="35"/>
  <c r="A157" i="35"/>
  <c r="C71" i="30"/>
  <c r="B72" i="30"/>
  <c r="A71" i="30"/>
  <c r="AM3" i="29"/>
  <c r="AL19" i="29"/>
  <c r="A1030" i="30" l="1"/>
  <c r="B1031" i="30"/>
  <c r="B157" i="35"/>
  <c r="A158" i="35"/>
  <c r="C72" i="30"/>
  <c r="B73" i="30"/>
  <c r="A72" i="30"/>
  <c r="AN3" i="29"/>
  <c r="AM19" i="29"/>
  <c r="B1032" i="30" l="1"/>
  <c r="A1031" i="30"/>
  <c r="B158" i="35"/>
  <c r="A159" i="35"/>
  <c r="N73" i="30"/>
  <c r="C73" i="30"/>
  <c r="B74" i="30"/>
  <c r="Q73" i="30"/>
  <c r="M73" i="30"/>
  <c r="P73" i="30"/>
  <c r="A73" i="30"/>
  <c r="AO3" i="29"/>
  <c r="AN19" i="29"/>
  <c r="A1032" i="30" l="1"/>
  <c r="B1033" i="30"/>
  <c r="B159" i="35"/>
  <c r="A160" i="35"/>
  <c r="P74" i="30"/>
  <c r="P76" i="30"/>
  <c r="P75" i="30"/>
  <c r="P77" i="30"/>
  <c r="M76" i="30"/>
  <c r="M74" i="30"/>
  <c r="M75" i="30"/>
  <c r="M77" i="30"/>
  <c r="R77" i="30"/>
  <c r="R74" i="30"/>
  <c r="R75" i="30"/>
  <c r="R76" i="30"/>
  <c r="Q75" i="30"/>
  <c r="Q74" i="30"/>
  <c r="Q76" i="30"/>
  <c r="Q77" i="30"/>
  <c r="B75" i="30"/>
  <c r="A74" i="30"/>
  <c r="C74" i="30"/>
  <c r="N75" i="30"/>
  <c r="N76" i="30"/>
  <c r="N77" i="30"/>
  <c r="N74" i="30"/>
  <c r="AP3" i="29"/>
  <c r="AO19" i="29"/>
  <c r="A1033" i="30" l="1"/>
  <c r="B1034" i="30"/>
  <c r="B160" i="35"/>
  <c r="A161" i="35"/>
  <c r="C75" i="30"/>
  <c r="B76" i="30"/>
  <c r="A75" i="30"/>
  <c r="AQ3" i="29"/>
  <c r="AP19" i="29"/>
  <c r="A1034" i="30" l="1"/>
  <c r="B1035" i="30"/>
  <c r="A162" i="35"/>
  <c r="B161" i="35"/>
  <c r="B77" i="30"/>
  <c r="C76" i="30"/>
  <c r="A76" i="30"/>
  <c r="AR3" i="29"/>
  <c r="AQ19" i="29"/>
  <c r="B1036" i="30" l="1"/>
  <c r="A1035" i="30"/>
  <c r="A163" i="35"/>
  <c r="B162" i="35"/>
  <c r="B78" i="30"/>
  <c r="C77" i="30"/>
  <c r="A77" i="30"/>
  <c r="AS3" i="29"/>
  <c r="AR19" i="29"/>
  <c r="A1036" i="30" l="1"/>
  <c r="B1037" i="30"/>
  <c r="A164" i="35"/>
  <c r="B163" i="35"/>
  <c r="B79" i="30"/>
  <c r="C78" i="30"/>
  <c r="A78" i="30"/>
  <c r="AT3" i="29"/>
  <c r="AS19" i="29"/>
  <c r="A1037" i="30" l="1"/>
  <c r="B1038" i="30"/>
  <c r="A165" i="35"/>
  <c r="B164" i="35"/>
  <c r="C79" i="30"/>
  <c r="B80" i="30"/>
  <c r="A79" i="30"/>
  <c r="AU3" i="29"/>
  <c r="AT19" i="29"/>
  <c r="B1039" i="30" l="1"/>
  <c r="A1038" i="30"/>
  <c r="A166" i="35"/>
  <c r="B165" i="35"/>
  <c r="C80" i="30"/>
  <c r="B81" i="30"/>
  <c r="M80" i="30"/>
  <c r="P80" i="30"/>
  <c r="N80" i="30"/>
  <c r="Q80" i="30"/>
  <c r="A80" i="30"/>
  <c r="AV3" i="29"/>
  <c r="AU19" i="29"/>
  <c r="A1039" i="30" l="1"/>
  <c r="B1040" i="30"/>
  <c r="A167" i="35"/>
  <c r="B166" i="35"/>
  <c r="N84" i="30"/>
  <c r="N82" i="30"/>
  <c r="N81" i="30"/>
  <c r="N83" i="30"/>
  <c r="P81" i="30"/>
  <c r="P84" i="30"/>
  <c r="P83" i="30"/>
  <c r="P82" i="30"/>
  <c r="R84" i="30"/>
  <c r="R82" i="30"/>
  <c r="R83" i="30"/>
  <c r="R81" i="30"/>
  <c r="M83" i="30"/>
  <c r="M82" i="30"/>
  <c r="M81" i="30"/>
  <c r="M84" i="30"/>
  <c r="C81" i="30"/>
  <c r="A81" i="30"/>
  <c r="B82" i="30"/>
  <c r="Q83" i="30"/>
  <c r="Q82" i="30"/>
  <c r="Q84" i="30"/>
  <c r="Q81" i="30"/>
  <c r="AW3" i="29"/>
  <c r="AV19" i="29"/>
  <c r="B1041" i="30" l="1"/>
  <c r="A1040" i="30"/>
  <c r="A168" i="35"/>
  <c r="B167" i="35"/>
  <c r="B83" i="30"/>
  <c r="C82" i="30"/>
  <c r="A82" i="30"/>
  <c r="AX3" i="29"/>
  <c r="AW19" i="29"/>
  <c r="A1041" i="30" l="1"/>
  <c r="B1042" i="30"/>
  <c r="A169" i="35"/>
  <c r="B168" i="35"/>
  <c r="C83" i="30"/>
  <c r="B84" i="30"/>
  <c r="A83" i="30"/>
  <c r="AY3" i="29"/>
  <c r="AX19" i="29"/>
  <c r="A1042" i="30" l="1"/>
  <c r="B1043" i="30"/>
  <c r="A170" i="35"/>
  <c r="B169" i="35"/>
  <c r="B85" i="30"/>
  <c r="C84" i="30"/>
  <c r="A84" i="30"/>
  <c r="AZ3" i="29"/>
  <c r="AY19" i="29"/>
  <c r="B1044" i="30" l="1"/>
  <c r="A1043" i="30"/>
  <c r="A171" i="35"/>
  <c r="B170" i="35"/>
  <c r="B86" i="30"/>
  <c r="C85" i="30"/>
  <c r="A85" i="30"/>
  <c r="BA3" i="29"/>
  <c r="AZ19" i="29"/>
  <c r="A1044" i="30" l="1"/>
  <c r="B1045" i="30"/>
  <c r="A172" i="35"/>
  <c r="B171" i="35"/>
  <c r="B87" i="30"/>
  <c r="C86" i="30"/>
  <c r="A86" i="30"/>
  <c r="BB3" i="29"/>
  <c r="BA19" i="29"/>
  <c r="A1045" i="30" l="1"/>
  <c r="B1046" i="30"/>
  <c r="A173" i="35"/>
  <c r="B172" i="35"/>
  <c r="Q87" i="30"/>
  <c r="B88" i="30"/>
  <c r="C87" i="30"/>
  <c r="M87" i="30"/>
  <c r="P87" i="30"/>
  <c r="A87" i="30"/>
  <c r="N87" i="30"/>
  <c r="BC3" i="29"/>
  <c r="BB19" i="29"/>
  <c r="A1046" i="30" l="1"/>
  <c r="B1047" i="30"/>
  <c r="A174" i="35"/>
  <c r="B173" i="35"/>
  <c r="R90" i="30"/>
  <c r="R89" i="30"/>
  <c r="R91" i="30"/>
  <c r="R88" i="30"/>
  <c r="A88" i="30"/>
  <c r="B89" i="30"/>
  <c r="C88" i="30"/>
  <c r="P88" i="30"/>
  <c r="P90" i="30"/>
  <c r="P89" i="30"/>
  <c r="P91" i="30"/>
  <c r="Q90" i="30"/>
  <c r="Q91" i="30"/>
  <c r="Q88" i="30"/>
  <c r="Q89" i="30"/>
  <c r="N91" i="30"/>
  <c r="N90" i="30"/>
  <c r="N88" i="30"/>
  <c r="N89" i="30"/>
  <c r="M88" i="30"/>
  <c r="M91" i="30"/>
  <c r="M90" i="30"/>
  <c r="M89" i="30"/>
  <c r="BD3" i="29"/>
  <c r="BC19" i="29"/>
  <c r="B1048" i="30" l="1"/>
  <c r="A1047" i="30"/>
  <c r="B174" i="35"/>
  <c r="A175" i="35"/>
  <c r="B90" i="30"/>
  <c r="C89" i="30"/>
  <c r="A89" i="30"/>
  <c r="BE3" i="29"/>
  <c r="BD19" i="29"/>
  <c r="A1048" i="30" l="1"/>
  <c r="B1049" i="30"/>
  <c r="B175" i="35"/>
  <c r="A176" i="35"/>
  <c r="B91" i="30"/>
  <c r="C90" i="30"/>
  <c r="A90" i="30"/>
  <c r="BF3" i="29"/>
  <c r="BE19" i="29"/>
  <c r="A1049" i="30" l="1"/>
  <c r="B1050" i="30"/>
  <c r="B176" i="35"/>
  <c r="A177" i="35"/>
  <c r="C91" i="30"/>
  <c r="B92" i="30"/>
  <c r="A91" i="30"/>
  <c r="BG3" i="29"/>
  <c r="BF19" i="29"/>
  <c r="B1051" i="30" l="1"/>
  <c r="A1050" i="30"/>
  <c r="B177" i="35"/>
  <c r="A178" i="35"/>
  <c r="C92" i="30"/>
  <c r="B93" i="30"/>
  <c r="A92" i="30"/>
  <c r="BH3" i="29"/>
  <c r="BG19" i="29"/>
  <c r="B1052" i="30" l="1"/>
  <c r="A1051" i="30"/>
  <c r="A179" i="35"/>
  <c r="B178" i="35"/>
  <c r="B94" i="30"/>
  <c r="C93" i="30"/>
  <c r="A93" i="30"/>
  <c r="BI3" i="29"/>
  <c r="BH19" i="29"/>
  <c r="B1053" i="30" l="1"/>
  <c r="A1052" i="30"/>
  <c r="A180" i="35"/>
  <c r="B179" i="35"/>
  <c r="N94" i="30"/>
  <c r="P94" i="30"/>
  <c r="Q94" i="30"/>
  <c r="C94" i="30"/>
  <c r="B95" i="30"/>
  <c r="M94" i="30"/>
  <c r="A94" i="30"/>
  <c r="BI19" i="29"/>
  <c r="A1053" i="30" l="1"/>
  <c r="B1054" i="30"/>
  <c r="A181" i="35"/>
  <c r="B180" i="35"/>
  <c r="L8" i="16"/>
  <c r="L11" i="16"/>
  <c r="L9" i="16"/>
  <c r="L6" i="16"/>
  <c r="L23" i="16"/>
  <c r="L7" i="16"/>
  <c r="L12" i="16"/>
  <c r="L10" i="16"/>
  <c r="L5" i="16"/>
  <c r="P95" i="30"/>
  <c r="P97" i="30"/>
  <c r="P98" i="30"/>
  <c r="P96" i="30"/>
  <c r="R95" i="30"/>
  <c r="R97" i="30"/>
  <c r="R96" i="30"/>
  <c r="R98" i="30"/>
  <c r="N95" i="30"/>
  <c r="N97" i="30"/>
  <c r="N98" i="30"/>
  <c r="N96" i="30"/>
  <c r="M96" i="30"/>
  <c r="M98" i="30"/>
  <c r="M97" i="30"/>
  <c r="M95" i="30"/>
  <c r="C95" i="30"/>
  <c r="B96" i="30"/>
  <c r="A95" i="30"/>
  <c r="Q97" i="30"/>
  <c r="Q98" i="30"/>
  <c r="Q96" i="30"/>
  <c r="Q95" i="30"/>
  <c r="A1054" i="30" l="1"/>
  <c r="B1055" i="30"/>
  <c r="A182" i="35"/>
  <c r="B181" i="35"/>
  <c r="C96" i="30"/>
  <c r="B97" i="30"/>
  <c r="A96" i="30"/>
  <c r="B1056" i="30" l="1"/>
  <c r="A1055" i="30"/>
  <c r="B182" i="35"/>
  <c r="A183" i="35"/>
  <c r="C97" i="30"/>
  <c r="B98" i="30"/>
  <c r="A97" i="30"/>
  <c r="L19" i="16"/>
  <c r="L18" i="16"/>
  <c r="L20" i="16"/>
  <c r="L21" i="16"/>
  <c r="L13" i="16"/>
  <c r="L14" i="16"/>
  <c r="L15" i="16"/>
  <c r="L16" i="16"/>
  <c r="L17" i="16"/>
  <c r="A1056" i="30" l="1"/>
  <c r="B1057" i="30"/>
  <c r="A184" i="35"/>
  <c r="B183" i="35"/>
  <c r="C98" i="30"/>
  <c r="B99" i="30"/>
  <c r="A98" i="30"/>
  <c r="A1057" i="30" l="1"/>
  <c r="B1058" i="30"/>
  <c r="B184" i="35"/>
  <c r="A185" i="35"/>
  <c r="C99" i="30"/>
  <c r="B100" i="30"/>
  <c r="A99" i="30"/>
  <c r="A1058" i="30" l="1"/>
  <c r="B1059" i="30"/>
  <c r="B185" i="35"/>
  <c r="A186" i="35"/>
  <c r="B101" i="30"/>
  <c r="C100" i="30"/>
  <c r="A100" i="30"/>
  <c r="B1060" i="30" l="1"/>
  <c r="A1059" i="30"/>
  <c r="B186" i="35"/>
  <c r="A187" i="35"/>
  <c r="B102" i="30"/>
  <c r="Q101" i="30"/>
  <c r="C101" i="30"/>
  <c r="A101" i="30"/>
  <c r="P101" i="30"/>
  <c r="N101" i="30"/>
  <c r="M101" i="30"/>
  <c r="A1060" i="30" l="1"/>
  <c r="B1061" i="30"/>
  <c r="B187" i="35"/>
  <c r="A188" i="35"/>
  <c r="C102" i="30"/>
  <c r="A102" i="30"/>
  <c r="B103" i="30"/>
  <c r="Q102" i="30"/>
  <c r="Q105" i="30"/>
  <c r="Q103" i="30"/>
  <c r="Q104" i="30"/>
  <c r="M102" i="30"/>
  <c r="M105" i="30"/>
  <c r="M103" i="30"/>
  <c r="M104" i="30"/>
  <c r="R102" i="30"/>
  <c r="R105" i="30"/>
  <c r="R104" i="30"/>
  <c r="R103" i="30"/>
  <c r="N103" i="30"/>
  <c r="N102" i="30"/>
  <c r="N105" i="30"/>
  <c r="N104" i="30"/>
  <c r="P103" i="30"/>
  <c r="P104" i="30"/>
  <c r="P102" i="30"/>
  <c r="P105" i="30"/>
  <c r="A1061" i="30" l="1"/>
  <c r="B1062" i="30"/>
  <c r="B188" i="35"/>
  <c r="A189" i="35"/>
  <c r="C103" i="30"/>
  <c r="A103" i="30"/>
  <c r="B104" i="30"/>
  <c r="A1062" i="30" l="1"/>
  <c r="B1063" i="30"/>
  <c r="B189" i="35"/>
  <c r="A190" i="35"/>
  <c r="C104" i="30"/>
  <c r="B105" i="30"/>
  <c r="A104" i="30"/>
  <c r="B1064" i="30" l="1"/>
  <c r="A1063" i="30"/>
  <c r="B190" i="35"/>
  <c r="A191" i="35"/>
  <c r="C105" i="30"/>
  <c r="B106" i="30"/>
  <c r="A105" i="30"/>
  <c r="B1065" i="30" l="1"/>
  <c r="A1064" i="30"/>
  <c r="B191" i="35"/>
  <c r="A192" i="35"/>
  <c r="B107" i="30"/>
  <c r="A106" i="30"/>
  <c r="C106" i="30"/>
  <c r="A1065" i="30" l="1"/>
  <c r="B1066" i="30"/>
  <c r="B192" i="35"/>
  <c r="A193" i="35"/>
  <c r="C107" i="30"/>
  <c r="A107" i="30"/>
  <c r="B108" i="30"/>
  <c r="A1066" i="30" l="1"/>
  <c r="B1067" i="30"/>
  <c r="B193" i="35"/>
  <c r="A194" i="35"/>
  <c r="Q108" i="30"/>
  <c r="P108" i="30"/>
  <c r="C108" i="30"/>
  <c r="A108" i="30"/>
  <c r="N108" i="30"/>
  <c r="M108" i="30"/>
  <c r="B109" i="30"/>
  <c r="B1068" i="30" l="1"/>
  <c r="A1067" i="30"/>
  <c r="A195" i="35"/>
  <c r="B194" i="35"/>
  <c r="R109" i="30"/>
  <c r="R111" i="30"/>
  <c r="R112" i="30"/>
  <c r="R110" i="30"/>
  <c r="B110" i="30"/>
  <c r="C109" i="30"/>
  <c r="A109" i="30"/>
  <c r="N109" i="30"/>
  <c r="N110" i="30"/>
  <c r="N112" i="30"/>
  <c r="N111" i="30"/>
  <c r="M112" i="30"/>
  <c r="M110" i="30"/>
  <c r="M109" i="30"/>
  <c r="M111" i="30"/>
  <c r="P112" i="30"/>
  <c r="P109" i="30"/>
  <c r="P110" i="30"/>
  <c r="P111" i="30"/>
  <c r="Q109" i="30"/>
  <c r="Q110" i="30"/>
  <c r="Q111" i="30"/>
  <c r="Q112" i="30"/>
  <c r="A1068" i="30" l="1"/>
  <c r="B1069" i="30"/>
  <c r="A196" i="35"/>
  <c r="B195" i="35"/>
  <c r="C110" i="30"/>
  <c r="B111" i="30"/>
  <c r="A110" i="30"/>
  <c r="A1069" i="30" l="1"/>
  <c r="B1070" i="30"/>
  <c r="A197" i="35"/>
  <c r="B196" i="35"/>
  <c r="C111" i="30"/>
  <c r="B112" i="30"/>
  <c r="A111" i="30"/>
  <c r="A1070" i="30" l="1"/>
  <c r="B1071" i="30"/>
  <c r="A198" i="35"/>
  <c r="B197" i="35"/>
  <c r="B113" i="30"/>
  <c r="C112" i="30"/>
  <c r="A112" i="30"/>
  <c r="B1072" i="30" l="1"/>
  <c r="A1071" i="30"/>
  <c r="B198" i="35"/>
  <c r="A199" i="35"/>
  <c r="B114" i="30"/>
  <c r="C113" i="30"/>
  <c r="A113" i="30"/>
  <c r="A1072" i="30" l="1"/>
  <c r="B1073" i="30"/>
  <c r="A200" i="35"/>
  <c r="B199" i="35"/>
  <c r="A114" i="30"/>
  <c r="B115" i="30"/>
  <c r="C114" i="30"/>
  <c r="A1073" i="30" l="1"/>
  <c r="B1074" i="30"/>
  <c r="B200" i="35"/>
  <c r="A201" i="35"/>
  <c r="M115" i="30"/>
  <c r="C115" i="30"/>
  <c r="B116" i="30"/>
  <c r="N115" i="30"/>
  <c r="P115" i="30"/>
  <c r="A115" i="30"/>
  <c r="Q115" i="30"/>
  <c r="A1074" i="30" l="1"/>
  <c r="B1075" i="30"/>
  <c r="B201" i="35"/>
  <c r="A202" i="35"/>
  <c r="R116" i="30"/>
  <c r="R119" i="30"/>
  <c r="R117" i="30"/>
  <c r="R118" i="30"/>
  <c r="P118" i="30"/>
  <c r="P117" i="30"/>
  <c r="P119" i="30"/>
  <c r="P116" i="30"/>
  <c r="N118" i="30"/>
  <c r="N116" i="30"/>
  <c r="N119" i="30"/>
  <c r="N117" i="30"/>
  <c r="C116" i="30"/>
  <c r="B117" i="30"/>
  <c r="A116" i="30"/>
  <c r="Q118" i="30"/>
  <c r="Q119" i="30"/>
  <c r="Q117" i="30"/>
  <c r="Q116" i="30"/>
  <c r="M117" i="30"/>
  <c r="M116" i="30"/>
  <c r="M119" i="30"/>
  <c r="M118" i="30"/>
  <c r="A1075" i="30" l="1"/>
  <c r="B1076" i="30"/>
  <c r="B202" i="35"/>
  <c r="A203" i="35"/>
  <c r="B118" i="30"/>
  <c r="C117" i="30"/>
  <c r="A117" i="30"/>
  <c r="B1077" i="30" l="1"/>
  <c r="A1076" i="30"/>
  <c r="A204" i="35"/>
  <c r="B203" i="35"/>
  <c r="B119" i="30"/>
  <c r="A118" i="30"/>
  <c r="C118" i="30"/>
  <c r="B1078" i="30" l="1"/>
  <c r="A1077" i="30"/>
  <c r="A205" i="35"/>
  <c r="B204" i="35"/>
  <c r="B120" i="30"/>
  <c r="A119" i="30"/>
  <c r="C119" i="30"/>
  <c r="A1078" i="30" l="1"/>
  <c r="B1079" i="30"/>
  <c r="A206" i="35"/>
  <c r="B205" i="35"/>
  <c r="C120" i="30"/>
  <c r="A120" i="30"/>
  <c r="B121" i="30"/>
  <c r="B1080" i="30" l="1"/>
  <c r="A1079" i="30"/>
  <c r="A207" i="35"/>
  <c r="B206" i="35"/>
  <c r="B122" i="30"/>
  <c r="A121" i="30"/>
  <c r="C121" i="30"/>
  <c r="A1080" i="30" l="1"/>
  <c r="B1081" i="30"/>
  <c r="A208" i="35"/>
  <c r="B207" i="35"/>
  <c r="C122" i="30"/>
  <c r="P122" i="30"/>
  <c r="B123" i="30"/>
  <c r="A122" i="30"/>
  <c r="M122" i="30"/>
  <c r="Q122" i="30"/>
  <c r="N122" i="30"/>
  <c r="A1081" i="30" l="1"/>
  <c r="B1082" i="30"/>
  <c r="A209" i="35"/>
  <c r="B208" i="35"/>
  <c r="M125" i="30"/>
  <c r="M124" i="30"/>
  <c r="M123" i="30"/>
  <c r="M126" i="30"/>
  <c r="R126" i="30"/>
  <c r="R124" i="30"/>
  <c r="R123" i="30"/>
  <c r="R125" i="30"/>
  <c r="N123" i="30"/>
  <c r="N124" i="30"/>
  <c r="N126" i="30"/>
  <c r="N125" i="30"/>
  <c r="Q123" i="30"/>
  <c r="Q125" i="30"/>
  <c r="Q124" i="30"/>
  <c r="Q126" i="30"/>
  <c r="C123" i="30"/>
  <c r="B124" i="30"/>
  <c r="A123" i="30"/>
  <c r="P123" i="30"/>
  <c r="P124" i="30"/>
  <c r="P125" i="30"/>
  <c r="P126" i="30"/>
  <c r="A1082" i="30" l="1"/>
  <c r="B1083" i="30"/>
  <c r="A210" i="35"/>
  <c r="B209" i="35"/>
  <c r="B125" i="30"/>
  <c r="C124" i="30"/>
  <c r="A124" i="30"/>
  <c r="B1084" i="30" l="1"/>
  <c r="A1083" i="30"/>
  <c r="B210" i="35"/>
  <c r="A211" i="35"/>
  <c r="B126" i="30"/>
  <c r="C125" i="30"/>
  <c r="A125" i="30"/>
  <c r="A1084" i="30" l="1"/>
  <c r="B1085" i="30"/>
  <c r="A212" i="35"/>
  <c r="B211" i="35"/>
  <c r="B127" i="30"/>
  <c r="A126" i="30"/>
  <c r="C126" i="30"/>
  <c r="A1085" i="30" l="1"/>
  <c r="B1086" i="30"/>
  <c r="A213" i="35"/>
  <c r="B212" i="35"/>
  <c r="C127" i="30"/>
  <c r="A127" i="30"/>
  <c r="B128" i="30"/>
  <c r="A1086" i="30" l="1"/>
  <c r="B1087" i="30"/>
  <c r="A214" i="35"/>
  <c r="B213" i="35"/>
  <c r="C128" i="30"/>
  <c r="A128" i="30"/>
  <c r="B129" i="30"/>
  <c r="A1087" i="30" l="1"/>
  <c r="B1088" i="30"/>
  <c r="A215" i="35"/>
  <c r="B214" i="35"/>
  <c r="C129" i="30"/>
  <c r="N129" i="30"/>
  <c r="Q129" i="30"/>
  <c r="P129" i="30"/>
  <c r="M129" i="30"/>
  <c r="B130" i="30"/>
  <c r="A129" i="30"/>
  <c r="B1089" i="30" l="1"/>
  <c r="A1088" i="30"/>
  <c r="B215" i="35"/>
  <c r="A216" i="35"/>
  <c r="M130" i="30"/>
  <c r="M132" i="30"/>
  <c r="M131" i="30"/>
  <c r="M133" i="30"/>
  <c r="R131" i="30"/>
  <c r="R133" i="30"/>
  <c r="R132" i="30"/>
  <c r="R130" i="30"/>
  <c r="P132" i="30"/>
  <c r="P130" i="30"/>
  <c r="P131" i="30"/>
  <c r="P133" i="30"/>
  <c r="C130" i="30"/>
  <c r="B131" i="30"/>
  <c r="A130" i="30"/>
  <c r="Q130" i="30"/>
  <c r="Q133" i="30"/>
  <c r="Q132" i="30"/>
  <c r="Q131" i="30"/>
  <c r="N132" i="30"/>
  <c r="N133" i="30"/>
  <c r="N130" i="30"/>
  <c r="N131" i="30"/>
  <c r="A1089" i="30" l="1"/>
  <c r="B1090" i="30"/>
  <c r="B216" i="35"/>
  <c r="A217" i="35"/>
  <c r="C131" i="30"/>
  <c r="B132" i="30"/>
  <c r="A131" i="30"/>
  <c r="A1090" i="30" l="1"/>
  <c r="B1091" i="30"/>
  <c r="B217" i="35"/>
  <c r="A218" i="35"/>
  <c r="C132" i="30"/>
  <c r="B133" i="30"/>
  <c r="A132" i="30"/>
  <c r="B1092" i="30" l="1"/>
  <c r="A1091" i="30"/>
  <c r="B218" i="35"/>
  <c r="A219" i="35"/>
  <c r="B134" i="30"/>
  <c r="C133" i="30"/>
  <c r="A133" i="30"/>
  <c r="A1092" i="30" l="1"/>
  <c r="B1093" i="30"/>
  <c r="A220" i="35"/>
  <c r="B219" i="35"/>
  <c r="B135" i="30"/>
  <c r="C134" i="30"/>
  <c r="A134" i="30"/>
  <c r="A1093" i="30" l="1"/>
  <c r="B1094" i="30"/>
  <c r="B220" i="35"/>
  <c r="A221" i="35"/>
  <c r="B136" i="30"/>
  <c r="C135" i="30"/>
  <c r="A135" i="30"/>
  <c r="BS20" i="29" a="1"/>
  <c r="CL26" i="29" a="1"/>
  <c r="CH27" i="29" a="1"/>
  <c r="CF24" i="29" a="1"/>
  <c r="Y25" i="29" a="1"/>
  <c r="AH27" i="29" a="1"/>
  <c r="AO29" i="29" a="1"/>
  <c r="AP29" i="29" a="1"/>
  <c r="AL26" i="29" a="1"/>
  <c r="CO20" i="29" a="1"/>
  <c r="AH25" i="29" a="1"/>
  <c r="CA24" i="29" a="1"/>
  <c r="BC29" i="29" a="1"/>
  <c r="CT27" i="29" a="1"/>
  <c r="CQ21" i="29" a="1"/>
  <c r="AX27" i="29" a="1"/>
  <c r="BJ25" i="29" a="1"/>
  <c r="BS25" i="29" a="1"/>
  <c r="W23" i="29" a="1"/>
  <c r="CK30" i="29" a="1"/>
  <c r="BM25" i="29" a="1"/>
  <c r="BS24" i="29" a="1"/>
  <c r="AG22" i="29" a="1"/>
  <c r="AU30" i="29" a="1"/>
  <c r="CQ23" i="29" a="1"/>
  <c r="AR27" i="29" a="1"/>
  <c r="BX30" i="29" a="1"/>
  <c r="BP21" i="29" a="1"/>
  <c r="BM29" i="29" a="1"/>
  <c r="BD29" i="29" a="1"/>
  <c r="CB30" i="29" a="1"/>
  <c r="AG30" i="29" a="1"/>
  <c r="CJ23" i="29" a="1"/>
  <c r="AL30" i="29" a="1"/>
  <c r="AV28" i="29" a="1"/>
  <c r="AQ20" i="29" a="1"/>
  <c r="CH29" i="29" a="1"/>
  <c r="BW20" i="29" a="1"/>
  <c r="AC24" i="29" a="1"/>
  <c r="CP23" i="29" a="1"/>
  <c r="BE20" i="29" a="1"/>
  <c r="CJ30" i="29" a="1"/>
  <c r="CI28" i="29" a="1"/>
  <c r="CA22" i="29" a="1"/>
  <c r="BC30" i="29" a="1"/>
  <c r="BY26" i="29" a="1"/>
  <c r="BH27" i="29" a="1"/>
  <c r="BL22" i="29" a="1"/>
  <c r="AW24" i="29" a="1"/>
  <c r="AK20" i="29" a="1"/>
  <c r="AM30" i="29" a="1"/>
  <c r="AN30" i="29" a="1"/>
  <c r="CC24" i="29" a="1"/>
  <c r="BT27" i="29" a="1"/>
  <c r="CA29" i="29" a="1"/>
  <c r="BB24" i="29" a="1"/>
  <c r="AG20" i="29" a="1"/>
  <c r="AB27" i="29" a="1"/>
  <c r="BR28" i="29" a="1"/>
  <c r="Z26" i="29" a="1"/>
  <c r="CN26" i="29" a="1"/>
  <c r="AP23" i="29" a="1"/>
  <c r="BC27" i="29" a="1"/>
  <c r="AI24" i="29" a="1"/>
  <c r="BX25" i="29" a="1"/>
  <c r="AF20" i="29" a="1"/>
  <c r="AC28" i="29" a="1"/>
  <c r="BU25" i="29" a="1"/>
  <c r="BI25" i="29" a="1"/>
  <c r="AV30" i="29" a="1"/>
  <c r="BZ28" i="29" a="1"/>
  <c r="AV24" i="29" a="1"/>
  <c r="CB23" i="29" a="1"/>
  <c r="BG29" i="29" a="1"/>
  <c r="BJ20" i="29" a="1"/>
  <c r="AR25" i="29" a="1"/>
  <c r="CB27" i="29" a="1"/>
  <c r="AY27" i="29" a="1"/>
  <c r="AR23" i="29" a="1"/>
  <c r="W22" i="29" a="1"/>
  <c r="BO30" i="29" a="1"/>
  <c r="CJ27" i="29" a="1"/>
  <c r="AU21" i="29" a="1"/>
  <c r="AT20" i="29" a="1"/>
  <c r="BF23" i="29" a="1"/>
  <c r="BO28" i="29" a="1"/>
  <c r="BG21" i="29" a="1"/>
  <c r="AS21" i="29" a="1"/>
  <c r="BV26" i="29" a="1"/>
  <c r="CM20" i="29" a="1"/>
  <c r="BK25" i="29" a="1"/>
  <c r="AS23" i="29" a="1"/>
  <c r="BK20" i="29" a="1"/>
  <c r="AJ21" i="29" a="1"/>
  <c r="AF21" i="29" a="1"/>
  <c r="AX28" i="29" a="1"/>
  <c r="AI22" i="29" a="1"/>
  <c r="BX20" i="29" a="1"/>
  <c r="AP26" i="29" a="1"/>
  <c r="CR25" i="29" a="1"/>
  <c r="BW27" i="29" a="1"/>
  <c r="AU25" i="29" a="1"/>
  <c r="CK25" i="29" a="1"/>
  <c r="X28" i="29" a="1"/>
  <c r="AR21" i="29" a="1"/>
  <c r="CL27" i="29" a="1"/>
  <c r="AU26" i="29" a="1"/>
  <c r="AE28" i="29" a="1"/>
  <c r="CA26" i="29" a="1"/>
  <c r="AB22" i="29" a="1"/>
  <c r="BG30" i="29" a="1"/>
  <c r="BF25" i="29" a="1"/>
  <c r="AL24" i="29" a="1"/>
  <c r="CK29" i="29" a="1"/>
  <c r="CP26" i="29" a="1"/>
  <c r="BU21" i="29" a="1"/>
  <c r="CO21" i="29" a="1"/>
  <c r="BE24" i="29" a="1"/>
  <c r="AN25" i="29" a="1"/>
  <c r="AZ22" i="29" a="1"/>
  <c r="BY27" i="29" a="1"/>
  <c r="CK28" i="29" a="1"/>
  <c r="CA23" i="29" a="1"/>
  <c r="BD21" i="29" a="1"/>
  <c r="BO26" i="29" a="1"/>
  <c r="CK27" i="29" a="1"/>
  <c r="CJ20" i="29" a="1"/>
  <c r="BZ25" i="29" a="1"/>
  <c r="CC23" i="29" a="1"/>
  <c r="BB23" i="29" a="1"/>
  <c r="CR22" i="29" a="1"/>
  <c r="AA29" i="29" a="1"/>
  <c r="AU22" i="29" a="1"/>
  <c r="CB24" i="29" a="1"/>
  <c r="AJ22" i="29" a="1"/>
  <c r="CP25" i="29" a="1"/>
  <c r="CO23" i="29" a="1"/>
  <c r="BY28" i="29" a="1"/>
  <c r="AW25" i="29" a="1"/>
  <c r="AS27" i="29" a="1"/>
  <c r="BX27" i="29" a="1"/>
  <c r="AK21" i="29" a="1"/>
  <c r="BM23" i="29" a="1"/>
  <c r="CN29" i="29" a="1"/>
  <c r="AW26" i="29" a="1"/>
  <c r="CA28" i="29" a="1"/>
  <c r="CG22" i="29" a="1"/>
  <c r="BI20" i="29" a="1"/>
  <c r="BG22" i="29" a="1"/>
  <c r="BL27" i="29" a="1"/>
  <c r="BR29" i="29" a="1"/>
  <c r="Y24" i="29" a="1"/>
  <c r="BZ20" i="29" a="1"/>
  <c r="BM24" i="29" a="1"/>
  <c r="BZ21" i="29" a="1"/>
  <c r="AA20" i="29" a="1"/>
  <c r="BV22" i="29" a="1"/>
  <c r="BB25" i="29" a="1"/>
  <c r="AX26" i="29" a="1"/>
  <c r="W30" i="29" a="1"/>
  <c r="BA22" i="29" a="1"/>
  <c r="BJ24" i="29" a="1"/>
  <c r="CM23" i="29" a="1"/>
  <c r="CF30" i="29" a="1"/>
  <c r="CO22" i="29" a="1"/>
  <c r="BY29" i="29" a="1"/>
  <c r="BG28" i="29" a="1"/>
  <c r="AC22" i="29" a="1"/>
  <c r="AO25" i="29" a="1"/>
  <c r="CA30" i="29" a="1"/>
  <c r="AW23" i="29" a="1"/>
  <c r="CQ25" i="29" a="1"/>
  <c r="AD30" i="29" a="1"/>
  <c r="BK26" i="29" a="1"/>
  <c r="CO30" i="29" a="1"/>
  <c r="CP21" i="29" a="1"/>
  <c r="CD24" i="29" a="1"/>
  <c r="BA21" i="29" a="1"/>
  <c r="BG24" i="29" a="1"/>
  <c r="BF24" i="29" a="1"/>
  <c r="CG21" i="29" a="1"/>
  <c r="AI23" i="29" a="1"/>
  <c r="AO20" i="29" a="1"/>
  <c r="BP30" i="29" a="1"/>
  <c r="AH23" i="29" a="1"/>
  <c r="AY21" i="29" a="1"/>
  <c r="BX23" i="29" a="1"/>
  <c r="BD23" i="29" a="1"/>
  <c r="AZ29" i="29" a="1"/>
  <c r="X22" i="29" a="1"/>
  <c r="BA29" i="29" a="1"/>
  <c r="X24" i="29" a="1"/>
  <c r="BM21" i="29" a="1"/>
  <c r="CJ28" i="29" a="1"/>
  <c r="AS26" i="29" a="1"/>
  <c r="AA23" i="29" a="1"/>
  <c r="CG24" i="29" a="1"/>
  <c r="CC20" i="29" a="1"/>
  <c r="BS28" i="29" a="1"/>
  <c r="AP30" i="29" a="1"/>
  <c r="BV24" i="29" a="1"/>
  <c r="AX30" i="29" a="1"/>
  <c r="BU23" i="29" a="1"/>
  <c r="CO27" i="29" a="1"/>
  <c r="CP20" i="29" a="1"/>
  <c r="AK22" i="29" a="1"/>
  <c r="AL22" i="29" a="1"/>
  <c r="AL23" i="29" a="1"/>
  <c r="CM28" i="29" a="1"/>
  <c r="BI22" i="29" a="1"/>
  <c r="BK22" i="29" a="1"/>
  <c r="CM25" i="29" a="1"/>
  <c r="BS26" i="29" a="1"/>
  <c r="CS26" i="29" a="1"/>
  <c r="BK21" i="29" a="1"/>
  <c r="BS27" i="29" a="1"/>
  <c r="BA23" i="29" a="1"/>
  <c r="AE22" i="29" a="1"/>
  <c r="BF26" i="29" a="1"/>
  <c r="CD21" i="29" a="1"/>
  <c r="CE27" i="29" a="1"/>
  <c r="BA28" i="29" a="1"/>
  <c r="AY24" i="29" a="1"/>
  <c r="CR26" i="29" a="1"/>
  <c r="BQ22" i="29" a="1"/>
  <c r="BR27" i="29" a="1"/>
  <c r="CD27" i="29" a="1"/>
  <c r="BM27" i="29" a="1"/>
  <c r="BU30" i="29" a="1"/>
  <c r="CI25" i="29" a="1"/>
  <c r="BW29" i="29" a="1"/>
  <c r="AE20" i="29" a="1"/>
  <c r="CI26" i="29" a="1"/>
  <c r="CF20" i="29" a="1"/>
  <c r="BV25" i="29" a="1"/>
  <c r="AR28" i="29" a="1"/>
  <c r="CJ21" i="29" a="1"/>
  <c r="AB30" i="29" a="1"/>
  <c r="BQ29" i="29" a="1"/>
  <c r="BB26" i="29" a="1"/>
  <c r="BF29" i="29" a="1"/>
  <c r="CF28" i="29" a="1"/>
  <c r="BF28" i="29" a="1"/>
  <c r="CH28" i="29" a="1"/>
  <c r="CB21" i="29" a="1"/>
  <c r="CT20" i="29" a="1"/>
  <c r="AO22" i="29" a="1"/>
  <c r="BD22" i="29" a="1"/>
  <c r="AE26" i="29" a="1"/>
  <c r="AY22" i="29" a="1"/>
  <c r="CS23" i="29" a="1"/>
  <c r="CO28" i="29" a="1"/>
  <c r="Y22" i="29" a="1"/>
  <c r="AU29" i="29" a="1"/>
  <c r="BC21" i="29" a="1"/>
  <c r="BP20" i="29" a="1"/>
  <c r="AM29" i="29" a="1"/>
  <c r="AT23" i="29" a="1"/>
  <c r="AY30" i="29" a="1"/>
  <c r="CB29" i="29" a="1"/>
  <c r="BR25" i="29" a="1"/>
  <c r="CG20" i="29" a="1"/>
  <c r="CK20" i="29" a="1"/>
  <c r="CJ26" i="29" a="1"/>
  <c r="AU23" i="29" a="1"/>
  <c r="BO25" i="29" a="1"/>
  <c r="AX25" i="29" a="1"/>
  <c r="BV30" i="29" a="1"/>
  <c r="AD21" i="29" a="1"/>
  <c r="CP28" i="29" a="1"/>
  <c r="BT26" i="29" a="1"/>
  <c r="AA27" i="29" a="1"/>
  <c r="BI27" i="29" a="1"/>
  <c r="AO28" i="29" a="1"/>
  <c r="AA25" i="29" a="1"/>
  <c r="AQ26" i="29" a="1"/>
  <c r="BL23" i="29" a="1"/>
  <c r="CE28" i="29" a="1"/>
  <c r="AM22" i="29" a="1"/>
  <c r="AF24" i="29" a="1"/>
  <c r="BT28" i="29" a="1"/>
  <c r="BP27" i="29" a="1"/>
  <c r="CE26" i="29" a="1"/>
  <c r="CH24" i="29" a="1"/>
  <c r="CN23" i="29" a="1"/>
  <c r="BC20" i="29" a="1"/>
  <c r="BG20" i="29" a="1"/>
  <c r="BU28" i="29" a="1"/>
  <c r="BY23" i="29" a="1"/>
  <c r="AE25" i="29" a="1"/>
  <c r="BU29" i="29" a="1"/>
  <c r="AM21" i="29" a="1"/>
  <c r="BM30" i="29" a="1"/>
  <c r="AB29" i="29" a="1"/>
  <c r="BM28" i="29" a="1"/>
  <c r="BC22" i="29" a="1"/>
  <c r="CS24" i="29" a="1"/>
  <c r="AM27" i="29" a="1"/>
  <c r="AD27" i="29" a="1"/>
  <c r="BB22" i="29" a="1"/>
  <c r="W21" i="29" a="1"/>
  <c r="AJ20" i="29" a="1"/>
  <c r="AF22" i="29" a="1"/>
  <c r="BQ30" i="29" a="1"/>
  <c r="BE22" i="29" a="1"/>
  <c r="BD27" i="29" a="1"/>
  <c r="BW26" i="29" a="1"/>
  <c r="CG28" i="29" a="1"/>
  <c r="AJ30" i="29" a="1"/>
  <c r="BK27" i="29" a="1"/>
  <c r="CN28" i="29" a="1"/>
  <c r="BV29" i="29" a="1"/>
  <c r="AA28" i="29" a="1"/>
  <c r="AW20" i="29" a="1"/>
  <c r="CQ26" i="29" a="1"/>
  <c r="BJ29" i="29" a="1"/>
  <c r="BK30" i="29" a="1"/>
  <c r="Y23" i="29" a="1"/>
  <c r="BE25" i="29" a="1"/>
  <c r="AQ25" i="29" a="1"/>
  <c r="AM20" i="29" a="1"/>
  <c r="CJ29" i="29" a="1"/>
  <c r="BR23" i="29" a="1"/>
  <c r="CN22" i="29" a="1"/>
  <c r="CD30" i="29" a="1"/>
  <c r="BQ21" i="29" a="1"/>
  <c r="AG21" i="29" a="1"/>
  <c r="CK23" i="29" a="1"/>
  <c r="BU20" i="29" a="1"/>
  <c r="AO26" i="29" a="1"/>
  <c r="BA30" i="29" a="1"/>
  <c r="CL29" i="29" a="1"/>
  <c r="CP24" i="29" a="1"/>
  <c r="BL30" i="29" a="1"/>
  <c r="CR24" i="29" a="1"/>
  <c r="BJ30" i="29" a="1"/>
  <c r="AP20" i="29" a="1"/>
  <c r="AQ27" i="29" a="1"/>
  <c r="AZ24" i="29" a="1"/>
  <c r="CK24" i="29" a="1"/>
  <c r="BH26" i="29" a="1"/>
  <c r="Y29" i="29" a="1"/>
  <c r="W20" i="29" a="1"/>
  <c r="BV27" i="29" a="1"/>
  <c r="CC30" i="29" a="1"/>
  <c r="BE30" i="29" a="1"/>
  <c r="CJ22" i="29" a="1"/>
  <c r="Z25" i="29" a="1"/>
  <c r="BQ23" i="29" a="1"/>
  <c r="AO24" i="29" a="1"/>
  <c r="AF25" i="29" a="1"/>
  <c r="CO26" i="29" a="1"/>
  <c r="BX26" i="29" a="1"/>
  <c r="AK29" i="29" a="1"/>
  <c r="CK22" i="29" a="1"/>
  <c r="CE22" i="29" a="1"/>
  <c r="W24" i="29" a="1"/>
  <c r="CF22" i="29" a="1"/>
  <c r="BK23" i="29" a="1"/>
  <c r="Y27" i="29" a="1"/>
  <c r="AN20" i="29" a="1"/>
  <c r="AZ25" i="29" a="1"/>
  <c r="AJ24" i="29" a="1"/>
  <c r="BN21" i="29" a="1"/>
  <c r="BI30" i="29" a="1"/>
  <c r="AA24" i="29" a="1"/>
  <c r="CN20" i="29" a="1"/>
  <c r="CQ24" i="29" a="1"/>
  <c r="CK26" i="29" a="1"/>
  <c r="CC21" i="29" a="1"/>
  <c r="CK21" i="29" a="1"/>
  <c r="CR27" i="29" a="1"/>
  <c r="AS25" i="29" a="1"/>
  <c r="CH30" i="29" a="1"/>
  <c r="BH21" i="29" a="1"/>
  <c r="AV21" i="29" a="1"/>
  <c r="AE27" i="29" a="1"/>
  <c r="AT21" i="29" a="1"/>
  <c r="AB25" i="29" a="1"/>
  <c r="AE29" i="29" a="1"/>
  <c r="AA21" i="29" a="1"/>
  <c r="BJ23" i="29" a="1"/>
  <c r="CF26" i="29" a="1"/>
  <c r="BV21" i="29" a="1"/>
  <c r="BH20" i="29" a="1"/>
  <c r="AH22" i="29" a="1"/>
  <c r="CR23" i="29" a="1"/>
  <c r="AQ22" i="29" a="1"/>
  <c r="BW24" i="29" a="1"/>
  <c r="AE24" i="29" a="1"/>
  <c r="CL28" i="29" a="1"/>
  <c r="BH22" i="29" a="1"/>
  <c r="BS29" i="29" a="1"/>
  <c r="BK29" i="29" a="1"/>
  <c r="AV23" i="29" a="1"/>
  <c r="AA26" i="29" a="1"/>
  <c r="CE23" i="29" a="1"/>
  <c r="Z30" i="29" a="1"/>
  <c r="BN22" i="29" a="1"/>
  <c r="BE23" i="29" a="1"/>
  <c r="CJ25" i="29" a="1"/>
  <c r="AQ21" i="29" a="1"/>
  <c r="AP25" i="29" a="1"/>
  <c r="AS20" i="29" a="1"/>
  <c r="Y26" i="29" a="1"/>
  <c r="CD25" i="29" a="1"/>
  <c r="AK27" i="29" a="1"/>
  <c r="CN27" i="29" a="1"/>
  <c r="BD25" i="29" a="1"/>
  <c r="AL27" i="29" a="1"/>
  <c r="AF29" i="29" a="1"/>
  <c r="X20" i="29" a="1"/>
  <c r="BR30" i="29" a="1"/>
  <c r="AB24" i="29" a="1"/>
  <c r="CT23" i="29" a="1"/>
  <c r="AC20" i="29" a="1"/>
  <c r="CN30" i="29" a="1"/>
  <c r="AZ23" i="29" a="1"/>
  <c r="BZ23" i="29" a="1"/>
  <c r="CI20" i="29" a="1"/>
  <c r="CS27" i="29" a="1"/>
  <c r="BQ27" i="29" a="1"/>
  <c r="CC22" i="29" a="1"/>
  <c r="CH26" i="29" a="1"/>
  <c r="AT29" i="29" a="1"/>
  <c r="AE21" i="29" a="1"/>
  <c r="BH24" i="29" a="1"/>
  <c r="AT24" i="29" a="1"/>
  <c r="X29" i="29" a="1"/>
  <c r="BN28" i="29" a="1"/>
  <c r="BZ22" i="29" a="1"/>
  <c r="BJ26" i="29" a="1"/>
  <c r="BH30" i="29" a="1"/>
  <c r="AY28" i="29" a="1"/>
  <c r="AX22" i="29" a="1"/>
  <c r="X30" i="29" a="1"/>
  <c r="CC27" i="29" a="1"/>
  <c r="AU27" i="29" a="1"/>
  <c r="BV23" i="29" a="1"/>
  <c r="BG25" i="29" a="1"/>
  <c r="AI28" i="29" a="1"/>
  <c r="BS22" i="29" a="1"/>
  <c r="BC28" i="29" a="1"/>
  <c r="AK23" i="29" a="1"/>
  <c r="BT24" i="29" a="1"/>
  <c r="BY20" i="29" a="1"/>
  <c r="AJ26" i="29" a="1"/>
  <c r="AG28" i="29" a="1"/>
  <c r="AQ24" i="29" a="1"/>
  <c r="CG25" i="29" a="1"/>
  <c r="AY20" i="29" a="1"/>
  <c r="BN26" i="29" a="1"/>
  <c r="AM26" i="29" a="1"/>
  <c r="BB27" i="29" a="1"/>
  <c r="BI26" i="29" a="1"/>
  <c r="AQ29" i="29" a="1"/>
  <c r="BB28" i="29" a="1"/>
  <c r="AG23" i="29" a="1"/>
  <c r="Z24" i="29" a="1"/>
  <c r="BX22" i="29" a="1"/>
  <c r="AY25" i="29" a="1"/>
  <c r="CD20" i="29" a="1"/>
  <c r="BB21" i="29" a="1"/>
  <c r="CD26" i="29" a="1"/>
  <c r="CN25" i="29" a="1"/>
  <c r="CI22" i="29" a="1"/>
  <c r="BI23" i="29" a="1"/>
  <c r="AV27" i="29" a="1"/>
  <c r="CA21" i="29" a="1"/>
  <c r="CI23" i="29" a="1"/>
  <c r="CM29" i="29" a="1"/>
  <c r="CJ24" i="29" a="1"/>
  <c r="AP27" i="29" a="1"/>
  <c r="W27" i="29" a="1"/>
  <c r="CL20" i="29" a="1"/>
  <c r="AR22" i="29" a="1"/>
  <c r="AC27" i="29" a="1"/>
  <c r="CL23" i="29" a="1"/>
  <c r="AX29" i="29" a="1"/>
  <c r="AN26" i="29" a="1"/>
  <c r="CE29" i="29" a="1"/>
  <c r="BR22" i="29" a="1"/>
  <c r="CR21" i="29" a="1"/>
  <c r="CR20" i="29" a="1"/>
  <c r="Y21" i="29" a="1"/>
  <c r="BO22" i="29" a="1"/>
  <c r="CD28" i="29" a="1"/>
  <c r="AD20" i="29" a="1"/>
  <c r="BJ28" i="29" a="1"/>
  <c r="AP21" i="29" a="1"/>
  <c r="AS30" i="29" a="1"/>
  <c r="BD28" i="29" a="1"/>
  <c r="W28" i="29" a="1"/>
  <c r="AT25" i="29" a="1"/>
  <c r="BS23" i="29" a="1"/>
  <c r="AT22" i="29" a="1"/>
  <c r="AV20" i="29" a="1"/>
  <c r="CN24" i="29" a="1"/>
  <c r="BF27" i="29" a="1"/>
  <c r="BU24" i="29" a="1"/>
  <c r="BM20" i="29" a="1"/>
  <c r="CP30" i="29" a="1"/>
  <c r="CL21" i="29" a="1"/>
  <c r="AM23" i="29" a="1"/>
  <c r="BW25" i="29" a="1"/>
  <c r="AH29" i="29" a="1"/>
  <c r="BW23" i="29" a="1"/>
  <c r="AP28" i="29" a="1"/>
  <c r="CT21" i="29" a="1"/>
  <c r="BJ27" i="29" a="1"/>
  <c r="BD24" i="29" a="1"/>
  <c r="AA22" i="29" a="1"/>
  <c r="AP24" i="29" a="1"/>
  <c r="AZ30" i="29" a="1"/>
  <c r="AH20" i="29" a="1"/>
  <c r="BZ30" i="29" a="1"/>
  <c r="BA24" i="29" a="1"/>
  <c r="BY30" i="29" a="1"/>
  <c r="BF30" i="29" a="1"/>
  <c r="X23" i="29" a="1"/>
  <c r="AI30" i="29" a="1"/>
  <c r="CI24" i="29" a="1"/>
  <c r="CM22" i="29" a="1"/>
  <c r="AW22" i="29" a="1"/>
  <c r="BF22" i="29" a="1"/>
  <c r="AC30" i="29" a="1"/>
  <c r="BO21" i="29" a="1"/>
  <c r="BQ20" i="29" a="1"/>
  <c r="AO27" i="29" a="1"/>
  <c r="AC26" i="29" a="1"/>
  <c r="AV29" i="29" a="1"/>
  <c r="BN23" i="29" a="1"/>
  <c r="BF20" i="29" a="1"/>
  <c r="AO21" i="29" a="1"/>
  <c r="AW27" i="29" a="1"/>
  <c r="BY22" i="29" a="1"/>
  <c r="BZ27" i="29" a="1"/>
  <c r="BT22" i="29" a="1"/>
  <c r="BE28" i="29" a="1"/>
  <c r="BO27" i="29" a="1"/>
  <c r="CT26" i="29" a="1"/>
  <c r="BW30" i="29" a="1"/>
  <c r="CP27" i="29" a="1"/>
  <c r="AF27" i="29" a="1"/>
  <c r="CO25" i="29" a="1"/>
  <c r="W26" i="29" a="1"/>
  <c r="CG29" i="29" a="1"/>
  <c r="Y20" i="29" a="1"/>
  <c r="BL25" i="29" a="1"/>
  <c r="BY25" i="29" a="1"/>
  <c r="BH28" i="29" a="1"/>
  <c r="CQ22" i="29" a="1"/>
  <c r="AG25" i="29" a="1"/>
  <c r="BX29" i="29" a="1"/>
  <c r="AG24" i="29" a="1"/>
  <c r="BN27" i="29" a="1"/>
  <c r="BP24" i="29" a="1"/>
  <c r="BX24" i="29" a="1"/>
  <c r="AY26" i="29" a="1"/>
  <c r="CG27" i="29" a="1"/>
  <c r="CH23" i="29" a="1"/>
  <c r="CT24" i="29" a="1"/>
  <c r="AT27" i="29" a="1"/>
  <c r="AJ29" i="29" a="1"/>
  <c r="AR24" i="29" a="1"/>
  <c r="CC25" i="29" a="1"/>
  <c r="BW28" i="29" a="1"/>
  <c r="AN29" i="29" a="1"/>
  <c r="BX21" i="29" a="1"/>
  <c r="CB28" i="29" a="1"/>
  <c r="AF30" i="29" a="1"/>
  <c r="AK24" i="29" a="1"/>
  <c r="BI29" i="29" a="1"/>
  <c r="BO29" i="29" a="1"/>
  <c r="AZ27" i="29" a="1"/>
  <c r="Z28" i="29" a="1"/>
  <c r="CH25" i="29" a="1"/>
  <c r="BJ22" i="29" a="1"/>
  <c r="BN29" i="29" a="1"/>
  <c r="CB22" i="29" a="1"/>
  <c r="CO29" i="29" a="1"/>
  <c r="BR20" i="29" a="1"/>
  <c r="BA20" i="29" a="1"/>
  <c r="BT20" i="29" a="1"/>
  <c r="AV22" i="29" a="1"/>
  <c r="AC25" i="29" a="1"/>
  <c r="CL22" i="29" a="1"/>
  <c r="AD22" i="29" a="1"/>
  <c r="AJ25" i="29" a="1"/>
  <c r="BC25" i="29" a="1"/>
  <c r="X21" i="29" a="1"/>
  <c r="AD23" i="29" a="1"/>
  <c r="CD29" i="29" a="1"/>
  <c r="AE23" i="29" a="1"/>
  <c r="AG26" i="29" a="1"/>
  <c r="AP22" i="29" a="1"/>
  <c r="AD26" i="29" a="1"/>
  <c r="AI26" i="29" a="1"/>
  <c r="CD23" i="29" a="1"/>
  <c r="CM30" i="29" a="1"/>
  <c r="Z20" i="29" a="1"/>
  <c r="BA27" i="29" a="1"/>
  <c r="AG27" i="29" a="1"/>
  <c r="BP26" i="29" a="1"/>
  <c r="AZ20" i="29" a="1"/>
  <c r="BV20" i="29" a="1"/>
  <c r="AL25" i="29" a="1"/>
  <c r="BC24" i="29" a="1"/>
  <c r="CP22" i="29" a="1"/>
  <c r="AT30" i="29" a="1"/>
  <c r="BI21" i="29" a="1"/>
  <c r="CL30" i="29" a="1"/>
  <c r="X27" i="29" a="1"/>
  <c r="AF23" i="29" a="1"/>
  <c r="AS24" i="29" a="1"/>
  <c r="BY24" i="29" a="1"/>
  <c r="CG30" i="29" a="1"/>
  <c r="BO23" i="29" a="1"/>
  <c r="AZ28" i="29" a="1"/>
  <c r="Z29" i="29" a="1"/>
  <c r="AC23" i="29" a="1"/>
  <c r="AH28" i="29" a="1"/>
  <c r="AN24" i="29" a="1"/>
  <c r="Z21" i="29" a="1"/>
  <c r="BP25" i="29" a="1"/>
  <c r="BU27" i="29" a="1"/>
  <c r="CF29" i="29" a="1"/>
  <c r="AV26" i="29" a="1"/>
  <c r="X25" i="29" a="1"/>
  <c r="BP23" i="29" a="1"/>
  <c r="BL29" i="29" a="1"/>
  <c r="CE20" i="29" a="1"/>
  <c r="AN23" i="29" a="1"/>
  <c r="BT30" i="29" a="1"/>
  <c r="BE29" i="29" a="1"/>
  <c r="AU28" i="29" a="1"/>
  <c r="CM21" i="29" a="1"/>
  <c r="BL20" i="29" a="1"/>
  <c r="BA26" i="29" a="1"/>
  <c r="BF21" i="29" a="1"/>
  <c r="BL28" i="29" a="1"/>
  <c r="AB28" i="29" a="1"/>
  <c r="AK25" i="29" a="1"/>
  <c r="CC29" i="29" a="1"/>
  <c r="AW30" i="29" a="1"/>
  <c r="CE21" i="29" a="1"/>
  <c r="AJ28" i="29" a="1"/>
  <c r="AD25" i="29" a="1"/>
  <c r="AB23" i="29" a="1"/>
  <c r="AT28" i="29" a="1"/>
  <c r="BS21" i="29" a="1"/>
  <c r="AQ30" i="29" a="1"/>
  <c r="BN30" i="29" a="1"/>
  <c r="CB20" i="29" a="1"/>
  <c r="BT21" i="29" a="1"/>
  <c r="BE27" i="29" a="1"/>
  <c r="BD26" i="29" a="1"/>
  <c r="AR26" i="29" a="1"/>
  <c r="BX28" i="29" a="1"/>
  <c r="CM26" i="29" a="1"/>
  <c r="CO24" i="29" a="1"/>
  <c r="CL25" i="29" a="1"/>
  <c r="CE30" i="29" a="1"/>
  <c r="BL26" i="29" a="1"/>
  <c r="BG27" i="29" a="1"/>
  <c r="AN22" i="29" a="1"/>
  <c r="BR24" i="29" a="1"/>
  <c r="AS28" i="29" a="1"/>
  <c r="BT23" i="29" a="1"/>
  <c r="BQ25" i="29" a="1"/>
  <c r="CG26" i="29" a="1"/>
  <c r="AH30" i="29" a="1"/>
  <c r="CF21" i="29" a="1"/>
  <c r="AM28" i="29" a="1"/>
  <c r="CH20" i="29" a="1"/>
  <c r="AL20" i="29" a="1"/>
  <c r="BT25" i="29" a="1"/>
  <c r="AI27" i="29" a="1"/>
  <c r="AU24" i="29" a="1"/>
  <c r="CS25" i="29" a="1"/>
  <c r="AX20" i="29" a="1"/>
  <c r="CL24" i="29" a="1"/>
  <c r="AB26" i="29" a="1"/>
  <c r="AL28" i="29" a="1"/>
  <c r="BA25" i="29" a="1"/>
  <c r="CC28" i="29" a="1"/>
  <c r="AH26" i="29" a="1"/>
  <c r="CB26" i="29" a="1"/>
  <c r="BP29" i="29" a="1"/>
  <c r="BD20" i="29" a="1"/>
  <c r="BH29" i="29" a="1"/>
  <c r="BM26" i="29" a="1"/>
  <c r="AV25" i="29" a="1"/>
  <c r="AZ26" i="29" a="1"/>
  <c r="BH23" i="29" a="1"/>
  <c r="AX24" i="29" a="1"/>
  <c r="CI21" i="29" a="1"/>
  <c r="AZ21" i="29" a="1"/>
  <c r="BC26" i="29" a="1"/>
  <c r="AE30" i="29" a="1"/>
  <c r="BN25" i="29" a="1"/>
  <c r="AN27" i="29" a="1"/>
  <c r="AF28" i="29" a="1"/>
  <c r="AG29" i="29" a="1"/>
  <c r="BU26" i="29" a="1"/>
  <c r="CA25" i="29" a="1"/>
  <c r="BZ29" i="29" a="1"/>
  <c r="AN21" i="29" a="1"/>
  <c r="AQ28" i="29" a="1"/>
  <c r="BB20" i="29" a="1"/>
  <c r="AO30" i="29" a="1"/>
  <c r="AL21" i="29" a="1"/>
  <c r="CB25" i="29" a="1"/>
  <c r="AM24" i="29" a="1"/>
  <c r="CN21" i="29" a="1"/>
  <c r="AU20" i="29" a="1"/>
  <c r="AW21" i="29" a="1"/>
  <c r="AY23" i="29" a="1"/>
  <c r="CT25" i="29" a="1"/>
  <c r="CT22" i="29" a="1"/>
  <c r="AH24" i="29" a="1"/>
  <c r="CF25" i="29" a="1"/>
  <c r="AL29" i="29" a="1"/>
  <c r="AS22" i="29" a="1"/>
  <c r="BN24" i="29" a="1"/>
  <c r="CI29" i="29" a="1"/>
  <c r="BB29" i="29" a="1"/>
  <c r="CM24" i="29" a="1"/>
  <c r="CF27" i="29" a="1"/>
  <c r="BY21" i="29" a="1"/>
  <c r="CH21" i="29" a="1"/>
  <c r="Z22" i="29" a="1"/>
  <c r="BI28" i="29" a="1"/>
  <c r="BM22" i="29" a="1"/>
  <c r="AC21" i="29" a="1"/>
  <c r="AI20" i="29" a="1"/>
  <c r="AI29" i="29" a="1"/>
  <c r="W29" i="29" a="1"/>
  <c r="CI30" i="29" a="1"/>
  <c r="Z23" i="29" a="1"/>
  <c r="BN20" i="29" a="1"/>
  <c r="AN28" i="29" a="1"/>
  <c r="AD29" i="29" a="1"/>
  <c r="W25" i="29" a="1"/>
  <c r="BP22" i="29" a="1"/>
  <c r="Z27" i="29" a="1"/>
  <c r="BB30" i="29" a="1"/>
  <c r="CE25" i="29" a="1"/>
  <c r="AX21" i="29" a="1"/>
  <c r="BZ26" i="29" a="1"/>
  <c r="Y28" i="29" a="1"/>
  <c r="BW21" i="29" a="1"/>
  <c r="AK28" i="29" a="1"/>
  <c r="CQ20" i="29" a="1"/>
  <c r="CI27" i="29" a="1"/>
  <c r="AF26" i="29" a="1"/>
  <c r="BS30" i="29" a="1"/>
  <c r="Y30" i="29" a="1"/>
  <c r="CS20" i="29" a="1"/>
  <c r="BC23" i="29" a="1"/>
  <c r="BL24" i="29" a="1"/>
  <c r="BQ28" i="29" a="1"/>
  <c r="AD24" i="29" a="1"/>
  <c r="AM25" i="29" a="1"/>
  <c r="CG23" i="29" a="1"/>
  <c r="BR21" i="29" a="1"/>
  <c r="AX23" i="29" a="1"/>
  <c r="CA27" i="29" a="1"/>
  <c r="BJ21" i="29" a="1"/>
  <c r="CD22" i="29" a="1"/>
  <c r="BU22" i="29" a="1"/>
  <c r="BG26" i="29" a="1"/>
  <c r="BP28" i="29" a="1"/>
  <c r="AA30" i="29" a="1"/>
  <c r="BG23" i="29" a="1"/>
  <c r="AS29" i="29" a="1"/>
  <c r="CS21" i="29" a="1"/>
  <c r="AC29" i="29" a="1"/>
  <c r="BI24" i="29" a="1"/>
  <c r="CA20" i="29" a="1"/>
  <c r="AT26" i="29" a="1"/>
  <c r="AR30" i="29" a="1"/>
  <c r="BO24" i="29" a="1"/>
  <c r="CC26" i="29" a="1"/>
  <c r="AB20" i="29" a="1"/>
  <c r="BD30" i="29" a="1"/>
  <c r="BO20" i="29" a="1"/>
  <c r="BT29" i="29" a="1"/>
  <c r="BW22" i="29" a="1"/>
  <c r="CE24" i="29" a="1"/>
  <c r="AR29" i="29" a="1"/>
  <c r="AW29" i="29" a="1"/>
  <c r="AB21" i="29" a="1"/>
  <c r="AI25" i="29" a="1"/>
  <c r="AI21" i="29" a="1"/>
  <c r="BE26" i="29" a="1"/>
  <c r="CS22" i="29" a="1"/>
  <c r="BK28" i="29" a="1"/>
  <c r="BH25" i="29" a="1"/>
  <c r="BZ24" i="29" a="1"/>
  <c r="BQ26" i="29" a="1"/>
  <c r="AH21" i="29" a="1"/>
  <c r="BR26" i="29" a="1"/>
  <c r="AK30" i="29" a="1"/>
  <c r="X26" i="29" a="1"/>
  <c r="CM27" i="29" a="1"/>
  <c r="AW28" i="29" a="1"/>
  <c r="BV28" i="29" a="1"/>
  <c r="CF23" i="29" a="1"/>
  <c r="BQ24" i="29" a="1"/>
  <c r="AR20" i="29" a="1"/>
  <c r="AY29" i="29" a="1"/>
  <c r="CH22" i="29" a="1"/>
  <c r="AK26" i="29" a="1"/>
  <c r="CP29" i="29" a="1"/>
  <c r="AD28" i="29" a="1"/>
  <c r="AJ23" i="29" a="1"/>
  <c r="BL21" i="29" a="1"/>
  <c r="BE21" i="29" a="1"/>
  <c r="CQ27" i="29" a="1"/>
  <c r="AJ27" i="29" a="1"/>
  <c r="BK24" i="29" a="1"/>
  <c r="AQ23" i="29" a="1"/>
  <c r="AO23" i="29" a="1"/>
  <c r="A1094" i="30" l="1"/>
  <c r="B1095" i="30"/>
  <c r="A222" i="35"/>
  <c r="B221" i="35"/>
  <c r="AM25" i="29"/>
  <c r="AB30" i="29"/>
  <c r="AA30" i="29"/>
  <c r="L1136" i="16" s="1"/>
  <c r="CM24" i="29"/>
  <c r="BF27" i="29"/>
  <c r="L2501" i="16" s="1"/>
  <c r="BR27" i="29"/>
  <c r="CH22" i="29"/>
  <c r="AH26" i="29"/>
  <c r="L1440" i="16" s="1"/>
  <c r="AJ27" i="29"/>
  <c r="L1494" i="16" s="1"/>
  <c r="CJ24" i="29"/>
  <c r="AO24" i="29"/>
  <c r="L1757" i="16" s="1"/>
  <c r="CK26" i="29"/>
  <c r="BP21" i="29"/>
  <c r="BN22" i="29"/>
  <c r="BU20" i="29"/>
  <c r="BT29" i="29"/>
  <c r="AL28" i="29"/>
  <c r="L1601" i="16" s="1"/>
  <c r="CN25" i="29"/>
  <c r="BW22" i="29"/>
  <c r="AR23" i="29"/>
  <c r="L1862" i="16" s="1"/>
  <c r="CF22" i="29"/>
  <c r="AI26" i="29"/>
  <c r="Z30" i="29"/>
  <c r="L1083" i="16" s="1"/>
  <c r="CP22" i="29"/>
  <c r="BV25" i="29"/>
  <c r="BM21" i="29"/>
  <c r="AD25" i="29"/>
  <c r="AX29" i="29"/>
  <c r="L2132" i="16" s="1"/>
  <c r="AA20" i="29"/>
  <c r="L1118" i="16" s="1"/>
  <c r="AM23" i="29"/>
  <c r="L1650" i="16" s="1"/>
  <c r="CI24" i="29"/>
  <c r="BC30" i="29"/>
  <c r="L2408" i="16" s="1"/>
  <c r="BR28" i="29"/>
  <c r="AB20" i="29"/>
  <c r="BN21" i="29"/>
  <c r="BH21" i="29"/>
  <c r="L2603" i="16" s="1"/>
  <c r="AR30" i="29"/>
  <c r="L1878" i="16" s="1"/>
  <c r="CT20" i="29"/>
  <c r="W28" i="29"/>
  <c r="L912" i="16" s="1"/>
  <c r="BM26" i="29"/>
  <c r="AC22" i="29"/>
  <c r="CJ20" i="29"/>
  <c r="BT22" i="29"/>
  <c r="BQ28" i="29"/>
  <c r="BQ24" i="29"/>
  <c r="CC27" i="29"/>
  <c r="BL20" i="29"/>
  <c r="CL21" i="29"/>
  <c r="BU28" i="29"/>
  <c r="BI30" i="29"/>
  <c r="L2673" i="16" s="1"/>
  <c r="BQ27" i="29"/>
  <c r="CQ27" i="29"/>
  <c r="X21" i="29"/>
  <c r="L960" i="16" s="1"/>
  <c r="X25" i="29"/>
  <c r="AK27" i="29"/>
  <c r="L1547" i="16" s="1"/>
  <c r="BB28" i="29"/>
  <c r="L2343" i="16" s="1"/>
  <c r="Z23" i="29"/>
  <c r="L1067" i="16" s="1"/>
  <c r="AN20" i="29"/>
  <c r="L1701" i="16" s="1"/>
  <c r="AJ20" i="29"/>
  <c r="L1489" i="16" s="1"/>
  <c r="BL22" i="29"/>
  <c r="AC28" i="29"/>
  <c r="L1177" i="16" s="1"/>
  <c r="AF26" i="29"/>
  <c r="L1334" i="16" s="1"/>
  <c r="BC24" i="29"/>
  <c r="L2393" i="16" s="1"/>
  <c r="CQ25" i="29"/>
  <c r="BL30" i="29"/>
  <c r="CE27" i="29"/>
  <c r="BE28" i="29"/>
  <c r="L2449" i="16" s="1"/>
  <c r="AV23" i="29"/>
  <c r="L2074" i="16" s="1"/>
  <c r="BB29" i="29"/>
  <c r="L2344" i="16" s="1"/>
  <c r="AO28" i="29"/>
  <c r="L1760" i="16" s="1"/>
  <c r="CP27" i="29"/>
  <c r="AB25" i="29"/>
  <c r="AV29" i="29"/>
  <c r="L2079" i="16" s="1"/>
  <c r="AQ20" i="29"/>
  <c r="L1807" i="16" s="1"/>
  <c r="BO26" i="29"/>
  <c r="BK23" i="29"/>
  <c r="CD26" i="29"/>
  <c r="AA26" i="29"/>
  <c r="L1122" i="16" s="1"/>
  <c r="AW26" i="29"/>
  <c r="CG27" i="29"/>
  <c r="W29" i="29"/>
  <c r="L913" i="16" s="1"/>
  <c r="BC23" i="29"/>
  <c r="L2392" i="16" s="1"/>
  <c r="BX22" i="29"/>
  <c r="CH29" i="29"/>
  <c r="AO27" i="29"/>
  <c r="L1759" i="16" s="1"/>
  <c r="CS25" i="29"/>
  <c r="CK24" i="29"/>
  <c r="BV30" i="29"/>
  <c r="CA29" i="29"/>
  <c r="CL26" i="29"/>
  <c r="AI25" i="29"/>
  <c r="CL25" i="29"/>
  <c r="AT20" i="29"/>
  <c r="L1966" i="16" s="1"/>
  <c r="AO22" i="29"/>
  <c r="BY21" i="29"/>
  <c r="BB23" i="29"/>
  <c r="L2339" i="16" s="1"/>
  <c r="BQ20" i="29"/>
  <c r="AE20" i="29"/>
  <c r="L1277" i="16" s="1"/>
  <c r="AM24" i="29"/>
  <c r="L1651" i="16" s="1"/>
  <c r="Y20" i="29"/>
  <c r="L1012" i="16" s="1"/>
  <c r="CO23" i="29"/>
  <c r="BH23" i="29"/>
  <c r="L2604" i="16" s="1"/>
  <c r="Y23" i="29"/>
  <c r="L1014" i="16" s="1"/>
  <c r="CO30" i="29"/>
  <c r="AQ25" i="29"/>
  <c r="BL24" i="29"/>
  <c r="BH30" i="29"/>
  <c r="L2620" i="16" s="1"/>
  <c r="AU23" i="29"/>
  <c r="L2021" i="16" s="1"/>
  <c r="CT27" i="29"/>
  <c r="CF29" i="29"/>
  <c r="BH29" i="29"/>
  <c r="L2609" i="16" s="1"/>
  <c r="AZ22" i="29"/>
  <c r="BI26" i="29"/>
  <c r="L2659" i="16" s="1"/>
  <c r="AB29" i="29"/>
  <c r="BG24" i="29"/>
  <c r="L2552" i="16" s="1"/>
  <c r="CE24" i="29"/>
  <c r="BY26" i="29"/>
  <c r="BP22" i="29"/>
  <c r="BQ22" i="29"/>
  <c r="AK25" i="29"/>
  <c r="CL29" i="29"/>
  <c r="AK30" i="29"/>
  <c r="L1560" i="16" s="1"/>
  <c r="CP23" i="29"/>
  <c r="AX20" i="29"/>
  <c r="L2125" i="16" s="1"/>
  <c r="CF28" i="29"/>
  <c r="CD29" i="29"/>
  <c r="BZ27" i="29"/>
  <c r="CS23" i="29"/>
  <c r="AH27" i="29"/>
  <c r="L1441" i="16" s="1"/>
  <c r="CC23" i="29"/>
  <c r="CC29" i="29"/>
  <c r="AW27" i="29"/>
  <c r="BI25" i="29"/>
  <c r="AA23" i="29"/>
  <c r="L1120" i="16" s="1"/>
  <c r="AS27" i="29"/>
  <c r="L1918" i="16" s="1"/>
  <c r="Z25" i="29"/>
  <c r="AQ22" i="29"/>
  <c r="AP22" i="29"/>
  <c r="CK27" i="29"/>
  <c r="AN23" i="29"/>
  <c r="L1703" i="16" s="1"/>
  <c r="CG25" i="29"/>
  <c r="BK26" i="29"/>
  <c r="AD30" i="29"/>
  <c r="L1242" i="16" s="1"/>
  <c r="CD22" i="29"/>
  <c r="CI22" i="29"/>
  <c r="AI29" i="29"/>
  <c r="BN29" i="29"/>
  <c r="BX20" i="29"/>
  <c r="AE21" i="29"/>
  <c r="L1278" i="16" s="1"/>
  <c r="BV22" i="29"/>
  <c r="CI30" i="29"/>
  <c r="X30" i="29"/>
  <c r="L977" i="16" s="1"/>
  <c r="CS24" i="29"/>
  <c r="AG21" i="29"/>
  <c r="L1384" i="16" s="1"/>
  <c r="AB28" i="29"/>
  <c r="AX30" i="29"/>
  <c r="L2143" i="16" s="1"/>
  <c r="AC23" i="29"/>
  <c r="L1173" i="16" s="1"/>
  <c r="BJ27" i="29"/>
  <c r="BZ23" i="29"/>
  <c r="W21" i="29"/>
  <c r="L907" i="16" s="1"/>
  <c r="CC28" i="29"/>
  <c r="BO24" i="29"/>
  <c r="BG30" i="29"/>
  <c r="L2567" i="16" s="1"/>
  <c r="AT25" i="29"/>
  <c r="AQ26" i="29"/>
  <c r="L1811" i="16" s="1"/>
  <c r="AV21" i="29"/>
  <c r="L2073" i="16" s="1"/>
  <c r="CL22" i="29"/>
  <c r="CK25" i="29"/>
  <c r="AS29" i="29"/>
  <c r="L1920" i="16" s="1"/>
  <c r="CP21" i="29"/>
  <c r="AQ29" i="29"/>
  <c r="L1814" i="16" s="1"/>
  <c r="AN27" i="29"/>
  <c r="L1706" i="16" s="1"/>
  <c r="CO21" i="29"/>
  <c r="CA26" i="29"/>
  <c r="AQ30" i="29"/>
  <c r="L1825" i="16" s="1"/>
  <c r="AG30" i="29"/>
  <c r="L1401" i="16" s="1"/>
  <c r="BK21" i="29"/>
  <c r="BW30" i="29"/>
  <c r="BZ22" i="29"/>
  <c r="CC25" i="29"/>
  <c r="BV24" i="29"/>
  <c r="AM20" i="29"/>
  <c r="L1648" i="16" s="1"/>
  <c r="BX26" i="29"/>
  <c r="CP28" i="29"/>
  <c r="BN28" i="29"/>
  <c r="CG29" i="29"/>
  <c r="AW23" i="29"/>
  <c r="AR21" i="29"/>
  <c r="L1861" i="16" s="1"/>
  <c r="AK23" i="29"/>
  <c r="L1544" i="16" s="1"/>
  <c r="BR20" i="29"/>
  <c r="AA28" i="29"/>
  <c r="L1124" i="16" s="1"/>
  <c r="AE24" i="29"/>
  <c r="L1280" i="16" s="1"/>
  <c r="AP21" i="29"/>
  <c r="BP30" i="29"/>
  <c r="AS24" i="29"/>
  <c r="L1916" i="16" s="1"/>
  <c r="BJ25" i="29"/>
  <c r="CO20" i="29"/>
  <c r="AO29" i="29"/>
  <c r="L1761" i="16" s="1"/>
  <c r="BT30" i="29"/>
  <c r="AG20" i="29"/>
  <c r="L1383" i="16" s="1"/>
  <c r="AV28" i="29"/>
  <c r="L2078" i="16" s="1"/>
  <c r="AF30" i="29"/>
  <c r="L1348" i="16" s="1"/>
  <c r="CB22" i="29"/>
  <c r="X22" i="29"/>
  <c r="BL26" i="29"/>
  <c r="BW24" i="29"/>
  <c r="CI20" i="29"/>
  <c r="BW27" i="29"/>
  <c r="BD25" i="29"/>
  <c r="CF30" i="29"/>
  <c r="BN30" i="29"/>
  <c r="AZ29" i="29"/>
  <c r="L2238" i="16" s="1"/>
  <c r="CJ30" i="29"/>
  <c r="BL28" i="29"/>
  <c r="BP27" i="29"/>
  <c r="CO22" i="29"/>
  <c r="CP30" i="29"/>
  <c r="BU22" i="29"/>
  <c r="BE24" i="29"/>
  <c r="L2446" i="16" s="1"/>
  <c r="CQ26" i="29"/>
  <c r="BJ22" i="29"/>
  <c r="AF28" i="29"/>
  <c r="L1336" i="16" s="1"/>
  <c r="BU30" i="29"/>
  <c r="AK28" i="29"/>
  <c r="L1548" i="16" s="1"/>
  <c r="BW25" i="29"/>
  <c r="Z24" i="29"/>
  <c r="L1068" i="16" s="1"/>
  <c r="CJ26" i="29"/>
  <c r="Z21" i="29"/>
  <c r="L1066" i="16" s="1"/>
  <c r="CB28" i="29"/>
  <c r="AL30" i="29"/>
  <c r="L1613" i="16" s="1"/>
  <c r="BD22" i="29"/>
  <c r="CH28" i="29"/>
  <c r="BV23" i="29"/>
  <c r="AF22" i="29"/>
  <c r="AP29" i="29"/>
  <c r="W26" i="29"/>
  <c r="L910" i="16" s="1"/>
  <c r="AH21" i="29"/>
  <c r="L1437" i="16" s="1"/>
  <c r="AT24" i="29"/>
  <c r="L1969" i="16" s="1"/>
  <c r="BC20" i="29"/>
  <c r="L2390" i="16" s="1"/>
  <c r="BP26" i="29"/>
  <c r="BC21" i="29"/>
  <c r="L2391" i="16" s="1"/>
  <c r="AW22" i="29"/>
  <c r="AX24" i="29"/>
  <c r="L2128" i="16" s="1"/>
  <c r="BK20" i="29"/>
  <c r="CB23" i="29"/>
  <c r="BF21" i="29"/>
  <c r="L2497" i="16" s="1"/>
  <c r="BH20" i="29"/>
  <c r="L2602" i="16" s="1"/>
  <c r="AE23" i="29"/>
  <c r="L1279" i="16" s="1"/>
  <c r="CM28" i="29"/>
  <c r="CH27" i="29"/>
  <c r="BT27" i="29"/>
  <c r="CL23" i="29"/>
  <c r="X23" i="29"/>
  <c r="L961" i="16" s="1"/>
  <c r="CA27" i="29"/>
  <c r="AH23" i="29"/>
  <c r="L1438" i="16" s="1"/>
  <c r="BP24" i="29"/>
  <c r="AE26" i="29"/>
  <c r="L1281" i="16" s="1"/>
  <c r="BW29" i="29"/>
  <c r="AJ29" i="29"/>
  <c r="L1496" i="16" s="1"/>
  <c r="BE26" i="29"/>
  <c r="L2447" i="16" s="1"/>
  <c r="CE25" i="29"/>
  <c r="X26" i="29"/>
  <c r="L963" i="16" s="1"/>
  <c r="AP24" i="29"/>
  <c r="CJ23" i="29"/>
  <c r="BF25" i="29"/>
  <c r="AC20" i="29"/>
  <c r="L1171" i="16" s="1"/>
  <c r="AE30" i="29"/>
  <c r="L1295" i="16" s="1"/>
  <c r="AB22" i="29"/>
  <c r="CN24" i="29"/>
  <c r="AM29" i="29"/>
  <c r="L1655" i="16" s="1"/>
  <c r="AF20" i="29"/>
  <c r="L1330" i="16" s="1"/>
  <c r="AC27" i="29"/>
  <c r="L1176" i="16" s="1"/>
  <c r="BN20" i="29"/>
  <c r="AI27" i="29"/>
  <c r="Y25" i="29"/>
  <c r="CJ22" i="29"/>
  <c r="CJ29" i="29"/>
  <c r="CH30" i="29"/>
  <c r="Y28" i="29"/>
  <c r="L1018" i="16" s="1"/>
  <c r="AN29" i="29"/>
  <c r="L1708" i="16" s="1"/>
  <c r="AI23" i="29"/>
  <c r="AA25" i="29"/>
  <c r="BO20" i="29"/>
  <c r="AC26" i="29"/>
  <c r="L1175" i="16" s="1"/>
  <c r="AS22" i="29"/>
  <c r="BH25" i="29"/>
  <c r="BZ28" i="29"/>
  <c r="AU21" i="29"/>
  <c r="L2020" i="16" s="1"/>
  <c r="BO29" i="29"/>
  <c r="CI27" i="29"/>
  <c r="AL27" i="29"/>
  <c r="L1600" i="16" s="1"/>
  <c r="AN25" i="29"/>
  <c r="BG20" i="29"/>
  <c r="L2549" i="16" s="1"/>
  <c r="Y27" i="29"/>
  <c r="L1017" i="16" s="1"/>
  <c r="AO21" i="29"/>
  <c r="L1755" i="16" s="1"/>
  <c r="CL20" i="29"/>
  <c r="BJ28" i="29"/>
  <c r="AH25" i="29"/>
  <c r="CA30" i="29"/>
  <c r="BI27" i="29"/>
  <c r="L2660" i="16" s="1"/>
  <c r="AI21" i="29"/>
  <c r="AV24" i="29"/>
  <c r="L2075" i="16" s="1"/>
  <c r="CN23" i="29"/>
  <c r="CG26" i="29"/>
  <c r="AP28" i="29"/>
  <c r="BQ26" i="29"/>
  <c r="BZ24" i="29"/>
  <c r="AT27" i="29"/>
  <c r="L1971" i="16" s="1"/>
  <c r="AT21" i="29"/>
  <c r="L1967" i="16" s="1"/>
  <c r="CD30" i="29"/>
  <c r="AZ28" i="29"/>
  <c r="L2237" i="16" s="1"/>
  <c r="BB25" i="29"/>
  <c r="AI20" i="29"/>
  <c r="X24" i="29"/>
  <c r="L962" i="16" s="1"/>
  <c r="AW21" i="29"/>
  <c r="AY22" i="29"/>
  <c r="BY23" i="29"/>
  <c r="BK29" i="29"/>
  <c r="BX30" i="29"/>
  <c r="AZ24" i="29"/>
  <c r="L2234" i="16" s="1"/>
  <c r="CQ22" i="29"/>
  <c r="BD21" i="29"/>
  <c r="BE25" i="29"/>
  <c r="BO27" i="29"/>
  <c r="CQ24" i="29"/>
  <c r="AS28" i="29"/>
  <c r="L1919" i="16" s="1"/>
  <c r="BJ29" i="29"/>
  <c r="AD20" i="29"/>
  <c r="L1224" i="16" s="1"/>
  <c r="BC27" i="29"/>
  <c r="L2395" i="16" s="1"/>
  <c r="AZ30" i="29"/>
  <c r="L2249" i="16" s="1"/>
  <c r="CR27" i="29"/>
  <c r="CD27" i="29"/>
  <c r="CM26" i="29"/>
  <c r="AI30" i="29"/>
  <c r="AQ23" i="29"/>
  <c r="L1809" i="16" s="1"/>
  <c r="AN26" i="29"/>
  <c r="L1705" i="16" s="1"/>
  <c r="AW24" i="29"/>
  <c r="BZ20" i="29"/>
  <c r="CT26" i="29"/>
  <c r="AL29" i="29"/>
  <c r="L1602" i="16" s="1"/>
  <c r="CS26" i="29"/>
  <c r="AK29" i="29"/>
  <c r="L1549" i="16" s="1"/>
  <c r="CF23" i="29"/>
  <c r="BL23" i="29"/>
  <c r="AM22" i="29"/>
  <c r="AP20" i="29"/>
  <c r="BF28" i="29"/>
  <c r="L2502" i="16" s="1"/>
  <c r="AN24" i="29"/>
  <c r="L1704" i="16" s="1"/>
  <c r="BH26" i="29"/>
  <c r="L2606" i="16" s="1"/>
  <c r="AR29" i="29"/>
  <c r="L1867" i="16" s="1"/>
  <c r="BW26" i="29"/>
  <c r="CM23" i="29"/>
  <c r="AB23" i="29"/>
  <c r="BJ24" i="29"/>
  <c r="AV20" i="29"/>
  <c r="L2072" i="16" s="1"/>
  <c r="CM27" i="29"/>
  <c r="BA27" i="29"/>
  <c r="L2289" i="16" s="1"/>
  <c r="AB27" i="29"/>
  <c r="AF25" i="29"/>
  <c r="CN21" i="29"/>
  <c r="CK23" i="29"/>
  <c r="CN30" i="29"/>
  <c r="AU29" i="29"/>
  <c r="L2026" i="16" s="1"/>
  <c r="BW21" i="29"/>
  <c r="BS26" i="29"/>
  <c r="AF23" i="29"/>
  <c r="L1332" i="16" s="1"/>
  <c r="AM21" i="29"/>
  <c r="L1649" i="16" s="1"/>
  <c r="BY24" i="29"/>
  <c r="AA27" i="29"/>
  <c r="L1123" i="16" s="1"/>
  <c r="CO26" i="29"/>
  <c r="Y24" i="29"/>
  <c r="L1015" i="16" s="1"/>
  <c r="CC26" i="29"/>
  <c r="CE29" i="29"/>
  <c r="BG25" i="29"/>
  <c r="CL24" i="29"/>
  <c r="CB20" i="29"/>
  <c r="BV29" i="29"/>
  <c r="AM26" i="29"/>
  <c r="L1652" i="16" s="1"/>
  <c r="BZ26" i="29"/>
  <c r="BG29" i="29"/>
  <c r="L2556" i="16" s="1"/>
  <c r="BA24" i="29"/>
  <c r="L2287" i="16" s="1"/>
  <c r="BA20" i="29"/>
  <c r="L2284" i="16" s="1"/>
  <c r="CC21" i="29"/>
  <c r="AQ24" i="29"/>
  <c r="L1810" i="16" s="1"/>
  <c r="BL29" i="29"/>
  <c r="CF26" i="29"/>
  <c r="AG25" i="29"/>
  <c r="CA20" i="29"/>
  <c r="CG30" i="29"/>
  <c r="CI26" i="29"/>
  <c r="CR26" i="29"/>
  <c r="AE27" i="29"/>
  <c r="L1282" i="16" s="1"/>
  <c r="BO30" i="29"/>
  <c r="CG28" i="29"/>
  <c r="BQ21" i="29"/>
  <c r="AN30" i="29"/>
  <c r="L1719" i="16" s="1"/>
  <c r="BK25" i="29"/>
  <c r="AQ27" i="29"/>
  <c r="L1812" i="16" s="1"/>
  <c r="AC25" i="29"/>
  <c r="BJ20" i="29"/>
  <c r="Z29" i="29"/>
  <c r="L1072" i="16" s="1"/>
  <c r="AY20" i="29"/>
  <c r="L2178" i="16" s="1"/>
  <c r="BQ29" i="29"/>
  <c r="BJ21" i="29"/>
  <c r="BD20" i="29"/>
  <c r="CI28" i="29"/>
  <c r="BY27" i="29"/>
  <c r="BM25" i="29"/>
  <c r="CR21" i="29"/>
  <c r="CP26" i="29"/>
  <c r="AL23" i="29"/>
  <c r="L1597" i="16" s="1"/>
  <c r="CB27" i="29"/>
  <c r="AW29" i="29"/>
  <c r="AD29" i="29"/>
  <c r="L1231" i="16" s="1"/>
  <c r="W27" i="29"/>
  <c r="L911" i="16" s="1"/>
  <c r="CR24" i="29"/>
  <c r="CE26" i="29"/>
  <c r="AP25" i="29"/>
  <c r="CH24" i="29"/>
  <c r="CB21" i="29"/>
  <c r="AK20" i="29"/>
  <c r="L1542" i="16" s="1"/>
  <c r="BZ29" i="29"/>
  <c r="BL25" i="29"/>
  <c r="Y29" i="29"/>
  <c r="L1019" i="16" s="1"/>
  <c r="AX21" i="29"/>
  <c r="L2126" i="16" s="1"/>
  <c r="BO23" i="29"/>
  <c r="CI29" i="29"/>
  <c r="BX23" i="29"/>
  <c r="AP23" i="29"/>
  <c r="CJ21" i="29"/>
  <c r="AO23" i="29"/>
  <c r="L1756" i="16" s="1"/>
  <c r="CD23" i="29"/>
  <c r="AD27" i="29"/>
  <c r="L1229" i="16" s="1"/>
  <c r="AS23" i="29"/>
  <c r="L1915" i="16" s="1"/>
  <c r="AW20" i="29"/>
  <c r="BO28" i="29"/>
  <c r="BS22" i="29"/>
  <c r="AX22" i="29"/>
  <c r="BM20" i="29"/>
  <c r="AJ24" i="29"/>
  <c r="L1492" i="16" s="1"/>
  <c r="AX28" i="29"/>
  <c r="L2131" i="16" s="1"/>
  <c r="BT24" i="29"/>
  <c r="CM30" i="29"/>
  <c r="BE22" i="29"/>
  <c r="AR20" i="29"/>
  <c r="L1860" i="16" s="1"/>
  <c r="AV30" i="29"/>
  <c r="L2090" i="16" s="1"/>
  <c r="AC29" i="29"/>
  <c r="L1178" i="16" s="1"/>
  <c r="AZ23" i="29"/>
  <c r="L2233" i="16" s="1"/>
  <c r="BM22" i="29"/>
  <c r="AD28" i="29"/>
  <c r="L1230" i="16" s="1"/>
  <c r="BR24" i="29"/>
  <c r="AI22" i="29"/>
  <c r="CP29" i="29"/>
  <c r="AW28" i="29"/>
  <c r="CO27" i="29"/>
  <c r="BH24" i="29"/>
  <c r="L2605" i="16" s="1"/>
  <c r="AN22" i="29"/>
  <c r="BA23" i="29"/>
  <c r="L2286" i="16" s="1"/>
  <c r="BL27" i="29"/>
  <c r="BR23" i="29"/>
  <c r="BT21" i="29"/>
  <c r="BP28" i="29"/>
  <c r="BN25" i="29"/>
  <c r="BV27" i="29"/>
  <c r="BP23" i="29"/>
  <c r="BP29" i="29"/>
  <c r="AD21" i="29"/>
  <c r="L1225" i="16" s="1"/>
  <c r="CA23" i="29"/>
  <c r="BU24" i="29"/>
  <c r="AL20" i="29"/>
  <c r="L1595" i="16" s="1"/>
  <c r="AT22" i="29"/>
  <c r="BD30" i="29"/>
  <c r="AO25" i="29"/>
  <c r="CH23" i="29"/>
  <c r="BQ25" i="29"/>
  <c r="BA22" i="29"/>
  <c r="W24" i="29"/>
  <c r="L909" i="16" s="1"/>
  <c r="AC24" i="29"/>
  <c r="L1174" i="16" s="1"/>
  <c r="AS21" i="29"/>
  <c r="L1914" i="16" s="1"/>
  <c r="AU26" i="29"/>
  <c r="L2023" i="16" s="1"/>
  <c r="BS25" i="29"/>
  <c r="BN23" i="29"/>
  <c r="AM28" i="29"/>
  <c r="L1654" i="16" s="1"/>
  <c r="AY27" i="29"/>
  <c r="L2183" i="16" s="1"/>
  <c r="BS28" i="29"/>
  <c r="AK22" i="29"/>
  <c r="CF21" i="29"/>
  <c r="BD27" i="29"/>
  <c r="CI23" i="29"/>
  <c r="BZ21" i="29"/>
  <c r="BW20" i="29"/>
  <c r="BU21" i="29"/>
  <c r="CP25" i="29"/>
  <c r="AZ26" i="29"/>
  <c r="L2235" i="16" s="1"/>
  <c r="CA28" i="29"/>
  <c r="BY29" i="29"/>
  <c r="AB26" i="29"/>
  <c r="AL21" i="29"/>
  <c r="L1596" i="16" s="1"/>
  <c r="AR28" i="29"/>
  <c r="L1866" i="16" s="1"/>
  <c r="BV21" i="29"/>
  <c r="AU30" i="29"/>
  <c r="L2037" i="16" s="1"/>
  <c r="CS22" i="29"/>
  <c r="AU22" i="29"/>
  <c r="CT25" i="29"/>
  <c r="BP25" i="29"/>
  <c r="AC21" i="29"/>
  <c r="L1172" i="16" s="1"/>
  <c r="CO28" i="29"/>
  <c r="CC20" i="29"/>
  <c r="AZ27" i="29"/>
  <c r="L2236" i="16" s="1"/>
  <c r="BD26" i="29"/>
  <c r="AR25" i="29"/>
  <c r="AL25" i="29"/>
  <c r="BZ25" i="29"/>
  <c r="BY20" i="29"/>
  <c r="AC30" i="29"/>
  <c r="L1189" i="16" s="1"/>
  <c r="CF20" i="29"/>
  <c r="AP26" i="29"/>
  <c r="BK28" i="29"/>
  <c r="CH20" i="29"/>
  <c r="CA24" i="29"/>
  <c r="BB26" i="29"/>
  <c r="L2341" i="16" s="1"/>
  <c r="CF27" i="29"/>
  <c r="BK24" i="29"/>
  <c r="BG21" i="29"/>
  <c r="L2550" i="16" s="1"/>
  <c r="AH24" i="29"/>
  <c r="L1439" i="16" s="1"/>
  <c r="BS21" i="29"/>
  <c r="AH20" i="29"/>
  <c r="L1436" i="16" s="1"/>
  <c r="AH22" i="29"/>
  <c r="BA25" i="29"/>
  <c r="BF26" i="29"/>
  <c r="L2500" i="16" s="1"/>
  <c r="X29" i="29"/>
  <c r="L966" i="16" s="1"/>
  <c r="AW25" i="29"/>
  <c r="AO30" i="29"/>
  <c r="L1772" i="16" s="1"/>
  <c r="CN26" i="29"/>
  <c r="CO25" i="29"/>
  <c r="BU25" i="29"/>
  <c r="AP27" i="29"/>
  <c r="CG20" i="29"/>
  <c r="BK22" i="29"/>
  <c r="AX27" i="29"/>
  <c r="L2130" i="16" s="1"/>
  <c r="AA24" i="29"/>
  <c r="L1121" i="16" s="1"/>
  <c r="BF22" i="29"/>
  <c r="AH30" i="29"/>
  <c r="L1454" i="16" s="1"/>
  <c r="BV20" i="29"/>
  <c r="BM23" i="29"/>
  <c r="BA26" i="29"/>
  <c r="L2288" i="16" s="1"/>
  <c r="BB21" i="29"/>
  <c r="L2338" i="16" s="1"/>
  <c r="Z22" i="29"/>
  <c r="AE22" i="29"/>
  <c r="CC24" i="29"/>
  <c r="BW28" i="29"/>
  <c r="AV26" i="29"/>
  <c r="L2076" i="16" s="1"/>
  <c r="BU27" i="29"/>
  <c r="BC29" i="29"/>
  <c r="L2397" i="16" s="1"/>
  <c r="BY22" i="29"/>
  <c r="BE20" i="29"/>
  <c r="L2443" i="16" s="1"/>
  <c r="BI23" i="29"/>
  <c r="L2657" i="16" s="1"/>
  <c r="CE28" i="29"/>
  <c r="BI24" i="29"/>
  <c r="L2658" i="16" s="1"/>
  <c r="AJ26" i="29"/>
  <c r="L1493" i="16" s="1"/>
  <c r="CB25" i="29"/>
  <c r="CB30" i="29"/>
  <c r="BX28" i="29"/>
  <c r="Y26" i="29"/>
  <c r="L1016" i="16" s="1"/>
  <c r="CG22" i="29"/>
  <c r="BC28" i="29"/>
  <c r="L2396" i="16" s="1"/>
  <c r="AK21" i="29"/>
  <c r="L1543" i="16" s="1"/>
  <c r="AT29" i="29"/>
  <c r="L1973" i="16" s="1"/>
  <c r="BO21" i="29"/>
  <c r="BR30" i="29"/>
  <c r="W25" i="29"/>
  <c r="BS23" i="29"/>
  <c r="CB24" i="29"/>
  <c r="CK29" i="29"/>
  <c r="AF21" i="29"/>
  <c r="L1331" i="16" s="1"/>
  <c r="CP20" i="29"/>
  <c r="AS26" i="29"/>
  <c r="L1917" i="16" s="1"/>
  <c r="AX26" i="29"/>
  <c r="L2129" i="16" s="1"/>
  <c r="AF24" i="29"/>
  <c r="L1333" i="16" s="1"/>
  <c r="CJ25" i="29"/>
  <c r="CN20" i="29"/>
  <c r="AP30" i="29"/>
  <c r="BS24" i="29"/>
  <c r="BB30" i="29"/>
  <c r="L2355" i="16" s="1"/>
  <c r="BR29" i="29"/>
  <c r="CK21" i="29"/>
  <c r="CH25" i="29"/>
  <c r="BE27" i="29"/>
  <c r="L2448" i="16" s="1"/>
  <c r="CC30" i="29"/>
  <c r="AE29" i="29"/>
  <c r="L1284" i="16" s="1"/>
  <c r="BT25" i="29"/>
  <c r="CJ28" i="29"/>
  <c r="BN27" i="29"/>
  <c r="AS30" i="29"/>
  <c r="L1931" i="16" s="1"/>
  <c r="AM27" i="29"/>
  <c r="L1653" i="16" s="1"/>
  <c r="BB24" i="29"/>
  <c r="L2340" i="16" s="1"/>
  <c r="AD24" i="29"/>
  <c r="L1227" i="16" s="1"/>
  <c r="BS29" i="29"/>
  <c r="AY26" i="29"/>
  <c r="L2182" i="16" s="1"/>
  <c r="AJ22" i="29"/>
  <c r="CS20" i="29"/>
  <c r="AJ28" i="29"/>
  <c r="L1495" i="16" s="1"/>
  <c r="AF29" i="29"/>
  <c r="L1337" i="16" s="1"/>
  <c r="Y30" i="29"/>
  <c r="L1030" i="16" s="1"/>
  <c r="BI29" i="29"/>
  <c r="L2662" i="16" s="1"/>
  <c r="CK20" i="29"/>
  <c r="Z20" i="29"/>
  <c r="L1065" i="16" s="1"/>
  <c r="BL21" i="29"/>
  <c r="AJ21" i="29"/>
  <c r="L1490" i="16" s="1"/>
  <c r="CB26" i="29"/>
  <c r="CL30" i="29"/>
  <c r="CF25" i="29"/>
  <c r="BT26" i="29"/>
  <c r="CT21" i="29"/>
  <c r="AB24" i="29"/>
  <c r="BC22" i="29"/>
  <c r="BD29" i="29"/>
  <c r="BG23" i="29"/>
  <c r="L2551" i="16" s="1"/>
  <c r="CL27" i="29"/>
  <c r="BJ26" i="29"/>
  <c r="Z28" i="29"/>
  <c r="L1071" i="16" s="1"/>
  <c r="BO25" i="29"/>
  <c r="BK27" i="29"/>
  <c r="CP24" i="29"/>
  <c r="BC25" i="29"/>
  <c r="CM21" i="29"/>
  <c r="BX24" i="29"/>
  <c r="BG26" i="29"/>
  <c r="L2553" i="16" s="1"/>
  <c r="CR20" i="29"/>
  <c r="AV22" i="29"/>
  <c r="CG21" i="29"/>
  <c r="AY30" i="29"/>
  <c r="L2196" i="16" s="1"/>
  <c r="AJ30" i="29"/>
  <c r="L1507" i="16" s="1"/>
  <c r="BQ30" i="29"/>
  <c r="AY28" i="29"/>
  <c r="L2184" i="16" s="1"/>
  <c r="BM29" i="29"/>
  <c r="CD28" i="29"/>
  <c r="BU23" i="29"/>
  <c r="X27" i="29"/>
  <c r="L964" i="16" s="1"/>
  <c r="BE29" i="29"/>
  <c r="L2450" i="16" s="1"/>
  <c r="BR26" i="29"/>
  <c r="CM25" i="29"/>
  <c r="BE23" i="29"/>
  <c r="L2445" i="16" s="1"/>
  <c r="BF30" i="29"/>
  <c r="L2514" i="16" s="1"/>
  <c r="BH22" i="29"/>
  <c r="CR22" i="29"/>
  <c r="CD20" i="29"/>
  <c r="CS27" i="29"/>
  <c r="CA22" i="29"/>
  <c r="BR21" i="29"/>
  <c r="AG27" i="29"/>
  <c r="L1388" i="16" s="1"/>
  <c r="AD22" i="29"/>
  <c r="BX21" i="29"/>
  <c r="AT26" i="29"/>
  <c r="L1970" i="16" s="1"/>
  <c r="AU20" i="29"/>
  <c r="L2019" i="16" s="1"/>
  <c r="BE21" i="29"/>
  <c r="L2444" i="16" s="1"/>
  <c r="Z27" i="29"/>
  <c r="L1070" i="16" s="1"/>
  <c r="CT23" i="29"/>
  <c r="CN27" i="29"/>
  <c r="AZ21" i="29"/>
  <c r="L2232" i="16" s="1"/>
  <c r="AL26" i="29"/>
  <c r="L1599" i="16" s="1"/>
  <c r="AU27" i="29"/>
  <c r="L2024" i="16" s="1"/>
  <c r="BE30" i="29"/>
  <c r="L2461" i="16" s="1"/>
  <c r="AQ21" i="29"/>
  <c r="L1808" i="16" s="1"/>
  <c r="BT20" i="29"/>
  <c r="AG22" i="29"/>
  <c r="BB22" i="29"/>
  <c r="AR22" i="29"/>
  <c r="BQ23" i="29"/>
  <c r="BP20" i="29"/>
  <c r="AM30" i="29"/>
  <c r="L1666" i="16" s="1"/>
  <c r="AW30" i="29"/>
  <c r="AD26" i="29"/>
  <c r="L1228" i="16" s="1"/>
  <c r="BI20" i="29"/>
  <c r="L2655" i="16" s="1"/>
  <c r="AL24" i="29"/>
  <c r="L1598" i="16" s="1"/>
  <c r="W22" i="29"/>
  <c r="AA21" i="29"/>
  <c r="L1119" i="16" s="1"/>
  <c r="CN22" i="29"/>
  <c r="BA21" i="29"/>
  <c r="L2285" i="16" s="1"/>
  <c r="AY23" i="29"/>
  <c r="L2180" i="16" s="1"/>
  <c r="W30" i="29"/>
  <c r="L924" i="16" s="1"/>
  <c r="BD24" i="29"/>
  <c r="CE23" i="29"/>
  <c r="BS30" i="29"/>
  <c r="BT28" i="29"/>
  <c r="BH28" i="29"/>
  <c r="L2608" i="16" s="1"/>
  <c r="AD23" i="29"/>
  <c r="L1226" i="16" s="1"/>
  <c r="AG24" i="29"/>
  <c r="L1386" i="16" s="1"/>
  <c r="CO29" i="29"/>
  <c r="BS20" i="29"/>
  <c r="AJ25" i="29"/>
  <c r="AI28" i="29"/>
  <c r="AR24" i="29"/>
  <c r="L1863" i="16" s="1"/>
  <c r="BR25" i="29"/>
  <c r="AK24" i="29"/>
  <c r="L1545" i="16" s="1"/>
  <c r="AN21" i="29"/>
  <c r="L1702" i="16" s="1"/>
  <c r="AR27" i="29"/>
  <c r="L1865" i="16" s="1"/>
  <c r="BD28" i="29"/>
  <c r="CN28" i="29"/>
  <c r="AK26" i="29"/>
  <c r="L1546" i="16" s="1"/>
  <c r="CQ23" i="29"/>
  <c r="CG24" i="29"/>
  <c r="BG28" i="29"/>
  <c r="L2555" i="16" s="1"/>
  <c r="CA21" i="29"/>
  <c r="BU29" i="29"/>
  <c r="BM30" i="29"/>
  <c r="BR22" i="29"/>
  <c r="AN28" i="29"/>
  <c r="L1707" i="16" s="1"/>
  <c r="CE22" i="29"/>
  <c r="CR23" i="29"/>
  <c r="AU24" i="29"/>
  <c r="L2022" i="16" s="1"/>
  <c r="AB21" i="29"/>
  <c r="AZ20" i="29"/>
  <c r="L2231" i="16" s="1"/>
  <c r="BM28" i="29"/>
  <c r="CL28" i="29"/>
  <c r="CE21" i="29"/>
  <c r="AF27" i="29"/>
  <c r="L1335" i="16" s="1"/>
  <c r="CK22" i="29"/>
  <c r="BN24" i="29"/>
  <c r="AO20" i="29"/>
  <c r="L1754" i="16" s="1"/>
  <c r="W20" i="29"/>
  <c r="L906" i="16" s="1"/>
  <c r="CJ27" i="29"/>
  <c r="BY28" i="29"/>
  <c r="AG28" i="29"/>
  <c r="L1389" i="16" s="1"/>
  <c r="BX27" i="29"/>
  <c r="CT24" i="29"/>
  <c r="AV25" i="29"/>
  <c r="AQ28" i="29"/>
  <c r="L1813" i="16" s="1"/>
  <c r="Y22" i="29"/>
  <c r="CD21" i="29"/>
  <c r="BT23" i="29"/>
  <c r="Z26" i="29"/>
  <c r="L1069" i="16" s="1"/>
  <c r="CQ21" i="29"/>
  <c r="BF20" i="29"/>
  <c r="L2496" i="16" s="1"/>
  <c r="AS20" i="29"/>
  <c r="L1913" i="16" s="1"/>
  <c r="CC22" i="29"/>
  <c r="BG27" i="29"/>
  <c r="L2554" i="16" s="1"/>
  <c r="CD24" i="29"/>
  <c r="CT22" i="29"/>
  <c r="BY25" i="29"/>
  <c r="BB20" i="29"/>
  <c r="L2337" i="16" s="1"/>
  <c r="BJ30" i="29"/>
  <c r="CG23" i="29"/>
  <c r="AE28" i="29"/>
  <c r="L1283" i="16" s="1"/>
  <c r="CE20" i="29"/>
  <c r="BA30" i="29"/>
  <c r="L2302" i="16" s="1"/>
  <c r="AU25" i="29"/>
  <c r="BM24" i="29"/>
  <c r="AA22" i="29"/>
  <c r="CQ20" i="29"/>
  <c r="AA29" i="29"/>
  <c r="L1125" i="16" s="1"/>
  <c r="AX23" i="29"/>
  <c r="L2127" i="16" s="1"/>
  <c r="AG23" i="29"/>
  <c r="L1385" i="16" s="1"/>
  <c r="AV27" i="29"/>
  <c r="L2077" i="16" s="1"/>
  <c r="CK28" i="29"/>
  <c r="AY29" i="29"/>
  <c r="L2185" i="16" s="1"/>
  <c r="AS25" i="29"/>
  <c r="BV28" i="29"/>
  <c r="AH28" i="29"/>
  <c r="L1442" i="16" s="1"/>
  <c r="CH26" i="29"/>
  <c r="CO24" i="29"/>
  <c r="CB29" i="29"/>
  <c r="AO26" i="29"/>
  <c r="L1758" i="16" s="1"/>
  <c r="BO22" i="29"/>
  <c r="BW23" i="29"/>
  <c r="AY25" i="29"/>
  <c r="BB27" i="29"/>
  <c r="L2342" i="16" s="1"/>
  <c r="CA25" i="29"/>
  <c r="AL22" i="29"/>
  <c r="AG29" i="29"/>
  <c r="L1390" i="16" s="1"/>
  <c r="BS27" i="29"/>
  <c r="BF29" i="29"/>
  <c r="L2503" i="16" s="1"/>
  <c r="AT28" i="29"/>
  <c r="L1972" i="16" s="1"/>
  <c r="BN26" i="29"/>
  <c r="X20" i="29"/>
  <c r="L959" i="16" s="1"/>
  <c r="CF24" i="29"/>
  <c r="AX25" i="29"/>
  <c r="AT23" i="29"/>
  <c r="L1968" i="16" s="1"/>
  <c r="AU28" i="29"/>
  <c r="L2025" i="16" s="1"/>
  <c r="AZ25" i="29"/>
  <c r="BA29" i="29"/>
  <c r="L2291" i="16" s="1"/>
  <c r="BX25" i="29"/>
  <c r="CD25" i="29"/>
  <c r="AY24" i="29"/>
  <c r="L2181" i="16" s="1"/>
  <c r="BJ23" i="29"/>
  <c r="AR26" i="29"/>
  <c r="L1864" i="16" s="1"/>
  <c r="CS21" i="29"/>
  <c r="BF23" i="29"/>
  <c r="L2498" i="16" s="1"/>
  <c r="CE30" i="29"/>
  <c r="BC26" i="29"/>
  <c r="L2394" i="16" s="1"/>
  <c r="AH29" i="29"/>
  <c r="L1443" i="16" s="1"/>
  <c r="BU26" i="29"/>
  <c r="AY21" i="29"/>
  <c r="L2179" i="16" s="1"/>
  <c r="CI21" i="29"/>
  <c r="Y21" i="29"/>
  <c r="L1013" i="16" s="1"/>
  <c r="W23" i="29"/>
  <c r="L908" i="16" s="1"/>
  <c r="AT30" i="29"/>
  <c r="L1984" i="16" s="1"/>
  <c r="AI24" i="29"/>
  <c r="CI25" i="29"/>
  <c r="X28" i="29"/>
  <c r="L965" i="16" s="1"/>
  <c r="CN29" i="29"/>
  <c r="BD23" i="29"/>
  <c r="CM29" i="29"/>
  <c r="BX29" i="29"/>
  <c r="BF24" i="29"/>
  <c r="L2499" i="16" s="1"/>
  <c r="BZ30" i="29"/>
  <c r="AG26" i="29"/>
  <c r="L1387" i="16" s="1"/>
  <c r="BI22" i="29"/>
  <c r="BV26" i="29"/>
  <c r="CR25" i="29"/>
  <c r="CM22" i="29"/>
  <c r="BY30" i="29"/>
  <c r="CH21" i="29"/>
  <c r="BI21" i="29"/>
  <c r="L2656" i="16" s="1"/>
  <c r="AJ23" i="29"/>
  <c r="L1491" i="16" s="1"/>
  <c r="BM27" i="29"/>
  <c r="BH27" i="29"/>
  <c r="L2607" i="16" s="1"/>
  <c r="CM20" i="29"/>
  <c r="BI28" i="29"/>
  <c r="L2661" i="16" s="1"/>
  <c r="BG22" i="29"/>
  <c r="AE25" i="29"/>
  <c r="CK30" i="29"/>
  <c r="BK30" i="29"/>
  <c r="BA28" i="29"/>
  <c r="L2290" i="16" s="1"/>
  <c r="B137" i="30"/>
  <c r="N136" i="30"/>
  <c r="P136" i="30"/>
  <c r="C136" i="30"/>
  <c r="M136" i="30"/>
  <c r="Q136" i="30"/>
  <c r="A136" i="30"/>
  <c r="B1096" i="30" l="1"/>
  <c r="A1095" i="30"/>
  <c r="B222" i="35"/>
  <c r="A223" i="35"/>
  <c r="R139" i="30"/>
  <c r="R138" i="30"/>
  <c r="R137" i="30"/>
  <c r="R140" i="30"/>
  <c r="Q140" i="30"/>
  <c r="Q137" i="30"/>
  <c r="Q138" i="30"/>
  <c r="Q139" i="30"/>
  <c r="M138" i="30"/>
  <c r="M140" i="30"/>
  <c r="M139" i="30"/>
  <c r="M137" i="30"/>
  <c r="P139" i="30"/>
  <c r="P137" i="30"/>
  <c r="P138" i="30"/>
  <c r="P140" i="30"/>
  <c r="N137" i="30"/>
  <c r="N138" i="30"/>
  <c r="N140" i="30"/>
  <c r="N139" i="30"/>
  <c r="A137" i="30"/>
  <c r="B138" i="30"/>
  <c r="C137" i="30"/>
  <c r="A1096" i="30" l="1"/>
  <c r="B1097" i="30"/>
  <c r="A224" i="35"/>
  <c r="B223" i="35"/>
  <c r="B139" i="30"/>
  <c r="C138" i="30"/>
  <c r="A138" i="30"/>
  <c r="A1097" i="30" l="1"/>
  <c r="B1098" i="30"/>
  <c r="A225" i="35"/>
  <c r="B224" i="35"/>
  <c r="A139" i="30"/>
  <c r="B140" i="30"/>
  <c r="C139" i="30"/>
  <c r="A1098" i="30" l="1"/>
  <c r="B1099" i="30"/>
  <c r="B225" i="35"/>
  <c r="A226" i="35"/>
  <c r="C140" i="30"/>
  <c r="B141" i="30"/>
  <c r="A140" i="30"/>
  <c r="A1099" i="30" l="1"/>
  <c r="B1100" i="30"/>
  <c r="B226" i="35"/>
  <c r="A227" i="35"/>
  <c r="B142" i="30"/>
  <c r="C141" i="30"/>
  <c r="A141" i="30"/>
  <c r="B1101" i="30" l="1"/>
  <c r="A1100" i="30"/>
  <c r="B227" i="35"/>
  <c r="A228" i="35"/>
  <c r="C142" i="30"/>
  <c r="B143" i="30"/>
  <c r="A142" i="30"/>
  <c r="B1102" i="30" l="1"/>
  <c r="A1101" i="30"/>
  <c r="A229" i="35"/>
  <c r="B228" i="35"/>
  <c r="B144" i="30"/>
  <c r="P143" i="30"/>
  <c r="Q143" i="30"/>
  <c r="M143" i="30"/>
  <c r="N143" i="30"/>
  <c r="A143" i="30"/>
  <c r="C143" i="30"/>
  <c r="A1102" i="30" l="1"/>
  <c r="B1103" i="30"/>
  <c r="A230" i="35"/>
  <c r="B229" i="35"/>
  <c r="N145" i="30"/>
  <c r="N146" i="30"/>
  <c r="N144" i="30"/>
  <c r="N147" i="30"/>
  <c r="M146" i="30"/>
  <c r="M145" i="30"/>
  <c r="M144" i="30"/>
  <c r="M147" i="30"/>
  <c r="Q147" i="30"/>
  <c r="Q145" i="30"/>
  <c r="Q144" i="30"/>
  <c r="Q146" i="30"/>
  <c r="P147" i="30"/>
  <c r="P145" i="30"/>
  <c r="P144" i="30"/>
  <c r="P146" i="30"/>
  <c r="C144" i="30"/>
  <c r="A144" i="30"/>
  <c r="B145" i="30"/>
  <c r="R144" i="30"/>
  <c r="R147" i="30"/>
  <c r="R145" i="30"/>
  <c r="R146" i="30"/>
  <c r="B1104" i="30" l="1"/>
  <c r="A1103" i="30"/>
  <c r="A231" i="35"/>
  <c r="B230" i="35"/>
  <c r="C145" i="30"/>
  <c r="B146" i="30"/>
  <c r="A145" i="30"/>
  <c r="A1104" i="30" l="1"/>
  <c r="B1105" i="30"/>
  <c r="A232" i="35"/>
  <c r="B231" i="35"/>
  <c r="B147" i="30"/>
  <c r="A146" i="30"/>
  <c r="C146" i="30"/>
  <c r="A1105" i="30" l="1"/>
  <c r="B1106" i="30"/>
  <c r="B232" i="35"/>
  <c r="A233" i="35"/>
  <c r="C147" i="30"/>
  <c r="B148" i="30"/>
  <c r="A147" i="30"/>
  <c r="A1106" i="30" l="1"/>
  <c r="B1107" i="30"/>
  <c r="B233" i="35"/>
  <c r="A234" i="35"/>
  <c r="B149" i="30"/>
  <c r="C148" i="30"/>
  <c r="A148" i="30"/>
  <c r="B1108" i="30" l="1"/>
  <c r="A1107" i="30"/>
  <c r="B234" i="35"/>
  <c r="A235" i="35"/>
  <c r="B150" i="30"/>
  <c r="C149" i="30"/>
  <c r="A149" i="30"/>
  <c r="A1108" i="30" l="1"/>
  <c r="B1109" i="30"/>
  <c r="B235" i="35"/>
  <c r="A236" i="35"/>
  <c r="Q150" i="30"/>
  <c r="N150" i="30"/>
  <c r="B151" i="30"/>
  <c r="C150" i="30"/>
  <c r="P150" i="30"/>
  <c r="A150" i="30"/>
  <c r="M150" i="30"/>
  <c r="A1109" i="30" l="1"/>
  <c r="B1110" i="30"/>
  <c r="B236" i="35"/>
  <c r="A237" i="35"/>
  <c r="M153" i="30"/>
  <c r="M152" i="30"/>
  <c r="M154" i="30"/>
  <c r="M151" i="30"/>
  <c r="R154" i="30"/>
  <c r="R151" i="30"/>
  <c r="R153" i="30"/>
  <c r="R152" i="30"/>
  <c r="C151" i="30"/>
  <c r="B152" i="30"/>
  <c r="A151" i="30"/>
  <c r="N151" i="30"/>
  <c r="N154" i="30"/>
  <c r="N153" i="30"/>
  <c r="N152" i="30"/>
  <c r="P151" i="30"/>
  <c r="P153" i="30"/>
  <c r="P152" i="30"/>
  <c r="P154" i="30"/>
  <c r="Q152" i="30"/>
  <c r="Q154" i="30"/>
  <c r="Q151" i="30"/>
  <c r="Q153" i="30"/>
  <c r="A1110" i="30" l="1"/>
  <c r="B1111" i="30"/>
  <c r="A238" i="35"/>
  <c r="B237" i="35"/>
  <c r="B153" i="30"/>
  <c r="A152" i="30"/>
  <c r="C152" i="30"/>
  <c r="B1112" i="30" l="1"/>
  <c r="A1111" i="30"/>
  <c r="B238" i="35"/>
  <c r="A239" i="35"/>
  <c r="C153" i="30"/>
  <c r="A153" i="30"/>
  <c r="B154" i="30"/>
  <c r="B1113" i="30" l="1"/>
  <c r="A1112" i="30"/>
  <c r="B239" i="35"/>
  <c r="A240" i="35"/>
  <c r="B155" i="30"/>
  <c r="C154" i="30"/>
  <c r="A154" i="30"/>
  <c r="A1113" i="30" l="1"/>
  <c r="B1114" i="30"/>
  <c r="A241" i="35"/>
  <c r="B240" i="35"/>
  <c r="C155" i="30"/>
  <c r="A155" i="30"/>
  <c r="B156" i="30"/>
  <c r="A1114" i="30" l="1"/>
  <c r="B1115" i="30"/>
  <c r="A242" i="35"/>
  <c r="B241" i="35"/>
  <c r="B157" i="30"/>
  <c r="C156" i="30"/>
  <c r="A156" i="30"/>
  <c r="B1116" i="30" l="1"/>
  <c r="A1115" i="30"/>
  <c r="A243" i="35"/>
  <c r="B242" i="35"/>
  <c r="N157" i="30"/>
  <c r="B158" i="30"/>
  <c r="P157" i="30"/>
  <c r="Q157" i="30"/>
  <c r="M157" i="30"/>
  <c r="A157" i="30"/>
  <c r="C157" i="30"/>
  <c r="A1116" i="30" l="1"/>
  <c r="B1117" i="30"/>
  <c r="A244" i="35"/>
  <c r="B243" i="35"/>
  <c r="M161" i="30"/>
  <c r="M158" i="30"/>
  <c r="M159" i="30"/>
  <c r="M160" i="30"/>
  <c r="Q159" i="30"/>
  <c r="Q161" i="30"/>
  <c r="Q158" i="30"/>
  <c r="Q160" i="30"/>
  <c r="P158" i="30"/>
  <c r="P160" i="30"/>
  <c r="P161" i="30"/>
  <c r="P159" i="30"/>
  <c r="C158" i="30"/>
  <c r="B159" i="30"/>
  <c r="A158" i="30"/>
  <c r="R160" i="30"/>
  <c r="R159" i="30"/>
  <c r="R158" i="30"/>
  <c r="R161" i="30"/>
  <c r="N158" i="30"/>
  <c r="N159" i="30"/>
  <c r="N161" i="30"/>
  <c r="N160" i="30"/>
  <c r="B1118" i="30" l="1"/>
  <c r="A1117" i="30"/>
  <c r="A245" i="35"/>
  <c r="B244" i="35"/>
  <c r="C159" i="30"/>
  <c r="B160" i="30"/>
  <c r="A159" i="30"/>
  <c r="A1118" i="30" l="1"/>
  <c r="B1119" i="30"/>
  <c r="B245" i="35"/>
  <c r="A246" i="35"/>
  <c r="B161" i="30"/>
  <c r="A160" i="30"/>
  <c r="C160" i="30"/>
  <c r="B1120" i="30" l="1"/>
  <c r="A1119" i="30"/>
  <c r="B246" i="35"/>
  <c r="A247" i="35"/>
  <c r="B162" i="30"/>
  <c r="C161" i="30"/>
  <c r="A161" i="30"/>
  <c r="A1120" i="30" l="1"/>
  <c r="B1121" i="30"/>
  <c r="B247" i="35"/>
  <c r="A248" i="35"/>
  <c r="C162" i="30"/>
  <c r="B163" i="30"/>
  <c r="A162" i="30"/>
  <c r="A1121" i="30" l="1"/>
  <c r="B1122" i="30"/>
  <c r="B248" i="35"/>
  <c r="A249" i="35"/>
  <c r="C163" i="30"/>
  <c r="B164" i="30"/>
  <c r="A163" i="30"/>
  <c r="A1122" i="30" l="1"/>
  <c r="B1123" i="30"/>
  <c r="B249" i="35"/>
  <c r="A250" i="35"/>
  <c r="A164" i="30"/>
  <c r="N164" i="30"/>
  <c r="B165" i="30"/>
  <c r="P164" i="30"/>
  <c r="Q164" i="30"/>
  <c r="M164" i="30"/>
  <c r="C164" i="30"/>
  <c r="A1123" i="30" l="1"/>
  <c r="B1124" i="30"/>
  <c r="B250" i="35"/>
  <c r="A251" i="35"/>
  <c r="R166" i="30"/>
  <c r="R165" i="30"/>
  <c r="R167" i="30"/>
  <c r="R168" i="30"/>
  <c r="M168" i="30"/>
  <c r="M165" i="30"/>
  <c r="M166" i="30"/>
  <c r="M167" i="30"/>
  <c r="Q166" i="30"/>
  <c r="Q167" i="30"/>
  <c r="Q165" i="30"/>
  <c r="Q168" i="30"/>
  <c r="B166" i="30"/>
  <c r="C165" i="30"/>
  <c r="A165" i="30"/>
  <c r="P166" i="30"/>
  <c r="P165" i="30"/>
  <c r="P167" i="30"/>
  <c r="P168" i="30"/>
  <c r="N165" i="30"/>
  <c r="N168" i="30"/>
  <c r="N166" i="30"/>
  <c r="N167" i="30"/>
  <c r="B1125" i="30" l="1"/>
  <c r="A1124" i="30"/>
  <c r="B251" i="35"/>
  <c r="A252" i="35"/>
  <c r="C166" i="30"/>
  <c r="B167" i="30"/>
  <c r="A166" i="30"/>
  <c r="A1125" i="30" l="1"/>
  <c r="B1126" i="30"/>
  <c r="B252" i="35"/>
  <c r="A253" i="35"/>
  <c r="C167" i="30"/>
  <c r="B168" i="30"/>
  <c r="A167" i="30"/>
  <c r="A1126" i="30" l="1"/>
  <c r="B1127" i="30"/>
  <c r="A254" i="35"/>
  <c r="B253" i="35"/>
  <c r="C168" i="30"/>
  <c r="A168" i="30"/>
  <c r="B169" i="30"/>
  <c r="B1128" i="30" l="1"/>
  <c r="A1127" i="30"/>
  <c r="A255" i="35"/>
  <c r="B254" i="35"/>
  <c r="C169" i="30"/>
  <c r="B170" i="30"/>
  <c r="A169" i="30"/>
  <c r="A1128" i="30" l="1"/>
  <c r="B1129" i="30"/>
  <c r="B255" i="35"/>
  <c r="A256" i="35"/>
  <c r="C170" i="30"/>
  <c r="B171" i="30"/>
  <c r="A170" i="30"/>
  <c r="A1129" i="30" l="1"/>
  <c r="B1130" i="30"/>
  <c r="B256" i="35"/>
  <c r="A257" i="35"/>
  <c r="C171" i="30"/>
  <c r="P171" i="30"/>
  <c r="A171" i="30"/>
  <c r="M171" i="30"/>
  <c r="Q171" i="30"/>
  <c r="N171" i="30"/>
  <c r="B172" i="30"/>
  <c r="B1131" i="30" l="1"/>
  <c r="A1130" i="30"/>
  <c r="A258" i="35"/>
  <c r="B257" i="35"/>
  <c r="B173" i="30"/>
  <c r="C172" i="30"/>
  <c r="A172" i="30"/>
  <c r="Q172" i="30"/>
  <c r="Q173" i="30"/>
  <c r="Q174" i="30"/>
  <c r="Q175" i="30"/>
  <c r="R175" i="30"/>
  <c r="R172" i="30"/>
  <c r="R173" i="30"/>
  <c r="R174" i="30"/>
  <c r="M172" i="30"/>
  <c r="M175" i="30"/>
  <c r="M174" i="30"/>
  <c r="M173" i="30"/>
  <c r="N174" i="30"/>
  <c r="N173" i="30"/>
  <c r="N172" i="30"/>
  <c r="N175" i="30"/>
  <c r="P173" i="30"/>
  <c r="P174" i="30"/>
  <c r="P175" i="30"/>
  <c r="P172" i="30"/>
  <c r="B1132" i="30" l="1"/>
  <c r="A1131" i="30"/>
  <c r="A259" i="35"/>
  <c r="B258" i="35"/>
  <c r="B174" i="30"/>
  <c r="C173" i="30"/>
  <c r="A173" i="30"/>
  <c r="A1132" i="30" l="1"/>
  <c r="B1133" i="30"/>
  <c r="A260" i="35"/>
  <c r="B259" i="35"/>
  <c r="B175" i="30"/>
  <c r="C174" i="30"/>
  <c r="A174" i="30"/>
  <c r="A1133" i="30" l="1"/>
  <c r="B1134" i="30"/>
  <c r="B260" i="35"/>
  <c r="A261" i="35"/>
  <c r="C175" i="30"/>
  <c r="B176" i="30"/>
  <c r="A175" i="30"/>
  <c r="A1134" i="30" l="1"/>
  <c r="B1135" i="30"/>
  <c r="A262" i="35"/>
  <c r="B261" i="35"/>
  <c r="C176" i="30"/>
  <c r="B177" i="30"/>
  <c r="A176" i="30"/>
  <c r="A1135" i="30" l="1"/>
  <c r="B1136" i="30"/>
  <c r="A263" i="35"/>
  <c r="B262" i="35"/>
  <c r="C177" i="30"/>
  <c r="B178" i="30"/>
  <c r="A177" i="30"/>
  <c r="B1137" i="30" l="1"/>
  <c r="A1136" i="30"/>
  <c r="A264" i="35"/>
  <c r="B263" i="35"/>
  <c r="B179" i="30"/>
  <c r="C178" i="30"/>
  <c r="M178" i="30"/>
  <c r="A178" i="30"/>
  <c r="P178" i="30"/>
  <c r="Q178" i="30"/>
  <c r="N178" i="30"/>
  <c r="A1137" i="30" l="1"/>
  <c r="B1138" i="30"/>
  <c r="A265" i="35"/>
  <c r="B264" i="35"/>
  <c r="C179" i="30"/>
  <c r="A179" i="30"/>
  <c r="B180" i="30"/>
  <c r="M182" i="30"/>
  <c r="M180" i="30"/>
  <c r="M181" i="30"/>
  <c r="M179" i="30"/>
  <c r="N179" i="30"/>
  <c r="N180" i="30"/>
  <c r="N181" i="30"/>
  <c r="N182" i="30"/>
  <c r="Q180" i="30"/>
  <c r="Q182" i="30"/>
  <c r="Q181" i="30"/>
  <c r="Q179" i="30"/>
  <c r="P182" i="30"/>
  <c r="P181" i="30"/>
  <c r="P179" i="30"/>
  <c r="P180" i="30"/>
  <c r="R180" i="30"/>
  <c r="R181" i="30"/>
  <c r="R182" i="30"/>
  <c r="R179" i="30"/>
  <c r="A1138" i="30" l="1"/>
  <c r="B1139" i="30"/>
  <c r="A266" i="35"/>
  <c r="B265" i="35"/>
  <c r="B181" i="30"/>
  <c r="C180" i="30"/>
  <c r="A180" i="30"/>
  <c r="B1140" i="30" l="1"/>
  <c r="A1139" i="30"/>
  <c r="B266" i="35"/>
  <c r="A267" i="35"/>
  <c r="C181" i="30"/>
  <c r="B182" i="30"/>
  <c r="A181" i="30"/>
  <c r="A1140" i="30" l="1"/>
  <c r="B1141" i="30"/>
  <c r="A268" i="35"/>
  <c r="B267" i="35"/>
  <c r="C182" i="30"/>
  <c r="B183" i="30"/>
  <c r="A182" i="30"/>
  <c r="A1141" i="30" l="1"/>
  <c r="B1142" i="30"/>
  <c r="A269" i="35"/>
  <c r="B268" i="35"/>
  <c r="C183" i="30"/>
  <c r="B184" i="30"/>
  <c r="A183" i="30"/>
  <c r="A1142" i="30" l="1"/>
  <c r="B1143" i="30"/>
  <c r="B269" i="35"/>
  <c r="A270" i="35"/>
  <c r="B185" i="30"/>
  <c r="C184" i="30"/>
  <c r="A184" i="30"/>
  <c r="B1144" i="30" l="1"/>
  <c r="A1143" i="30"/>
  <c r="B270" i="35"/>
  <c r="A271" i="35"/>
  <c r="N185" i="30"/>
  <c r="B186" i="30"/>
  <c r="C185" i="30"/>
  <c r="M185" i="30"/>
  <c r="Q185" i="30"/>
  <c r="A185" i="30"/>
  <c r="P185" i="30"/>
  <c r="A1144" i="30" l="1"/>
  <c r="B1145" i="30"/>
  <c r="B271" i="35"/>
  <c r="A272" i="35"/>
  <c r="N188" i="30"/>
  <c r="N189" i="30"/>
  <c r="N187" i="30"/>
  <c r="N186" i="30"/>
  <c r="B187" i="30"/>
  <c r="A186" i="30"/>
  <c r="C186" i="30"/>
  <c r="P187" i="30"/>
  <c r="P189" i="30"/>
  <c r="P188" i="30"/>
  <c r="P186" i="30"/>
  <c r="Q187" i="30"/>
  <c r="Q188" i="30"/>
  <c r="Q189" i="30"/>
  <c r="Q186" i="30"/>
  <c r="R186" i="30"/>
  <c r="R189" i="30"/>
  <c r="R188" i="30"/>
  <c r="R187" i="30"/>
  <c r="M186" i="30"/>
  <c r="M189" i="30"/>
  <c r="M187" i="30"/>
  <c r="M188" i="30"/>
  <c r="A1145" i="30" l="1"/>
  <c r="B1146" i="30"/>
  <c r="B272" i="35"/>
  <c r="A273" i="35"/>
  <c r="C187" i="30"/>
  <c r="B188" i="30"/>
  <c r="A187" i="30"/>
  <c r="B1147" i="30" l="1"/>
  <c r="A1146" i="30"/>
  <c r="A274" i="35"/>
  <c r="B273" i="35"/>
  <c r="C188" i="30"/>
  <c r="A188" i="30"/>
  <c r="B189" i="30"/>
  <c r="B1148" i="30" l="1"/>
  <c r="A1147" i="30"/>
  <c r="A275" i="35"/>
  <c r="B274" i="35"/>
  <c r="A189" i="30"/>
  <c r="B190" i="30"/>
  <c r="C189" i="30"/>
  <c r="B1149" i="30" l="1"/>
  <c r="A1148" i="30"/>
  <c r="B275" i="35"/>
  <c r="A276" i="35"/>
  <c r="B191" i="30"/>
  <c r="C190" i="30"/>
  <c r="A190" i="30"/>
  <c r="A1149" i="30" l="1"/>
  <c r="B1150" i="30"/>
  <c r="B276" i="35"/>
  <c r="A277" i="35"/>
  <c r="C191" i="30"/>
  <c r="A191" i="30"/>
  <c r="B192" i="30"/>
  <c r="A1150" i="30" l="1"/>
  <c r="B1151" i="30"/>
  <c r="B277" i="35"/>
  <c r="A278" i="35"/>
  <c r="Q192" i="30"/>
  <c r="C192" i="30"/>
  <c r="B193" i="30"/>
  <c r="P192" i="30"/>
  <c r="N192" i="30"/>
  <c r="M192" i="30"/>
  <c r="A192" i="30"/>
  <c r="B1152" i="30" l="1"/>
  <c r="A1151" i="30"/>
  <c r="A279" i="35"/>
  <c r="B278" i="35"/>
  <c r="Q195" i="30"/>
  <c r="Q194" i="30"/>
  <c r="Q196" i="30"/>
  <c r="Q193" i="30"/>
  <c r="R196" i="30"/>
  <c r="R195" i="30"/>
  <c r="R193" i="30"/>
  <c r="R194" i="30"/>
  <c r="B194" i="30"/>
  <c r="A193" i="30"/>
  <c r="C193" i="30"/>
  <c r="P193" i="30"/>
  <c r="P194" i="30"/>
  <c r="P195" i="30"/>
  <c r="P196" i="30"/>
  <c r="M193" i="30"/>
  <c r="M194" i="30"/>
  <c r="M196" i="30"/>
  <c r="M195" i="30"/>
  <c r="N193" i="30"/>
  <c r="N196" i="30"/>
  <c r="N195" i="30"/>
  <c r="N194" i="30"/>
  <c r="A1152" i="30" l="1"/>
  <c r="B1153" i="30"/>
  <c r="A280" i="35"/>
  <c r="B279" i="35"/>
  <c r="C194" i="30"/>
  <c r="B195" i="30"/>
  <c r="A194" i="30"/>
  <c r="A1153" i="30" l="1"/>
  <c r="B1154" i="30"/>
  <c r="B280" i="35"/>
  <c r="A281" i="35"/>
  <c r="C195" i="30"/>
  <c r="B196" i="30"/>
  <c r="A195" i="30"/>
  <c r="A1154" i="30" l="1"/>
  <c r="B1155" i="30"/>
  <c r="B281" i="35"/>
  <c r="A282" i="35"/>
  <c r="C196" i="30"/>
  <c r="B197" i="30"/>
  <c r="A196" i="30"/>
  <c r="B1156" i="30" l="1"/>
  <c r="A1155" i="30"/>
  <c r="B282" i="35"/>
  <c r="A283" i="35"/>
  <c r="B198" i="30"/>
  <c r="C197" i="30"/>
  <c r="A197" i="30"/>
  <c r="A1156" i="30" l="1"/>
  <c r="B1157" i="30"/>
  <c r="B283" i="35"/>
  <c r="A284" i="35"/>
  <c r="B199" i="30"/>
  <c r="A198" i="30"/>
  <c r="C198" i="30"/>
  <c r="B1158" i="30" l="1"/>
  <c r="A1157" i="30"/>
  <c r="B284" i="35"/>
  <c r="A285" i="35"/>
  <c r="B200" i="30"/>
  <c r="A199" i="30"/>
  <c r="A1158" i="30" l="1"/>
  <c r="B1159" i="30"/>
  <c r="A286" i="35"/>
  <c r="B285" i="35"/>
  <c r="B201" i="30"/>
  <c r="A200" i="30"/>
  <c r="A1159" i="30" l="1"/>
  <c r="B1160" i="30"/>
  <c r="A287" i="35"/>
  <c r="B286" i="35"/>
  <c r="B202" i="30"/>
  <c r="A201" i="30"/>
  <c r="B1161" i="30" l="1"/>
  <c r="A1160" i="30"/>
  <c r="A288" i="35"/>
  <c r="B287" i="35"/>
  <c r="B203" i="30"/>
  <c r="A202" i="30"/>
  <c r="A1161" i="30" l="1"/>
  <c r="B1162" i="30"/>
  <c r="B288" i="35"/>
  <c r="A289" i="35"/>
  <c r="B204" i="30"/>
  <c r="A203" i="30"/>
  <c r="A1162" i="30" l="1"/>
  <c r="B1163" i="30"/>
  <c r="A290" i="35"/>
  <c r="B289" i="35"/>
  <c r="B205" i="30"/>
  <c r="A204" i="30"/>
  <c r="B1164" i="30" l="1"/>
  <c r="A1163" i="30"/>
  <c r="A291" i="35"/>
  <c r="B290" i="35"/>
  <c r="B206" i="30"/>
  <c r="A205" i="30"/>
  <c r="A1164" i="30" l="1"/>
  <c r="B1165" i="30"/>
  <c r="A292" i="35"/>
  <c r="B291" i="35"/>
  <c r="B207" i="30"/>
  <c r="A206" i="30"/>
  <c r="B1166" i="30" l="1"/>
  <c r="A1165" i="30"/>
  <c r="A293" i="35"/>
  <c r="B292" i="35"/>
  <c r="B208" i="30"/>
  <c r="A207" i="30"/>
  <c r="B1167" i="30" l="1"/>
  <c r="A1166" i="30"/>
  <c r="B293" i="35"/>
  <c r="A294" i="35"/>
  <c r="B209" i="30"/>
  <c r="A208" i="30"/>
  <c r="B1168" i="30" l="1"/>
  <c r="A1167" i="30"/>
  <c r="B294" i="35"/>
  <c r="A295" i="35"/>
  <c r="B210" i="30"/>
  <c r="A209" i="30"/>
  <c r="A1168" i="30" l="1"/>
  <c r="B1169" i="30"/>
  <c r="B295" i="35"/>
  <c r="A296" i="35"/>
  <c r="B211" i="30"/>
  <c r="A210" i="30"/>
  <c r="A1169" i="30" l="1"/>
  <c r="B1170" i="30"/>
  <c r="B296" i="35"/>
  <c r="A297" i="35"/>
  <c r="B212" i="30"/>
  <c r="A211" i="30"/>
  <c r="A1170" i="30" l="1"/>
  <c r="B1171" i="30"/>
  <c r="B297" i="35"/>
  <c r="A298" i="35"/>
  <c r="B213" i="30"/>
  <c r="A212" i="30"/>
  <c r="A1171" i="30" l="1"/>
  <c r="B1172" i="30"/>
  <c r="B298" i="35"/>
  <c r="A299" i="35"/>
  <c r="B214" i="30"/>
  <c r="A213" i="30"/>
  <c r="B1173" i="30" l="1"/>
  <c r="A1172" i="30"/>
  <c r="A300" i="35"/>
  <c r="B299" i="35"/>
  <c r="B215" i="30"/>
  <c r="A214" i="30"/>
  <c r="A1173" i="30" l="1"/>
  <c r="B1174" i="30"/>
  <c r="B300" i="35"/>
  <c r="A301" i="35"/>
  <c r="B216" i="30"/>
  <c r="A215" i="30"/>
  <c r="A1174" i="30" l="1"/>
  <c r="B1175" i="30"/>
  <c r="B301" i="35"/>
  <c r="A302" i="35"/>
  <c r="B217" i="30"/>
  <c r="A216" i="30"/>
  <c r="B1176" i="30" l="1"/>
  <c r="A1175" i="30"/>
  <c r="B302" i="35"/>
  <c r="A303" i="35"/>
  <c r="B218" i="30"/>
  <c r="A217" i="30"/>
  <c r="A1176" i="30" l="1"/>
  <c r="B1177" i="30"/>
  <c r="A304" i="35"/>
  <c r="B303" i="35"/>
  <c r="B219" i="30"/>
  <c r="A218" i="30"/>
  <c r="A1177" i="30" l="1"/>
  <c r="B1178" i="30"/>
  <c r="A305" i="35"/>
  <c r="B304" i="35"/>
  <c r="B220" i="30"/>
  <c r="A219" i="30"/>
  <c r="A1178" i="30" l="1"/>
  <c r="B1179" i="30"/>
  <c r="A306" i="35"/>
  <c r="B305" i="35"/>
  <c r="B221" i="30"/>
  <c r="A220" i="30"/>
  <c r="B1180" i="30" l="1"/>
  <c r="A1179" i="30"/>
  <c r="A307" i="35"/>
  <c r="B306" i="35"/>
  <c r="B222" i="30"/>
  <c r="A221" i="30"/>
  <c r="A1180" i="30" l="1"/>
  <c r="B1181" i="30"/>
  <c r="A308" i="35"/>
  <c r="B307" i="35"/>
  <c r="B223" i="30"/>
  <c r="A222" i="30"/>
  <c r="A1181" i="30" l="1"/>
  <c r="B1182" i="30"/>
  <c r="A309" i="35"/>
  <c r="B308" i="35"/>
  <c r="B224" i="30"/>
  <c r="A223" i="30"/>
  <c r="B1183" i="30" l="1"/>
  <c r="A1182" i="30"/>
  <c r="A310" i="35"/>
  <c r="B309" i="35"/>
  <c r="B225" i="30"/>
  <c r="A224" i="30"/>
  <c r="B1184" i="30" l="1"/>
  <c r="A1183" i="30"/>
  <c r="A311" i="35"/>
  <c r="B310" i="35"/>
  <c r="B226" i="30"/>
  <c r="A225" i="30"/>
  <c r="B1185" i="30" l="1"/>
  <c r="A1184" i="30"/>
  <c r="A312" i="35"/>
  <c r="B311" i="35"/>
  <c r="B227" i="30"/>
  <c r="A226" i="30"/>
  <c r="A1185" i="30" l="1"/>
  <c r="B1186" i="30"/>
  <c r="A313" i="35"/>
  <c r="B312" i="35"/>
  <c r="B228" i="30"/>
  <c r="A227" i="30"/>
  <c r="A1186" i="30" l="1"/>
  <c r="B1187" i="30"/>
  <c r="A314" i="35"/>
  <c r="B313" i="35"/>
  <c r="B229" i="30"/>
  <c r="A228" i="30"/>
  <c r="B1188" i="30" l="1"/>
  <c r="A1187" i="30"/>
  <c r="A315" i="35"/>
  <c r="B314" i="35"/>
  <c r="B230" i="30"/>
  <c r="A229" i="30"/>
  <c r="A1188" i="30" l="1"/>
  <c r="B1189" i="30"/>
  <c r="A316" i="35"/>
  <c r="B315" i="35"/>
  <c r="B231" i="30"/>
  <c r="A230" i="30"/>
  <c r="A1189" i="30" l="1"/>
  <c r="B1190" i="30"/>
  <c r="A317" i="35"/>
  <c r="B316" i="35"/>
  <c r="B232" i="30"/>
  <c r="A231" i="30"/>
  <c r="A1190" i="30" l="1"/>
  <c r="B1191" i="30"/>
  <c r="A318" i="35"/>
  <c r="B317" i="35"/>
  <c r="B233" i="30"/>
  <c r="A232" i="30"/>
  <c r="B1192" i="30" l="1"/>
  <c r="A1191" i="30"/>
  <c r="B318" i="35"/>
  <c r="A319" i="35"/>
  <c r="B234" i="30"/>
  <c r="A233" i="30"/>
  <c r="A1192" i="30" l="1"/>
  <c r="B1193" i="30"/>
  <c r="B319" i="35"/>
  <c r="A320" i="35"/>
  <c r="B235" i="30"/>
  <c r="A234" i="30"/>
  <c r="B1194" i="30" l="1"/>
  <c r="A1193" i="30"/>
  <c r="A321" i="35"/>
  <c r="B320" i="35"/>
  <c r="B236" i="30"/>
  <c r="A235" i="30"/>
  <c r="A1194" i="30" l="1"/>
  <c r="B1195" i="30"/>
  <c r="A322" i="35"/>
  <c r="B321" i="35"/>
  <c r="B237" i="30"/>
  <c r="A236" i="30"/>
  <c r="B1196" i="30" l="1"/>
  <c r="A1195" i="30"/>
  <c r="A323" i="35"/>
  <c r="B322" i="35"/>
  <c r="B238" i="30"/>
  <c r="A237" i="30"/>
  <c r="B1197" i="30" l="1"/>
  <c r="A1196" i="30"/>
  <c r="B323" i="35"/>
  <c r="A324" i="35"/>
  <c r="B239" i="30"/>
  <c r="A238" i="30"/>
  <c r="A1197" i="30" l="1"/>
  <c r="B1198" i="30"/>
  <c r="B324" i="35"/>
  <c r="A325" i="35"/>
  <c r="B240" i="30"/>
  <c r="A239" i="30"/>
  <c r="A1198" i="30" l="1"/>
  <c r="B1199" i="30"/>
  <c r="B325" i="35"/>
  <c r="A326" i="35"/>
  <c r="B241" i="30"/>
  <c r="A240" i="30"/>
  <c r="B1200" i="30" l="1"/>
  <c r="A1199" i="30"/>
  <c r="B326" i="35"/>
  <c r="A327" i="35"/>
  <c r="B242" i="30"/>
  <c r="A241" i="30"/>
  <c r="A1200" i="30" l="1"/>
  <c r="B1201" i="30"/>
  <c r="A328" i="35"/>
  <c r="B327" i="35"/>
  <c r="B243" i="30"/>
  <c r="A242" i="30"/>
  <c r="A1201" i="30" l="1"/>
  <c r="B1202" i="30"/>
  <c r="A329" i="35"/>
  <c r="B328" i="35"/>
  <c r="B244" i="30"/>
  <c r="A243" i="30"/>
  <c r="B1203" i="30" l="1"/>
  <c r="A1202" i="30"/>
  <c r="A330" i="35"/>
  <c r="B329" i="35"/>
  <c r="B245" i="30"/>
  <c r="A244" i="30"/>
  <c r="B1204" i="30" l="1"/>
  <c r="A1203" i="30"/>
  <c r="A331" i="35"/>
  <c r="B330" i="35"/>
  <c r="B246" i="30"/>
  <c r="A245" i="30"/>
  <c r="A1204" i="30" l="1"/>
  <c r="B1205" i="30"/>
  <c r="B331" i="35"/>
  <c r="A332" i="35"/>
  <c r="B247" i="30"/>
  <c r="A246" i="30"/>
  <c r="A1205" i="30" l="1"/>
  <c r="B1206" i="30"/>
  <c r="B332" i="35"/>
  <c r="A333" i="35"/>
  <c r="A247" i="30"/>
  <c r="B248" i="30"/>
  <c r="B1207" i="30" l="1"/>
  <c r="A1206" i="30"/>
  <c r="B333" i="35"/>
  <c r="A334" i="35"/>
  <c r="A248" i="30"/>
  <c r="B249" i="30"/>
  <c r="B1208" i="30" l="1"/>
  <c r="A1207" i="30"/>
  <c r="A335" i="35"/>
  <c r="B334" i="35"/>
  <c r="B250" i="30"/>
  <c r="A249" i="30"/>
  <c r="B1209" i="30" l="1"/>
  <c r="A1208" i="30"/>
  <c r="A336" i="35"/>
  <c r="B335" i="35"/>
  <c r="A250" i="30"/>
  <c r="B251" i="30"/>
  <c r="A1209" i="30" l="1"/>
  <c r="B1210" i="30"/>
  <c r="A337" i="35"/>
  <c r="B336" i="35"/>
  <c r="A251" i="30"/>
  <c r="B252" i="30"/>
  <c r="A1210" i="30" l="1"/>
  <c r="B1211" i="30"/>
  <c r="A338" i="35"/>
  <c r="B337" i="35"/>
  <c r="A252" i="30"/>
  <c r="B253" i="30"/>
  <c r="B1212" i="30" l="1"/>
  <c r="A1211" i="30"/>
  <c r="B338" i="35"/>
  <c r="A339" i="35"/>
  <c r="A253" i="30"/>
  <c r="B254" i="30"/>
  <c r="A1212" i="30" l="1"/>
  <c r="B1213" i="30"/>
  <c r="A340" i="35"/>
  <c r="B339" i="35"/>
  <c r="A254" i="30"/>
  <c r="B255" i="30"/>
  <c r="A1213" i="30" l="1"/>
  <c r="B1214" i="30"/>
  <c r="B340" i="35"/>
  <c r="A341" i="35"/>
  <c r="A255" i="30"/>
  <c r="B256" i="30"/>
  <c r="A1214" i="30" l="1"/>
  <c r="B1215" i="30"/>
  <c r="B341" i="35"/>
  <c r="A342" i="35"/>
  <c r="A256" i="30"/>
  <c r="B257" i="30"/>
  <c r="B1216" i="30" l="1"/>
  <c r="A1215" i="30"/>
  <c r="B342" i="35"/>
  <c r="A343" i="35"/>
  <c r="B258" i="30"/>
  <c r="A257" i="30"/>
  <c r="B1217" i="30" l="1"/>
  <c r="A1216" i="30"/>
  <c r="A344" i="35"/>
  <c r="B343" i="35"/>
  <c r="B259" i="30"/>
  <c r="A258" i="30"/>
  <c r="B1218" i="30" l="1"/>
  <c r="A1217" i="30"/>
  <c r="A345" i="35"/>
  <c r="B344" i="35"/>
  <c r="A259" i="30"/>
  <c r="B260" i="30"/>
  <c r="B1219" i="30" l="1"/>
  <c r="A1218" i="30"/>
  <c r="B345" i="35"/>
  <c r="A346" i="35"/>
  <c r="A260" i="30"/>
  <c r="B261" i="30"/>
  <c r="B1220" i="30" l="1"/>
  <c r="A1219" i="30"/>
  <c r="A347" i="35"/>
  <c r="B346" i="35"/>
  <c r="B262" i="30"/>
  <c r="A261" i="30"/>
  <c r="B1221" i="30" l="1"/>
  <c r="A1220" i="30"/>
  <c r="A348" i="35"/>
  <c r="B347" i="35"/>
  <c r="A262" i="30"/>
  <c r="B263" i="30"/>
  <c r="A1221" i="30" l="1"/>
  <c r="B1222" i="30"/>
  <c r="A349" i="35"/>
  <c r="B348" i="35"/>
  <c r="A263" i="30"/>
  <c r="B264" i="30"/>
  <c r="A1222" i="30" l="1"/>
  <c r="B1223" i="30"/>
  <c r="A350" i="35"/>
  <c r="B349" i="35"/>
  <c r="A264" i="30"/>
  <c r="B265" i="30"/>
  <c r="B1224" i="30" l="1"/>
  <c r="A1223" i="30"/>
  <c r="B350" i="35"/>
  <c r="A351" i="35"/>
  <c r="B266" i="30"/>
  <c r="A265" i="30"/>
  <c r="A1224" i="30" l="1"/>
  <c r="B1225" i="30"/>
  <c r="B351" i="35"/>
  <c r="A352" i="35"/>
  <c r="A266" i="30"/>
  <c r="B267" i="30"/>
  <c r="A1225" i="30" l="1"/>
  <c r="B1226" i="30"/>
  <c r="B352" i="35"/>
  <c r="A353" i="35"/>
  <c r="A267" i="30"/>
  <c r="B268" i="30"/>
  <c r="A1226" i="30" l="1"/>
  <c r="B1227" i="30"/>
  <c r="A354" i="35"/>
  <c r="B353" i="35"/>
  <c r="A268" i="30"/>
  <c r="B269" i="30"/>
  <c r="B1228" i="30" l="1"/>
  <c r="A1227" i="30"/>
  <c r="A355" i="35"/>
  <c r="B354" i="35"/>
  <c r="B270" i="30"/>
  <c r="A269" i="30"/>
  <c r="B1229" i="30" l="1"/>
  <c r="A1228" i="30"/>
  <c r="B355" i="35"/>
  <c r="A356" i="35"/>
  <c r="B271" i="30"/>
  <c r="A270" i="30"/>
  <c r="A1229" i="30" l="1"/>
  <c r="B1230" i="30"/>
  <c r="B356" i="35"/>
  <c r="A357" i="35"/>
  <c r="A271" i="30"/>
  <c r="B272" i="30"/>
  <c r="A1230" i="30" l="1"/>
  <c r="B1231" i="30"/>
  <c r="B357" i="35"/>
  <c r="A358" i="35"/>
  <c r="A272" i="30"/>
  <c r="B273" i="30"/>
  <c r="A1231" i="30" l="1"/>
  <c r="B1232" i="30"/>
  <c r="B358" i="35"/>
  <c r="A359" i="35"/>
  <c r="A273" i="30"/>
  <c r="B274" i="30"/>
  <c r="B1233" i="30" l="1"/>
  <c r="A1232" i="30"/>
  <c r="B359" i="35"/>
  <c r="A360" i="35"/>
  <c r="A274" i="30"/>
  <c r="B275" i="30"/>
  <c r="B1234" i="30" l="1"/>
  <c r="A1233" i="30"/>
  <c r="A361" i="35"/>
  <c r="B360" i="35"/>
  <c r="A275" i="30"/>
  <c r="B276" i="30"/>
  <c r="A1234" i="30" l="1"/>
  <c r="B1235" i="30"/>
  <c r="A362" i="35"/>
  <c r="B361" i="35"/>
  <c r="A276" i="30"/>
  <c r="B277" i="30"/>
  <c r="B1236" i="30" l="1"/>
  <c r="A1235" i="30"/>
  <c r="A363" i="35"/>
  <c r="B362" i="35"/>
  <c r="B278" i="30"/>
  <c r="A277" i="30"/>
  <c r="A1236" i="30" l="1"/>
  <c r="B1237" i="30"/>
  <c r="A364" i="35"/>
  <c r="B363" i="35"/>
  <c r="A278" i="30"/>
  <c r="B279" i="30"/>
  <c r="B1238" i="30" l="1"/>
  <c r="A1237" i="30"/>
  <c r="A365" i="35"/>
  <c r="B364" i="35"/>
  <c r="A279" i="30"/>
  <c r="B280" i="30"/>
  <c r="A1238" i="30" l="1"/>
  <c r="B1239" i="30"/>
  <c r="A366" i="35"/>
  <c r="B365" i="35"/>
  <c r="A280" i="30"/>
  <c r="B281" i="30"/>
  <c r="B1240" i="30" l="1"/>
  <c r="A1239" i="30"/>
  <c r="B366" i="35"/>
  <c r="A367" i="35"/>
  <c r="B282" i="30"/>
  <c r="A281" i="30"/>
  <c r="B1241" i="30" l="1"/>
  <c r="A1240" i="30"/>
  <c r="A368" i="35"/>
  <c r="B367" i="35"/>
  <c r="B283" i="30"/>
  <c r="A282" i="30"/>
  <c r="B1242" i="30" l="1"/>
  <c r="A1241" i="30"/>
  <c r="A369" i="35"/>
  <c r="B368" i="35"/>
  <c r="A283" i="30"/>
  <c r="B284" i="30"/>
  <c r="A1242" i="30" l="1"/>
  <c r="B1243" i="30"/>
  <c r="B369" i="35"/>
  <c r="A370" i="35"/>
  <c r="A284" i="30"/>
  <c r="B285" i="30"/>
  <c r="B1244" i="30" l="1"/>
  <c r="A1243" i="30"/>
  <c r="B370" i="35"/>
  <c r="A371" i="35"/>
  <c r="B286" i="30"/>
  <c r="A285" i="30"/>
  <c r="B1245" i="30" l="1"/>
  <c r="A1244" i="30"/>
  <c r="A372" i="35"/>
  <c r="B371" i="35"/>
  <c r="A286" i="30"/>
  <c r="B287" i="30"/>
  <c r="A1245" i="30" l="1"/>
  <c r="B1246" i="30"/>
  <c r="A373" i="35"/>
  <c r="B372" i="35"/>
  <c r="A287" i="30"/>
  <c r="B288" i="30"/>
  <c r="A1246" i="30" l="1"/>
  <c r="B1247" i="30"/>
  <c r="B373" i="35"/>
  <c r="A374" i="35"/>
  <c r="A288" i="30"/>
  <c r="B289" i="30"/>
  <c r="B1248" i="30" l="1"/>
  <c r="A1247" i="30"/>
  <c r="B374" i="35"/>
  <c r="A375" i="35"/>
  <c r="B290" i="30"/>
  <c r="A289" i="30"/>
  <c r="A1248" i="30" l="1"/>
  <c r="B1249" i="30"/>
  <c r="B375" i="35"/>
  <c r="A376" i="35"/>
  <c r="A290" i="30"/>
  <c r="B291" i="30"/>
  <c r="B1250" i="30" l="1"/>
  <c r="A1249" i="30"/>
  <c r="B376" i="35"/>
  <c r="A377" i="35"/>
  <c r="A291" i="30"/>
  <c r="B292" i="30"/>
  <c r="B1251" i="30" l="1"/>
  <c r="A1250" i="30"/>
  <c r="B377" i="35"/>
  <c r="A378" i="35"/>
  <c r="A292" i="30"/>
  <c r="B293" i="30"/>
  <c r="B1252" i="30" l="1"/>
  <c r="A1251" i="30"/>
  <c r="A379" i="35"/>
  <c r="B378" i="35"/>
  <c r="A293" i="30"/>
  <c r="B294" i="30"/>
  <c r="A1252" i="30" l="1"/>
  <c r="B1253" i="30"/>
  <c r="A380" i="35"/>
  <c r="B379" i="35"/>
  <c r="B295" i="30"/>
  <c r="A294" i="30"/>
  <c r="B1254" i="30" l="1"/>
  <c r="A1253" i="30"/>
  <c r="A381" i="35"/>
  <c r="B380" i="35"/>
  <c r="A295" i="30"/>
  <c r="B296" i="30"/>
  <c r="A1254" i="30" l="1"/>
  <c r="B1255" i="30"/>
  <c r="A382" i="35"/>
  <c r="B381" i="35"/>
  <c r="A296" i="30"/>
  <c r="B297" i="30"/>
  <c r="A1255" i="30" l="1"/>
  <c r="B1256" i="30"/>
  <c r="B382" i="35"/>
  <c r="A383" i="35"/>
  <c r="B298" i="30"/>
  <c r="A297" i="30"/>
  <c r="B1257" i="30" l="1"/>
  <c r="A1256" i="30"/>
  <c r="A384" i="35"/>
  <c r="B383" i="35"/>
  <c r="A298" i="30"/>
  <c r="B299" i="30"/>
  <c r="A1257" i="30" l="1"/>
  <c r="B1258" i="30"/>
  <c r="A385" i="35"/>
  <c r="B384" i="35"/>
  <c r="A299" i="30"/>
  <c r="B300" i="30"/>
  <c r="A1258" i="30" l="1"/>
  <c r="B1259" i="30"/>
  <c r="A386" i="35"/>
  <c r="B385" i="35"/>
  <c r="A300" i="30"/>
  <c r="B301" i="30"/>
  <c r="B1260" i="30" l="1"/>
  <c r="A1259" i="30"/>
  <c r="A387" i="35"/>
  <c r="B386" i="35"/>
  <c r="B302" i="30"/>
  <c r="A301" i="30"/>
  <c r="A1260" i="30" l="1"/>
  <c r="B1261" i="30"/>
  <c r="A388" i="35"/>
  <c r="B387" i="35"/>
  <c r="A302" i="30"/>
  <c r="B303" i="30"/>
  <c r="B1262" i="30" l="1"/>
  <c r="A1261" i="30"/>
  <c r="A389" i="35"/>
  <c r="B388" i="35"/>
  <c r="A303" i="30"/>
  <c r="B304" i="30"/>
  <c r="B1263" i="30" l="1"/>
  <c r="A1262" i="30"/>
  <c r="B389" i="35"/>
  <c r="A390" i="35"/>
  <c r="A304" i="30"/>
  <c r="B305" i="30"/>
  <c r="B1264" i="30" l="1"/>
  <c r="A1263" i="30"/>
  <c r="B390" i="35"/>
  <c r="A391" i="35"/>
  <c r="B306" i="30"/>
  <c r="A305" i="30"/>
  <c r="A1264" i="30" l="1"/>
  <c r="B1265" i="30"/>
  <c r="B391" i="35"/>
  <c r="A392" i="35"/>
  <c r="B307" i="30"/>
  <c r="A306" i="30"/>
  <c r="A1265" i="30" l="1"/>
  <c r="B1266" i="30"/>
  <c r="B392" i="35"/>
  <c r="A393" i="35"/>
  <c r="A307" i="30"/>
  <c r="B308" i="30"/>
  <c r="A1266" i="30" l="1"/>
  <c r="B1267" i="30"/>
  <c r="B393" i="35"/>
  <c r="A394" i="35"/>
  <c r="A308" i="30"/>
  <c r="B309" i="30"/>
  <c r="A1267" i="30" l="1"/>
  <c r="B1268" i="30"/>
  <c r="B394" i="35"/>
  <c r="A395" i="35"/>
  <c r="B310" i="30"/>
  <c r="A309" i="30"/>
  <c r="B1269" i="30" l="1"/>
  <c r="A1268" i="30"/>
  <c r="B395" i="35"/>
  <c r="A396" i="35"/>
  <c r="A310" i="30"/>
  <c r="B311" i="30"/>
  <c r="B1270" i="30" l="1"/>
  <c r="A1269" i="30"/>
  <c r="B396" i="35"/>
  <c r="A397" i="35"/>
  <c r="B312" i="30"/>
  <c r="A311" i="30"/>
  <c r="A1270" i="30" l="1"/>
  <c r="B1271" i="30"/>
  <c r="B397" i="35"/>
  <c r="A398" i="35"/>
  <c r="B313" i="30"/>
  <c r="A312" i="30"/>
  <c r="A1271" i="30" l="1"/>
  <c r="B1272" i="30"/>
  <c r="B398" i="35"/>
  <c r="A399" i="35"/>
  <c r="B314" i="30"/>
  <c r="A313" i="30"/>
  <c r="A1272" i="30" l="1"/>
  <c r="B1273" i="30"/>
  <c r="A400" i="35"/>
  <c r="B399" i="35"/>
  <c r="B315" i="30"/>
  <c r="A314" i="30"/>
  <c r="A1273" i="30" l="1"/>
  <c r="B1274" i="30"/>
  <c r="B400" i="35"/>
  <c r="A401" i="35"/>
  <c r="A315" i="30"/>
  <c r="B316" i="30"/>
  <c r="A1274" i="30" l="1"/>
  <c r="B1275" i="30"/>
  <c r="B401" i="35"/>
  <c r="A402" i="35"/>
  <c r="A316" i="30"/>
  <c r="B317" i="30"/>
  <c r="B1276" i="30" l="1"/>
  <c r="A1275" i="30"/>
  <c r="B402" i="35"/>
  <c r="A403" i="35"/>
  <c r="B318" i="30"/>
  <c r="A317" i="30"/>
  <c r="A1276" i="30" l="1"/>
  <c r="B1277" i="30"/>
  <c r="A404" i="35"/>
  <c r="B403" i="35"/>
  <c r="B319" i="30"/>
  <c r="A318" i="30"/>
  <c r="B1278" i="30" l="1"/>
  <c r="A1277" i="30"/>
  <c r="A405" i="35"/>
  <c r="B404" i="35"/>
  <c r="A319" i="30"/>
  <c r="B320" i="30"/>
  <c r="A1278" i="30" l="1"/>
  <c r="B1279" i="30"/>
  <c r="B405" i="35"/>
  <c r="A406" i="35"/>
  <c r="A320" i="30"/>
  <c r="B321" i="30"/>
  <c r="A1279" i="30" l="1"/>
  <c r="B1280" i="30"/>
  <c r="B406" i="35"/>
  <c r="A407" i="35"/>
  <c r="A321" i="30"/>
  <c r="B322" i="30"/>
  <c r="B1281" i="30" l="1"/>
  <c r="A1280" i="30"/>
  <c r="B407" i="35"/>
  <c r="A408" i="35"/>
  <c r="A322" i="30"/>
  <c r="B323" i="30"/>
  <c r="A1281" i="30" l="1"/>
  <c r="B1282" i="30"/>
  <c r="B408" i="35"/>
  <c r="A409" i="35"/>
  <c r="A323" i="30"/>
  <c r="B324" i="30"/>
  <c r="A1282" i="30" l="1"/>
  <c r="B1283" i="30"/>
  <c r="A410" i="35"/>
  <c r="B409" i="35"/>
  <c r="A324" i="30"/>
  <c r="B325" i="30"/>
  <c r="A1283" i="30" l="1"/>
  <c r="B1284" i="30"/>
  <c r="B410" i="35"/>
  <c r="A411" i="35"/>
  <c r="A325" i="30"/>
  <c r="B326" i="30"/>
  <c r="A1284" i="30" l="1"/>
  <c r="B1285" i="30"/>
  <c r="A412" i="35"/>
  <c r="B411" i="35"/>
  <c r="A326" i="30"/>
  <c r="B327" i="30"/>
  <c r="A1285" i="30" l="1"/>
  <c r="B1286" i="30"/>
  <c r="A413" i="35"/>
  <c r="B412" i="35"/>
  <c r="A327" i="30"/>
  <c r="B328" i="30"/>
  <c r="B1287" i="30" l="1"/>
  <c r="A1286" i="30"/>
  <c r="A414" i="35"/>
  <c r="B413" i="35"/>
  <c r="A328" i="30"/>
  <c r="B329" i="30"/>
  <c r="B1288" i="30" l="1"/>
  <c r="A1287" i="30"/>
  <c r="B414" i="35"/>
  <c r="A415" i="35"/>
  <c r="B330" i="30"/>
  <c r="A329" i="30"/>
  <c r="A1288" i="30" l="1"/>
  <c r="B1289" i="30"/>
  <c r="A416" i="35"/>
  <c r="B415" i="35"/>
  <c r="B331" i="30"/>
  <c r="A330" i="30"/>
  <c r="A1289" i="30" l="1"/>
  <c r="B1290" i="30"/>
  <c r="A417" i="35"/>
  <c r="B416" i="35"/>
  <c r="A331" i="30"/>
  <c r="B332" i="30"/>
  <c r="B1291" i="30" l="1"/>
  <c r="A1290" i="30"/>
  <c r="A418" i="35"/>
  <c r="B417" i="35"/>
  <c r="A332" i="30"/>
  <c r="B333" i="30"/>
  <c r="B1292" i="30" l="1"/>
  <c r="A1291" i="30"/>
  <c r="A419" i="35"/>
  <c r="B418" i="35"/>
  <c r="B334" i="30"/>
  <c r="A333" i="30"/>
  <c r="B1293" i="30" l="1"/>
  <c r="A1292" i="30"/>
  <c r="A420" i="35"/>
  <c r="B419" i="35"/>
  <c r="A334" i="30"/>
  <c r="B335" i="30"/>
  <c r="B1294" i="30" l="1"/>
  <c r="A1293" i="30"/>
  <c r="A421" i="35"/>
  <c r="B420" i="35"/>
  <c r="A335" i="30"/>
  <c r="B336" i="30"/>
  <c r="A1294" i="30" l="1"/>
  <c r="B1295" i="30"/>
  <c r="A422" i="35"/>
  <c r="B421" i="35"/>
  <c r="A336" i="30"/>
  <c r="B337" i="30"/>
  <c r="A1295" i="30" l="1"/>
  <c r="B1296" i="30"/>
  <c r="A423" i="35"/>
  <c r="B422" i="35"/>
  <c r="B338" i="30"/>
  <c r="A337" i="30"/>
  <c r="A1296" i="30" l="1"/>
  <c r="B1297" i="30"/>
  <c r="A424" i="35"/>
  <c r="B423" i="35"/>
  <c r="A338" i="30"/>
  <c r="B339" i="30"/>
  <c r="B1298" i="30" l="1"/>
  <c r="A1297" i="30"/>
  <c r="A425" i="35"/>
  <c r="B424" i="35"/>
  <c r="A339" i="30"/>
  <c r="B340" i="30"/>
  <c r="A1298" i="30" l="1"/>
  <c r="B1299" i="30"/>
  <c r="B425" i="35"/>
  <c r="A426" i="35"/>
  <c r="A340" i="30"/>
  <c r="B341" i="30"/>
  <c r="B1300" i="30" l="1"/>
  <c r="A1299" i="30"/>
  <c r="B426" i="35"/>
  <c r="A427" i="35"/>
  <c r="B342" i="30"/>
  <c r="A341" i="30"/>
  <c r="B1301" i="30" l="1"/>
  <c r="A1300" i="30"/>
  <c r="A428" i="35"/>
  <c r="B427" i="35"/>
  <c r="B343" i="30"/>
  <c r="A342" i="30"/>
  <c r="B1302" i="30" l="1"/>
  <c r="A1301" i="30"/>
  <c r="A429" i="35"/>
  <c r="B428" i="35"/>
  <c r="A343" i="30"/>
  <c r="B344" i="30"/>
  <c r="B1303" i="30" l="1"/>
  <c r="A1302" i="30"/>
  <c r="A430" i="35"/>
  <c r="B429" i="35"/>
  <c r="A344" i="30"/>
  <c r="B345" i="30"/>
  <c r="A1303" i="30" l="1"/>
  <c r="B1304" i="30"/>
  <c r="A431" i="35"/>
  <c r="B430" i="35"/>
  <c r="B346" i="30"/>
  <c r="A345" i="30"/>
  <c r="B1305" i="30" l="1"/>
  <c r="A1304" i="30"/>
  <c r="A432" i="35"/>
  <c r="B431" i="35"/>
  <c r="A346" i="30"/>
  <c r="B347" i="30"/>
  <c r="A1305" i="30" l="1"/>
  <c r="B1306" i="30"/>
  <c r="B432" i="35"/>
  <c r="A433" i="35"/>
  <c r="A347" i="30"/>
  <c r="B348" i="30"/>
  <c r="A1306" i="30" l="1"/>
  <c r="B1307" i="30"/>
  <c r="B433" i="35"/>
  <c r="A434" i="35"/>
  <c r="A348" i="30"/>
  <c r="B349" i="30"/>
  <c r="A1307" i="30" l="1"/>
  <c r="B1308" i="30"/>
  <c r="B434" i="35"/>
  <c r="A435" i="35"/>
  <c r="B350" i="30"/>
  <c r="A349" i="30"/>
  <c r="A1308" i="30" l="1"/>
  <c r="B1309" i="30"/>
  <c r="A436" i="35"/>
  <c r="B435" i="35"/>
  <c r="A350" i="30"/>
  <c r="B351" i="30"/>
  <c r="A1309" i="30" l="1"/>
  <c r="B1310" i="30"/>
  <c r="B436" i="35"/>
  <c r="A437" i="35"/>
  <c r="A351" i="30"/>
  <c r="B352" i="30"/>
  <c r="A1310" i="30" l="1"/>
  <c r="B1311" i="30"/>
  <c r="B437" i="35"/>
  <c r="A438" i="35"/>
  <c r="A352" i="30"/>
  <c r="B353" i="30"/>
  <c r="B1312" i="30" l="1"/>
  <c r="A1311" i="30"/>
  <c r="B438" i="35"/>
  <c r="A439" i="35"/>
  <c r="B354" i="30"/>
  <c r="A353" i="30"/>
  <c r="A1312" i="30" l="1"/>
  <c r="B1313" i="30"/>
  <c r="B439" i="35"/>
  <c r="A440" i="35"/>
  <c r="B355" i="30"/>
  <c r="A354" i="30"/>
  <c r="A1313" i="30" l="1"/>
  <c r="B1314" i="30"/>
  <c r="B440" i="35"/>
  <c r="A441" i="35"/>
  <c r="A355" i="30"/>
  <c r="B356" i="30"/>
  <c r="A1314" i="30" l="1"/>
  <c r="B1315" i="30"/>
  <c r="A442" i="35"/>
  <c r="B441" i="35"/>
  <c r="A356" i="30"/>
  <c r="B357" i="30"/>
  <c r="A1315" i="30" l="1"/>
  <c r="B1316" i="30"/>
  <c r="A443" i="35"/>
  <c r="B442" i="35"/>
  <c r="B358" i="30"/>
  <c r="A357" i="30"/>
  <c r="B1317" i="30" l="1"/>
  <c r="A1316" i="30"/>
  <c r="A444" i="35"/>
  <c r="B443" i="35"/>
  <c r="A358" i="30"/>
  <c r="B359" i="30"/>
  <c r="B1318" i="30" l="1"/>
  <c r="A1317" i="30"/>
  <c r="A445" i="35"/>
  <c r="B444" i="35"/>
  <c r="A359" i="30"/>
  <c r="B360" i="30"/>
  <c r="A1318" i="30" l="1"/>
  <c r="B1319" i="30"/>
  <c r="A446" i="35"/>
  <c r="B445" i="35"/>
  <c r="A360" i="30"/>
  <c r="B361" i="30"/>
  <c r="B1320" i="30" l="1"/>
  <c r="A1319" i="30"/>
  <c r="A447" i="35"/>
  <c r="B446" i="35"/>
  <c r="A361" i="30"/>
  <c r="B362" i="30"/>
  <c r="B1321" i="30" l="1"/>
  <c r="A1320" i="30"/>
  <c r="A448" i="35"/>
  <c r="B447" i="35"/>
  <c r="A362" i="30"/>
  <c r="B363" i="30"/>
  <c r="B1322" i="30" l="1"/>
  <c r="A1321" i="30"/>
  <c r="A449" i="35"/>
  <c r="B448" i="35"/>
  <c r="A363" i="30"/>
  <c r="B364" i="30"/>
  <c r="B1323" i="30" l="1"/>
  <c r="A1322" i="30"/>
  <c r="B449" i="35"/>
  <c r="A450" i="35"/>
  <c r="A364" i="30"/>
  <c r="B365" i="30"/>
  <c r="B1324" i="30" l="1"/>
  <c r="A1323" i="30"/>
  <c r="B450" i="35"/>
  <c r="A451" i="35"/>
  <c r="B366" i="30"/>
  <c r="A365" i="30"/>
  <c r="A1324" i="30" l="1"/>
  <c r="B1325" i="30"/>
  <c r="B451" i="35"/>
  <c r="A452" i="35"/>
  <c r="B367" i="30"/>
  <c r="A366" i="30"/>
  <c r="A1325" i="30" l="1"/>
  <c r="B1326" i="30"/>
  <c r="B452" i="35"/>
  <c r="A453" i="35"/>
  <c r="A367" i="30"/>
  <c r="B368" i="30"/>
  <c r="A1326" i="30" l="1"/>
  <c r="B1327" i="30"/>
  <c r="A454" i="35"/>
  <c r="B453" i="35"/>
  <c r="A368" i="30"/>
  <c r="B369" i="30"/>
  <c r="A1327" i="30" l="1"/>
  <c r="B1328" i="30"/>
  <c r="A455" i="35"/>
  <c r="B454" i="35"/>
  <c r="A369" i="30"/>
  <c r="B370" i="30"/>
  <c r="B1329" i="30" l="1"/>
  <c r="A1328" i="30"/>
  <c r="B455" i="35"/>
  <c r="A456" i="35"/>
  <c r="A370" i="30"/>
  <c r="B371" i="30"/>
  <c r="A1329" i="30" l="1"/>
  <c r="B1330" i="30"/>
  <c r="B456" i="35"/>
  <c r="A457" i="35"/>
  <c r="A371" i="30"/>
  <c r="B372" i="30"/>
  <c r="A1330" i="30" l="1"/>
  <c r="B1331" i="30"/>
  <c r="A458" i="35"/>
  <c r="B457" i="35"/>
  <c r="A372" i="30"/>
  <c r="B373" i="30"/>
  <c r="A1331" i="30" l="1"/>
  <c r="B1332" i="30"/>
  <c r="A459" i="35"/>
  <c r="B458" i="35"/>
  <c r="B374" i="30"/>
  <c r="A373" i="30"/>
  <c r="A1332" i="30" l="1"/>
  <c r="B1333" i="30"/>
  <c r="A460" i="35"/>
  <c r="B459" i="35"/>
  <c r="A374" i="30"/>
  <c r="B375" i="30"/>
  <c r="A1333" i="30" l="1"/>
  <c r="B1334" i="30"/>
  <c r="A461" i="35"/>
  <c r="B460" i="35"/>
  <c r="A375" i="30"/>
  <c r="B376" i="30"/>
  <c r="A1334" i="30" l="1"/>
  <c r="B1335" i="30"/>
  <c r="A462" i="35"/>
  <c r="B461" i="35"/>
  <c r="A376" i="30"/>
  <c r="B377" i="30"/>
  <c r="B1336" i="30" l="1"/>
  <c r="A1335" i="30"/>
  <c r="B462" i="35"/>
  <c r="A463" i="35"/>
  <c r="B378" i="30"/>
  <c r="A377" i="30"/>
  <c r="A1336" i="30" l="1"/>
  <c r="B1337" i="30"/>
  <c r="A464" i="35"/>
  <c r="B463" i="35"/>
  <c r="B379" i="30"/>
  <c r="A378" i="30"/>
  <c r="B1338" i="30" l="1"/>
  <c r="A1337" i="30"/>
  <c r="B464" i="35"/>
  <c r="A465" i="35"/>
  <c r="A379" i="30"/>
  <c r="B380" i="30"/>
  <c r="B1339" i="30" l="1"/>
  <c r="A1338" i="30"/>
  <c r="B465" i="35"/>
  <c r="A466" i="35"/>
  <c r="A380" i="30"/>
  <c r="B381" i="30"/>
  <c r="A1339" i="30" l="1"/>
  <c r="B1340" i="30"/>
  <c r="A467" i="35"/>
  <c r="B466" i="35"/>
  <c r="B382" i="30"/>
  <c r="A381" i="30"/>
  <c r="B1341" i="30" l="1"/>
  <c r="A1340" i="30"/>
  <c r="B467" i="35"/>
  <c r="A468" i="35"/>
  <c r="A382" i="30"/>
  <c r="B383" i="30"/>
  <c r="A1341" i="30" l="1"/>
  <c r="B1342" i="30"/>
  <c r="B468" i="35"/>
  <c r="A469" i="35"/>
  <c r="A383" i="30"/>
  <c r="B384" i="30"/>
  <c r="A1342" i="30" l="1"/>
  <c r="B1343" i="30"/>
  <c r="B469" i="35"/>
  <c r="A470" i="35"/>
  <c r="A384" i="30"/>
  <c r="B385" i="30"/>
  <c r="A1343" i="30" l="1"/>
  <c r="B1344" i="30"/>
  <c r="B470" i="35"/>
  <c r="A471" i="35"/>
  <c r="B386" i="30"/>
  <c r="A385" i="30"/>
  <c r="B1345" i="30" l="1"/>
  <c r="A1344" i="30"/>
  <c r="A472" i="35"/>
  <c r="B471" i="35"/>
  <c r="A386" i="30"/>
  <c r="B387" i="30"/>
  <c r="B1346" i="30" l="1"/>
  <c r="A1345" i="30"/>
  <c r="A473" i="35"/>
  <c r="B472" i="35"/>
  <c r="A387" i="30"/>
  <c r="B388" i="30"/>
  <c r="B1347" i="30" l="1"/>
  <c r="A1346" i="30"/>
  <c r="A474" i="35"/>
  <c r="B473" i="35"/>
  <c r="A388" i="30"/>
  <c r="B389" i="30"/>
  <c r="B1348" i="30" l="1"/>
  <c r="A1347" i="30"/>
  <c r="A475" i="35"/>
  <c r="B474" i="35"/>
  <c r="B390" i="30"/>
  <c r="A389" i="30"/>
  <c r="A1348" i="30" l="1"/>
  <c r="B1349" i="30"/>
  <c r="B475" i="35"/>
  <c r="A476" i="35"/>
  <c r="B391" i="30"/>
  <c r="A390" i="30"/>
  <c r="A1349" i="30" l="1"/>
  <c r="B1350" i="30"/>
  <c r="B476" i="35"/>
  <c r="A477" i="35"/>
  <c r="A391" i="30"/>
  <c r="B392" i="30"/>
  <c r="A1350" i="30" l="1"/>
  <c r="B1351" i="30"/>
  <c r="B477" i="35"/>
  <c r="A478" i="35"/>
  <c r="A392" i="30"/>
  <c r="B393" i="30"/>
  <c r="A1351" i="30" l="1"/>
  <c r="B1352" i="30"/>
  <c r="A479" i="35"/>
  <c r="B478" i="35"/>
  <c r="B394" i="30"/>
  <c r="A393" i="30"/>
  <c r="B1353" i="30" l="1"/>
  <c r="A1352" i="30"/>
  <c r="A480" i="35"/>
  <c r="B479" i="35"/>
  <c r="A394" i="30"/>
  <c r="B395" i="30"/>
  <c r="A1353" i="30" l="1"/>
  <c r="B1354" i="30"/>
  <c r="A481" i="35"/>
  <c r="B480" i="35"/>
  <c r="A395" i="30"/>
  <c r="B396" i="30"/>
  <c r="A1354" i="30" l="1"/>
  <c r="B1355" i="30"/>
  <c r="A482" i="35"/>
  <c r="B481" i="35"/>
  <c r="A396" i="30"/>
  <c r="B397" i="30"/>
  <c r="B1356" i="30" l="1"/>
  <c r="A1355" i="30"/>
  <c r="A483" i="35"/>
  <c r="B482" i="35"/>
  <c r="A397" i="30"/>
  <c r="B398" i="30"/>
  <c r="A1356" i="30" l="1"/>
  <c r="B1357" i="30"/>
  <c r="A484" i="35"/>
  <c r="B483" i="35"/>
  <c r="A398" i="30"/>
  <c r="B399" i="30"/>
  <c r="A1357" i="30" l="1"/>
  <c r="B1358" i="30"/>
  <c r="B484" i="35"/>
  <c r="A485" i="35"/>
  <c r="A399" i="30"/>
  <c r="B400" i="30"/>
  <c r="A1358" i="30" l="1"/>
  <c r="B1359" i="30"/>
  <c r="B485" i="35"/>
  <c r="A486" i="35"/>
  <c r="A400" i="30"/>
  <c r="B401" i="30"/>
  <c r="B1360" i="30" l="1"/>
  <c r="A1359" i="30"/>
  <c r="B486" i="35"/>
  <c r="A487" i="35"/>
  <c r="B402" i="30"/>
  <c r="A401" i="30"/>
  <c r="A1360" i="30" l="1"/>
  <c r="B1361" i="30"/>
  <c r="A488" i="35"/>
  <c r="B487" i="35"/>
  <c r="B403" i="30"/>
  <c r="A402" i="30"/>
  <c r="A1361" i="30" l="1"/>
  <c r="B1362" i="30"/>
  <c r="A489" i="35"/>
  <c r="B488" i="35"/>
  <c r="A403" i="30"/>
  <c r="B404" i="30"/>
  <c r="A1362" i="30" l="1"/>
  <c r="B1363" i="30"/>
  <c r="B489" i="35"/>
  <c r="A490" i="35"/>
  <c r="A404" i="30"/>
  <c r="B405" i="30"/>
  <c r="A1363" i="30" l="1"/>
  <c r="B1364" i="30"/>
  <c r="A491" i="35"/>
  <c r="B490" i="35"/>
  <c r="B406" i="30"/>
  <c r="A405" i="30"/>
  <c r="B1365" i="30" l="1"/>
  <c r="A1364" i="30"/>
  <c r="A492" i="35"/>
  <c r="B491" i="35"/>
  <c r="A406" i="30"/>
  <c r="B407" i="30"/>
  <c r="B1366" i="30" l="1"/>
  <c r="A1365" i="30"/>
  <c r="A493" i="35"/>
  <c r="B492" i="35"/>
  <c r="A407" i="30"/>
  <c r="B408" i="30"/>
  <c r="A1366" i="30" l="1"/>
  <c r="B1367" i="30"/>
  <c r="A494" i="35"/>
  <c r="B493" i="35"/>
  <c r="A408" i="30"/>
  <c r="B409" i="30"/>
  <c r="B1368" i="30" l="1"/>
  <c r="A1367" i="30"/>
  <c r="A495" i="35"/>
  <c r="B494" i="35"/>
  <c r="B410" i="30"/>
  <c r="A409" i="30"/>
  <c r="A1368" i="30" l="1"/>
  <c r="B1369" i="30"/>
  <c r="B495" i="35"/>
  <c r="A496" i="35"/>
  <c r="A410" i="30"/>
  <c r="B411" i="30"/>
  <c r="A1369" i="30" l="1"/>
  <c r="B1370" i="30"/>
  <c r="B496" i="35"/>
  <c r="A497" i="35"/>
  <c r="A411" i="30"/>
  <c r="B412" i="30"/>
  <c r="B1371" i="30" l="1"/>
  <c r="A1370" i="30"/>
  <c r="B497" i="35"/>
  <c r="A498" i="35"/>
  <c r="A412" i="30"/>
  <c r="B413" i="30"/>
  <c r="B1372" i="30" l="1"/>
  <c r="A1371" i="30"/>
  <c r="B498" i="35"/>
  <c r="A499" i="35"/>
  <c r="B414" i="30"/>
  <c r="A413" i="30"/>
  <c r="A1372" i="30" l="1"/>
  <c r="B1373" i="30"/>
  <c r="B499" i="35"/>
  <c r="A500" i="35"/>
  <c r="B415" i="30"/>
  <c r="A414" i="30"/>
  <c r="A1373" i="30" l="1"/>
  <c r="B1374" i="30"/>
  <c r="B500" i="35"/>
  <c r="A501" i="35"/>
  <c r="A415" i="30"/>
  <c r="B416" i="30"/>
  <c r="A1374" i="30" l="1"/>
  <c r="B1375" i="30"/>
  <c r="B501" i="35"/>
  <c r="A502" i="35"/>
  <c r="A416" i="30"/>
  <c r="B417" i="30"/>
  <c r="A1375" i="30" l="1"/>
  <c r="B1376" i="30"/>
  <c r="A503" i="35"/>
  <c r="B502" i="35"/>
  <c r="A417" i="30"/>
  <c r="B418" i="30"/>
  <c r="B1377" i="30" l="1"/>
  <c r="A1376" i="30"/>
  <c r="A504" i="35"/>
  <c r="B503" i="35"/>
  <c r="A418" i="30"/>
  <c r="B419" i="30"/>
  <c r="A1377" i="30" l="1"/>
  <c r="B1378" i="30"/>
  <c r="A505" i="35"/>
  <c r="B504" i="35"/>
  <c r="A419" i="30"/>
  <c r="B420" i="30"/>
  <c r="A1378" i="30" l="1"/>
  <c r="B1379" i="30"/>
  <c r="A506" i="35"/>
  <c r="B505" i="35"/>
  <c r="A420" i="30"/>
  <c r="B421" i="30"/>
  <c r="B1380" i="30" l="1"/>
  <c r="A1379" i="30"/>
  <c r="A507" i="35"/>
  <c r="B506" i="35"/>
  <c r="B422" i="30"/>
  <c r="A421" i="30"/>
  <c r="A1380" i="30" l="1"/>
  <c r="B1381" i="30"/>
  <c r="A508" i="35"/>
  <c r="B507" i="35"/>
  <c r="A422" i="30"/>
  <c r="B423" i="30"/>
  <c r="A1381" i="30" l="1"/>
  <c r="B1382" i="30"/>
  <c r="A509" i="35"/>
  <c r="B508" i="35"/>
  <c r="A423" i="30"/>
  <c r="B424" i="30"/>
  <c r="A1382" i="30" l="1"/>
  <c r="B1383" i="30"/>
  <c r="A510" i="35"/>
  <c r="B509" i="35"/>
  <c r="A424" i="30"/>
  <c r="B425" i="30"/>
  <c r="B1384" i="30" l="1"/>
  <c r="A1383" i="30"/>
  <c r="B510" i="35"/>
  <c r="A511" i="35"/>
  <c r="B426" i="30"/>
  <c r="A425" i="30"/>
  <c r="A1384" i="30" l="1"/>
  <c r="B1385" i="30"/>
  <c r="A512" i="35"/>
  <c r="B511" i="35"/>
  <c r="A426" i="30"/>
  <c r="B427" i="30"/>
  <c r="B1386" i="30" l="1"/>
  <c r="A1385" i="30"/>
  <c r="A513" i="35"/>
  <c r="B512" i="35"/>
  <c r="B428" i="30"/>
  <c r="A427" i="30"/>
  <c r="B1387" i="30" l="1"/>
  <c r="A1386" i="30"/>
  <c r="A514" i="35"/>
  <c r="B513" i="35"/>
  <c r="A428" i="30"/>
  <c r="B429" i="30"/>
  <c r="B1388" i="30" l="1"/>
  <c r="A1387" i="30"/>
  <c r="A515" i="35"/>
  <c r="B514" i="35"/>
  <c r="A429" i="30"/>
  <c r="B430" i="30"/>
  <c r="B1389" i="30" l="1"/>
  <c r="A1388" i="30"/>
  <c r="A516" i="35"/>
  <c r="B515" i="35"/>
  <c r="B431" i="30"/>
  <c r="A430" i="30"/>
  <c r="A1389" i="30" l="1"/>
  <c r="B1390" i="30"/>
  <c r="A517" i="35"/>
  <c r="B516" i="35"/>
  <c r="B432" i="30"/>
  <c r="A431" i="30"/>
  <c r="A1390" i="30" l="1"/>
  <c r="B1391" i="30"/>
  <c r="A518" i="35"/>
  <c r="B517" i="35"/>
  <c r="B433" i="30"/>
  <c r="A432" i="30"/>
  <c r="A1391" i="30" l="1"/>
  <c r="B1392" i="30"/>
  <c r="A519" i="35"/>
  <c r="B518" i="35"/>
  <c r="A433" i="30"/>
  <c r="B434" i="30"/>
  <c r="A1392" i="30" l="1"/>
  <c r="B1393" i="30"/>
  <c r="B519" i="35"/>
  <c r="A520" i="35"/>
  <c r="A434" i="30"/>
  <c r="B435" i="30"/>
  <c r="B1394" i="30" l="1"/>
  <c r="A1393" i="30"/>
  <c r="B520" i="35"/>
  <c r="A521" i="35"/>
  <c r="A435" i="30"/>
  <c r="B436" i="30"/>
  <c r="B1395" i="30" l="1"/>
  <c r="A1394" i="30"/>
  <c r="B521" i="35"/>
  <c r="A522" i="35"/>
  <c r="A436" i="30"/>
  <c r="B437" i="30"/>
  <c r="B1396" i="30" l="1"/>
  <c r="A1395" i="30"/>
  <c r="A523" i="35"/>
  <c r="B522" i="35"/>
  <c r="A437" i="30"/>
  <c r="B438" i="30"/>
  <c r="A1396" i="30" l="1"/>
  <c r="B1397" i="30"/>
  <c r="B523" i="35"/>
  <c r="A524" i="35"/>
  <c r="A438" i="30"/>
  <c r="B439" i="30"/>
  <c r="A1397" i="30" l="1"/>
  <c r="B1398" i="30"/>
  <c r="B524" i="35"/>
  <c r="A525" i="35"/>
  <c r="B440" i="30"/>
  <c r="A439" i="30"/>
  <c r="A1398" i="30" l="1"/>
  <c r="B1399" i="30"/>
  <c r="B525" i="35"/>
  <c r="A526" i="35"/>
  <c r="A440" i="30"/>
  <c r="B441" i="30"/>
  <c r="A1399" i="30" l="1"/>
  <c r="B1400" i="30"/>
  <c r="B526" i="35"/>
  <c r="A527" i="35"/>
  <c r="A441" i="30"/>
  <c r="B442" i="30"/>
  <c r="B1401" i="30" l="1"/>
  <c r="A1400" i="30"/>
  <c r="B527" i="35"/>
  <c r="A528" i="35"/>
  <c r="B443" i="30"/>
  <c r="A442" i="30"/>
  <c r="A1401" i="30" l="1"/>
  <c r="B1402" i="30"/>
  <c r="A529" i="35"/>
  <c r="B528" i="35"/>
  <c r="A443" i="30"/>
  <c r="B444" i="30"/>
  <c r="A1402" i="30" l="1"/>
  <c r="B1403" i="30"/>
  <c r="A530" i="35"/>
  <c r="B529" i="35"/>
  <c r="A444" i="30"/>
  <c r="B445" i="30"/>
  <c r="A1403" i="30" l="1"/>
  <c r="B1404" i="30"/>
  <c r="B530" i="35"/>
  <c r="A531" i="35"/>
  <c r="B446" i="30"/>
  <c r="A445" i="30"/>
  <c r="B1405" i="30" l="1"/>
  <c r="A1404" i="30"/>
  <c r="A532" i="35"/>
  <c r="B531" i="35"/>
  <c r="A446" i="30"/>
  <c r="B447" i="30"/>
  <c r="D1" i="30"/>
  <c r="A1405" i="30" l="1"/>
  <c r="B1406" i="30"/>
  <c r="B532" i="35"/>
  <c r="A533" i="35"/>
  <c r="A447" i="30"/>
  <c r="B448" i="30"/>
  <c r="A1406" i="30" l="1"/>
  <c r="B1407" i="30"/>
  <c r="B533" i="35"/>
  <c r="A534" i="35"/>
  <c r="A448" i="30"/>
  <c r="B449" i="30"/>
  <c r="B1408" i="30" l="1"/>
  <c r="A1407" i="30"/>
  <c r="B534" i="35"/>
  <c r="A535" i="35"/>
  <c r="A449" i="30"/>
  <c r="B450" i="30"/>
  <c r="A1408" i="30" l="1"/>
  <c r="B1409" i="30"/>
  <c r="A536" i="35"/>
  <c r="B535" i="35"/>
  <c r="A450" i="30"/>
  <c r="B451" i="30"/>
  <c r="A1409" i="30" l="1"/>
  <c r="B1410" i="30"/>
  <c r="A537" i="35"/>
  <c r="B536" i="35"/>
  <c r="A451" i="30"/>
  <c r="B452" i="30"/>
  <c r="B1411" i="30" l="1"/>
  <c r="A1410" i="30"/>
  <c r="A538" i="35"/>
  <c r="B537" i="35"/>
  <c r="B453" i="30"/>
  <c r="A452" i="30"/>
  <c r="B1412" i="30" l="1"/>
  <c r="A1411" i="30"/>
  <c r="A539" i="35"/>
  <c r="B538" i="35"/>
  <c r="A453" i="30"/>
  <c r="B454" i="30"/>
  <c r="B1413" i="30" l="1"/>
  <c r="A1412" i="30"/>
  <c r="A540" i="35"/>
  <c r="B539" i="35"/>
  <c r="A454" i="30"/>
  <c r="B455" i="30"/>
  <c r="A1413" i="30" l="1"/>
  <c r="B1414" i="30"/>
  <c r="A541" i="35"/>
  <c r="B540" i="35"/>
  <c r="A455" i="30"/>
  <c r="B456" i="30"/>
  <c r="A1414" i="30" l="1"/>
  <c r="B1415" i="30"/>
  <c r="A542" i="35"/>
  <c r="B541" i="35"/>
  <c r="A456" i="30"/>
  <c r="B457" i="30"/>
  <c r="B1416" i="30" l="1"/>
  <c r="A1415" i="30"/>
  <c r="A543" i="35"/>
  <c r="B542" i="35"/>
  <c r="A457" i="30"/>
  <c r="B458" i="30"/>
  <c r="B1417" i="30" l="1"/>
  <c r="A1416" i="30"/>
  <c r="A544" i="35"/>
  <c r="B543" i="35"/>
  <c r="B459" i="30"/>
  <c r="A458" i="30"/>
  <c r="A1417" i="30" l="1"/>
  <c r="B1418" i="30"/>
  <c r="A545" i="35"/>
  <c r="B544" i="35"/>
  <c r="A459" i="30"/>
  <c r="B460" i="30"/>
  <c r="A1418" i="30" l="1"/>
  <c r="B1419" i="30"/>
  <c r="A546" i="35"/>
  <c r="B545" i="35"/>
  <c r="A460" i="30"/>
  <c r="B461" i="30"/>
  <c r="B1420" i="30" l="1"/>
  <c r="A1419" i="30"/>
  <c r="A547" i="35"/>
  <c r="B546" i="35"/>
  <c r="A461" i="30"/>
  <c r="B462" i="30"/>
  <c r="B1421" i="30" l="1"/>
  <c r="A1420" i="30"/>
  <c r="A548" i="35"/>
  <c r="B547" i="35"/>
  <c r="A462" i="30"/>
  <c r="B463" i="30"/>
  <c r="A1421" i="30" l="1"/>
  <c r="B1422" i="30"/>
  <c r="A549" i="35"/>
  <c r="B548" i="35"/>
  <c r="A463" i="30"/>
  <c r="B464" i="30"/>
  <c r="A1422" i="30" l="1"/>
  <c r="B1423" i="30"/>
  <c r="B549" i="35"/>
  <c r="A550" i="35"/>
  <c r="A464" i="30"/>
  <c r="B465" i="30"/>
  <c r="A1423" i="30" l="1"/>
  <c r="B1424" i="30"/>
  <c r="B550" i="35"/>
  <c r="A551" i="35"/>
  <c r="A465" i="30"/>
  <c r="B466" i="30"/>
  <c r="B1425" i="30" l="1"/>
  <c r="A1424" i="30"/>
  <c r="B551" i="35"/>
  <c r="A552" i="35"/>
  <c r="A466" i="30"/>
  <c r="B467" i="30"/>
  <c r="A1425" i="30" l="1"/>
  <c r="B1426" i="30"/>
  <c r="A553" i="35"/>
  <c r="B552" i="35"/>
  <c r="A467" i="30"/>
  <c r="B468" i="30"/>
  <c r="A1426" i="30" l="1"/>
  <c r="B1427" i="30"/>
  <c r="A554" i="35"/>
  <c r="B553" i="35"/>
  <c r="A468" i="30"/>
  <c r="B469" i="30"/>
  <c r="B1428" i="30" l="1"/>
  <c r="A1427" i="30"/>
  <c r="A555" i="35"/>
  <c r="B554" i="35"/>
  <c r="A469" i="30"/>
  <c r="B470" i="30"/>
  <c r="A1428" i="30" l="1"/>
  <c r="B1429" i="30"/>
  <c r="A556" i="35"/>
  <c r="B555" i="35"/>
  <c r="A470" i="30"/>
  <c r="B471" i="30"/>
  <c r="A1429" i="30" l="1"/>
  <c r="B1430" i="30"/>
  <c r="B556" i="35"/>
  <c r="A557" i="35"/>
  <c r="A471" i="30"/>
  <c r="B472" i="30"/>
  <c r="A1430" i="30" l="1"/>
  <c r="B1431" i="30"/>
  <c r="B557" i="35"/>
  <c r="A558" i="35"/>
  <c r="A472" i="30"/>
  <c r="B473" i="30"/>
  <c r="B1432" i="30" l="1"/>
  <c r="A1431" i="30"/>
  <c r="B558" i="35"/>
  <c r="A559" i="35"/>
  <c r="A473" i="30"/>
  <c r="B474" i="30"/>
  <c r="A1432" i="30" l="1"/>
  <c r="B1433" i="30"/>
  <c r="B559" i="35"/>
  <c r="A560" i="35"/>
  <c r="A474" i="30"/>
  <c r="B475" i="30"/>
  <c r="B1434" i="30" l="1"/>
  <c r="A1433" i="30"/>
  <c r="B560" i="35"/>
  <c r="A561" i="35"/>
  <c r="A475" i="30"/>
  <c r="B476" i="30"/>
  <c r="B1435" i="30" l="1"/>
  <c r="A1434" i="30"/>
  <c r="B561" i="35"/>
  <c r="A562" i="35"/>
  <c r="A476" i="30"/>
  <c r="B477" i="30"/>
  <c r="B1436" i="30" l="1"/>
  <c r="A1435" i="30"/>
  <c r="B562" i="35"/>
  <c r="A563" i="35"/>
  <c r="A477" i="30"/>
  <c r="B478" i="30"/>
  <c r="B1437" i="30" l="1"/>
  <c r="A1436" i="30"/>
  <c r="A564" i="35"/>
  <c r="B563" i="35"/>
  <c r="A478" i="30"/>
  <c r="B479" i="30"/>
  <c r="A1437" i="30" l="1"/>
  <c r="B1438" i="30"/>
  <c r="B564" i="35"/>
  <c r="A565" i="35"/>
  <c r="A479" i="30"/>
  <c r="B480" i="30"/>
  <c r="A1438" i="30" l="1"/>
  <c r="B1439" i="30"/>
  <c r="B565" i="35"/>
  <c r="A566" i="35"/>
  <c r="A480" i="30"/>
  <c r="B481" i="30"/>
  <c r="A1439" i="30" l="1"/>
  <c r="B1440" i="30"/>
  <c r="B566" i="35"/>
  <c r="A567" i="35"/>
  <c r="A481" i="30"/>
  <c r="B482" i="30"/>
  <c r="A1440" i="30" l="1"/>
  <c r="B1441" i="30"/>
  <c r="B567" i="35"/>
  <c r="A568" i="35"/>
  <c r="A482" i="30"/>
  <c r="B483" i="30"/>
  <c r="B1442" i="30" l="1"/>
  <c r="A1441" i="30"/>
  <c r="B568" i="35"/>
  <c r="A569" i="35"/>
  <c r="A483" i="30"/>
  <c r="B484" i="30"/>
  <c r="B1443" i="30" l="1"/>
  <c r="A1442" i="30"/>
  <c r="A570" i="35"/>
  <c r="B569" i="35"/>
  <c r="A484" i="30"/>
  <c r="B485" i="30"/>
  <c r="B1444" i="30" l="1"/>
  <c r="A1443" i="30"/>
  <c r="A571" i="35"/>
  <c r="B570" i="35"/>
  <c r="A485" i="30"/>
  <c r="B486" i="30"/>
  <c r="A1444" i="30" l="1"/>
  <c r="B1445" i="30"/>
  <c r="B571" i="35"/>
  <c r="A572" i="35"/>
  <c r="A486" i="30"/>
  <c r="B487" i="30"/>
  <c r="B1446" i="30" l="1"/>
  <c r="A1445" i="30"/>
  <c r="A573" i="35"/>
  <c r="B572" i="35"/>
  <c r="A487" i="30"/>
  <c r="B488" i="30"/>
  <c r="A1446" i="30" l="1"/>
  <c r="B1447" i="30"/>
  <c r="A574" i="35"/>
  <c r="B573" i="35"/>
  <c r="A488" i="30"/>
  <c r="B489" i="30"/>
  <c r="A1447" i="30" l="1"/>
  <c r="B1448" i="30"/>
  <c r="A575" i="35"/>
  <c r="B574" i="35"/>
  <c r="A489" i="30"/>
  <c r="B490" i="30"/>
  <c r="B1449" i="30" l="1"/>
  <c r="A1448" i="30"/>
  <c r="B575" i="35"/>
  <c r="A576" i="35"/>
  <c r="A490" i="30"/>
  <c r="B491" i="30"/>
  <c r="A1449" i="30" l="1"/>
  <c r="B1450" i="30"/>
  <c r="B576" i="35"/>
  <c r="A577" i="35"/>
  <c r="A491" i="30"/>
  <c r="B492" i="30"/>
  <c r="A1450" i="30" l="1"/>
  <c r="B1451" i="30"/>
  <c r="A578" i="35"/>
  <c r="B577" i="35"/>
  <c r="A492" i="30"/>
  <c r="B493" i="30"/>
  <c r="A1451" i="30" l="1"/>
  <c r="B1452" i="30"/>
  <c r="A579" i="35"/>
  <c r="B578" i="35"/>
  <c r="A493" i="30"/>
  <c r="B494" i="30"/>
  <c r="B1453" i="30" l="1"/>
  <c r="A1452" i="30"/>
  <c r="A580" i="35"/>
  <c r="B579" i="35"/>
  <c r="A494" i="30"/>
  <c r="B495" i="30"/>
  <c r="A1453" i="30" l="1"/>
  <c r="B1454" i="30"/>
  <c r="A581" i="35"/>
  <c r="B580" i="35"/>
  <c r="A495" i="30"/>
  <c r="B496" i="30"/>
  <c r="A1454" i="30" l="1"/>
  <c r="B1455" i="30"/>
  <c r="A582" i="35"/>
  <c r="B581" i="35"/>
  <c r="A496" i="30"/>
  <c r="B497" i="30"/>
  <c r="B1456" i="30" l="1"/>
  <c r="A1455" i="30"/>
  <c r="B582" i="35"/>
  <c r="A583" i="35"/>
  <c r="A497" i="30"/>
  <c r="B498" i="30"/>
  <c r="A1456" i="30" l="1"/>
  <c r="B1457" i="30"/>
  <c r="A584" i="35"/>
  <c r="B583" i="35"/>
  <c r="A498" i="30"/>
  <c r="B499" i="30"/>
  <c r="A1457" i="30" l="1"/>
  <c r="B1458" i="30"/>
  <c r="B584" i="35"/>
  <c r="A585" i="35"/>
  <c r="A499" i="30"/>
  <c r="B500" i="30"/>
  <c r="A1458" i="30" l="1"/>
  <c r="B1459" i="30"/>
  <c r="B585" i="35"/>
  <c r="A586" i="35"/>
  <c r="A500" i="30"/>
  <c r="B501" i="30"/>
  <c r="B1460" i="30" l="1"/>
  <c r="A1459" i="30"/>
  <c r="B586" i="35"/>
  <c r="A587" i="35"/>
  <c r="A501" i="30"/>
  <c r="B502" i="30"/>
  <c r="B1461" i="30" l="1"/>
  <c r="A1460" i="30"/>
  <c r="B587" i="35"/>
  <c r="A588" i="35"/>
  <c r="A502" i="30"/>
  <c r="B503" i="30"/>
  <c r="A1461" i="30" l="1"/>
  <c r="B1462" i="30"/>
  <c r="B588" i="35"/>
  <c r="A589" i="35"/>
  <c r="A503" i="30"/>
  <c r="B504" i="30"/>
  <c r="A1462" i="30" l="1"/>
  <c r="B1463" i="30"/>
  <c r="B589" i="35"/>
  <c r="A590" i="35"/>
  <c r="A504" i="30"/>
  <c r="B505" i="30"/>
  <c r="A1463" i="30" l="1"/>
  <c r="B1464" i="30"/>
  <c r="B590" i="35"/>
  <c r="A591" i="35"/>
  <c r="A505" i="30"/>
  <c r="B506" i="30"/>
  <c r="A1464" i="30" l="1"/>
  <c r="B1465" i="30"/>
  <c r="B591" i="35"/>
  <c r="A592" i="35"/>
  <c r="A506" i="30"/>
  <c r="B507" i="30"/>
  <c r="A1465" i="30" l="1"/>
  <c r="B1466" i="30"/>
  <c r="A593" i="35"/>
  <c r="B592" i="35"/>
  <c r="A507" i="30"/>
  <c r="B508" i="30"/>
  <c r="A1466" i="30" l="1"/>
  <c r="B1467" i="30"/>
  <c r="A594" i="35"/>
  <c r="B593" i="35"/>
  <c r="A508" i="30"/>
  <c r="B509" i="30"/>
  <c r="B1468" i="30" l="1"/>
  <c r="A1467" i="30"/>
  <c r="A595" i="35"/>
  <c r="B594" i="35"/>
  <c r="A509" i="30"/>
  <c r="B510" i="30"/>
  <c r="A1468" i="30" l="1"/>
  <c r="B1469" i="30"/>
  <c r="A596" i="35"/>
  <c r="B595" i="35"/>
  <c r="A510" i="30"/>
  <c r="B511" i="30"/>
  <c r="A1469" i="30" l="1"/>
  <c r="B1470" i="30"/>
  <c r="A597" i="35"/>
  <c r="B596" i="35"/>
  <c r="A511" i="30"/>
  <c r="B512" i="30"/>
  <c r="A1470" i="30" l="1"/>
  <c r="B1471" i="30"/>
  <c r="A598" i="35"/>
  <c r="B597" i="35"/>
  <c r="A512" i="30"/>
  <c r="B513" i="30"/>
  <c r="A1471" i="30" l="1"/>
  <c r="B1472" i="30"/>
  <c r="B598" i="35"/>
  <c r="A599" i="35"/>
  <c r="A513" i="30"/>
  <c r="B514" i="30"/>
  <c r="B1473" i="30" l="1"/>
  <c r="A1472" i="30"/>
  <c r="A600" i="35"/>
  <c r="B599" i="35"/>
  <c r="A514" i="30"/>
  <c r="B515" i="30"/>
  <c r="A1473" i="30" l="1"/>
  <c r="B1474" i="30"/>
  <c r="B600" i="35"/>
  <c r="A601" i="35"/>
  <c r="A515" i="30"/>
  <c r="B516" i="30"/>
  <c r="A1474" i="30" l="1"/>
  <c r="B1475" i="30"/>
  <c r="B601" i="35"/>
  <c r="A602" i="35"/>
  <c r="B517" i="30"/>
  <c r="A516" i="30"/>
  <c r="B1476" i="30" l="1"/>
  <c r="A1475" i="30"/>
  <c r="A603" i="35"/>
  <c r="B602" i="35"/>
  <c r="A517" i="30"/>
  <c r="B518" i="30"/>
  <c r="B1477" i="30" l="1"/>
  <c r="A1476" i="30"/>
  <c r="A604" i="35"/>
  <c r="B603" i="35"/>
  <c r="A518" i="30"/>
  <c r="B519" i="30"/>
  <c r="A1477" i="30" l="1"/>
  <c r="B1478" i="30"/>
  <c r="A605" i="35"/>
  <c r="B604" i="35"/>
  <c r="A519" i="30"/>
  <c r="B520" i="30"/>
  <c r="A1478" i="30" l="1"/>
  <c r="B1479" i="30"/>
  <c r="A606" i="35"/>
  <c r="B605" i="35"/>
  <c r="A520" i="30"/>
  <c r="B521" i="30"/>
  <c r="B1480" i="30" l="1"/>
  <c r="A1479" i="30"/>
  <c r="B606" i="35"/>
  <c r="A607" i="35"/>
  <c r="B522" i="30"/>
  <c r="A521" i="30"/>
  <c r="B1481" i="30" l="1"/>
  <c r="A1480" i="30"/>
  <c r="B607" i="35"/>
  <c r="A608" i="35"/>
  <c r="B523" i="30"/>
  <c r="A522" i="30"/>
  <c r="B1482" i="30" l="1"/>
  <c r="A1481" i="30"/>
  <c r="A609" i="35"/>
  <c r="B608" i="35"/>
  <c r="A523" i="30"/>
  <c r="B524" i="30"/>
  <c r="B1483" i="30" l="1"/>
  <c r="A1482" i="30"/>
  <c r="A610" i="35"/>
  <c r="B609" i="35"/>
  <c r="A524" i="30"/>
  <c r="B525" i="30"/>
  <c r="B1484" i="30" l="1"/>
  <c r="A1483" i="30"/>
  <c r="A611" i="35"/>
  <c r="B610" i="35"/>
  <c r="A525" i="30"/>
  <c r="B526" i="30"/>
  <c r="B1485" i="30" l="1"/>
  <c r="A1484" i="30"/>
  <c r="A612" i="35"/>
  <c r="B611" i="35"/>
  <c r="A526" i="30"/>
  <c r="B527" i="30"/>
  <c r="A1485" i="30" l="1"/>
  <c r="B1486" i="30"/>
  <c r="A613" i="35"/>
  <c r="B612" i="35"/>
  <c r="A527" i="30"/>
  <c r="B528" i="30"/>
  <c r="A1486" i="30" l="1"/>
  <c r="B1487" i="30"/>
  <c r="A614" i="35"/>
  <c r="B613" i="35"/>
  <c r="A528" i="30"/>
  <c r="B529" i="30"/>
  <c r="A1487" i="30" l="1"/>
  <c r="B1488" i="30"/>
  <c r="A615" i="35"/>
  <c r="B614" i="35"/>
  <c r="B530" i="30"/>
  <c r="A529" i="30"/>
  <c r="A1488" i="30" l="1"/>
  <c r="B1489" i="30"/>
  <c r="B615" i="35"/>
  <c r="A616" i="35"/>
  <c r="A530" i="30"/>
  <c r="B531" i="30"/>
  <c r="A1489" i="30" l="1"/>
  <c r="B1490" i="30"/>
  <c r="B616" i="35"/>
  <c r="A617" i="35"/>
  <c r="A531" i="30"/>
  <c r="B532" i="30"/>
  <c r="B1491" i="30" l="1"/>
  <c r="A1490" i="30"/>
  <c r="B617" i="35"/>
  <c r="A618" i="35"/>
  <c r="A532" i="30"/>
  <c r="B533" i="30"/>
  <c r="B1492" i="30" l="1"/>
  <c r="A1491" i="30"/>
  <c r="B618" i="35"/>
  <c r="A619" i="35"/>
  <c r="A533" i="30"/>
  <c r="B534" i="30"/>
  <c r="A1492" i="30" l="1"/>
  <c r="B1493" i="30"/>
  <c r="B619" i="35"/>
  <c r="A620" i="35"/>
  <c r="A534" i="30"/>
  <c r="B535" i="30"/>
  <c r="A1493" i="30" l="1"/>
  <c r="B1494" i="30"/>
  <c r="B620" i="35"/>
  <c r="A621" i="35"/>
  <c r="B536" i="30"/>
  <c r="A535" i="30"/>
  <c r="A1494" i="30" l="1"/>
  <c r="B1495" i="30"/>
  <c r="B621" i="35"/>
  <c r="A622" i="35"/>
  <c r="B537" i="30"/>
  <c r="A536" i="30"/>
  <c r="A1495" i="30" l="1"/>
  <c r="B1496" i="30"/>
  <c r="B622" i="35"/>
  <c r="A623" i="35"/>
  <c r="A537" i="30"/>
  <c r="B538" i="30"/>
  <c r="B1497" i="30" l="1"/>
  <c r="A1496" i="30"/>
  <c r="A624" i="35"/>
  <c r="B623" i="35"/>
  <c r="A538" i="30"/>
  <c r="B539" i="30"/>
  <c r="A1497" i="30" l="1"/>
  <c r="B1498" i="30"/>
  <c r="A625" i="35"/>
  <c r="B624" i="35"/>
  <c r="A539" i="30"/>
  <c r="B540" i="30"/>
  <c r="A1498" i="30" l="1"/>
  <c r="B1499" i="30"/>
  <c r="B625" i="35"/>
  <c r="A626" i="35"/>
  <c r="B541" i="30"/>
  <c r="A540" i="30"/>
  <c r="A1499" i="30" l="1"/>
  <c r="B1500" i="30"/>
  <c r="B626" i="35"/>
  <c r="A627" i="35"/>
  <c r="A541" i="30"/>
  <c r="B542" i="30"/>
  <c r="B1501" i="30" l="1"/>
  <c r="A1500" i="30"/>
  <c r="A628" i="35"/>
  <c r="B627" i="35"/>
  <c r="A542" i="30"/>
  <c r="B543" i="30"/>
  <c r="A1501" i="30" l="1"/>
  <c r="B1502" i="30"/>
  <c r="A629" i="35"/>
  <c r="B628" i="35"/>
  <c r="A543" i="30"/>
  <c r="B544" i="30"/>
  <c r="A1502" i="30" l="1"/>
  <c r="B1503" i="30"/>
  <c r="A630" i="35"/>
  <c r="B629" i="35"/>
  <c r="A544" i="30"/>
  <c r="B545" i="30"/>
  <c r="B1504" i="30" l="1"/>
  <c r="A1503" i="30"/>
  <c r="B630" i="35"/>
  <c r="A631" i="35"/>
  <c r="A545" i="30"/>
  <c r="B546" i="30"/>
  <c r="A1504" i="30" l="1"/>
  <c r="B1505" i="30"/>
  <c r="A632" i="35"/>
  <c r="B631" i="35"/>
  <c r="A546" i="30"/>
  <c r="B547" i="30"/>
  <c r="A1505" i="30" l="1"/>
  <c r="B1506" i="30"/>
  <c r="A633" i="35"/>
  <c r="B632" i="35"/>
  <c r="A547" i="30"/>
  <c r="B548" i="30"/>
  <c r="B1507" i="30" l="1"/>
  <c r="A1506" i="30"/>
  <c r="A634" i="35"/>
  <c r="B633" i="35"/>
  <c r="B549" i="30"/>
  <c r="A548" i="30"/>
  <c r="A1507" i="30" l="1"/>
  <c r="B1508" i="30"/>
  <c r="B634" i="35"/>
  <c r="A635" i="35"/>
  <c r="A549" i="30"/>
  <c r="B550" i="30"/>
  <c r="B1509" i="30" l="1"/>
  <c r="A1508" i="30"/>
  <c r="B635" i="35"/>
  <c r="A636" i="35"/>
  <c r="A550" i="30"/>
  <c r="B551" i="30"/>
  <c r="A1509" i="30" l="1"/>
  <c r="B1510" i="30"/>
  <c r="A637" i="35"/>
  <c r="B636" i="35"/>
  <c r="A551" i="30"/>
  <c r="B552" i="30"/>
  <c r="A1510" i="30" l="1"/>
  <c r="B1511" i="30"/>
  <c r="A638" i="35"/>
  <c r="B637" i="35"/>
  <c r="A552" i="30"/>
  <c r="D552" i="30"/>
  <c r="B553" i="30"/>
  <c r="B1512" i="30" l="1"/>
  <c r="A1511" i="30"/>
  <c r="A639" i="35"/>
  <c r="B638" i="35"/>
  <c r="B554" i="30"/>
  <c r="A553" i="30"/>
  <c r="D553" i="30"/>
  <c r="B1513" i="30" l="1"/>
  <c r="A1512" i="30"/>
  <c r="F2" i="16"/>
  <c r="A640" i="35"/>
  <c r="B639" i="35"/>
  <c r="A554" i="30"/>
  <c r="D554" i="30"/>
  <c r="B555" i="30"/>
  <c r="A1513" i="30" l="1"/>
  <c r="B1514" i="30"/>
  <c r="A641" i="35"/>
  <c r="B640" i="35"/>
  <c r="A555" i="30"/>
  <c r="B556" i="30"/>
  <c r="D555" i="30"/>
  <c r="A1514" i="30" l="1"/>
  <c r="B1515" i="30"/>
  <c r="A642" i="35"/>
  <c r="B641" i="35"/>
  <c r="A556" i="30"/>
  <c r="D556" i="30"/>
  <c r="B557" i="30"/>
  <c r="B1516" i="30" l="1"/>
  <c r="A1515" i="30"/>
  <c r="A643" i="35"/>
  <c r="B642" i="35"/>
  <c r="B558" i="30"/>
  <c r="D557" i="30"/>
  <c r="A557" i="30"/>
  <c r="A1516" i="30" l="1"/>
  <c r="B1517" i="30"/>
  <c r="A644" i="35"/>
  <c r="B643" i="35"/>
  <c r="A558" i="30"/>
  <c r="D558" i="30"/>
  <c r="B559" i="30"/>
  <c r="A1517" i="30" l="1"/>
  <c r="B1518" i="30"/>
  <c r="A645" i="35"/>
  <c r="B644" i="35"/>
  <c r="A559" i="30"/>
  <c r="B560" i="30"/>
  <c r="D559" i="30"/>
  <c r="A1518" i="30" l="1"/>
  <c r="B1519" i="30"/>
  <c r="B645" i="35"/>
  <c r="A646" i="35"/>
  <c r="A560" i="30"/>
  <c r="B561" i="30"/>
  <c r="D560" i="30"/>
  <c r="A1519" i="30" l="1"/>
  <c r="B1520" i="30"/>
  <c r="B646" i="35"/>
  <c r="A647" i="35"/>
  <c r="A561" i="30"/>
  <c r="D561" i="30"/>
  <c r="B562" i="30"/>
  <c r="B1521" i="30" l="1"/>
  <c r="A1520" i="30"/>
  <c r="B647" i="35"/>
  <c r="A648" i="35"/>
  <c r="D562" i="30"/>
  <c r="A562" i="30"/>
  <c r="B563" i="30"/>
  <c r="A1521" i="30" l="1"/>
  <c r="B1522" i="30"/>
  <c r="B648" i="35"/>
  <c r="A649" i="35"/>
  <c r="A563" i="30"/>
  <c r="B564" i="30"/>
  <c r="D563" i="30"/>
  <c r="A1522" i="30" l="1"/>
  <c r="B1523" i="30"/>
  <c r="A650" i="35"/>
  <c r="B649" i="35"/>
  <c r="A564" i="30"/>
  <c r="D564" i="30"/>
  <c r="B565" i="30"/>
  <c r="A1523" i="30" l="1"/>
  <c r="B1524" i="30"/>
  <c r="B650" i="35"/>
  <c r="A651" i="35"/>
  <c r="A565" i="30"/>
  <c r="B566" i="30"/>
  <c r="D565" i="30"/>
  <c r="A1524" i="30" l="1"/>
  <c r="B1525" i="30"/>
  <c r="A652" i="35"/>
  <c r="B651" i="35"/>
  <c r="A566" i="30"/>
  <c r="D566" i="30"/>
  <c r="B567" i="30"/>
  <c r="A1525" i="30" l="1"/>
  <c r="B1526" i="30"/>
  <c r="A653" i="35"/>
  <c r="B652" i="35"/>
  <c r="A567" i="30"/>
  <c r="B568" i="30"/>
  <c r="D567" i="30"/>
  <c r="A1526" i="30" l="1"/>
  <c r="B1527" i="30"/>
  <c r="A654" i="35"/>
  <c r="B653" i="35"/>
  <c r="A568" i="30"/>
  <c r="D568" i="30"/>
  <c r="B569" i="30"/>
  <c r="B1528" i="30" l="1"/>
  <c r="A1527" i="30"/>
  <c r="B654" i="35"/>
  <c r="A655" i="35"/>
  <c r="A569" i="30"/>
  <c r="D569" i="30"/>
  <c r="B570" i="30"/>
  <c r="A1528" i="30" l="1"/>
  <c r="B1529" i="30"/>
  <c r="A656" i="35"/>
  <c r="B655" i="35"/>
  <c r="D570" i="30"/>
  <c r="A570" i="30"/>
  <c r="B571" i="30"/>
  <c r="A1529" i="30" l="1"/>
  <c r="B1530" i="30"/>
  <c r="A657" i="35"/>
  <c r="B656" i="35"/>
  <c r="A571" i="30"/>
  <c r="D571" i="30"/>
  <c r="B572" i="30"/>
  <c r="B1531" i="30" l="1"/>
  <c r="A1530" i="30"/>
  <c r="A658" i="35"/>
  <c r="B657" i="35"/>
  <c r="A572" i="30"/>
  <c r="D572" i="30"/>
  <c r="B573" i="30"/>
  <c r="B1532" i="30" l="1"/>
  <c r="A1531" i="30"/>
  <c r="A659" i="35"/>
  <c r="B658" i="35"/>
  <c r="B574" i="30"/>
  <c r="A573" i="30"/>
  <c r="D573" i="30"/>
  <c r="B1533" i="30" l="1"/>
  <c r="A1532" i="30"/>
  <c r="A660" i="35"/>
  <c r="B659" i="35"/>
  <c r="A574" i="30"/>
  <c r="D574" i="30"/>
  <c r="B575" i="30"/>
  <c r="A1533" i="30" l="1"/>
  <c r="B1534" i="30"/>
  <c r="A661" i="35"/>
  <c r="B660" i="35"/>
  <c r="A575" i="30"/>
  <c r="D575" i="30"/>
  <c r="B576" i="30"/>
  <c r="A1534" i="30" l="1"/>
  <c r="B1535" i="30"/>
  <c r="B661" i="35"/>
  <c r="A662" i="35"/>
  <c r="A576" i="30"/>
  <c r="D576" i="30"/>
  <c r="B577" i="30"/>
  <c r="B1536" i="30" l="1"/>
  <c r="A1535" i="30"/>
  <c r="A663" i="35"/>
  <c r="B662" i="35"/>
  <c r="A577" i="30"/>
  <c r="D577" i="30"/>
  <c r="B578" i="30"/>
  <c r="A1536" i="30" l="1"/>
  <c r="B1537" i="30"/>
  <c r="B663" i="35"/>
  <c r="A664" i="35"/>
  <c r="D578" i="30"/>
  <c r="A578" i="30"/>
  <c r="B579" i="30"/>
  <c r="B1538" i="30" l="1"/>
  <c r="A1537" i="30"/>
  <c r="B664" i="35"/>
  <c r="A665" i="35"/>
  <c r="A579" i="30"/>
  <c r="D579" i="30"/>
  <c r="B580" i="30"/>
  <c r="B1539" i="30" l="1"/>
  <c r="A1538" i="30"/>
  <c r="B665" i="35"/>
  <c r="A666" i="35"/>
  <c r="B581" i="30"/>
  <c r="A580" i="30"/>
  <c r="D580" i="30"/>
  <c r="B1540" i="30" l="1"/>
  <c r="A1539" i="30"/>
  <c r="A667" i="35"/>
  <c r="B666" i="35"/>
  <c r="A581" i="30"/>
  <c r="D581" i="30"/>
  <c r="B582" i="30"/>
  <c r="A1540" i="30" l="1"/>
  <c r="B1541" i="30"/>
  <c r="A668" i="35"/>
  <c r="B667" i="35"/>
  <c r="A582" i="30"/>
  <c r="D582" i="30"/>
  <c r="B583" i="30"/>
  <c r="A1541" i="30" l="1"/>
  <c r="B1542" i="30"/>
  <c r="B668" i="35"/>
  <c r="A669" i="35"/>
  <c r="A583" i="30"/>
  <c r="B584" i="30"/>
  <c r="D583" i="30"/>
  <c r="A1542" i="30" l="1"/>
  <c r="B1543" i="30"/>
  <c r="A670" i="35"/>
  <c r="B669" i="35"/>
  <c r="A584" i="30"/>
  <c r="D584" i="30"/>
  <c r="B585" i="30"/>
  <c r="B1544" i="30" l="1"/>
  <c r="A1543" i="30"/>
  <c r="A671" i="35"/>
  <c r="B670" i="35"/>
  <c r="A585" i="30"/>
  <c r="B586" i="30"/>
  <c r="D585" i="30"/>
  <c r="B1545" i="30" l="1"/>
  <c r="A1544" i="30"/>
  <c r="A672" i="35"/>
  <c r="B671" i="35"/>
  <c r="A586" i="30"/>
  <c r="D586" i="30"/>
  <c r="B587" i="30"/>
  <c r="A1545" i="30" l="1"/>
  <c r="B1546" i="30"/>
  <c r="A673" i="35"/>
  <c r="B672" i="35"/>
  <c r="A587" i="30"/>
  <c r="B588" i="30"/>
  <c r="D587" i="30"/>
  <c r="A1546" i="30" l="1"/>
  <c r="B1547" i="30"/>
  <c r="A674" i="35"/>
  <c r="B673" i="35"/>
  <c r="A588" i="30"/>
  <c r="D588" i="30"/>
  <c r="B589" i="30"/>
  <c r="B1548" i="30" l="1"/>
  <c r="A1547" i="30"/>
  <c r="B674" i="35"/>
  <c r="A675" i="35"/>
  <c r="B590" i="30"/>
  <c r="D589" i="30"/>
  <c r="A589" i="30"/>
  <c r="A1548" i="30" l="1"/>
  <c r="B1549" i="30"/>
  <c r="A676" i="35"/>
  <c r="B675" i="35"/>
  <c r="A590" i="30"/>
  <c r="D590" i="30"/>
  <c r="B591" i="30"/>
  <c r="A1549" i="30" l="1"/>
  <c r="B1550" i="30"/>
  <c r="B676" i="35"/>
  <c r="A677" i="35"/>
  <c r="A591" i="30"/>
  <c r="B592" i="30"/>
  <c r="D591" i="30"/>
  <c r="B1551" i="30" l="1"/>
  <c r="A1550" i="30"/>
  <c r="B677" i="35"/>
  <c r="A678" i="35"/>
  <c r="A592" i="30"/>
  <c r="D592" i="30"/>
  <c r="B593" i="30"/>
  <c r="B1552" i="30" l="1"/>
  <c r="A1551" i="30"/>
  <c r="B678" i="35"/>
  <c r="A679" i="35"/>
  <c r="A593" i="30"/>
  <c r="D593" i="30"/>
  <c r="B594" i="30"/>
  <c r="A1552" i="30" l="1"/>
  <c r="B1553" i="30"/>
  <c r="A680" i="35"/>
  <c r="B679" i="35"/>
  <c r="D594" i="30"/>
  <c r="A594" i="30"/>
  <c r="B595" i="30"/>
  <c r="A1553" i="30" l="1"/>
  <c r="B1554" i="30"/>
  <c r="A681" i="35"/>
  <c r="B680" i="35"/>
  <c r="A595" i="30"/>
  <c r="B596" i="30"/>
  <c r="D595" i="30"/>
  <c r="A1554" i="30" l="1"/>
  <c r="B1555" i="30"/>
  <c r="B681" i="35"/>
  <c r="A682" i="35"/>
  <c r="A596" i="30"/>
  <c r="D596" i="30"/>
  <c r="B597" i="30"/>
  <c r="A1555" i="30" l="1"/>
  <c r="B1556" i="30"/>
  <c r="B682" i="35"/>
  <c r="A683" i="35"/>
  <c r="D597" i="30"/>
  <c r="A597" i="30"/>
  <c r="B598" i="30"/>
  <c r="B1557" i="30" l="1"/>
  <c r="A1556" i="30"/>
  <c r="B683" i="35"/>
  <c r="A684" i="35"/>
  <c r="A598" i="30"/>
  <c r="D598" i="30"/>
  <c r="B599" i="30"/>
  <c r="A1557" i="30" l="1"/>
  <c r="B1558" i="30"/>
  <c r="B684" i="35"/>
  <c r="A685" i="35"/>
  <c r="A599" i="30"/>
  <c r="B600" i="30"/>
  <c r="D599" i="30"/>
  <c r="A1558" i="30" l="1"/>
  <c r="B1559" i="30"/>
  <c r="B685" i="35"/>
  <c r="A686" i="35"/>
  <c r="A600" i="30"/>
  <c r="D600" i="30"/>
  <c r="B601" i="30"/>
  <c r="B1560" i="30" l="1"/>
  <c r="A1559" i="30"/>
  <c r="B686" i="35"/>
  <c r="A687" i="35"/>
  <c r="A601" i="30"/>
  <c r="D601" i="30"/>
  <c r="B602" i="30"/>
  <c r="B1561" i="30" l="1"/>
  <c r="A1560" i="30"/>
  <c r="A688" i="35"/>
  <c r="B687" i="35"/>
  <c r="D602" i="30"/>
  <c r="A602" i="30"/>
  <c r="B603" i="30"/>
  <c r="B1562" i="30" l="1"/>
  <c r="A1561" i="30"/>
  <c r="A689" i="35"/>
  <c r="B688" i="35"/>
  <c r="A603" i="30"/>
  <c r="B604" i="30"/>
  <c r="D603" i="30"/>
  <c r="B1563" i="30" l="1"/>
  <c r="A1562" i="30"/>
  <c r="A690" i="35"/>
  <c r="B689" i="35"/>
  <c r="B605" i="30"/>
  <c r="A604" i="30"/>
  <c r="D604" i="30"/>
  <c r="B1564" i="30" l="1"/>
  <c r="A1563" i="30"/>
  <c r="A691" i="35"/>
  <c r="B690" i="35"/>
  <c r="B606" i="30"/>
  <c r="D605" i="30"/>
  <c r="A605" i="30"/>
  <c r="A1564" i="30" l="1"/>
  <c r="B1565" i="30"/>
  <c r="A692" i="35"/>
  <c r="B691" i="35"/>
  <c r="A606" i="30"/>
  <c r="D606" i="30"/>
  <c r="B607" i="30"/>
  <c r="A1565" i="30" l="1"/>
  <c r="B1566" i="30"/>
  <c r="A693" i="35"/>
  <c r="B692" i="35"/>
  <c r="A607" i="30"/>
  <c r="B608" i="30"/>
  <c r="D607" i="30"/>
  <c r="A1566" i="30" l="1"/>
  <c r="B1567" i="30"/>
  <c r="A694" i="35"/>
  <c r="B693" i="35"/>
  <c r="A608" i="30"/>
  <c r="D608" i="30"/>
  <c r="B609" i="30"/>
  <c r="A1567" i="30" l="1"/>
  <c r="B1568" i="30"/>
  <c r="A695" i="35"/>
  <c r="B694" i="35"/>
  <c r="B610" i="30"/>
  <c r="A609" i="30"/>
  <c r="D609" i="30"/>
  <c r="B1569" i="30" l="1"/>
  <c r="A1568" i="30"/>
  <c r="A696" i="35"/>
  <c r="B695" i="35"/>
  <c r="D610" i="30"/>
  <c r="A610" i="30"/>
  <c r="B611" i="30"/>
  <c r="A1569" i="30" l="1"/>
  <c r="B1570" i="30"/>
  <c r="B696" i="35"/>
  <c r="A697" i="35"/>
  <c r="A611" i="30"/>
  <c r="B612" i="30"/>
  <c r="D611" i="30"/>
  <c r="A1570" i="30" l="1"/>
  <c r="B1571" i="30"/>
  <c r="A698" i="35"/>
  <c r="B697" i="35"/>
  <c r="B613" i="30"/>
  <c r="D612" i="30"/>
  <c r="A612" i="30"/>
  <c r="A1571" i="30" l="1"/>
  <c r="B1572" i="30"/>
  <c r="A699" i="35"/>
  <c r="B698" i="35"/>
  <c r="A613" i="30"/>
  <c r="D613" i="30"/>
  <c r="B614" i="30"/>
  <c r="B1573" i="30" l="1"/>
  <c r="A1572" i="30"/>
  <c r="A700" i="35"/>
  <c r="B699" i="35"/>
  <c r="A614" i="30"/>
  <c r="D614" i="30"/>
  <c r="B615" i="30"/>
  <c r="A1573" i="30" l="1"/>
  <c r="B1574" i="30"/>
  <c r="B700" i="35"/>
  <c r="A701" i="35"/>
  <c r="A615" i="30"/>
  <c r="B616" i="30"/>
  <c r="D615" i="30"/>
  <c r="B1575" i="30" l="1"/>
  <c r="A1574" i="30"/>
  <c r="B701" i="35"/>
  <c r="A702" i="35"/>
  <c r="A616" i="30"/>
  <c r="B617" i="30"/>
  <c r="D616" i="30"/>
  <c r="B1576" i="30" l="1"/>
  <c r="A1575" i="30"/>
  <c r="B702" i="35"/>
  <c r="A703" i="35"/>
  <c r="A617" i="30"/>
  <c r="D617" i="30"/>
  <c r="B618" i="30"/>
  <c r="A1576" i="30" l="1"/>
  <c r="B1577" i="30"/>
  <c r="A704" i="35"/>
  <c r="B703" i="35"/>
  <c r="A618" i="30"/>
  <c r="D618" i="30"/>
  <c r="B619" i="30"/>
  <c r="B1578" i="30" l="1"/>
  <c r="A1577" i="30"/>
  <c r="A705" i="35"/>
  <c r="B704" i="35"/>
  <c r="A619" i="30"/>
  <c r="B620" i="30"/>
  <c r="D619" i="30"/>
  <c r="B1579" i="30" l="1"/>
  <c r="A1578" i="30"/>
  <c r="A706" i="35"/>
  <c r="B705" i="35"/>
  <c r="D620" i="30"/>
  <c r="A620" i="30"/>
  <c r="B621" i="30"/>
  <c r="B1580" i="30" l="1"/>
  <c r="A1579" i="30"/>
  <c r="B706" i="35"/>
  <c r="A707" i="35"/>
  <c r="D621" i="30"/>
  <c r="A621" i="30"/>
  <c r="B622" i="30"/>
  <c r="B1581" i="30" l="1"/>
  <c r="A1580" i="30"/>
  <c r="A708" i="35"/>
  <c r="B707" i="35"/>
  <c r="A622" i="30"/>
  <c r="D622" i="30"/>
  <c r="B623" i="30"/>
  <c r="A1581" i="30" l="1"/>
  <c r="B1582" i="30"/>
  <c r="B708" i="35"/>
  <c r="A709" i="35"/>
  <c r="A623" i="30"/>
  <c r="B624" i="30"/>
  <c r="D623" i="30"/>
  <c r="A1582" i="30" l="1"/>
  <c r="B1583" i="30"/>
  <c r="B709" i="35"/>
  <c r="A710" i="35"/>
  <c r="A624" i="30"/>
  <c r="D624" i="30"/>
  <c r="B625" i="30"/>
  <c r="A1583" i="30" l="1"/>
  <c r="B1584" i="30"/>
  <c r="B710" i="35"/>
  <c r="A711" i="35"/>
  <c r="A625" i="30"/>
  <c r="B626" i="30"/>
  <c r="D625" i="30"/>
  <c r="A1584" i="30" l="1"/>
  <c r="B1585" i="30"/>
  <c r="A712" i="35"/>
  <c r="B711" i="35"/>
  <c r="D626" i="30"/>
  <c r="A626" i="30"/>
  <c r="B627" i="30"/>
  <c r="B1586" i="30" l="1"/>
  <c r="A1585" i="30"/>
  <c r="A713" i="35"/>
  <c r="B712" i="35"/>
  <c r="A627" i="30"/>
  <c r="B628" i="30"/>
  <c r="D627" i="30"/>
  <c r="A1586" i="30" l="1"/>
  <c r="B1587" i="30"/>
  <c r="A714" i="35"/>
  <c r="B713" i="35"/>
  <c r="B629" i="30"/>
  <c r="A628" i="30"/>
  <c r="D628" i="30"/>
  <c r="B1588" i="30" l="1"/>
  <c r="A1587" i="30"/>
  <c r="A715" i="35"/>
  <c r="B714" i="35"/>
  <c r="A629" i="30"/>
  <c r="B630" i="30"/>
  <c r="D629" i="30"/>
  <c r="A1588" i="30" l="1"/>
  <c r="B1589" i="30"/>
  <c r="B715" i="35"/>
  <c r="A716" i="35"/>
  <c r="A630" i="30"/>
  <c r="D630" i="30"/>
  <c r="B631" i="30"/>
  <c r="A1589" i="30" l="1"/>
  <c r="B1590" i="30"/>
  <c r="A717" i="35"/>
  <c r="B716" i="35"/>
  <c r="A631" i="30"/>
  <c r="B632" i="30"/>
  <c r="D631" i="30"/>
  <c r="A1590" i="30" l="1"/>
  <c r="B1591" i="30"/>
  <c r="B717" i="35"/>
  <c r="A718" i="35"/>
  <c r="A632" i="30"/>
  <c r="D632" i="30"/>
  <c r="B633" i="30"/>
  <c r="A1591" i="30" l="1"/>
  <c r="B1592" i="30"/>
  <c r="B718" i="35"/>
  <c r="A719" i="35"/>
  <c r="A633" i="30"/>
  <c r="B634" i="30"/>
  <c r="D633" i="30"/>
  <c r="B1593" i="30" l="1"/>
  <c r="A1592" i="30"/>
  <c r="B719" i="35"/>
  <c r="A720" i="35"/>
  <c r="A634" i="30"/>
  <c r="D634" i="30"/>
  <c r="B635" i="30"/>
  <c r="A1593" i="30" l="1"/>
  <c r="B1594" i="30"/>
  <c r="B720" i="35"/>
  <c r="A721" i="35"/>
  <c r="A635" i="30"/>
  <c r="B636" i="30"/>
  <c r="D635" i="30"/>
  <c r="A1594" i="30" l="1"/>
  <c r="B1595" i="30"/>
  <c r="B721" i="35"/>
  <c r="A722" i="35"/>
  <c r="A636" i="30"/>
  <c r="D636" i="30"/>
  <c r="B637" i="30"/>
  <c r="A1595" i="30" l="1"/>
  <c r="B1596" i="30"/>
  <c r="A723" i="35"/>
  <c r="B722" i="35"/>
  <c r="A637" i="30"/>
  <c r="D637" i="30"/>
  <c r="B638" i="30"/>
  <c r="A1596" i="30" l="1"/>
  <c r="B1597" i="30"/>
  <c r="A724" i="35"/>
  <c r="B723" i="35"/>
  <c r="A638" i="30"/>
  <c r="D638" i="30"/>
  <c r="B639" i="30"/>
  <c r="A1597" i="30" l="1"/>
  <c r="B1598" i="30"/>
  <c r="B724" i="35"/>
  <c r="A725" i="35"/>
  <c r="A639" i="30"/>
  <c r="B640" i="30"/>
  <c r="D639" i="30"/>
  <c r="B1599" i="30" l="1"/>
  <c r="A1598" i="30"/>
  <c r="B725" i="35"/>
  <c r="A726" i="35"/>
  <c r="A640" i="30"/>
  <c r="B641" i="30"/>
  <c r="D640" i="30"/>
  <c r="B1600" i="30" l="1"/>
  <c r="A1599" i="30"/>
  <c r="B726" i="35"/>
  <c r="A727" i="35"/>
  <c r="A641" i="30"/>
  <c r="D641" i="30"/>
  <c r="B642" i="30"/>
  <c r="B1601" i="30" l="1"/>
  <c r="A1600" i="30"/>
  <c r="B727" i="35"/>
  <c r="A728" i="35"/>
  <c r="D642" i="30"/>
  <c r="A642" i="30"/>
  <c r="B643" i="30"/>
  <c r="B1602" i="30" l="1"/>
  <c r="A1601" i="30"/>
  <c r="A729" i="35"/>
  <c r="B728" i="35"/>
  <c r="A643" i="30"/>
  <c r="B644" i="30"/>
  <c r="A1602" i="30" l="1"/>
  <c r="B1603" i="30"/>
  <c r="A730" i="35"/>
  <c r="B729" i="35"/>
  <c r="D644" i="30"/>
  <c r="A644" i="30"/>
  <c r="B645" i="30"/>
  <c r="A1603" i="30" l="1"/>
  <c r="B1604" i="30"/>
  <c r="A731" i="35"/>
  <c r="B730" i="35"/>
  <c r="B646" i="30"/>
  <c r="A645" i="30"/>
  <c r="D645" i="30"/>
  <c r="B1605" i="30" l="1"/>
  <c r="A1604" i="30"/>
  <c r="A732" i="35"/>
  <c r="B731" i="35"/>
  <c r="A646" i="30"/>
  <c r="D646" i="30"/>
  <c r="B647" i="30"/>
  <c r="A1605" i="30" l="1"/>
  <c r="B1606" i="30"/>
  <c r="A733" i="35"/>
  <c r="B732" i="35"/>
  <c r="A647" i="30"/>
  <c r="B648" i="30"/>
  <c r="D647" i="30"/>
  <c r="A1606" i="30" l="1"/>
  <c r="B1607" i="30"/>
  <c r="A734" i="35"/>
  <c r="B733" i="35"/>
  <c r="A648" i="30"/>
  <c r="D648" i="30"/>
  <c r="B649" i="30"/>
  <c r="B1608" i="30" l="1"/>
  <c r="A1607" i="30"/>
  <c r="B734" i="35"/>
  <c r="A735" i="35"/>
  <c r="A649" i="30"/>
  <c r="D649" i="30"/>
  <c r="B650" i="30"/>
  <c r="A1608" i="30" l="1"/>
  <c r="B1609" i="30"/>
  <c r="B735" i="35"/>
  <c r="A736" i="35"/>
  <c r="D650" i="30"/>
  <c r="A650" i="30"/>
  <c r="B651" i="30"/>
  <c r="A1609" i="30" l="1"/>
  <c r="B1610" i="30"/>
  <c r="B736" i="35"/>
  <c r="A737" i="35"/>
  <c r="A651" i="30"/>
  <c r="B652" i="30"/>
  <c r="D651" i="30"/>
  <c r="B1611" i="30" l="1"/>
  <c r="A1610" i="30"/>
  <c r="A738" i="35"/>
  <c r="B737" i="35"/>
  <c r="A652" i="30"/>
  <c r="D652" i="30"/>
  <c r="B653" i="30"/>
  <c r="B1612" i="30" l="1"/>
  <c r="A1611" i="30"/>
  <c r="B738" i="35"/>
  <c r="A739" i="35"/>
  <c r="D653" i="30"/>
  <c r="B654" i="30"/>
  <c r="A653" i="30"/>
  <c r="A1612" i="30" l="1"/>
  <c r="B1613" i="30"/>
  <c r="A740" i="35"/>
  <c r="B739" i="35"/>
  <c r="D654" i="30"/>
  <c r="A654" i="30"/>
  <c r="B655" i="30"/>
  <c r="A1613" i="30" l="1"/>
  <c r="B1614" i="30"/>
  <c r="A741" i="35"/>
  <c r="B740" i="35"/>
  <c r="A655" i="30"/>
  <c r="B656" i="30"/>
  <c r="D655" i="30"/>
  <c r="A1614" i="30" l="1"/>
  <c r="B1615" i="30"/>
  <c r="A742" i="35"/>
  <c r="B741" i="35"/>
  <c r="A656" i="30"/>
  <c r="D656" i="30"/>
  <c r="B657" i="30"/>
  <c r="B1616" i="30" l="1"/>
  <c r="A1615" i="30"/>
  <c r="B742" i="35"/>
  <c r="A743" i="35"/>
  <c r="B658" i="30"/>
  <c r="A657" i="30"/>
  <c r="D657" i="30"/>
  <c r="B1617" i="30" l="1"/>
  <c r="A1616" i="30"/>
  <c r="A744" i="35"/>
  <c r="B743" i="35"/>
  <c r="A658" i="30"/>
  <c r="D658" i="30"/>
  <c r="B659" i="30"/>
  <c r="A1617" i="30" l="1"/>
  <c r="B1618" i="30"/>
  <c r="A745" i="35"/>
  <c r="B744" i="35"/>
  <c r="A659" i="30"/>
  <c r="B660" i="30"/>
  <c r="D659" i="30"/>
  <c r="A1618" i="30" l="1"/>
  <c r="B1619" i="30"/>
  <c r="A746" i="35"/>
  <c r="B745" i="35"/>
  <c r="A660" i="30"/>
  <c r="D660" i="30"/>
  <c r="B661" i="30"/>
  <c r="A1619" i="30" l="1"/>
  <c r="B1620" i="30"/>
  <c r="B746" i="35"/>
  <c r="A747" i="35"/>
  <c r="D661" i="30"/>
  <c r="A661" i="30"/>
  <c r="B662" i="30"/>
  <c r="A1620" i="30" l="1"/>
  <c r="B1621" i="30"/>
  <c r="A748" i="35"/>
  <c r="B747" i="35"/>
  <c r="D662" i="30"/>
  <c r="A662" i="30"/>
  <c r="B663" i="30"/>
  <c r="A1621" i="30" l="1"/>
  <c r="B1622" i="30"/>
  <c r="A749" i="35"/>
  <c r="B748" i="35"/>
  <c r="A663" i="30"/>
  <c r="B664" i="30"/>
  <c r="D663" i="30"/>
  <c r="A1622" i="30" l="1"/>
  <c r="B1623" i="30"/>
  <c r="B749" i="35"/>
  <c r="A750" i="35"/>
  <c r="A664" i="30"/>
  <c r="D664" i="30"/>
  <c r="B665" i="30"/>
  <c r="B1624" i="30" l="1"/>
  <c r="A1623" i="30"/>
  <c r="B750" i="35"/>
  <c r="A751" i="35"/>
  <c r="B666" i="30"/>
  <c r="A665" i="30"/>
  <c r="D665" i="30"/>
  <c r="A1624" i="30" l="1"/>
  <c r="B1625" i="30"/>
  <c r="B751" i="35"/>
  <c r="A752" i="35"/>
  <c r="D666" i="30"/>
  <c r="A666" i="30"/>
  <c r="B667" i="30"/>
  <c r="B1626" i="30" l="1"/>
  <c r="A1625" i="30"/>
  <c r="B752" i="35"/>
  <c r="A753" i="35"/>
  <c r="A667" i="30"/>
  <c r="B668" i="30"/>
  <c r="D667" i="30"/>
  <c r="A1626" i="30" l="1"/>
  <c r="B1627" i="30"/>
  <c r="A754" i="35"/>
  <c r="B753" i="35"/>
  <c r="A668" i="30"/>
  <c r="D668" i="30"/>
  <c r="B669" i="30"/>
  <c r="A1627" i="30" l="1"/>
  <c r="B1628" i="30"/>
  <c r="A755" i="35"/>
  <c r="B754" i="35"/>
  <c r="B670" i="30"/>
  <c r="D669" i="30"/>
  <c r="A669" i="30"/>
  <c r="B1629" i="30" l="1"/>
  <c r="A1628" i="30"/>
  <c r="A756" i="35"/>
  <c r="B755" i="35"/>
  <c r="D670" i="30"/>
  <c r="B671" i="30"/>
  <c r="A670" i="30"/>
  <c r="A1629" i="30" l="1"/>
  <c r="B1630" i="30"/>
  <c r="A757" i="35"/>
  <c r="B756" i="35"/>
  <c r="A671" i="30"/>
  <c r="B672" i="30"/>
  <c r="D671" i="30"/>
  <c r="A1630" i="30" l="1"/>
  <c r="B1631" i="30"/>
  <c r="A758" i="35"/>
  <c r="B757" i="35"/>
  <c r="A672" i="30"/>
  <c r="B673" i="30"/>
  <c r="D672" i="30"/>
  <c r="B1632" i="30" l="1"/>
  <c r="A1631" i="30"/>
  <c r="B758" i="35"/>
  <c r="A759" i="35"/>
  <c r="B674" i="30"/>
  <c r="A673" i="30"/>
  <c r="D673" i="30"/>
  <c r="B1633" i="30" l="1"/>
  <c r="A1632" i="30"/>
  <c r="A760" i="35"/>
  <c r="B759" i="35"/>
  <c r="D674" i="30"/>
  <c r="A674" i="30"/>
  <c r="B675" i="30"/>
  <c r="B1634" i="30" l="1"/>
  <c r="A1633" i="30"/>
  <c r="A761" i="35"/>
  <c r="B760" i="35"/>
  <c r="A675" i="30"/>
  <c r="D675" i="30"/>
  <c r="B676" i="30"/>
  <c r="B1635" i="30" l="1"/>
  <c r="A1634" i="30"/>
  <c r="B761" i="35"/>
  <c r="A762" i="35"/>
  <c r="B677" i="30"/>
  <c r="A676" i="30"/>
  <c r="D676" i="30"/>
  <c r="B1636" i="30" l="1"/>
  <c r="A1635" i="30"/>
  <c r="B762" i="35"/>
  <c r="A763" i="35"/>
  <c r="D677" i="30"/>
  <c r="B678" i="30"/>
  <c r="A677" i="30"/>
  <c r="A1636" i="30" l="1"/>
  <c r="B1637" i="30"/>
  <c r="B763" i="35"/>
  <c r="A764" i="35"/>
  <c r="D678" i="30"/>
  <c r="B679" i="30"/>
  <c r="A678" i="30"/>
  <c r="A1637" i="30" l="1"/>
  <c r="B1638" i="30"/>
  <c r="B764" i="35"/>
  <c r="A765" i="35"/>
  <c r="A679" i="30"/>
  <c r="B680" i="30"/>
  <c r="D679" i="30"/>
  <c r="A1638" i="30" l="1"/>
  <c r="B1639" i="30"/>
  <c r="B765" i="35"/>
  <c r="A766" i="35"/>
  <c r="A680" i="30"/>
  <c r="D680" i="30"/>
  <c r="B681" i="30"/>
  <c r="A1639" i="30" l="1"/>
  <c r="B1640" i="30"/>
  <c r="B766" i="35"/>
  <c r="A767" i="35"/>
  <c r="A681" i="30"/>
  <c r="D681" i="30"/>
  <c r="B682" i="30"/>
  <c r="B1641" i="30" l="1"/>
  <c r="A1640" i="30"/>
  <c r="A768" i="35"/>
  <c r="B767" i="35"/>
  <c r="A682" i="30"/>
  <c r="D682" i="30"/>
  <c r="B683" i="30"/>
  <c r="A1641" i="30" l="1"/>
  <c r="B1642" i="30"/>
  <c r="A769" i="35"/>
  <c r="B768" i="35"/>
  <c r="A683" i="30"/>
  <c r="B684" i="30"/>
  <c r="D683" i="30"/>
  <c r="A1642" i="30" l="1"/>
  <c r="B1643" i="30"/>
  <c r="B769" i="35"/>
  <c r="A770" i="35"/>
  <c r="D684" i="30"/>
  <c r="A684" i="30"/>
  <c r="B685" i="30"/>
  <c r="A1643" i="30" l="1"/>
  <c r="B1644" i="30"/>
  <c r="A771" i="35"/>
  <c r="B770" i="35"/>
  <c r="A685" i="30"/>
  <c r="D685" i="30"/>
  <c r="B686" i="30"/>
  <c r="A1644" i="30" l="1"/>
  <c r="B1645" i="30"/>
  <c r="A772" i="35"/>
  <c r="B771" i="35"/>
  <c r="D686" i="30"/>
  <c r="B687" i="30"/>
  <c r="A686" i="30"/>
  <c r="A1645" i="30" l="1"/>
  <c r="B1646" i="30"/>
  <c r="A773" i="35"/>
  <c r="B772" i="35"/>
  <c r="A687" i="30"/>
  <c r="B688" i="30"/>
  <c r="D687" i="30"/>
  <c r="B1647" i="30" l="1"/>
  <c r="A1646" i="30"/>
  <c r="A774" i="35"/>
  <c r="B773" i="35"/>
  <c r="A688" i="30"/>
  <c r="D688" i="30"/>
  <c r="B689" i="30"/>
  <c r="B1648" i="30" l="1"/>
  <c r="A1647" i="30"/>
  <c r="B774" i="35"/>
  <c r="A775" i="35"/>
  <c r="A689" i="30"/>
  <c r="D689" i="30"/>
  <c r="B690" i="30"/>
  <c r="A1648" i="30" l="1"/>
  <c r="B1649" i="30"/>
  <c r="A776" i="35"/>
  <c r="B775" i="35"/>
  <c r="D690" i="30"/>
  <c r="A690" i="30"/>
  <c r="B691" i="30"/>
  <c r="A1649" i="30" l="1"/>
  <c r="B1650" i="30"/>
  <c r="B776" i="35"/>
  <c r="A777" i="35"/>
  <c r="A691" i="30"/>
  <c r="D691" i="30"/>
  <c r="B692" i="30"/>
  <c r="A1650" i="30" l="1"/>
  <c r="B1651" i="30"/>
  <c r="B777" i="35"/>
  <c r="A778" i="35"/>
  <c r="A692" i="30"/>
  <c r="B693" i="30"/>
  <c r="D692" i="30"/>
  <c r="A1651" i="30" l="1"/>
  <c r="B1652" i="30"/>
  <c r="A779" i="35"/>
  <c r="B778" i="35"/>
  <c r="D693" i="30"/>
  <c r="A693" i="30"/>
  <c r="B694" i="30"/>
  <c r="B1653" i="30" l="1"/>
  <c r="A1652" i="30"/>
  <c r="A780" i="35"/>
  <c r="B779" i="35"/>
  <c r="D694" i="30"/>
  <c r="A694" i="30"/>
  <c r="B695" i="30"/>
  <c r="A1653" i="30" l="1"/>
  <c r="B1654" i="30"/>
  <c r="A781" i="35"/>
  <c r="B780" i="35"/>
  <c r="A695" i="30"/>
  <c r="B696" i="30"/>
  <c r="D695" i="30"/>
  <c r="A1654" i="30" l="1"/>
  <c r="B1655" i="30"/>
  <c r="A782" i="35"/>
  <c r="B781" i="35"/>
  <c r="A696" i="30"/>
  <c r="B697" i="30"/>
  <c r="D696" i="30"/>
  <c r="B1656" i="30" l="1"/>
  <c r="A1655" i="30"/>
  <c r="A783" i="35"/>
  <c r="B782" i="35"/>
  <c r="A697" i="30"/>
  <c r="B698" i="30"/>
  <c r="D697" i="30"/>
  <c r="B1657" i="30" l="1"/>
  <c r="A1656" i="30"/>
  <c r="A784" i="35"/>
  <c r="B783" i="35"/>
  <c r="D698" i="30"/>
  <c r="A698" i="30"/>
  <c r="B699" i="30"/>
  <c r="A1657" i="30" l="1"/>
  <c r="B1658" i="30"/>
  <c r="A785" i="35"/>
  <c r="B784" i="35"/>
  <c r="A699" i="30"/>
  <c r="D699" i="30"/>
  <c r="B700" i="30"/>
  <c r="A1658" i="30" l="1"/>
  <c r="B1659" i="30"/>
  <c r="B785" i="35"/>
  <c r="A786" i="35"/>
  <c r="B701" i="30"/>
  <c r="A700" i="30"/>
  <c r="D700" i="30"/>
  <c r="B1660" i="30" l="1"/>
  <c r="A1659" i="30"/>
  <c r="B786" i="35"/>
  <c r="A787" i="35"/>
  <c r="A701" i="30"/>
  <c r="D701" i="30"/>
  <c r="B702" i="30"/>
  <c r="A1660" i="30" l="1"/>
  <c r="B1661" i="30"/>
  <c r="B787" i="35"/>
  <c r="A788" i="35"/>
  <c r="D702" i="30"/>
  <c r="A702" i="30"/>
  <c r="B703" i="30"/>
  <c r="A1661" i="30" l="1"/>
  <c r="B1662" i="30"/>
  <c r="B788" i="35"/>
  <c r="A789" i="35"/>
  <c r="A703" i="30"/>
  <c r="B704" i="30"/>
  <c r="D703" i="30"/>
  <c r="A1662" i="30" l="1"/>
  <c r="B1663" i="30"/>
  <c r="B789" i="35"/>
  <c r="A790" i="35"/>
  <c r="A704" i="30"/>
  <c r="D704" i="30"/>
  <c r="B705" i="30"/>
  <c r="A1663" i="30" l="1"/>
  <c r="B1664" i="30"/>
  <c r="B790" i="35"/>
  <c r="A791" i="35"/>
  <c r="A705" i="30"/>
  <c r="D705" i="30"/>
  <c r="B706" i="30"/>
  <c r="B1665" i="30" l="1"/>
  <c r="A1664" i="30"/>
  <c r="B791" i="35"/>
  <c r="A792" i="35"/>
  <c r="D706" i="30"/>
  <c r="A706" i="30"/>
  <c r="B707" i="30"/>
  <c r="A1665" i="30" l="1"/>
  <c r="B1666" i="30"/>
  <c r="B792" i="35"/>
  <c r="A793" i="35"/>
  <c r="A707" i="30"/>
  <c r="B708" i="30"/>
  <c r="D707" i="30"/>
  <c r="A1666" i="30" l="1"/>
  <c r="B1667" i="30"/>
  <c r="B793" i="35"/>
  <c r="A794" i="35"/>
  <c r="A708" i="30"/>
  <c r="D708" i="30"/>
  <c r="B709" i="30"/>
  <c r="A1667" i="30" l="1"/>
  <c r="B1668" i="30"/>
  <c r="B794" i="35"/>
  <c r="A795" i="35"/>
  <c r="A709" i="30"/>
  <c r="D709" i="30"/>
  <c r="B710" i="30"/>
  <c r="A1668" i="30" l="1"/>
  <c r="B1669" i="30"/>
  <c r="A796" i="35"/>
  <c r="B795" i="35"/>
  <c r="D710" i="30"/>
  <c r="A710" i="30"/>
  <c r="B711" i="30"/>
  <c r="A1669" i="30" l="1"/>
  <c r="B1670" i="30"/>
  <c r="B796" i="35"/>
  <c r="A797" i="35"/>
  <c r="A711" i="30"/>
  <c r="B712" i="30"/>
  <c r="D711" i="30"/>
  <c r="A1670" i="30" l="1"/>
  <c r="B1671" i="30"/>
  <c r="B797" i="35"/>
  <c r="A798" i="35"/>
  <c r="A712" i="30"/>
  <c r="D712" i="30"/>
  <c r="B713" i="30"/>
  <c r="B1672" i="30" l="1"/>
  <c r="A1671" i="30"/>
  <c r="B798" i="35"/>
  <c r="A799" i="35"/>
  <c r="A713" i="30"/>
  <c r="B714" i="30"/>
  <c r="D713" i="30"/>
  <c r="A1672" i="30" l="1"/>
  <c r="B1673" i="30"/>
  <c r="A800" i="35"/>
  <c r="B799" i="35"/>
  <c r="D714" i="30"/>
  <c r="A714" i="30"/>
  <c r="B715" i="30"/>
  <c r="B1674" i="30" l="1"/>
  <c r="A1673" i="30"/>
  <c r="A801" i="35"/>
  <c r="B800" i="35"/>
  <c r="A715" i="30"/>
  <c r="D715" i="30"/>
  <c r="B716" i="30"/>
  <c r="B1675" i="30" l="1"/>
  <c r="A1674" i="30"/>
  <c r="B801" i="35"/>
  <c r="A802" i="35"/>
  <c r="D716" i="30"/>
  <c r="A716" i="30"/>
  <c r="B717" i="30"/>
  <c r="B1676" i="30" l="1"/>
  <c r="A1675" i="30"/>
  <c r="B802" i="35"/>
  <c r="A803" i="35"/>
  <c r="A717" i="30"/>
  <c r="D717" i="30"/>
  <c r="B718" i="30"/>
  <c r="A1676" i="30" l="1"/>
  <c r="B1677" i="30"/>
  <c r="A804" i="35"/>
  <c r="B803" i="35"/>
  <c r="D718" i="30"/>
  <c r="A718" i="30"/>
  <c r="B719" i="30"/>
  <c r="A1677" i="30" l="1"/>
  <c r="B1678" i="30"/>
  <c r="A805" i="35"/>
  <c r="B804" i="35"/>
  <c r="A719" i="30"/>
  <c r="B720" i="30"/>
  <c r="D719" i="30"/>
  <c r="A1678" i="30" l="1"/>
  <c r="B1679" i="30"/>
  <c r="A806" i="35"/>
  <c r="B805" i="35"/>
  <c r="A720" i="30"/>
  <c r="B721" i="30"/>
  <c r="D720" i="30"/>
  <c r="B1680" i="30" l="1"/>
  <c r="A1679" i="30"/>
  <c r="A807" i="35"/>
  <c r="B806" i="35"/>
  <c r="A721" i="30"/>
  <c r="D721" i="30"/>
  <c r="B722" i="30"/>
  <c r="A1680" i="30" l="1"/>
  <c r="B1681" i="30"/>
  <c r="A808" i="35"/>
  <c r="B807" i="35"/>
  <c r="A722" i="30"/>
  <c r="D722" i="30"/>
  <c r="B723" i="30"/>
  <c r="A1681" i="30" l="1"/>
  <c r="B1682" i="30"/>
  <c r="A809" i="35"/>
  <c r="B808" i="35"/>
  <c r="A723" i="30"/>
  <c r="B724" i="30"/>
  <c r="D723" i="30"/>
  <c r="A1682" i="30" l="1"/>
  <c r="B1683" i="30"/>
  <c r="A810" i="35"/>
  <c r="B809" i="35"/>
  <c r="D724" i="30"/>
  <c r="B725" i="30"/>
  <c r="A724" i="30"/>
  <c r="B1684" i="30" l="1"/>
  <c r="A1683" i="30"/>
  <c r="A811" i="35"/>
  <c r="B810" i="35"/>
  <c r="A725" i="30"/>
  <c r="D725" i="30"/>
  <c r="B726" i="30"/>
  <c r="A1684" i="30" l="1"/>
  <c r="B1685" i="30"/>
  <c r="A812" i="35"/>
  <c r="B811" i="35"/>
  <c r="D726" i="30"/>
  <c r="A726" i="30"/>
  <c r="B727" i="30"/>
  <c r="A1685" i="30" l="1"/>
  <c r="B1686" i="30"/>
  <c r="A813" i="35"/>
  <c r="B812" i="35"/>
  <c r="A727" i="30"/>
  <c r="B728" i="30"/>
  <c r="D727" i="30"/>
  <c r="B1687" i="30" l="1"/>
  <c r="A1686" i="30"/>
  <c r="A814" i="35"/>
  <c r="B813" i="35"/>
  <c r="A728" i="30"/>
  <c r="D728" i="30"/>
  <c r="B729" i="30"/>
  <c r="B1688" i="30" l="1"/>
  <c r="A1687" i="30"/>
  <c r="A815" i="35"/>
  <c r="B814" i="35"/>
  <c r="B730" i="30"/>
  <c r="A729" i="30"/>
  <c r="D729" i="30"/>
  <c r="B1689" i="30" l="1"/>
  <c r="A1688" i="30"/>
  <c r="A816" i="35"/>
  <c r="B815" i="35"/>
  <c r="A730" i="30"/>
  <c r="D730" i="30"/>
  <c r="B731" i="30"/>
  <c r="B1690" i="30" l="1"/>
  <c r="A1689" i="30"/>
  <c r="A817" i="35"/>
  <c r="B816" i="35"/>
  <c r="A731" i="30"/>
  <c r="D731" i="30"/>
  <c r="B732" i="30"/>
  <c r="A1690" i="30" l="1"/>
  <c r="B1691" i="30"/>
  <c r="B817" i="35"/>
  <c r="A818" i="35"/>
  <c r="A732" i="30"/>
  <c r="D732" i="30"/>
  <c r="B733" i="30"/>
  <c r="A1691" i="30" l="1"/>
  <c r="B1692" i="30"/>
  <c r="A819" i="35"/>
  <c r="B818" i="35"/>
  <c r="A733" i="30"/>
  <c r="B734" i="30"/>
  <c r="A1692" i="30" l="1"/>
  <c r="B1693" i="30"/>
  <c r="A820" i="35"/>
  <c r="B819" i="35"/>
  <c r="A734" i="30"/>
  <c r="B735" i="30"/>
  <c r="B1694" i="30" l="1"/>
  <c r="A1693" i="30"/>
  <c r="A821" i="35"/>
  <c r="B820" i="35"/>
  <c r="A735" i="30"/>
  <c r="B1695" i="30" l="1"/>
  <c r="A1694" i="30"/>
  <c r="A822" i="35"/>
  <c r="B821" i="35"/>
  <c r="B1696" i="30" l="1"/>
  <c r="A1695" i="30"/>
  <c r="B822" i="35"/>
  <c r="A823" i="35"/>
  <c r="A1696" i="30" l="1"/>
  <c r="B1697" i="30"/>
  <c r="B823" i="35"/>
  <c r="A824" i="35"/>
  <c r="A1697" i="30" l="1"/>
  <c r="B1698" i="30"/>
  <c r="B824" i="35"/>
  <c r="A825" i="35"/>
  <c r="A1698" i="30" l="1"/>
  <c r="B1699" i="30"/>
  <c r="B825" i="35"/>
  <c r="A826" i="35"/>
  <c r="A1699" i="30" l="1"/>
  <c r="B1700" i="30"/>
  <c r="B826" i="35"/>
  <c r="A827" i="35"/>
  <c r="B1701" i="30" l="1"/>
  <c r="A1700" i="30"/>
  <c r="B827" i="35"/>
  <c r="A828" i="35"/>
  <c r="B1702" i="30" l="1"/>
  <c r="A1701" i="30"/>
  <c r="A829" i="35"/>
  <c r="B828" i="35"/>
  <c r="A1702" i="30" l="1"/>
  <c r="B1703" i="30"/>
  <c r="A830" i="35"/>
  <c r="B829" i="35"/>
  <c r="A1703" i="30" l="1"/>
  <c r="B1704" i="30"/>
  <c r="A831" i="35"/>
  <c r="B830" i="35"/>
  <c r="A1704" i="30" l="1"/>
  <c r="B1705" i="30"/>
  <c r="A832" i="35"/>
  <c r="B831" i="35"/>
  <c r="A1705" i="30" l="1"/>
  <c r="B1706" i="30"/>
  <c r="A833" i="35"/>
  <c r="B832" i="35"/>
  <c r="A1706" i="30" l="1"/>
  <c r="B1707" i="30"/>
  <c r="B833" i="35"/>
  <c r="A834" i="35"/>
  <c r="B1708" i="30" l="1"/>
  <c r="A1707" i="30"/>
  <c r="A835" i="35"/>
  <c r="B834" i="35"/>
  <c r="B1709" i="30" l="1"/>
  <c r="A1708" i="30"/>
  <c r="A836" i="35"/>
  <c r="B835" i="35"/>
  <c r="B1710" i="30" l="1"/>
  <c r="A1709" i="30"/>
  <c r="A837" i="35"/>
  <c r="B836" i="35"/>
  <c r="A1710" i="30" l="1"/>
  <c r="B1711" i="30"/>
  <c r="A838" i="35"/>
  <c r="B837" i="35"/>
  <c r="A1711" i="30" l="1"/>
  <c r="B1712" i="30"/>
  <c r="A839" i="35"/>
  <c r="B838" i="35"/>
  <c r="A1712" i="30" l="1"/>
  <c r="B1713" i="30"/>
  <c r="A840" i="35"/>
  <c r="B839" i="35"/>
  <c r="A1713" i="30" l="1"/>
  <c r="B1714" i="30"/>
  <c r="A841" i="35"/>
  <c r="B840" i="35"/>
  <c r="A1714" i="30" l="1"/>
  <c r="B1715" i="30"/>
  <c r="A842" i="35"/>
  <c r="B841" i="35"/>
  <c r="A1715" i="30" l="1"/>
  <c r="B1716" i="30"/>
  <c r="A843" i="35"/>
  <c r="B842" i="35"/>
  <c r="A1716" i="30" l="1"/>
  <c r="B1717" i="30"/>
  <c r="A844" i="35"/>
  <c r="B843" i="35"/>
  <c r="B1718" i="30" l="1"/>
  <c r="A1717" i="30"/>
  <c r="B844" i="35"/>
  <c r="A845" i="35"/>
  <c r="A1718" i="30" l="1"/>
  <c r="B1719" i="30"/>
  <c r="B845" i="35"/>
  <c r="A846" i="35"/>
  <c r="B1720" i="30" l="1"/>
  <c r="A1719" i="30"/>
  <c r="B846" i="35"/>
  <c r="A847" i="35"/>
  <c r="A1720" i="30" l="1"/>
  <c r="B1721" i="30"/>
  <c r="B847" i="35"/>
  <c r="A848" i="35"/>
  <c r="B1722" i="30" l="1"/>
  <c r="A1721" i="30"/>
  <c r="B848" i="35"/>
  <c r="A849" i="35"/>
  <c r="A1722" i="30" l="1"/>
  <c r="B1723" i="30"/>
  <c r="A850" i="35"/>
  <c r="B849" i="35"/>
  <c r="B1724" i="30" l="1"/>
  <c r="A1723" i="30"/>
  <c r="A851" i="35"/>
  <c r="B850" i="35"/>
  <c r="A1724" i="30" l="1"/>
  <c r="B1725" i="30"/>
  <c r="B851" i="35"/>
  <c r="A852" i="35"/>
  <c r="A1725" i="30" l="1"/>
  <c r="B1726" i="30"/>
  <c r="B852" i="35"/>
  <c r="A853" i="35"/>
  <c r="A1726" i="30" l="1"/>
  <c r="B1727" i="30"/>
  <c r="A854" i="35"/>
  <c r="B853" i="35"/>
  <c r="A1727" i="30" l="1"/>
  <c r="B1728" i="30"/>
  <c r="A855" i="35"/>
  <c r="B854" i="35"/>
  <c r="A1728" i="30" l="1"/>
  <c r="B1729" i="30"/>
  <c r="A856" i="35"/>
  <c r="B855" i="35"/>
  <c r="A1729" i="30" l="1"/>
  <c r="B1730" i="30"/>
  <c r="B856" i="35"/>
  <c r="A857" i="35"/>
  <c r="B1731" i="30" l="1"/>
  <c r="A1730" i="30"/>
  <c r="B857" i="35"/>
  <c r="A858" i="35"/>
  <c r="B1732" i="30" l="1"/>
  <c r="A1731" i="30"/>
  <c r="B858" i="35"/>
  <c r="A859" i="35"/>
  <c r="B1733" i="30" l="1"/>
  <c r="A1732" i="30"/>
  <c r="A860" i="35"/>
  <c r="B859" i="35"/>
  <c r="A1733" i="30" l="1"/>
  <c r="B1734" i="30"/>
  <c r="A861" i="35"/>
  <c r="B860" i="35"/>
  <c r="A1734" i="30" l="1"/>
  <c r="B1735" i="30"/>
  <c r="A862" i="35"/>
  <c r="B861" i="35"/>
  <c r="A1735" i="30" l="1"/>
  <c r="B1736" i="30"/>
  <c r="B862" i="35"/>
  <c r="A863" i="35"/>
  <c r="A1736" i="30" l="1"/>
  <c r="B1737" i="30"/>
  <c r="A864" i="35"/>
  <c r="B863" i="35"/>
  <c r="A1737" i="30" l="1"/>
  <c r="B1738" i="30"/>
  <c r="A865" i="35"/>
  <c r="B864" i="35"/>
  <c r="A1738" i="30" l="1"/>
  <c r="B1739" i="30"/>
  <c r="A866" i="35"/>
  <c r="B865" i="35"/>
  <c r="A1739" i="30" l="1"/>
  <c r="B1740" i="30"/>
  <c r="A867" i="35"/>
  <c r="B866" i="35"/>
  <c r="A1740" i="30" l="1"/>
  <c r="B1741" i="30"/>
  <c r="A868" i="35"/>
  <c r="B867" i="35"/>
  <c r="A1741" i="30" l="1"/>
  <c r="B1742" i="30"/>
  <c r="A869" i="35"/>
  <c r="B868" i="35"/>
  <c r="A1742" i="30" l="1"/>
  <c r="B1743" i="30"/>
  <c r="A870" i="35"/>
  <c r="B869" i="35"/>
  <c r="B1744" i="30" l="1"/>
  <c r="A1743" i="30"/>
  <c r="B870" i="35"/>
  <c r="A871" i="35"/>
  <c r="B1745" i="30" l="1"/>
  <c r="A1744" i="30"/>
  <c r="A872" i="35"/>
  <c r="B871" i="35"/>
  <c r="A1745" i="30" l="1"/>
  <c r="B1746" i="30"/>
  <c r="B872" i="35"/>
  <c r="A873" i="35"/>
  <c r="B1747" i="30" l="1"/>
  <c r="A1746" i="30"/>
  <c r="A874" i="35"/>
  <c r="B873" i="35"/>
  <c r="B1748" i="30" l="1"/>
  <c r="A1747" i="30"/>
  <c r="A875" i="35"/>
  <c r="B874" i="35"/>
  <c r="A1748" i="30" l="1"/>
  <c r="B1749" i="30"/>
  <c r="A876" i="35"/>
  <c r="B875" i="35"/>
  <c r="A1749" i="30" l="1"/>
  <c r="B1750" i="30"/>
  <c r="B876" i="35"/>
  <c r="A877" i="35"/>
  <c r="A1750" i="30" l="1"/>
  <c r="B1751" i="30"/>
  <c r="B877" i="35"/>
  <c r="A878" i="35"/>
  <c r="A1751" i="30" l="1"/>
  <c r="B1752" i="30"/>
  <c r="A879" i="35"/>
  <c r="B878" i="35"/>
  <c r="B1753" i="30" l="1"/>
  <c r="A1752" i="30"/>
  <c r="A880" i="35"/>
  <c r="B879" i="35"/>
  <c r="B1754" i="30" l="1"/>
  <c r="A1753" i="30"/>
  <c r="A881" i="35"/>
  <c r="B880" i="35"/>
  <c r="A1754" i="30" l="1"/>
  <c r="B1755" i="30"/>
  <c r="A882" i="35"/>
  <c r="B881" i="35"/>
  <c r="B1756" i="30" l="1"/>
  <c r="A1755" i="30"/>
  <c r="A883" i="35"/>
  <c r="B882" i="35"/>
  <c r="B1757" i="30" l="1"/>
  <c r="A1756" i="30"/>
  <c r="A884" i="35"/>
  <c r="B883" i="35"/>
  <c r="A1757" i="30" l="1"/>
  <c r="B1758" i="30"/>
  <c r="B884" i="35"/>
  <c r="A885" i="35"/>
  <c r="A1758" i="30" l="1"/>
  <c r="B1759" i="30"/>
  <c r="B885" i="35"/>
  <c r="A886" i="35"/>
  <c r="A1759" i="30" l="1"/>
  <c r="B1760" i="30"/>
  <c r="B886" i="35"/>
  <c r="A887" i="35"/>
  <c r="B1761" i="30" l="1"/>
  <c r="A1760" i="30"/>
  <c r="A888" i="35"/>
  <c r="B887" i="35"/>
  <c r="B1762" i="30" l="1"/>
  <c r="A1761" i="30"/>
  <c r="A889" i="35"/>
  <c r="B888" i="35"/>
  <c r="A1762" i="30" l="1"/>
  <c r="B1763" i="30"/>
  <c r="A890" i="35"/>
  <c r="B889" i="35"/>
  <c r="A1763" i="30" l="1"/>
  <c r="B1764" i="30"/>
  <c r="A891" i="35"/>
  <c r="B890" i="35"/>
  <c r="A1764" i="30" l="1"/>
  <c r="B1765" i="30"/>
  <c r="A892" i="35"/>
  <c r="B891" i="35"/>
  <c r="B1766" i="30" l="1"/>
  <c r="A1765" i="30"/>
  <c r="B892" i="35"/>
  <c r="A893" i="35"/>
  <c r="B1767" i="30" l="1"/>
  <c r="A1766" i="30"/>
  <c r="B893" i="35"/>
  <c r="A894" i="35"/>
  <c r="B1768" i="30" l="1"/>
  <c r="A1767" i="30"/>
  <c r="B894" i="35"/>
  <c r="A895" i="35"/>
  <c r="A1768" i="30" l="1"/>
  <c r="B1769" i="30"/>
  <c r="A896" i="35"/>
  <c r="B895" i="35"/>
  <c r="A1769" i="30" l="1"/>
  <c r="B1770" i="30"/>
  <c r="A897" i="35"/>
  <c r="B896" i="35"/>
  <c r="A1770" i="30" l="1"/>
  <c r="B1771" i="30"/>
  <c r="A898" i="35"/>
  <c r="B897" i="35"/>
  <c r="A1771" i="30" l="1"/>
  <c r="B1772" i="30"/>
  <c r="A899" i="35"/>
  <c r="B898" i="35"/>
  <c r="B1773" i="30" l="1"/>
  <c r="A1772" i="30"/>
  <c r="B899" i="35"/>
  <c r="A900" i="35"/>
  <c r="A1773" i="30" l="1"/>
  <c r="B1774" i="30"/>
  <c r="A901" i="35"/>
  <c r="B900" i="35"/>
  <c r="B1775" i="30" l="1"/>
  <c r="A1774" i="30"/>
  <c r="B901" i="35"/>
  <c r="A902" i="35"/>
  <c r="B1776" i="30" l="1"/>
  <c r="A1775" i="30"/>
  <c r="B902" i="35"/>
  <c r="A903" i="35"/>
  <c r="A1776" i="30" l="1"/>
  <c r="B1777" i="30"/>
  <c r="A904" i="35"/>
  <c r="B903" i="35"/>
  <c r="B1778" i="30" l="1"/>
  <c r="A1777" i="30"/>
  <c r="A905" i="35"/>
  <c r="B904" i="35"/>
  <c r="B1779" i="30" l="1"/>
  <c r="A1778" i="30"/>
  <c r="A906" i="35"/>
  <c r="B905" i="35"/>
  <c r="A1779" i="30" l="1"/>
  <c r="B1780" i="30"/>
  <c r="A907" i="35"/>
  <c r="B906" i="35"/>
  <c r="A1780" i="30" l="1"/>
  <c r="B1781" i="30"/>
  <c r="B907" i="35"/>
  <c r="A908" i="35"/>
  <c r="B1782" i="30" l="1"/>
  <c r="A1781" i="30"/>
  <c r="A909" i="35"/>
  <c r="B908" i="35"/>
  <c r="B1783" i="30" l="1"/>
  <c r="A1782" i="30"/>
  <c r="A910" i="35"/>
  <c r="B909" i="35"/>
  <c r="B1784" i="30" l="1"/>
  <c r="A1783" i="30"/>
  <c r="A911" i="35"/>
  <c r="B910" i="35"/>
  <c r="A1784" i="30" l="1"/>
  <c r="B1785" i="30"/>
  <c r="A912" i="35"/>
  <c r="B911" i="35"/>
  <c r="A1785" i="30" l="1"/>
  <c r="B1786" i="30"/>
  <c r="B912" i="35"/>
  <c r="A913" i="35"/>
  <c r="A1786" i="30" l="1"/>
  <c r="B1787" i="30"/>
  <c r="B913" i="35"/>
  <c r="A914" i="35"/>
  <c r="A1787" i="30" l="1"/>
  <c r="B1788" i="30"/>
  <c r="B914" i="35"/>
  <c r="A915" i="35"/>
  <c r="B1789" i="30" l="1"/>
  <c r="A1788" i="30"/>
  <c r="A916" i="35"/>
  <c r="B915" i="35"/>
  <c r="B1790" i="30" l="1"/>
  <c r="A1789" i="30"/>
  <c r="A917" i="35"/>
  <c r="B916" i="35"/>
  <c r="B1791" i="30" l="1"/>
  <c r="A1790" i="30"/>
  <c r="A918" i="35"/>
  <c r="B917" i="35"/>
  <c r="A1791" i="30" l="1"/>
  <c r="B1792" i="30"/>
  <c r="B918" i="35"/>
  <c r="A919" i="35"/>
  <c r="A1792" i="30" l="1"/>
  <c r="B1793" i="30"/>
  <c r="B919" i="35"/>
  <c r="A920" i="35"/>
  <c r="A1793" i="30" l="1"/>
  <c r="B1794" i="30"/>
  <c r="B920" i="35"/>
  <c r="A921" i="35"/>
  <c r="A1794" i="30" l="1"/>
  <c r="B1795" i="30"/>
  <c r="A922" i="35"/>
  <c r="B921" i="35"/>
  <c r="B1796" i="30" l="1"/>
  <c r="A1795" i="30"/>
  <c r="A923" i="35"/>
  <c r="B922" i="35"/>
  <c r="A1796" i="30" l="1"/>
  <c r="B1797" i="30"/>
  <c r="A924" i="35"/>
  <c r="B923" i="35"/>
  <c r="A1797" i="30" l="1"/>
  <c r="B1798" i="30"/>
  <c r="A925" i="35"/>
  <c r="B924" i="35"/>
  <c r="A1798" i="30" l="1"/>
  <c r="B1799" i="30"/>
  <c r="A926" i="35"/>
  <c r="B925" i="35"/>
  <c r="A1799" i="30" l="1"/>
  <c r="B1800" i="30"/>
  <c r="B926" i="35"/>
  <c r="A927" i="35"/>
  <c r="A1800" i="30" l="1"/>
  <c r="B1801" i="30"/>
  <c r="B927" i="35"/>
  <c r="A928" i="35"/>
  <c r="B1802" i="30" l="1"/>
  <c r="A1801" i="30"/>
  <c r="A929" i="35"/>
  <c r="B928" i="35"/>
  <c r="B1803" i="30" l="1"/>
  <c r="A1802" i="30"/>
  <c r="A930" i="35"/>
  <c r="B929" i="35"/>
  <c r="A1803" i="30" l="1"/>
  <c r="B1804" i="30"/>
  <c r="A931" i="35"/>
  <c r="B930" i="35"/>
  <c r="A1804" i="30" l="1"/>
  <c r="B1805" i="30"/>
  <c r="A932" i="35"/>
  <c r="B931" i="35"/>
  <c r="A1805" i="30" l="1"/>
  <c r="B1806" i="30"/>
  <c r="A933" i="35"/>
  <c r="B932" i="35"/>
  <c r="A1806" i="30" l="1"/>
  <c r="B1807" i="30"/>
  <c r="A934" i="35"/>
  <c r="B933" i="35"/>
  <c r="A1807" i="30" l="1"/>
  <c r="B1808" i="30"/>
  <c r="B934" i="35"/>
  <c r="A935" i="35"/>
  <c r="B1809" i="30" l="1"/>
  <c r="A1808" i="30"/>
  <c r="A936" i="35"/>
  <c r="B935" i="35"/>
  <c r="B1810" i="30" l="1"/>
  <c r="A1809" i="30"/>
  <c r="A937" i="35"/>
  <c r="B936" i="35"/>
  <c r="A1810" i="30" l="1"/>
  <c r="B1811" i="30"/>
  <c r="A938" i="35"/>
  <c r="B937" i="35"/>
  <c r="A1811" i="30" l="1"/>
  <c r="B1812" i="30"/>
  <c r="A939" i="35"/>
  <c r="B938" i="35"/>
  <c r="A1812" i="30" l="1"/>
  <c r="B1813" i="30"/>
  <c r="A940" i="35"/>
  <c r="B939" i="35"/>
  <c r="B1814" i="30" l="1"/>
  <c r="A1813" i="30"/>
  <c r="A941" i="35"/>
  <c r="B940" i="35"/>
  <c r="B1815" i="30" l="1"/>
  <c r="A1814" i="30"/>
  <c r="B941" i="35"/>
  <c r="A942" i="35"/>
  <c r="B1816" i="30" l="1"/>
  <c r="A1815" i="30"/>
  <c r="B942" i="35"/>
  <c r="A943" i="35"/>
  <c r="A1816" i="30" l="1"/>
  <c r="B1817" i="30"/>
  <c r="B943" i="35"/>
  <c r="A944" i="35"/>
  <c r="B1818" i="30" l="1"/>
  <c r="A1817" i="30"/>
  <c r="B944" i="35"/>
  <c r="A945" i="35"/>
  <c r="A1818" i="30" l="1"/>
  <c r="B1819" i="30"/>
  <c r="A946" i="35"/>
  <c r="B945" i="35"/>
  <c r="B1820" i="30" l="1"/>
  <c r="A1819" i="30"/>
  <c r="B946" i="35"/>
  <c r="A947" i="35"/>
  <c r="A1820" i="30" l="1"/>
  <c r="B1821" i="30"/>
  <c r="B947" i="35"/>
  <c r="A948" i="35"/>
  <c r="A1821" i="30" l="1"/>
  <c r="B1822" i="30"/>
  <c r="A949" i="35"/>
  <c r="B948" i="35"/>
  <c r="B1823" i="30" l="1"/>
  <c r="A1822" i="30"/>
  <c r="A950" i="35"/>
  <c r="B949" i="35"/>
  <c r="A1823" i="30" l="1"/>
  <c r="B1824" i="30"/>
  <c r="A951" i="35"/>
  <c r="B950" i="35"/>
  <c r="A1824" i="30" l="1"/>
  <c r="B1825" i="30"/>
  <c r="B951" i="35"/>
  <c r="A952" i="35"/>
  <c r="B1826" i="30" l="1"/>
  <c r="A1825" i="30"/>
  <c r="B952" i="35"/>
  <c r="A953" i="35"/>
  <c r="B1827" i="30" l="1"/>
  <c r="A1826" i="30"/>
  <c r="A954" i="35"/>
  <c r="B953" i="35"/>
  <c r="A1827" i="30" l="1"/>
  <c r="B1828" i="30"/>
  <c r="A955" i="35"/>
  <c r="B954" i="35"/>
  <c r="A1828" i="30" l="1"/>
  <c r="B1829" i="30"/>
  <c r="A956" i="35"/>
  <c r="B955" i="35"/>
  <c r="A1829" i="30" l="1"/>
  <c r="B1830" i="30"/>
  <c r="A957" i="35"/>
  <c r="B956" i="35"/>
  <c r="B1831" i="30" l="1"/>
  <c r="A1830" i="30"/>
  <c r="B957" i="35"/>
  <c r="A958" i="35"/>
  <c r="A1831" i="30" l="1"/>
  <c r="B1832" i="30"/>
  <c r="B958" i="35"/>
  <c r="A959" i="35"/>
  <c r="A1832" i="30" l="1"/>
  <c r="B1833" i="30"/>
  <c r="B959" i="35"/>
  <c r="A960" i="35"/>
  <c r="A1833" i="30" l="1"/>
  <c r="B1834" i="30"/>
  <c r="B960" i="35"/>
  <c r="A961" i="35"/>
  <c r="A1834" i="30" l="1"/>
  <c r="B1835" i="30"/>
  <c r="B961" i="35"/>
  <c r="A962" i="35"/>
  <c r="B1836" i="30" l="1"/>
  <c r="A1835" i="30"/>
  <c r="A963" i="35"/>
  <c r="B962" i="35"/>
  <c r="B1837" i="30" l="1"/>
  <c r="A1836" i="30"/>
  <c r="A964" i="35"/>
  <c r="B963" i="35"/>
  <c r="B1838" i="30" l="1"/>
  <c r="A1837" i="30"/>
  <c r="A965" i="35"/>
  <c r="B964" i="35"/>
  <c r="B1839" i="30" l="1"/>
  <c r="A1838" i="30"/>
  <c r="A966" i="35"/>
  <c r="B965" i="35"/>
  <c r="A1839" i="30" l="1"/>
  <c r="B1840" i="30"/>
  <c r="B966" i="35"/>
  <c r="A967" i="35"/>
  <c r="A1840" i="30" l="1"/>
  <c r="B1841" i="30"/>
  <c r="A968" i="35"/>
  <c r="B967" i="35"/>
  <c r="B1842" i="30" l="1"/>
  <c r="A1841" i="30"/>
  <c r="A969" i="35"/>
  <c r="B968" i="35"/>
  <c r="B1843" i="30" l="1"/>
  <c r="A1842" i="30"/>
  <c r="A970" i="35"/>
  <c r="B969" i="35"/>
  <c r="B1844" i="30" l="1"/>
  <c r="A1843" i="30"/>
  <c r="A971" i="35"/>
  <c r="B970" i="35"/>
  <c r="B1845" i="30" l="1"/>
  <c r="A1844" i="30"/>
  <c r="B971" i="35"/>
  <c r="A972" i="35"/>
  <c r="A1845" i="30" l="1"/>
  <c r="B1846" i="30"/>
  <c r="B972" i="35"/>
  <c r="A973" i="35"/>
  <c r="A1846" i="30" l="1"/>
  <c r="B1847" i="30"/>
  <c r="A974" i="35"/>
  <c r="B973" i="35"/>
  <c r="A1847" i="30" l="1"/>
  <c r="B1848" i="30"/>
  <c r="B974" i="35"/>
  <c r="A975" i="35"/>
  <c r="A1848" i="30" l="1"/>
  <c r="B1849" i="30"/>
  <c r="B975" i="35"/>
  <c r="A976" i="35"/>
  <c r="B1850" i="30" l="1"/>
  <c r="A1850" i="30" s="1"/>
  <c r="A1849" i="30"/>
  <c r="B976" i="35"/>
  <c r="A977" i="35"/>
  <c r="B977" i="35" l="1"/>
  <c r="A978" i="35"/>
  <c r="A979" i="35" l="1"/>
  <c r="B978" i="35"/>
  <c r="A980" i="35" l="1"/>
  <c r="B979" i="35"/>
  <c r="A981" i="35" l="1"/>
  <c r="B980" i="35"/>
  <c r="B981" i="35" l="1"/>
  <c r="A982" i="35"/>
  <c r="B982" i="35" l="1"/>
  <c r="A983" i="35"/>
  <c r="B983" i="35" l="1"/>
  <c r="A984" i="35"/>
  <c r="B984" i="35" l="1"/>
  <c r="A985" i="35"/>
  <c r="B985" i="35" l="1"/>
  <c r="A986" i="35"/>
  <c r="A987" i="35" l="1"/>
  <c r="B986" i="35"/>
  <c r="A988" i="35" l="1"/>
  <c r="B987" i="35"/>
  <c r="B988" i="35" l="1"/>
  <c r="A989" i="35"/>
  <c r="B989" i="35" l="1"/>
  <c r="A990" i="35"/>
  <c r="B990" i="35" l="1"/>
  <c r="A991" i="35"/>
  <c r="A992" i="35" l="1"/>
  <c r="B991" i="35"/>
  <c r="A993" i="35" l="1"/>
  <c r="B992" i="35"/>
  <c r="A994" i="35" l="1"/>
  <c r="B993" i="35"/>
  <c r="A995" i="35" l="1"/>
  <c r="B994" i="35"/>
  <c r="A996" i="35" l="1"/>
  <c r="B995" i="35"/>
  <c r="A997" i="35" l="1"/>
  <c r="B996" i="35"/>
  <c r="A998" i="35" l="1"/>
  <c r="B997" i="35"/>
  <c r="A999" i="35" l="1"/>
  <c r="B998" i="35"/>
  <c r="A1000" i="35" l="1"/>
  <c r="B999" i="35"/>
  <c r="A1001" i="35" l="1"/>
  <c r="B1000" i="35"/>
  <c r="B1001" i="35" l="1"/>
  <c r="A1002" i="35"/>
  <c r="B1002" i="35" l="1"/>
  <c r="A1003" i="35"/>
  <c r="A1004" i="35" l="1"/>
  <c r="B1003" i="35"/>
  <c r="A1005" i="35" l="1"/>
  <c r="B1004" i="35"/>
  <c r="A1006" i="35" l="1"/>
  <c r="B1005" i="35"/>
  <c r="A1007" i="35" l="1"/>
  <c r="B1006" i="35"/>
  <c r="B1007" i="35" l="1"/>
  <c r="A1008" i="35"/>
  <c r="A1009" i="35" l="1"/>
  <c r="B1008" i="35"/>
  <c r="B1009" i="35" l="1"/>
  <c r="A1010" i="35"/>
  <c r="A1011" i="35" l="1"/>
  <c r="B1010" i="35"/>
  <c r="A1012" i="35" l="1"/>
  <c r="B1011" i="35"/>
  <c r="A1013" i="35" l="1"/>
  <c r="B1012" i="35"/>
  <c r="A1014" i="35" l="1"/>
  <c r="B1013" i="35"/>
  <c r="B1014" i="35" l="1"/>
  <c r="A1015" i="35"/>
  <c r="B1015" i="35" l="1"/>
  <c r="A1016" i="35"/>
  <c r="B1016" i="35" l="1"/>
  <c r="A1017" i="35"/>
  <c r="B1017" i="35" l="1"/>
  <c r="A1018" i="35"/>
  <c r="B1018" i="35" l="1"/>
  <c r="A1019" i="35"/>
  <c r="B1019" i="35" l="1"/>
  <c r="A1020" i="35"/>
  <c r="B1020" i="35" l="1"/>
  <c r="A1021" i="35"/>
  <c r="A1022" i="35" l="1"/>
  <c r="B1021" i="35"/>
  <c r="A1023" i="35" l="1"/>
  <c r="B1022" i="35"/>
  <c r="A1024" i="35" l="1"/>
  <c r="B1023" i="35"/>
  <c r="A1025" i="35" l="1"/>
  <c r="B1024" i="35"/>
  <c r="A1026" i="35" l="1"/>
  <c r="B1025" i="35"/>
  <c r="B1026" i="35" l="1"/>
  <c r="A1027" i="35"/>
  <c r="B1027" i="35" l="1"/>
  <c r="A1028" i="35"/>
  <c r="A1029" i="35" l="1"/>
  <c r="B1028" i="35"/>
  <c r="A1030" i="35" l="1"/>
  <c r="B1029" i="35"/>
  <c r="A1031" i="35" l="1"/>
  <c r="B1030" i="35"/>
  <c r="A1032" i="35" l="1"/>
  <c r="B1031" i="35"/>
  <c r="A1033" i="35" l="1"/>
  <c r="B1032" i="35"/>
  <c r="B1033" i="35" l="1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5" i="30"/>
  <c r="D112" i="30"/>
  <c r="D113" i="30"/>
  <c r="D114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3" i="30"/>
  <c r="D130" i="30"/>
  <c r="D131" i="30"/>
  <c r="D132" i="30"/>
  <c r="D135" i="30"/>
  <c r="D134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5" i="30"/>
  <c r="D164" i="30"/>
  <c r="D166" i="30"/>
  <c r="D167" i="30"/>
  <c r="D169" i="30"/>
  <c r="D168" i="30"/>
  <c r="D170" i="30"/>
  <c r="D171" i="30"/>
  <c r="D173" i="30"/>
  <c r="D175" i="30"/>
  <c r="D172" i="30"/>
  <c r="D177" i="30"/>
  <c r="D174" i="30"/>
  <c r="D179" i="30"/>
  <c r="D176" i="30"/>
  <c r="D178" i="30"/>
  <c r="D181" i="30"/>
  <c r="D180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6" i="30"/>
  <c r="D194" i="30"/>
  <c r="D195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6" i="30"/>
  <c r="D285" i="30"/>
  <c r="D287" i="30"/>
  <c r="D288" i="30"/>
  <c r="D290" i="30"/>
  <c r="D289" i="30"/>
  <c r="D291" i="30"/>
  <c r="D292" i="30"/>
  <c r="D293" i="30"/>
  <c r="D294" i="30"/>
  <c r="D295" i="30"/>
  <c r="D296" i="30"/>
  <c r="D298" i="30"/>
  <c r="D297" i="30"/>
  <c r="D300" i="30"/>
  <c r="D299" i="30"/>
  <c r="D302" i="30"/>
  <c r="D301" i="30"/>
  <c r="D303" i="30"/>
  <c r="D304" i="30"/>
  <c r="D305" i="30"/>
  <c r="D306" i="30"/>
  <c r="D308" i="30"/>
  <c r="D307" i="30"/>
  <c r="D310" i="30"/>
  <c r="D309" i="30"/>
  <c r="D312" i="30"/>
  <c r="D311" i="30"/>
  <c r="D314" i="30"/>
  <c r="D313" i="30"/>
  <c r="D316" i="30"/>
  <c r="D315" i="30"/>
  <c r="D317" i="30"/>
  <c r="D318" i="30"/>
  <c r="D319" i="30"/>
  <c r="D320" i="30"/>
  <c r="D322" i="30"/>
  <c r="D321" i="30"/>
  <c r="D323" i="30"/>
  <c r="D327" i="30"/>
  <c r="D324" i="30"/>
  <c r="D325" i="30"/>
  <c r="D326" i="30"/>
  <c r="D329" i="30"/>
  <c r="D331" i="30"/>
  <c r="D328" i="30"/>
  <c r="D330" i="30"/>
  <c r="D334" i="30"/>
  <c r="D335" i="30"/>
  <c r="D332" i="30"/>
  <c r="D333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6" i="30"/>
  <c r="D405" i="30"/>
  <c r="D407" i="30"/>
  <c r="D408" i="30"/>
  <c r="D409" i="30"/>
  <c r="D410" i="30"/>
  <c r="D411" i="30"/>
  <c r="D412" i="30"/>
  <c r="D414" i="30"/>
  <c r="D413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3" i="30"/>
  <c r="D432" i="30"/>
  <c r="D435" i="30"/>
  <c r="D434" i="30"/>
  <c r="D436" i="30"/>
  <c r="D437" i="30"/>
  <c r="D439" i="30"/>
  <c r="D438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5" i="30"/>
  <c r="D464" i="30"/>
  <c r="D469" i="30"/>
  <c r="D466" i="30"/>
  <c r="D467" i="30"/>
  <c r="D468" i="30"/>
  <c r="D471" i="30"/>
  <c r="D473" i="30"/>
  <c r="D470" i="30"/>
  <c r="D472" i="30"/>
  <c r="D475" i="30"/>
  <c r="D474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松明志洋</author>
  </authors>
  <commentList>
    <comment ref="L7" authorId="0" shapeId="0" xr:uid="{271CAEF9-5ED7-4E77-8631-47E42461F716}">
      <text>
        <r>
          <rPr>
            <sz val="9"/>
            <color indexed="81"/>
            <rFont val="MS P ゴシック"/>
            <family val="3"/>
            <charset val="128"/>
          </rPr>
          <t xml:space="preserve">更新日を入れておけば使ってない項目がわかりやすい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松明志洋</author>
  </authors>
  <commentList>
    <comment ref="E643" authorId="0" shapeId="0" xr:uid="{B6083EEE-B325-4A68-B502-7D6B029C0D90}">
      <text>
        <r>
          <rPr>
            <b/>
            <sz val="9"/>
            <color indexed="81"/>
            <rFont val="MS P ゴシック"/>
            <family val="3"/>
            <charset val="128"/>
          </rPr>
          <t>松明志洋:</t>
        </r>
        <r>
          <rPr>
            <sz val="9"/>
            <color indexed="81"/>
            <rFont val="MS P ゴシック"/>
            <family val="3"/>
            <charset val="128"/>
          </rPr>
          <t xml:space="preserve">
ﾀﾞｲﾜｺｰﾎﾟﾚｰｼｮﾝ横浜町田 
大和市中央林間7-12-2
ﾀﾞｲﾜｺｰﾎﾟﾚｰｼｮﾝ横浜町田(営)1F
担当　関谷さま
080 3721 3028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AAAE99-AE7D-40C9-BBF1-D448F4DDA813}" keepAlive="1" name="クエリ - syukujitsu" description="ブック内の 'syukujitsu' クエリへの接続です。" type="5" refreshedVersion="8" background="1" saveData="1">
    <dbPr connection="Provider=Microsoft.Mashup.OleDb.1;Data Source=$Workbook$;Location=syukujitsu;Extended Properties=&quot;&quot;" command="SELECT * FROM [syukujitsu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<sst xmlns="http://schemas.openxmlformats.org/spreadsheetml/2006/main" count="37122" uniqueCount="1037">
  <si>
    <t>車両/担当者</t>
    <phoneticPr fontId="13" type="Hiragana"/>
  </si>
  <si>
    <t>回収先</t>
  </si>
  <si>
    <t>色</t>
  </si>
  <si>
    <t>祝祭日のチェック</t>
    <rPh sb="0" eb="3">
      <t>シュクサイジツ</t>
    </rPh>
    <phoneticPr fontId="7"/>
  </si>
  <si>
    <t>厚木事業所1</t>
  </si>
  <si>
    <t>週毎の回収チェック</t>
    <rPh sb="0" eb="1">
      <t>シュウ</t>
    </rPh>
    <rPh sb="1" eb="2">
      <t>マイ</t>
    </rPh>
    <rPh sb="3" eb="5">
      <t>カイシュウ</t>
    </rPh>
    <phoneticPr fontId="7"/>
  </si>
  <si>
    <t>2267PK</t>
    <phoneticPr fontId="13" type="Hiragana"/>
  </si>
  <si>
    <t>厚木事業所2</t>
  </si>
  <si>
    <t>厚木事業所3</t>
  </si>
  <si>
    <t>厚木事業所4</t>
  </si>
  <si>
    <t>厚木事業所5</t>
  </si>
  <si>
    <t>並べ替え</t>
    <phoneticPr fontId="13" type="Hiragana"/>
  </si>
  <si>
    <t>フリガナ</t>
  </si>
  <si>
    <t>名前</t>
    <phoneticPr fontId="13" type="Hiragana"/>
  </si>
  <si>
    <t>更新日</t>
    <rPh sb="0" eb="3">
      <t>こうしんび</t>
    </rPh>
    <phoneticPr fontId="13" type="Hiragana"/>
  </si>
  <si>
    <t>list_U-NET</t>
    <phoneticPr fontId="13" type="Hiragana"/>
  </si>
  <si>
    <t>削除対象</t>
    <rPh sb="0" eb="4">
      <t>さくじょたいしょう</t>
    </rPh>
    <phoneticPr fontId="13" type="Hiragana"/>
  </si>
  <si>
    <t>周期回収</t>
    <rPh sb="0" eb="2">
      <t>しゅうき</t>
    </rPh>
    <rPh sb="2" eb="4">
      <t>かいしゅう</t>
    </rPh>
    <phoneticPr fontId="13" type="Hiragana"/>
  </si>
  <si>
    <t>タグ</t>
    <phoneticPr fontId="13" type="Hiragana"/>
  </si>
  <si>
    <t>状況</t>
    <rPh sb="0" eb="2">
      <t>じょうきょう</t>
    </rPh>
    <phoneticPr fontId="13" type="Hiragana"/>
  </si>
  <si>
    <t>年</t>
    <rPh sb="0" eb="1">
      <t>ネン</t>
    </rPh>
    <phoneticPr fontId="39"/>
  </si>
  <si>
    <t>月</t>
    <rPh sb="0" eb="1">
      <t>ツキ</t>
    </rPh>
    <phoneticPr fontId="39"/>
  </si>
  <si>
    <t>ｱｰｸﾙ</t>
  </si>
  <si>
    <r>
      <rPr>
        <b/>
        <sz val="9"/>
        <color rgb="FFFF0000"/>
        <rFont val="メイリオ"/>
        <family val="3"/>
        <charset val="128"/>
      </rPr>
      <t>トーカン</t>
    </r>
    <r>
      <rPr>
        <b/>
        <sz val="9"/>
        <color theme="3" tint="-0.499984740745262"/>
        <rFont val="メイリオ"/>
        <family val="3"/>
        <charset val="128"/>
      </rPr>
      <t>→コトブキ→山桜</t>
    </r>
    <phoneticPr fontId="13" type="Hiragana"/>
  </si>
  <si>
    <t>積込</t>
  </si>
  <si>
    <t>回収シフト  第1  月曜日</t>
    <rPh sb="0" eb="2">
      <t>カイシュウ</t>
    </rPh>
    <rPh sb="7" eb="8">
      <t>ダイ</t>
    </rPh>
    <rPh sb="11" eb="14">
      <t>ゲツヨウビ</t>
    </rPh>
    <phoneticPr fontId="11"/>
  </si>
  <si>
    <t>課題</t>
    <rPh sb="0" eb="2">
      <t>かだい</t>
    </rPh>
    <phoneticPr fontId="13" type="Hiragana"/>
  </si>
  <si>
    <t>進行中</t>
    <rPh sb="0" eb="3">
      <t>しんこうちゅう</t>
    </rPh>
    <phoneticPr fontId="13" type="Hiragana"/>
  </si>
  <si>
    <t>山桜→コトブキ→山桜</t>
    <rPh sb="0" eb="2">
      <t>ヤマザクラ</t>
    </rPh>
    <phoneticPr fontId="7"/>
  </si>
  <si>
    <t>面接</t>
  </si>
  <si>
    <t>解決案</t>
    <rPh sb="0" eb="3">
      <t>かいけつあん</t>
    </rPh>
    <phoneticPr fontId="13" type="Hiragana"/>
  </si>
  <si>
    <t>達成</t>
    <rPh sb="0" eb="2">
      <t>たっせい</t>
    </rPh>
    <phoneticPr fontId="13" type="Hiragana"/>
  </si>
  <si>
    <t>／万里</t>
    <phoneticPr fontId="13" type="Hiragana"/>
  </si>
  <si>
    <t>ｱｻﾋｳﾝｿｳ</t>
  </si>
  <si>
    <r>
      <t>山桜→コトブキ→山桜</t>
    </r>
    <r>
      <rPr>
        <b/>
        <sz val="9"/>
        <rFont val="メイリオ"/>
        <family val="3"/>
        <charset val="128"/>
      </rPr>
      <t>→</t>
    </r>
    <r>
      <rPr>
        <b/>
        <sz val="9"/>
        <color rgb="FFFF0000"/>
        <rFont val="メイリオ"/>
        <family val="3"/>
        <charset val="128"/>
      </rPr>
      <t>トーカン</t>
    </r>
    <rPh sb="0" eb="2">
      <t>ヤマザクラ</t>
    </rPh>
    <phoneticPr fontId="7"/>
  </si>
  <si>
    <t>会議</t>
  </si>
  <si>
    <t>回収シフト  第2  月曜日</t>
    <rPh sb="11" eb="12">
      <t>げつ</t>
    </rPh>
    <phoneticPr fontId="13" type="Hiragana"/>
  </si>
  <si>
    <t>考察</t>
    <rPh sb="0" eb="2">
      <t>こうさつ</t>
    </rPh>
    <phoneticPr fontId="13" type="Hiragana"/>
  </si>
  <si>
    <t>ボツ</t>
    <phoneticPr fontId="13" type="Hiragana"/>
  </si>
  <si>
    <t>ｲｼﾀﾞｾｲｻｸｼｮ</t>
  </si>
  <si>
    <r>
      <t>山桜→山桜→</t>
    </r>
    <r>
      <rPr>
        <b/>
        <sz val="9"/>
        <color rgb="FFFF0000"/>
        <rFont val="メイリオ"/>
        <family val="3"/>
        <charset val="128"/>
      </rPr>
      <t>トーカン</t>
    </r>
    <rPh sb="0" eb="2">
      <t>ヤマザクラ</t>
    </rPh>
    <phoneticPr fontId="7"/>
  </si>
  <si>
    <t>所長出張</t>
  </si>
  <si>
    <t>回収シフト  第3  金曜日</t>
    <rPh sb="7" eb="8">
      <t>ダイ</t>
    </rPh>
    <rPh sb="11" eb="14">
      <t>キンヨウビ</t>
    </rPh>
    <phoneticPr fontId="11"/>
  </si>
  <si>
    <t>LIXIL厚木</t>
    <phoneticPr fontId="11"/>
  </si>
  <si>
    <t>山桜→湘南ﾘﾝﾃｯｸ→山桜      →ｺﾄﾌﾞｷ</t>
    <phoneticPr fontId="13" type="Hiragana"/>
  </si>
  <si>
    <t>所長山桜出張</t>
  </si>
  <si>
    <t>回収シフト  第3  木曜日</t>
    <rPh sb="0" eb="2">
      <t>カイシュウ</t>
    </rPh>
    <rPh sb="7" eb="8">
      <t>ダイ</t>
    </rPh>
    <rPh sb="11" eb="14">
      <t>モクヨウビ</t>
    </rPh>
    <phoneticPr fontId="11"/>
  </si>
  <si>
    <t>ｳﾂﾉﾐﾔﾚｼﾞ</t>
  </si>
  <si>
    <r>
      <t>山桜→</t>
    </r>
    <r>
      <rPr>
        <b/>
        <sz val="9"/>
        <color rgb="FFFF0000"/>
        <rFont val="メイリオ"/>
        <family val="3"/>
        <charset val="128"/>
      </rPr>
      <t>トーカン</t>
    </r>
    <r>
      <rPr>
        <b/>
        <sz val="9"/>
        <color theme="3" tint="-0.499984740745262"/>
        <rFont val="メイリオ"/>
        <family val="3"/>
        <charset val="128"/>
      </rPr>
      <t>→山桜</t>
    </r>
    <phoneticPr fontId="13" type="Hiragana"/>
  </si>
  <si>
    <t>所長トーモク出張</t>
  </si>
  <si>
    <t>回収シフト  第2  火曜日</t>
    <rPh sb="7" eb="8">
      <t>ダイ</t>
    </rPh>
    <rPh sb="11" eb="14">
      <t>カヨウビ</t>
    </rPh>
    <phoneticPr fontId="11"/>
  </si>
  <si>
    <t>ESPOT(BY+PS)AM</t>
  </si>
  <si>
    <t>山桜→トーカン→山桜　　　→ｺﾄﾌﾞｷﾊﾟｯｸ</t>
  </si>
  <si>
    <t>所長御殿場出張</t>
  </si>
  <si>
    <t>回収シフト  第4  火曜日</t>
    <rPh sb="7" eb="8">
      <t>ダイ</t>
    </rPh>
    <rPh sb="11" eb="14">
      <t>カヨウビ</t>
    </rPh>
    <phoneticPr fontId="11"/>
  </si>
  <si>
    <t>ｴｽﾎﾟｯﾄﾊﾞｯｸﾔｰﾄﾞ㏘</t>
  </si>
  <si>
    <t>ESPOT(BY+PS)PM</t>
  </si>
  <si>
    <t>山桜→山桜</t>
  </si>
  <si>
    <t>倉庫内作業・現場補助</t>
    <rPh sb="0" eb="5">
      <t>そうこないさぎょう</t>
    </rPh>
    <rPh sb="6" eb="10">
      <t>げんばほじょ</t>
    </rPh>
    <phoneticPr fontId="13" type="Hiragana"/>
  </si>
  <si>
    <t>ｴｽﾎﾟｯﾄﾎﾟｲﾝﾄｼｽﾃﾑ㏂</t>
  </si>
  <si>
    <t>ESPOT(PS)AM</t>
  </si>
  <si>
    <t>山桜→山桜→ｺﾄﾌﾞｷﾊﾟｯｸ</t>
  </si>
  <si>
    <t>現場</t>
  </si>
  <si>
    <t>ｴｽﾎﾟｯﾄﾎﾟｲﾝﾄｼｽﾃﾑ㏘</t>
  </si>
  <si>
    <t>ESPOT(PS)PM</t>
  </si>
  <si>
    <t>山桜→山桜→山桜</t>
    <phoneticPr fontId="13" type="Hiragana"/>
  </si>
  <si>
    <t>回収立会</t>
    <rPh sb="2" eb="4">
      <t>たちあい</t>
    </rPh>
    <phoneticPr fontId="13" type="Hiragana"/>
  </si>
  <si>
    <t>山桜→湘南ﾘﾝﾃｯｸ→山桜</t>
  </si>
  <si>
    <t>現地休憩</t>
  </si>
  <si>
    <t>5122PK</t>
  </si>
  <si>
    <t>ｴﾊﾞﾈｸｽﾄ</t>
  </si>
  <si>
    <r>
      <t xml:space="preserve">山桜→湘南ﾘﾝﾃｯｸ→山桜      </t>
    </r>
    <r>
      <rPr>
        <b/>
        <sz val="9"/>
        <rFont val="メイリオ"/>
        <family val="3"/>
        <charset val="128"/>
      </rPr>
      <t>→</t>
    </r>
    <r>
      <rPr>
        <b/>
        <sz val="9"/>
        <color rgb="FFFF0000"/>
        <rFont val="メイリオ"/>
        <family val="3"/>
        <charset val="128"/>
      </rPr>
      <t>トーカン</t>
    </r>
    <rPh sb="0" eb="2">
      <t>ヤマザクラ</t>
    </rPh>
    <phoneticPr fontId="7"/>
  </si>
  <si>
    <t>前半休憩</t>
    <rPh sb="0" eb="2">
      <t>ぜんはん</t>
    </rPh>
    <phoneticPr fontId="13" type="Hiragana"/>
  </si>
  <si>
    <t>休憩</t>
  </si>
  <si>
    <t>帰社次第 休憩</t>
    <rPh sb="5" eb="7">
      <t>きゅうけい</t>
    </rPh>
    <phoneticPr fontId="13" type="Hiragana"/>
  </si>
  <si>
    <t>＋1ヵ所</t>
    <rPh sb="3" eb="4">
      <t>しょ</t>
    </rPh>
    <phoneticPr fontId="13" type="Hiragana"/>
  </si>
  <si>
    <t>　⇒　　⇒　　⇒　　⇒</t>
  </si>
  <si>
    <t>／畑澤</t>
  </si>
  <si>
    <t>ｶﾝﾅﾐｱｸｱｼｽﾃﾑ</t>
  </si>
  <si>
    <t>　⇐　　⇐　　⇐　　⇐</t>
  </si>
  <si>
    <t>ｶﾝﾎﾟｳｽﾁｰﾙ</t>
  </si>
  <si>
    <t>PK車メンテナンス★2267</t>
  </si>
  <si>
    <t>／片山</t>
  </si>
  <si>
    <t>ｸﾘｴｲﾄ原当麻店</t>
    <rPh sb="5" eb="8">
      <t>ハラタイマ</t>
    </rPh>
    <rPh sb="8" eb="9">
      <t>テン</t>
    </rPh>
    <phoneticPr fontId="7"/>
  </si>
  <si>
    <t>PK車メンテナンス★5122</t>
  </si>
  <si>
    <t>PK車メンテナンス★2025</t>
  </si>
  <si>
    <t>2618PK</t>
  </si>
  <si>
    <t>PK車点検修理★2267</t>
  </si>
  <si>
    <t>ｸﾘﾅｯﾌﾟ</t>
  </si>
  <si>
    <t>PK車点検修理★5122</t>
  </si>
  <si>
    <t>ｺｳﾖｳ(ﾀﾞｲﾆｶﾞﾂ)</t>
  </si>
  <si>
    <t>PK車点検修理★2025</t>
    <rPh sb="3" eb="7">
      <t>てんけんしゅうり</t>
    </rPh>
    <phoneticPr fontId="13" type="Hiragana"/>
  </si>
  <si>
    <t>1㌧車点検修理★6902</t>
    <rPh sb="2" eb="3">
      <t>くるま</t>
    </rPh>
    <rPh sb="3" eb="7">
      <t>てんけんしゅうり</t>
    </rPh>
    <phoneticPr fontId="13" type="Hiragana"/>
  </si>
  <si>
    <t>↑未定</t>
    <rPh sb="1" eb="3">
      <t>みてい</t>
    </rPh>
    <phoneticPr fontId="13" type="Hiragana"/>
  </si>
  <si>
    <t>ｺﾉｲｹｳﾝﾕ</t>
  </si>
  <si>
    <t>鴻池運輸</t>
    <rPh sb="0" eb="2">
      <t>このいけ</t>
    </rPh>
    <rPh sb="2" eb="4">
      <t>うんゆ</t>
    </rPh>
    <phoneticPr fontId="13" type="Hiragana"/>
  </si>
  <si>
    <t>ｽﾎﾟｯﾄ枠</t>
  </si>
  <si>
    <t>木ﾊﾟﾚｯﾄ処分</t>
    <rPh sb="0" eb="1">
      <t>き</t>
    </rPh>
    <rPh sb="6" eb="8">
      <t>しょぶん</t>
    </rPh>
    <phoneticPr fontId="13" type="Hiragana"/>
  </si>
  <si>
    <t>小山㈱厚木</t>
    <rPh sb="3" eb="5">
      <t>あつぎ</t>
    </rPh>
    <phoneticPr fontId="13" type="Hiragana"/>
  </si>
  <si>
    <t>発泡スチロール</t>
    <rPh sb="0" eb="2">
      <t>はっぽう</t>
    </rPh>
    <phoneticPr fontId="13" type="Hiragana"/>
  </si>
  <si>
    <t>小山㈱戸塚</t>
    <rPh sb="0" eb="2">
      <t>こやま</t>
    </rPh>
    <rPh sb="3" eb="5">
      <t>とつか</t>
    </rPh>
    <phoneticPr fontId="13" type="Hiragana"/>
  </si>
  <si>
    <t>廃棄処分</t>
    <rPh sb="0" eb="2">
      <t>はいき</t>
    </rPh>
    <rPh sb="2" eb="4">
      <t>しょぶん</t>
    </rPh>
    <phoneticPr fontId="13" type="Hiragana"/>
  </si>
  <si>
    <t>機密書類</t>
    <rPh sb="0" eb="4">
      <t>きみつしょるい</t>
    </rPh>
    <phoneticPr fontId="13" type="Hiragana"/>
  </si>
  <si>
    <t>片山さん休み</t>
  </si>
  <si>
    <t>松明さん休み</t>
  </si>
  <si>
    <t>万里さん休み</t>
  </si>
  <si>
    <t>自衛隊久里浜駐屯地</t>
  </si>
  <si>
    <t>畑澤さん休み</t>
  </si>
  <si>
    <t>ｼｷｼﾏｾｲﾊﾟﾝﾊﾟｽｺ</t>
  </si>
  <si>
    <t>菊地さん休み</t>
    <rPh sb="0" eb="2">
      <t>きくち</t>
    </rPh>
    <phoneticPr fontId="13" type="Hiragana"/>
  </si>
  <si>
    <t>岩佐さん休み</t>
    <rPh sb="0" eb="2">
      <t>いわさ</t>
    </rPh>
    <phoneticPr fontId="13" type="Hiragana"/>
  </si>
  <si>
    <t>ｼﾞｬｸｿﾝ･ﾗﾎﾞﾗﾄﾘｰ･ｼﾞｬﾊﾟﾝ</t>
  </si>
  <si>
    <t>鈴木さん休み</t>
    <rPh sb="0" eb="2">
      <t>すずき</t>
    </rPh>
    <rPh sb="4" eb="5">
      <t>やす</t>
    </rPh>
    <phoneticPr fontId="13" type="Hiragana"/>
  </si>
  <si>
    <t>吉田さん休み</t>
    <rPh sb="0" eb="2">
      <t>よしだ</t>
    </rPh>
    <rPh sb="4" eb="5">
      <t>やす</t>
    </rPh>
    <phoneticPr fontId="13" type="Hiragana"/>
  </si>
  <si>
    <t>ｽﾄﾘｯｸｺﾝｻﾙﾃｨﾝｸﾞ</t>
  </si>
  <si>
    <t>藤川さん休み</t>
    <rPh sb="0" eb="2">
      <t>ふじかわ</t>
    </rPh>
    <rPh sb="4" eb="5">
      <t>やす</t>
    </rPh>
    <phoneticPr fontId="13" type="Hiragana"/>
  </si>
  <si>
    <t>ｾｲﾐﾂﾋﾗﾂｶ</t>
  </si>
  <si>
    <t>健康診断</t>
    <rPh sb="0" eb="4">
      <t>けんこうしんだん</t>
    </rPh>
    <phoneticPr fontId="13" type="Hiragana"/>
  </si>
  <si>
    <t>後藤検査員</t>
    <rPh sb="0" eb="2">
      <t>ごとう</t>
    </rPh>
    <rPh sb="2" eb="5">
      <t>けんさいん</t>
    </rPh>
    <phoneticPr fontId="13" type="Hiragana"/>
  </si>
  <si>
    <t>ｾﾌﾃｨ</t>
  </si>
  <si>
    <t>段ボール</t>
    <rPh sb="0" eb="1">
      <t>だん</t>
    </rPh>
    <phoneticPr fontId="13" type="Hiragana"/>
  </si>
  <si>
    <t>2267PK</t>
  </si>
  <si>
    <t>ｽﾄﾚｯﾁ</t>
  </si>
  <si>
    <t>ｹﾞﾎﾞｰﾙ</t>
  </si>
  <si>
    <t>高山常温一括ｾﾝﾀｰAM</t>
    <rPh sb="0" eb="2">
      <t>たかやま</t>
    </rPh>
    <rPh sb="2" eb="6">
      <t>じょうおんいっかつ</t>
    </rPh>
    <phoneticPr fontId="13" type="Hiragana"/>
  </si>
  <si>
    <t>高山常温一括ｾﾝﾀｰPM</t>
    <rPh sb="0" eb="2">
      <t>たかやま</t>
    </rPh>
    <rPh sb="2" eb="6">
      <t>じょうおんいっかつ</t>
    </rPh>
    <phoneticPr fontId="13" type="Hiragana"/>
  </si>
  <si>
    <t>1㌧6902</t>
  </si>
  <si>
    <t>ﾀｷｹﾞﾝ</t>
  </si>
  <si>
    <t>岩佐</t>
    <rPh sb="0" eb="2">
      <t>いわさ</t>
    </rPh>
    <phoneticPr fontId="13" type="Hiragana"/>
  </si>
  <si>
    <t>ﾀｷﾛﾝｼｰｱｲ</t>
  </si>
  <si>
    <t>ﾁｸﾌﾞｶﾐｴﾁ</t>
  </si>
  <si>
    <t>ﾁｸﾌﾞｶﾐｴﾁ･ｹﾞ</t>
  </si>
  <si>
    <t>ﾁｸﾌﾞｶﾐｴﾁ･ﾆｵｲ</t>
  </si>
  <si>
    <t>ﾁｸﾌﾞｶﾐﾐｿﾞ･ｹﾞ</t>
  </si>
  <si>
    <t>ﾁｸﾌﾞｶﾐﾐｿﾞ･ﾀﾞﾝ</t>
  </si>
  <si>
    <t>ﾁｸﾌﾞ上溝★段ﾎﾞｰﾙ</t>
    <rPh sb="7" eb="8">
      <t>だん</t>
    </rPh>
    <phoneticPr fontId="13" type="Hiragana"/>
  </si>
  <si>
    <t>ﾂﾙﾐｾｲｼ</t>
  </si>
  <si>
    <t>鈴木</t>
    <rPh sb="0" eb="2">
      <t>すずき</t>
    </rPh>
    <phoneticPr fontId="13" type="Hiragana"/>
  </si>
  <si>
    <t>藤川</t>
    <rPh sb="0" eb="2">
      <t>ふじかわ</t>
    </rPh>
    <phoneticPr fontId="13" type="Hiragana"/>
  </si>
  <si>
    <t>ﾄｳｷｮｳｹﾝﾌﾞﾝｼｬ</t>
  </si>
  <si>
    <t>ﾄｳｷｮｳｽﾁｰﾙｾﾝﾀｰ</t>
  </si>
  <si>
    <t>ﾄｳｷｮｳﾚｲｷ(ｱﾂｷﾞ)</t>
  </si>
  <si>
    <t>東京冷機(厚木)</t>
    <rPh sb="0" eb="2">
      <t>トウキョウ</t>
    </rPh>
    <rPh sb="2" eb="4">
      <t>レイキ</t>
    </rPh>
    <rPh sb="5" eb="7">
      <t>アツギ</t>
    </rPh>
    <phoneticPr fontId="7"/>
  </si>
  <si>
    <t>ﾄｳｷｮｳﾚｲｷ(ｶﾅｶﾞﾜ)</t>
  </si>
  <si>
    <t>東京冷機(神奈川)</t>
    <rPh sb="3" eb="4">
      <t>キ</t>
    </rPh>
    <phoneticPr fontId="7"/>
  </si>
  <si>
    <t>ﾄｳｷｮｳﾚｲｷ(ｼｮｳﾅﾝ)</t>
  </si>
  <si>
    <t>東京冷機(湘南)</t>
    <rPh sb="3" eb="4">
      <t>キ</t>
    </rPh>
    <phoneticPr fontId="7"/>
  </si>
  <si>
    <t>ﾄｳｷｮｳﾛｼﾞﾌｧｸﾄﾘｰ</t>
  </si>
  <si>
    <t>東京ﾛｼﾞﾌｧｸﾄﾘｰ</t>
    <rPh sb="0" eb="2">
      <t>とうきょう</t>
    </rPh>
    <phoneticPr fontId="13" type="Hiragana"/>
  </si>
  <si>
    <t>都市環境ｻｰﾋﾞｽ</t>
    <rPh sb="0" eb="4">
      <t>としかんきょう</t>
    </rPh>
    <phoneticPr fontId="13" type="Hiragana"/>
  </si>
  <si>
    <t>ﾆｼﾀﾏｳﾝｿｳ</t>
  </si>
  <si>
    <t>上神谷運送厚木</t>
    <rPh sb="0" eb="3">
      <t>にわだに</t>
    </rPh>
    <rPh sb="3" eb="5">
      <t>うんそう</t>
    </rPh>
    <rPh sb="5" eb="7">
      <t>あつぎ</t>
    </rPh>
    <phoneticPr fontId="13" type="Hiragana"/>
  </si>
  <si>
    <t>ﾊｰﾄﾛｼﾞ</t>
  </si>
  <si>
    <t>ﾊﾏｷｮｳﾚｯｸｽ</t>
  </si>
  <si>
    <t>ﾊﾙｳﾗﾗｶﾅｼｮﾎﾞｳ</t>
  </si>
  <si>
    <t>ﾊﾟﾙｼｽﾃﾑｻｶﾞﾐﾊﾗ</t>
  </si>
  <si>
    <t>ﾊﾟﾙｼｽﾃﾑｾｲｶ</t>
  </si>
  <si>
    <t>ﾋﾟｱﾉｳﾝｿｳ</t>
  </si>
  <si>
    <t>ﾋｶﾞｼﾆﾎﾝﾊﾟﾚｯﾄ</t>
  </si>
  <si>
    <t>東日本協同ﾊﾟﾚｯﾄ</t>
    <rPh sb="0" eb="1">
      <t>ひがし</t>
    </rPh>
    <rPh sb="1" eb="3">
      <t>にほん</t>
    </rPh>
    <rPh sb="3" eb="5">
      <t>きょうどう</t>
    </rPh>
    <phoneticPr fontId="13" type="Hiragana"/>
  </si>
  <si>
    <t>ﾋﾞｷﾞ</t>
  </si>
  <si>
    <t>ﾌｼﾞﾃﾞﾝｾﾝ</t>
  </si>
  <si>
    <t>不二家平塚工場</t>
    <rPh sb="0" eb="3">
      <t>ふじや</t>
    </rPh>
    <rPh sb="3" eb="7">
      <t>ひらつかこうじょう</t>
    </rPh>
    <phoneticPr fontId="13" type="Hiragana"/>
  </si>
  <si>
    <t>ﾌｼﾞﾛｼﾞ(ｶﾈﾀﾞ)</t>
  </si>
  <si>
    <t>ﾌｼﾞﾛｼﾞ(ﾅｶﾞﾇﾏ)</t>
  </si>
  <si>
    <t>ﾌｼﾞﾛｼﾞﾄｳﾒｲｱﾂｷﾞ</t>
  </si>
  <si>
    <t>ﾌｼﾞﾛｼﾞﾅｶﾞﾇﾏ(ｼﾞ</t>
  </si>
  <si>
    <t>ﾌｼﾞﾛｼﾞﾖｺﾊﾏﾏﾁﾀﾞ</t>
  </si>
  <si>
    <t>ﾌﾞﾘﾁﾞｽﾄﾝﾖｺﾊﾏ</t>
  </si>
  <si>
    <t>ﾌﾞﾘｼﾞｽﾄﾝ横浜工場</t>
    <rPh sb="8" eb="12">
      <t>ヨコハマコウジョウ</t>
    </rPh>
    <phoneticPr fontId="7"/>
  </si>
  <si>
    <t>ﾌﾞﾘﾁﾞｽﾄﾝﾖｺﾊﾏｼｶﾝ</t>
  </si>
  <si>
    <t>ﾌﾞﾘｼﾞｽﾄﾝ横浜工場★紙管</t>
    <rPh sb="8" eb="12">
      <t>ヨコハマコウジョウ</t>
    </rPh>
    <phoneticPr fontId="7"/>
  </si>
  <si>
    <t>ﾎﾝﾏｺﾞﾙﾌ</t>
  </si>
  <si>
    <t>Maxvalue秦野</t>
    <rPh sb="8" eb="10">
      <t>はたの</t>
    </rPh>
    <phoneticPr fontId="13" type="Hiragana"/>
  </si>
  <si>
    <t>ﾏｯｸｽﾊﾞﾘｭｰﾊﾀﾞﾉ/ｼ</t>
  </si>
  <si>
    <t>Maxvalue秦野/新聞雑誌</t>
    <rPh sb="0" eb="15">
      <t>しんぶんざっし</t>
    </rPh>
    <phoneticPr fontId="13" type="Hiragana"/>
  </si>
  <si>
    <t>ﾏｯｸｽﾊﾞﾘｭｰﾊﾀﾞﾉ/ﾀﾞ</t>
  </si>
  <si>
    <t>Maxvalue秦野/段ﾎﾞｰﾙ/ﾍﾟｯﾄB</t>
  </si>
  <si>
    <t>ﾏﾙｲﾁ</t>
  </si>
  <si>
    <t>ﾏﾙｺﾏ</t>
  </si>
  <si>
    <t>ﾐﾂｲｿｳｺ</t>
  </si>
  <si>
    <t>ﾔﾏｻﾞｷﾊｸﾞﾙﾏ</t>
  </si>
  <si>
    <t>山崎歯車 伊勢原(ｽﾎﾟｯﾄ)</t>
    <rPh sb="5" eb="8">
      <t>いせはら</t>
    </rPh>
    <phoneticPr fontId="13" type="Hiragana"/>
  </si>
  <si>
    <t>山崎歯車 戸田(ｽﾎﾟｯﾄ)</t>
    <rPh sb="5" eb="7">
      <t>とだ</t>
    </rPh>
    <phoneticPr fontId="13" type="Hiragana"/>
  </si>
  <si>
    <t>ﾔﾏｻﾞｸﾗ</t>
  </si>
  <si>
    <t>ﾕｳｹﾞﾝ</t>
  </si>
  <si>
    <t>裕源</t>
  </si>
  <si>
    <t>ﾕｳﾘﾝﾄﾞｳ</t>
  </si>
  <si>
    <t>ﾕﾆﾏｯﾄﾌｼﾞｻﾜ</t>
  </si>
  <si>
    <t>ﾕﾆﾏｯﾄﾗｲﾌｱﾂｷﾞ</t>
  </si>
  <si>
    <t>ﾕﾆﾏｯﾄﾚﾝﾀﾙｱﾂｷﾞ</t>
  </si>
  <si>
    <t>ﾘｸｼﾙｱﾂｷﾞ</t>
  </si>
  <si>
    <t>LIXIL厚木(弟３金)</t>
    <rPh sb="5" eb="7">
      <t>アツギ</t>
    </rPh>
    <rPh sb="8" eb="9">
      <t>ダイ</t>
    </rPh>
    <rPh sb="10" eb="11">
      <t>キン</t>
    </rPh>
    <phoneticPr fontId="7"/>
  </si>
  <si>
    <t>ﾛｼﾞｽﾃｨｯｸﾈｯﾄﾜｰｸ(ｷｮｸﾚｲ)</t>
  </si>
  <si>
    <t>ﾜｾﾀﾞｱｶﾃﾞﾐｰ(ｱﾂｷﾞ</t>
  </si>
  <si>
    <t>所長会議</t>
    <rPh sb="0" eb="2">
      <t>しょちょう</t>
    </rPh>
    <phoneticPr fontId="13" type="Hiragana"/>
  </si>
  <si>
    <t>回収立会/打合せ</t>
    <rPh sb="2" eb="4">
      <t>たちあい</t>
    </rPh>
    <rPh sb="5" eb="7">
      <t>うちあわ</t>
    </rPh>
    <phoneticPr fontId="13" type="Hiragana"/>
  </si>
  <si>
    <t>ﾊﾟﾚｯﾄ処分</t>
    <rPh sb="5" eb="7">
      <t>しょぶん</t>
    </rPh>
    <phoneticPr fontId="13" type="Hiragana"/>
  </si>
  <si>
    <t>鏡紙業</t>
    <rPh sb="0" eb="3">
      <t>かがみしぎょう</t>
    </rPh>
    <phoneticPr fontId="13" type="Hiragana"/>
  </si>
  <si>
    <t>吉田さん休み</t>
    <rPh sb="4" eb="5">
      <t>やす</t>
    </rPh>
    <phoneticPr fontId="13" type="Hiragana"/>
  </si>
  <si>
    <t>ｹﾞﾎﾞｰﾙ</t>
    <phoneticPr fontId="13" type="Hiragana"/>
  </si>
  <si>
    <t>A</t>
  </si>
  <si>
    <t>B</t>
  </si>
  <si>
    <t>C</t>
  </si>
  <si>
    <t>D</t>
  </si>
  <si>
    <t>:15</t>
  </si>
  <si>
    <t>:30</t>
  </si>
  <si>
    <t>:45</t>
  </si>
  <si>
    <t xml:space="preserve">7:00 </t>
  </si>
  <si>
    <t xml:space="preserve">8:00 </t>
  </si>
  <si>
    <t>ﾕｱｻ･ﾌﾅｼｮｸ㈱</t>
  </si>
  <si>
    <t>富士ﾛｼﾞ長沼(事</t>
  </si>
  <si>
    <t xml:space="preserve">9:00 </t>
  </si>
  <si>
    <t>本間ｺﾞﾙﾌ</t>
  </si>
  <si>
    <t>富士ﾛｼﾞ金田</t>
  </si>
  <si>
    <t>ﾕﾆﾏｯﾄlife厚木</t>
  </si>
  <si>
    <t>富士ﾛｼﾞ横浜町田</t>
  </si>
  <si>
    <t xml:space="preserve">11:00 </t>
  </si>
  <si>
    <t>ﾕﾆﾏｯﾄ藤沢</t>
  </si>
  <si>
    <t xml:space="preserve">12:00 </t>
  </si>
  <si>
    <t xml:space="preserve">13:00 </t>
  </si>
  <si>
    <t>春うららかな書房</t>
  </si>
  <si>
    <t xml:space="preserve">14:00 </t>
  </si>
  <si>
    <t xml:space="preserve">15:00 </t>
  </si>
  <si>
    <t>富士ﾛｼﾞ東名厚木</t>
  </si>
  <si>
    <t xml:space="preserve">16:00 </t>
  </si>
  <si>
    <t xml:space="preserve">17:00 </t>
  </si>
  <si>
    <t xml:space="preserve">18:00 </t>
  </si>
  <si>
    <t>三井倉庫</t>
  </si>
  <si>
    <t>ﾊﾟﾙｼｽﾃﾑ相模原</t>
  </si>
  <si>
    <t>ﾊﾟﾙｼｽﾃﾑ青果</t>
  </si>
  <si>
    <t>有隣堂</t>
  </si>
  <si>
    <t>早稲田ｱｶﾃﾞﾐｰ(厚木</t>
  </si>
  <si>
    <t>ﾁｸﾌﾞ上依知★臭</t>
  </si>
  <si>
    <t>2267PK／片山</t>
    <rPh sb="7" eb="9">
      <t>カタヤマ</t>
    </rPh>
    <phoneticPr fontId="11"/>
  </si>
  <si>
    <t>5122PK／後藤</t>
  </si>
  <si>
    <t>旭運送</t>
  </si>
  <si>
    <t>丸駒</t>
  </si>
  <si>
    <t>富士電線</t>
  </si>
  <si>
    <t>ﾋﾟｱﾉ運送</t>
  </si>
  <si>
    <t>ﾕﾆﾏｯﾄﾚﾝﾀﾙ厚木</t>
  </si>
  <si>
    <t>西多摩運送</t>
  </si>
  <si>
    <t>敷島製ﾊﾟﾝ(ﾊﾟｽｺ)</t>
  </si>
  <si>
    <t>日本ﾛｼﾞ</t>
  </si>
  <si>
    <t>ｵｰﾄﾊﾞｯｸｽ伊勢原</t>
  </si>
  <si>
    <t>2267PK／畑澤</t>
    <rPh sb="7" eb="9">
      <t>ハタザワ</t>
    </rPh>
    <phoneticPr fontId="11"/>
  </si>
  <si>
    <t>2267PK／後藤</t>
  </si>
  <si>
    <t>2025PK／片山</t>
  </si>
  <si>
    <t>2025PK／畑澤</t>
  </si>
  <si>
    <t>畑澤</t>
  </si>
  <si>
    <t>2025PK／畑澤</t>
    <rPh sb="7" eb="9">
      <t>ハタザワ</t>
    </rPh>
    <phoneticPr fontId="11"/>
  </si>
  <si>
    <t xml:space="preserve">10:00 </t>
  </si>
  <si>
    <t>ﾁｸﾌﾞ上溝★段ﾎﾞｰﾙ</t>
  </si>
  <si>
    <t>宇都宮螺子(第三木)</t>
  </si>
  <si>
    <t/>
  </si>
  <si>
    <t>D</t>
    <phoneticPr fontId="11"/>
  </si>
  <si>
    <t>関包ｽﾁｰﾙ</t>
  </si>
  <si>
    <t>通知</t>
    <rPh sb="0" eb="2">
      <t>つうち</t>
    </rPh>
    <phoneticPr fontId="13" type="Hiragana"/>
  </si>
  <si>
    <t>富士電線→</t>
    <rPh sb="0" eb="4">
      <t>フジデンセン</t>
    </rPh>
    <phoneticPr fontId="41"/>
  </si>
  <si>
    <t>早出→</t>
    <phoneticPr fontId="13" type="Hiragana"/>
  </si>
  <si>
    <t>休み→</t>
    <rPh sb="0" eb="1">
      <t>ヤス</t>
    </rPh>
    <phoneticPr fontId="39"/>
  </si>
  <si>
    <t>現場/交代要員</t>
  </si>
  <si>
    <t>今日の予定→</t>
    <rPh sb="0" eb="2">
      <t>きょう</t>
    </rPh>
    <rPh sb="3" eb="5">
      <t>よてい</t>
    </rPh>
    <phoneticPr fontId="13" type="Hiragana"/>
  </si>
  <si>
    <t>東京ﾛｼﾞﾌｧｸﾄﾘｰ</t>
  </si>
  <si>
    <t>富士ﾛｼﾞ長沼</t>
  </si>
  <si>
    <t>ｳｪﾙｼｱ相模田名店</t>
  </si>
  <si>
    <t>上神谷運送厚木</t>
  </si>
  <si>
    <t>E</t>
  </si>
  <si>
    <t>高山常温一括ｾﾝﾀｰAM</t>
  </si>
  <si>
    <t>不二家平塚工場</t>
  </si>
  <si>
    <t>高山常温一括ｾﾝﾀｰPM</t>
  </si>
  <si>
    <t>ｸﾘｴｲﾄ平塚中原店</t>
  </si>
  <si>
    <t>ｸﾘｴｲﾄ平塚長持店</t>
  </si>
  <si>
    <t>ｸﾘｴｲﾄ原当麻店</t>
  </si>
  <si>
    <t>1㌧6902／吉田</t>
  </si>
  <si>
    <t>2618PK／後藤</t>
  </si>
  <si>
    <t>2618PK／片山</t>
  </si>
  <si>
    <t>D</t>
    <phoneticPr fontId="13" type="Hiragana"/>
  </si>
  <si>
    <t>㈱ｴﾃﾞｨｽﾀ</t>
  </si>
  <si>
    <t>小山㈱戸塚</t>
  </si>
  <si>
    <t>小山㈱厚木</t>
  </si>
  <si>
    <t>㈱ｻｰﾄﾞｳｪｰﾌﾞ</t>
  </si>
  <si>
    <t>週</t>
    <rPh sb="0" eb="1">
      <t>シュウ</t>
    </rPh>
    <phoneticPr fontId="11"/>
  </si>
  <si>
    <t>A</t>
    <phoneticPr fontId="11"/>
  </si>
  <si>
    <t>B</t>
    <phoneticPr fontId="11"/>
  </si>
  <si>
    <t>C</t>
    <phoneticPr fontId="11"/>
  </si>
  <si>
    <t>E</t>
    <phoneticPr fontId="11"/>
  </si>
  <si>
    <t>現場/交代要員</t>
    <rPh sb="0" eb="2">
      <t>ゲンバ</t>
    </rPh>
    <rPh sb="3" eb="5">
      <t>コウタイ</t>
    </rPh>
    <rPh sb="5" eb="7">
      <t>ヨウイン</t>
    </rPh>
    <phoneticPr fontId="11"/>
  </si>
  <si>
    <t>ど現場</t>
    <rPh sb="1" eb="3">
      <t>ゲンバ</t>
    </rPh>
    <phoneticPr fontId="11"/>
  </si>
  <si>
    <t>後藤</t>
    <rPh sb="0" eb="2">
      <t>ゴトウ</t>
    </rPh>
    <phoneticPr fontId="11"/>
  </si>
  <si>
    <t>1㌧6902／吉田</t>
    <rPh sb="7" eb="9">
      <t>よしだ</t>
    </rPh>
    <phoneticPr fontId="13" type="Hiragana"/>
  </si>
  <si>
    <t>松明･岩佐</t>
    <rPh sb="0" eb="2">
      <t>マツメイ</t>
    </rPh>
    <rPh sb="3" eb="5">
      <t>イワサ</t>
    </rPh>
    <phoneticPr fontId="11"/>
  </si>
  <si>
    <t>後藤</t>
  </si>
  <si>
    <t>畑澤</t>
    <rPh sb="0" eb="2">
      <t>ハタザワ</t>
    </rPh>
    <phoneticPr fontId="11"/>
  </si>
  <si>
    <t>片山</t>
    <rPh sb="0" eb="2">
      <t>カタヤマ</t>
    </rPh>
    <phoneticPr fontId="11"/>
  </si>
  <si>
    <t>2618PK／畑澤</t>
    <rPh sb="7" eb="9">
      <t>ハタザワ</t>
    </rPh>
    <phoneticPr fontId="11"/>
  </si>
  <si>
    <t>年</t>
    <rPh sb="0" eb="1">
      <t>トシ</t>
    </rPh>
    <phoneticPr fontId="32"/>
  </si>
  <si>
    <t>日付</t>
    <rPh sb="0" eb="2">
      <t>ヒヅケ</t>
    </rPh>
    <phoneticPr fontId="11"/>
  </si>
  <si>
    <t>曜日</t>
    <rPh sb="0" eb="2">
      <t>ヨウビ</t>
    </rPh>
    <phoneticPr fontId="11"/>
  </si>
  <si>
    <t>祝日</t>
    <rPh sb="0" eb="2">
      <t>シュクジツ</t>
    </rPh>
    <phoneticPr fontId="11"/>
  </si>
  <si>
    <t>予定1</t>
    <rPh sb="0" eb="2">
      <t>ヨテイ</t>
    </rPh>
    <phoneticPr fontId="32"/>
  </si>
  <si>
    <t>予定2</t>
    <rPh sb="0" eb="2">
      <t>ヨテイ</t>
    </rPh>
    <phoneticPr fontId="11"/>
  </si>
  <si>
    <t>予定3</t>
    <rPh sb="0" eb="2">
      <t>ヨテイ</t>
    </rPh>
    <phoneticPr fontId="11"/>
  </si>
  <si>
    <t>予定4</t>
    <rPh sb="0" eb="2">
      <t>ヨテイ</t>
    </rPh>
    <phoneticPr fontId="11"/>
  </si>
  <si>
    <t>予定5</t>
    <rPh sb="0" eb="2">
      <t>ヨテイ</t>
    </rPh>
    <phoneticPr fontId="11"/>
  </si>
  <si>
    <t>予定6</t>
    <rPh sb="0" eb="2">
      <t>ヨテイ</t>
    </rPh>
    <phoneticPr fontId="11"/>
  </si>
  <si>
    <t>予定7</t>
    <rPh sb="0" eb="2">
      <t>ヨテイ</t>
    </rPh>
    <phoneticPr fontId="11"/>
  </si>
  <si>
    <t>予定8</t>
    <rPh sb="0" eb="2">
      <t>ヨテイ</t>
    </rPh>
    <phoneticPr fontId="11"/>
  </si>
  <si>
    <t>Ｄ</t>
    <phoneticPr fontId="11"/>
  </si>
  <si>
    <t>万里</t>
    <rPh sb="0" eb="2">
      <t>マンリ</t>
    </rPh>
    <phoneticPr fontId="32"/>
  </si>
  <si>
    <t>菊地</t>
    <rPh sb="0" eb="2">
      <t>キクチ</t>
    </rPh>
    <phoneticPr fontId="32"/>
  </si>
  <si>
    <t>後藤</t>
    <rPh sb="0" eb="2">
      <t>ゴトウ</t>
    </rPh>
    <phoneticPr fontId="32"/>
  </si>
  <si>
    <t>片山</t>
    <rPh sb="0" eb="2">
      <t>カタヤマ</t>
    </rPh>
    <phoneticPr fontId="32"/>
  </si>
  <si>
    <t>松明</t>
    <rPh sb="0" eb="1">
      <t>マツ</t>
    </rPh>
    <rPh sb="1" eb="2">
      <t>メイ</t>
    </rPh>
    <phoneticPr fontId="32"/>
  </si>
  <si>
    <t>岩佐</t>
    <rPh sb="0" eb="2">
      <t>イワサ</t>
    </rPh>
    <phoneticPr fontId="32"/>
  </si>
  <si>
    <t>畑澤</t>
    <rPh sb="0" eb="2">
      <t>ハタザワ</t>
    </rPh>
    <phoneticPr fontId="32"/>
  </si>
  <si>
    <t>鈴木</t>
    <rPh sb="0" eb="2">
      <t>スズキ</t>
    </rPh>
    <phoneticPr fontId="32"/>
  </si>
  <si>
    <t>藤川</t>
    <rPh sb="0" eb="2">
      <t>フジカワ</t>
    </rPh>
    <phoneticPr fontId="32"/>
  </si>
  <si>
    <t>吉田</t>
    <rPh sb="0" eb="2">
      <t>ヨシダ</t>
    </rPh>
    <phoneticPr fontId="32"/>
  </si>
  <si>
    <t>早出</t>
    <rPh sb="0" eb="2">
      <t>ハヤデ</t>
    </rPh>
    <phoneticPr fontId="32"/>
  </si>
  <si>
    <t>休出</t>
    <rPh sb="0" eb="2">
      <t>キュウシュツ</t>
    </rPh>
    <phoneticPr fontId="32"/>
  </si>
  <si>
    <t>+1休日</t>
    <rPh sb="2" eb="4">
      <t>キュウジツ</t>
    </rPh>
    <phoneticPr fontId="32"/>
  </si>
  <si>
    <t>早出</t>
  </si>
  <si>
    <t>富士電線</t>
    <rPh sb="0" eb="4">
      <t>フジデンセン</t>
    </rPh>
    <phoneticPr fontId="41"/>
  </si>
  <si>
    <t>+1休日</t>
    <rPh sb="2" eb="4">
      <t>キュウジツ</t>
    </rPh>
    <phoneticPr fontId="41"/>
  </si>
  <si>
    <t>休出</t>
    <rPh sb="0" eb="2">
      <t>キュウシュツ</t>
    </rPh>
    <phoneticPr fontId="41"/>
  </si>
  <si>
    <t>有給</t>
    <rPh sb="0" eb="2">
      <t>ユウキュウ</t>
    </rPh>
    <phoneticPr fontId="41"/>
  </si>
  <si>
    <t>早出・休出</t>
    <rPh sb="0" eb="2">
      <t>ハヤデ</t>
    </rPh>
    <rPh sb="3" eb="5">
      <t>キュウシュツ</t>
    </rPh>
    <phoneticPr fontId="32"/>
  </si>
  <si>
    <t>健康診断</t>
    <rPh sb="0" eb="2">
      <t>ケンコウ</t>
    </rPh>
    <rPh sb="2" eb="4">
      <t>シンダン</t>
    </rPh>
    <phoneticPr fontId="32"/>
  </si>
  <si>
    <t>富士電線</t>
    <rPh sb="0" eb="4">
      <t>フジデンセン</t>
    </rPh>
    <phoneticPr fontId="58"/>
  </si>
  <si>
    <t>D</t>
    <phoneticPr fontId="32"/>
  </si>
  <si>
    <r>
      <t>休出・</t>
    </r>
    <r>
      <rPr>
        <b/>
        <sz val="10"/>
        <color rgb="FF00B050"/>
        <rFont val="ＭＳ Ｐゴシック"/>
        <family val="3"/>
        <charset val="128"/>
        <scheme val="minor"/>
      </rPr>
      <t>富電</t>
    </r>
    <rPh sb="0" eb="2">
      <t>キュウシュツ</t>
    </rPh>
    <rPh sb="3" eb="4">
      <t>トミ</t>
    </rPh>
    <rPh sb="4" eb="5">
      <t>デン</t>
    </rPh>
    <phoneticPr fontId="32"/>
  </si>
  <si>
    <t>休出・D</t>
    <rPh sb="0" eb="2">
      <t>キュウシュツ</t>
    </rPh>
    <phoneticPr fontId="32"/>
  </si>
  <si>
    <t>計画有給5</t>
    <rPh sb="0" eb="2">
      <t>ケイカク</t>
    </rPh>
    <rPh sb="2" eb="4">
      <t>ユウキュウ</t>
    </rPh>
    <phoneticPr fontId="32"/>
  </si>
  <si>
    <t>休出富士電</t>
    <phoneticPr fontId="11"/>
  </si>
  <si>
    <t>早出・休出</t>
    <phoneticPr fontId="11"/>
  </si>
  <si>
    <t>早出</t>
    <rPh sb="0" eb="2">
      <t>ハヤデ</t>
    </rPh>
    <phoneticPr fontId="41"/>
  </si>
  <si>
    <t>休み</t>
    <rPh sb="0" eb="1">
      <t>ヤス</t>
    </rPh>
    <phoneticPr fontId="39"/>
  </si>
  <si>
    <t>代休</t>
    <rPh sb="0" eb="1">
      <t>ダイキュウ</t>
    </rPh>
    <phoneticPr fontId="41"/>
  </si>
  <si>
    <t>以下、各関数の解説</t>
    <phoneticPr fontId="32"/>
  </si>
  <si>
    <t>１． MATCH(検査値, 検査範囲)で検査値を5/3、検査範囲を3行目とし、5/3のある列(5)を取得</t>
  </si>
  <si>
    <t>３．INDIRECT(参照文字列) で、参照文字列にはADDRESSで取得した「$E$4」「$E$15」と「:」を連結した文字列「$E$4:$E$15」を指定</t>
  </si>
  <si>
    <t>４．FILTERで「$E$4:$E$15」の中で「$B18(早番)」に該当する行と一致する「$B$4:$B$15」内の値「久保、前田、三宅」を取得</t>
  </si>
  <si>
    <t>５．TEXTJOINで「久保」「前田」「三宅」を「、」で区切り連結</t>
  </si>
  <si>
    <t>６．IFERRORで該当データがない場合(早番がいない場合)は「なし」と表示</t>
  </si>
  <si>
    <t>休出</t>
  </si>
  <si>
    <t>+1休日</t>
  </si>
  <si>
    <t>有給</t>
  </si>
  <si>
    <t>現場 新聞ﾌﾟﾚｽ作業</t>
    <rPh sb="0" eb="2">
      <t>げんば</t>
    </rPh>
    <rPh sb="3" eb="5">
      <t>しんぶん</t>
    </rPh>
    <rPh sb="9" eb="11">
      <t>さぎょう</t>
    </rPh>
    <phoneticPr fontId="13" type="Hiragana"/>
  </si>
  <si>
    <t>回収シフト  第2  水曜日</t>
    <rPh sb="11" eb="12">
      <t>すい</t>
    </rPh>
    <rPh sb="12" eb="14">
      <t>ようび</t>
    </rPh>
    <phoneticPr fontId="13" type="Hiragana"/>
  </si>
  <si>
    <t>裕源・自衛隊</t>
    <rPh sb="0" eb="2">
      <t>ゆうげん</t>
    </rPh>
    <rPh sb="3" eb="6">
      <t>じえいたい</t>
    </rPh>
    <phoneticPr fontId="13" type="Hiragana"/>
  </si>
  <si>
    <t>回収シフト  第4  水曜日</t>
    <rPh sb="11" eb="12">
      <t>すい</t>
    </rPh>
    <rPh sb="12" eb="14">
      <t>ようび</t>
    </rPh>
    <phoneticPr fontId="13" type="Hiragana"/>
  </si>
  <si>
    <t>武部鉄工所</t>
    <rPh sb="0" eb="5">
      <t>たけべてっこうしょ</t>
    </rPh>
    <phoneticPr fontId="13" type="Hiragana"/>
  </si>
  <si>
    <t>武部鉄工所</t>
  </si>
  <si>
    <t>菊地</t>
  </si>
  <si>
    <t>山櫻</t>
  </si>
  <si>
    <t>COTECNA後藤検査員</t>
    <rPh sb="7" eb="9">
      <t>ごとう</t>
    </rPh>
    <rPh sb="9" eb="12">
      <t>けんさいん</t>
    </rPh>
    <phoneticPr fontId="13" type="Hiragana"/>
  </si>
  <si>
    <t>／菊地</t>
  </si>
  <si>
    <t>2025PK／菊地</t>
  </si>
  <si>
    <t>菊地</t>
    <phoneticPr fontId="11"/>
  </si>
  <si>
    <t>2618PK／菊地</t>
  </si>
  <si>
    <t>DAISO</t>
  </si>
  <si>
    <t>ｲｼﾀﾞ製作所</t>
  </si>
  <si>
    <t>ｱﾂｷﾞｼｶﾝｷｮｳｾﾝﾀｰ</t>
  </si>
  <si>
    <t>厚木市環境センター</t>
    <rPh sb="0" eb="3">
      <t>あつぎし</t>
    </rPh>
    <rPh sb="3" eb="5">
      <t>かんきょう</t>
    </rPh>
    <phoneticPr fontId="13" type="Hiragana"/>
  </si>
  <si>
    <t>ｲｰｴﾌｼｰ</t>
  </si>
  <si>
    <t>㈱ E.F.C</t>
  </si>
  <si>
    <t>ｳｪﾙｼｱｻｶﾞﾐﾀﾅ</t>
  </si>
  <si>
    <t>ｴｽﾎﾟｯﾄﾊﾞｯｸﾔｰﾄﾞ㏂</t>
  </si>
  <si>
    <t>ｴﾃﾞｨｽﾀ</t>
  </si>
  <si>
    <t>ｴﾋﾞｽｺｳｳﾝ</t>
  </si>
  <si>
    <t>えびす興運</t>
  </si>
  <si>
    <t>ｵｰﾄﾊﾞｯｸｽｲｾﾊﾗ</t>
  </si>
  <si>
    <t>ｸﾘｴｲﾄﾊﾗﾀｲﾏ</t>
  </si>
  <si>
    <t>ｺｲｽﾞﾐｷｷ</t>
  </si>
  <si>
    <t>小泉機器</t>
    <rPh sb="0" eb="4">
      <t>こいずみ</t>
    </rPh>
    <phoneticPr fontId="13" type="Hiragana"/>
  </si>
  <si>
    <t>広陽(第二月)</t>
  </si>
  <si>
    <t>ｺﾔﾏｶﾌﾞｱﾂｷﾞ</t>
  </si>
  <si>
    <t>ｺﾔﾏｶﾌﾞﾄﾂｶ</t>
  </si>
  <si>
    <t>ｻｰﾄﾞｳｪｰﾌﾞ</t>
  </si>
  <si>
    <t>ｼﾞｴｲﾀｲｸﾘﾊﾏﾁｭｳﾄﾝﾁ</t>
  </si>
  <si>
    <t>ｼﾞｬｸｿﾝ･ﾗﾎﾞﾗﾄﾘｰ･ｼﾞｬﾊﾟﾝｵﾝﾅ</t>
  </si>
  <si>
    <t>ｼﾞｬｸｿﾝ･ﾗﾎﾞﾗﾄﾘｰ･ｼﾞｬﾊﾟﾝ恩名</t>
    <rPh sb="21" eb="23">
      <t>おんな</t>
    </rPh>
    <phoneticPr fontId="13" type="Hiragana"/>
  </si>
  <si>
    <t>㈱ｾｲﾐﾂ平塚工場</t>
  </si>
  <si>
    <t>ﾀﾞｲｿｰ</t>
  </si>
  <si>
    <t>ﾀﾞｲﾜﾊｳｽｲｾﾊﾗ</t>
  </si>
  <si>
    <t>ﾀｶﾔﾏｼﾞｮｳｵﾝｲｯｶﾂｾﾝﾀｰ㏂</t>
  </si>
  <si>
    <t>ﾀｶﾔﾏｼﾞｮｳｵﾝｲｯｶﾂｾﾝﾀｰ㏘</t>
  </si>
  <si>
    <t>ﾀｹﾍﾞﾃｯｺｳｼﾞｮ</t>
  </si>
  <si>
    <t>ﾀﾞﾌﾞｻｰﾌｨﾝｸﾞｳｪｯﾄｽｰﾂ</t>
  </si>
  <si>
    <t>㈲ﾀﾞﾌﾞｻｰﾌｨﾝｸﾞｳｪｯﾄｽｰﾂ</t>
  </si>
  <si>
    <t>ﾀﾏﾋﾟｰｴﾌ</t>
  </si>
  <si>
    <t>相模原･多摩PF</t>
    <rPh sb="0" eb="3">
      <t>さがみはら</t>
    </rPh>
    <rPh sb="4" eb="8">
      <t>たま</t>
    </rPh>
    <phoneticPr fontId="13" type="Hiragana"/>
  </si>
  <si>
    <t>ﾁｸﾌﾞ上依知</t>
  </si>
  <si>
    <t>ﾁｸﾌﾞ上依知★ｹﾞﾎﾞｰﾙ</t>
  </si>
  <si>
    <t>ﾁｸﾌﾞ上溝★ｹﾞﾎﾞｰﾙ</t>
  </si>
  <si>
    <t>ﾃﾞｨｰｴﾇｴｰ</t>
  </si>
  <si>
    <t>横浜DeNAﾍﾞｲｽﾀｰｽﾞ</t>
  </si>
  <si>
    <t>東京研文社</t>
  </si>
  <si>
    <t>東京ｽﾁｰﾙｾﾝﾀｰ</t>
  </si>
  <si>
    <t>ﾄｼｶﾝｷｮｳｻｰﾋﾞｽ</t>
  </si>
  <si>
    <t>日本ｲﾝｼﾞｪｸﾀｰ</t>
  </si>
  <si>
    <t>ﾆﾎﾝｶｺｳｷｻﾞｲ</t>
  </si>
  <si>
    <t>日本化工機材</t>
    <rPh sb="0" eb="6">
      <t>にほん</t>
    </rPh>
    <phoneticPr fontId="13" type="Hiragana"/>
  </si>
  <si>
    <t>ﾆﾜﾀﾞﾆｳﾝｿｳｱﾂｷﾞ</t>
  </si>
  <si>
    <t>ﾊｰｾﾞｽﾄ</t>
  </si>
  <si>
    <t>ﾌｧﾐﾘｰﾏｰﾄﾐﾄﾞﾘｶﾞｵｶ</t>
  </si>
  <si>
    <t>FamilyMart緑ヶ丘</t>
    <rPh sb="10" eb="13">
      <t>みど</t>
    </rPh>
    <phoneticPr fontId="13" type="Hiragana"/>
  </si>
  <si>
    <t>ﾌｼﾞﾔﾋﾗﾂｶｺｳｼﾞｮｳ</t>
  </si>
  <si>
    <t>ﾌﾗｲｽﾀｰﾌﾞﾂﾘｭｳ</t>
  </si>
  <si>
    <t>ﾏｯｸｽﾊﾞﾘｭｰﾊﾀﾞﾉ</t>
  </si>
  <si>
    <t>ﾏﾙｲﾁ(ｽﾎﾟｯﾄ)</t>
  </si>
  <si>
    <t>山桜</t>
  </si>
  <si>
    <t>ﾘﾊﾞｰｸﾚｲﾝ</t>
  </si>
  <si>
    <t>㈱ﾘﾊﾞｰｸﾚｲﾝ</t>
  </si>
  <si>
    <t>倉庫内作業・現場/事務補助</t>
    <rPh sb="0" eb="5">
      <t>そうこないさぎょう</t>
    </rPh>
    <rPh sb="6" eb="8">
      <t>げんば</t>
    </rPh>
    <rPh sb="9" eb="11">
      <t>じむ</t>
    </rPh>
    <rPh sb="11" eb="13">
      <t>ほじょ</t>
    </rPh>
    <phoneticPr fontId="13" type="Hiragana"/>
  </si>
  <si>
    <t>回収</t>
  </si>
  <si>
    <t>　↓　　↓　　↓　　↓　</t>
  </si>
  <si>
    <t>2267PK／菊地</t>
  </si>
  <si>
    <t>Maxvalue秦野/新聞雑誌</t>
  </si>
  <si>
    <t>日本化工機材</t>
  </si>
  <si>
    <t>相模原･多摩PF</t>
  </si>
  <si>
    <t>大和ﾊｳｽ伊勢原</t>
  </si>
  <si>
    <t>小泉機器</t>
  </si>
  <si>
    <t>厚木事業所</t>
  </si>
  <si>
    <t>ｼﾞｬｸｿﾝ･ﾗﾎﾞﾗﾄﾘｰ･ｼﾞｬﾊﾟﾝ恩名</t>
  </si>
  <si>
    <t>東京冷機(厚木)</t>
  </si>
  <si>
    <t>+1休日</t>
    <rPh sb="2" eb="4">
      <t>キュウジツ</t>
    </rPh>
    <phoneticPr fontId="71"/>
  </si>
  <si>
    <t>休出</t>
    <rPh sb="0" eb="2">
      <t>キュウシュツ</t>
    </rPh>
    <phoneticPr fontId="71"/>
  </si>
  <si>
    <t>早出</t>
    <rPh sb="0" eb="2">
      <t>ハヤデ</t>
    </rPh>
    <phoneticPr fontId="71"/>
  </si>
  <si>
    <t>D</t>
    <phoneticPr fontId="71"/>
  </si>
  <si>
    <t>不二家なし</t>
    <rPh sb="0" eb="5">
      <t>フジヤ</t>
    </rPh>
    <phoneticPr fontId="36"/>
  </si>
  <si>
    <t>東京研文社㏘</t>
    <rPh sb="0" eb="4">
      <t>トウキョウケンブンシャ</t>
    </rPh>
    <phoneticPr fontId="36"/>
  </si>
  <si>
    <t>横浜ゴム㏘紙管14:00</t>
    <rPh sb="0" eb="4">
      <t>ヨコ</t>
    </rPh>
    <rPh sb="5" eb="7">
      <t>シカン</t>
    </rPh>
    <phoneticPr fontId="36"/>
  </si>
  <si>
    <t>えびす興運</t>
    <rPh sb="2" eb="4">
      <t>コウウン</t>
    </rPh>
    <phoneticPr fontId="36"/>
  </si>
  <si>
    <t>ﾋｭｰﾏﾝﾒｲﾄﾞ14:00</t>
  </si>
  <si>
    <t>エバネクストam</t>
  </si>
  <si>
    <t>東京スチールセンター</t>
    <rPh sb="0" eb="2">
      <t>トウキョウ</t>
    </rPh>
    <phoneticPr fontId="36"/>
  </si>
  <si>
    <t xml:space="preserve"> </t>
  </si>
  <si>
    <t>ジャクソン</t>
    <phoneticPr fontId="32"/>
  </si>
  <si>
    <t>早出みんな</t>
    <rPh sb="0" eb="1">
      <t>ハヤデ</t>
    </rPh>
    <phoneticPr fontId="32"/>
  </si>
  <si>
    <t>東京研文社AM</t>
    <rPh sb="0" eb="4">
      <t>トウキョウケンブンシャ</t>
    </rPh>
    <phoneticPr fontId="36"/>
  </si>
  <si>
    <t>ﾌｧﾐﾘｰﾏｰﾄｽﾓｶｽﾔ</t>
    <phoneticPr fontId="13" type="Hiragana"/>
  </si>
  <si>
    <t>ｳｪﾙｼｱ平塚中原店</t>
    <rPh sb="5" eb="7">
      <t>ひらつか</t>
    </rPh>
    <rPh sb="7" eb="9">
      <t>なかはら</t>
    </rPh>
    <rPh sb="9" eb="10">
      <t>てん</t>
    </rPh>
    <phoneticPr fontId="13" type="Hiragana"/>
  </si>
  <si>
    <t>ｳｪﾙｼｱﾋﾗﾂｶﾅｶﾊﾗﾃﾝ</t>
    <phoneticPr fontId="13" type="Hiragana"/>
  </si>
  <si>
    <t>ｵｰﾄﾊﾞｯｸｽｻﾞﾏ</t>
    <phoneticPr fontId="13" type="Hiragana"/>
  </si>
  <si>
    <t>ｳｪﾙｼｱ平塚中原店</t>
  </si>
  <si>
    <t>セイミツAM</t>
    <phoneticPr fontId="32"/>
  </si>
  <si>
    <t>計画有給</t>
    <rPh sb="0" eb="2">
      <t>ケイカク</t>
    </rPh>
    <rPh sb="2" eb="4">
      <t>ユウキュウ</t>
    </rPh>
    <phoneticPr fontId="71"/>
  </si>
  <si>
    <t>富士電線</t>
    <rPh sb="0" eb="2">
      <t>フジ</t>
    </rPh>
    <rPh sb="2" eb="4">
      <t>デンセン</t>
    </rPh>
    <phoneticPr fontId="71"/>
  </si>
  <si>
    <t>休み</t>
    <phoneticPr fontId="71"/>
  </si>
  <si>
    <t>早出D</t>
    <rPh sb="0" eb="2">
      <t>ハヤデ</t>
    </rPh>
    <phoneticPr fontId="71"/>
  </si>
  <si>
    <t>自衛隊</t>
    <rPh sb="0" eb="3">
      <t>ジエイタイ</t>
    </rPh>
    <phoneticPr fontId="71"/>
  </si>
  <si>
    <t>早朝ESPOT</t>
    <rPh sb="0" eb="2">
      <t>ソウチョウ</t>
    </rPh>
    <phoneticPr fontId="76"/>
  </si>
  <si>
    <t>早出・休出</t>
    <rPh sb="0" eb="2">
      <t>ハヤデ</t>
    </rPh>
    <rPh sb="3" eb="5">
      <t>キュウシュツ</t>
    </rPh>
    <phoneticPr fontId="71"/>
  </si>
  <si>
    <t>山櫻</t>
    <rPh sb="0" eb="2">
      <t>ヤマザクラ</t>
    </rPh>
    <phoneticPr fontId="71"/>
  </si>
  <si>
    <r>
      <t>富士電線</t>
    </r>
    <r>
      <rPr>
        <b/>
        <sz val="9"/>
        <color theme="4" tint="-0.499984740745262"/>
        <rFont val="メイリオ"/>
        <family val="3"/>
        <charset val="128"/>
      </rPr>
      <t>D</t>
    </r>
    <rPh sb="0" eb="2">
      <t>フジ</t>
    </rPh>
    <rPh sb="2" eb="4">
      <t>デンセン</t>
    </rPh>
    <phoneticPr fontId="71"/>
  </si>
  <si>
    <t>宇都宮螺子</t>
    <rPh sb="0" eb="5">
      <t>ウツノミヤレジ</t>
    </rPh>
    <phoneticPr fontId="11"/>
  </si>
  <si>
    <t>早稲田アカデミー</t>
    <rPh sb="0" eb="2">
      <t>ワセダ</t>
    </rPh>
    <phoneticPr fontId="32"/>
  </si>
  <si>
    <t>イシダ製作所</t>
    <rPh sb="3" eb="6">
      <t>セイサクショ</t>
    </rPh>
    <phoneticPr fontId="32"/>
  </si>
  <si>
    <t>ｳｪﾙｼｱ中原2回</t>
    <rPh sb="5" eb="7">
      <t>ナカハラ</t>
    </rPh>
    <rPh sb="8" eb="9">
      <t>カイ</t>
    </rPh>
    <phoneticPr fontId="32"/>
  </si>
  <si>
    <r>
      <t>早朝ｴｽﾎﾟｯﾄ</t>
    </r>
    <r>
      <rPr>
        <b/>
        <sz val="10"/>
        <color theme="5"/>
        <rFont val="メイリオ"/>
        <family val="3"/>
        <charset val="128"/>
      </rPr>
      <t>D</t>
    </r>
    <phoneticPr fontId="71"/>
  </si>
  <si>
    <t>+1休日</t>
    <phoneticPr fontId="71"/>
  </si>
  <si>
    <r>
      <t>休出</t>
    </r>
    <r>
      <rPr>
        <b/>
        <sz val="10"/>
        <color rgb="FF00B050"/>
        <rFont val="メイリオ"/>
        <family val="3"/>
        <charset val="128"/>
      </rPr>
      <t>富士電線</t>
    </r>
    <rPh sb="0" eb="2">
      <t>キュウシュツ</t>
    </rPh>
    <phoneticPr fontId="71"/>
  </si>
  <si>
    <t>計画有給</t>
  </si>
  <si>
    <t>早出・休出</t>
  </si>
  <si>
    <t>BS紙管AM所長</t>
    <rPh sb="1" eb="3">
      <t>シカン</t>
    </rPh>
    <rPh sb="6" eb="8">
      <t>ショチョウ</t>
    </rPh>
    <phoneticPr fontId="32"/>
  </si>
  <si>
    <t>ﾌﾞﾘｼﾞｽﾄﾝ横浜工場★紙管</t>
  </si>
  <si>
    <t>(株)ｱｸﾃｨｵ</t>
    <phoneticPr fontId="13" type="Hiragana"/>
  </si>
  <si>
    <t>ｱｸﾃｨｵ</t>
    <phoneticPr fontId="13" type="Hiragana"/>
  </si>
  <si>
    <t>ｱｸﾃｨｵ</t>
    <phoneticPr fontId="32"/>
  </si>
  <si>
    <t>(株)ｱｸﾃｨｵ</t>
  </si>
  <si>
    <t>ﾃﾞｼﾞﾀﾙﾌﾟﾛｾｽ</t>
    <phoneticPr fontId="13" type="Hiragana"/>
  </si>
  <si>
    <t>ﾃﾞｼﾞﾀﾙﾌﾟﾛｾｽ</t>
  </si>
  <si>
    <t>ﾏﾙﾅｶ</t>
    <phoneticPr fontId="13" type="Hiragana"/>
  </si>
  <si>
    <t>ﾏﾙﾅｶ</t>
  </si>
  <si>
    <t>広陽振替</t>
    <rPh sb="0" eb="1">
      <t>ヨウ</t>
    </rPh>
    <rPh sb="1" eb="3">
      <t>フリカエ</t>
    </rPh>
    <phoneticPr fontId="32"/>
  </si>
  <si>
    <t>山崎歯車 戸田(ｽﾎﾟｯﾄ)</t>
  </si>
  <si>
    <t>不二家なし</t>
    <rPh sb="0" eb="4">
      <t>フジヤ</t>
    </rPh>
    <phoneticPr fontId="32"/>
  </si>
  <si>
    <t>高山常温一括ｾﾝﾀｰ</t>
    <rPh sb="0" eb="4">
      <t>タカヤマジョウオン</t>
    </rPh>
    <rPh sb="4" eb="6">
      <t>イッカツ</t>
    </rPh>
    <phoneticPr fontId="32"/>
  </si>
  <si>
    <t>藤沢市本藤沢4-2-2</t>
    <rPh sb="0" eb="3">
      <t>フジサワシ</t>
    </rPh>
    <rPh sb="3" eb="6">
      <t>ホンフジサワ</t>
    </rPh>
    <phoneticPr fontId="32"/>
  </si>
  <si>
    <t>ｸﾘｴｲﾄ平塚中原店</t>
    <rPh sb="5" eb="7">
      <t>ヒラツカ</t>
    </rPh>
    <rPh sb="7" eb="9">
      <t>ナカハラ</t>
    </rPh>
    <rPh sb="9" eb="10">
      <t>テン</t>
    </rPh>
    <phoneticPr fontId="1"/>
  </si>
  <si>
    <t>平塚市中原2丁目4-36</t>
    <rPh sb="0" eb="3">
      <t>ヒラツカシ</t>
    </rPh>
    <rPh sb="3" eb="5">
      <t>ナカハラ</t>
    </rPh>
    <rPh sb="6" eb="8">
      <t>チョウメ</t>
    </rPh>
    <phoneticPr fontId="1"/>
  </si>
  <si>
    <t>ｸﾘｴｲﾄ平塚長持店</t>
    <rPh sb="5" eb="7">
      <t>ヒラツカ</t>
    </rPh>
    <rPh sb="7" eb="9">
      <t>ナガモチ</t>
    </rPh>
    <rPh sb="9" eb="10">
      <t>テン</t>
    </rPh>
    <phoneticPr fontId="1"/>
  </si>
  <si>
    <t>平塚市長持３２３－１</t>
    <rPh sb="0" eb="3">
      <t>ヒラツカシ</t>
    </rPh>
    <rPh sb="3" eb="5">
      <t>ナガモチ</t>
    </rPh>
    <phoneticPr fontId="1"/>
  </si>
  <si>
    <r>
      <rPr>
        <b/>
        <sz val="10"/>
        <color theme="8"/>
        <rFont val="メイリオ"/>
        <family val="3"/>
        <charset val="128"/>
      </rPr>
      <t>ｳｪﾙｼｱ</t>
    </r>
    <r>
      <rPr>
        <sz val="10"/>
        <rFont val="メイリオ"/>
        <family val="3"/>
        <charset val="128"/>
      </rPr>
      <t>平塚中原店</t>
    </r>
    <rPh sb="5" eb="7">
      <t>ヒラツカ</t>
    </rPh>
    <rPh sb="7" eb="9">
      <t>ナカハラ</t>
    </rPh>
    <rPh sb="9" eb="10">
      <t>テン</t>
    </rPh>
    <phoneticPr fontId="1"/>
  </si>
  <si>
    <t>平塚市中原三丁目1番22号</t>
  </si>
  <si>
    <t>藤沢市柄沢221-3</t>
  </si>
  <si>
    <t>大和ハウス最終夕方</t>
    <rPh sb="0" eb="4">
      <t>ダイ</t>
    </rPh>
    <rPh sb="4" eb="6">
      <t>サイシュウ</t>
    </rPh>
    <rPh sb="6" eb="8">
      <t>ユウガタ</t>
    </rPh>
    <phoneticPr fontId="32"/>
  </si>
  <si>
    <t>PK車点検修理★2618</t>
    <phoneticPr fontId="13" type="Hiragana"/>
  </si>
  <si>
    <t>PK車メンテナンス</t>
    <phoneticPr fontId="13" type="Hiragana"/>
  </si>
  <si>
    <t>回収先ID</t>
  </si>
  <si>
    <t>ﾌﾘｶﾞﾅ</t>
  </si>
  <si>
    <t>List表示</t>
  </si>
  <si>
    <t>ｽﾎﾟｯﾄ</t>
  </si>
  <si>
    <t>月</t>
  </si>
  <si>
    <t>火</t>
  </si>
  <si>
    <t>水</t>
  </si>
  <si>
    <t>木</t>
  </si>
  <si>
    <t>金</t>
  </si>
  <si>
    <t>土</t>
  </si>
  <si>
    <t>日</t>
  </si>
  <si>
    <t>祝日</t>
  </si>
  <si>
    <t>その他</t>
  </si>
  <si>
    <t>有効</t>
  </si>
  <si>
    <t>備考</t>
  </si>
  <si>
    <t>更新日</t>
  </si>
  <si>
    <t>ｱｸﾃｨｵ</t>
  </si>
  <si>
    <t>㈱ｱｸﾃｨｵ</t>
  </si>
  <si>
    <t>ｱﾂｷﾞｶﾝｷｮｳｾﾝﾀｰ</t>
  </si>
  <si>
    <t>厚木市環境センター</t>
  </si>
  <si>
    <t>ｱﾂｷﾞｼﾞｷﾞｮｳｼｮ</t>
  </si>
  <si>
    <t>ｱﾂｷﾞｼﾞｷﾞｮｳｼｮｴﾝﾄﾞ</t>
  </si>
  <si>
    <t>厚木事業所END</t>
  </si>
  <si>
    <t>ｲﾁｾﾞﾝ</t>
  </si>
  <si>
    <t>一全</t>
  </si>
  <si>
    <t>ｳﾞｧﾚｵｶﾍﾟｯｸｼﾞｬﾊﾟﾝ</t>
  </si>
  <si>
    <t>ｳｪﾙｼｱﾋﾗﾂｶﾅｶﾊﾗ</t>
  </si>
  <si>
    <t>宇都宮螺子</t>
  </si>
  <si>
    <t>ESPOT(BY)㏂</t>
  </si>
  <si>
    <t>ｴﾋﾞｽｺｳｳｳﾝ</t>
  </si>
  <si>
    <t>第二週</t>
  </si>
  <si>
    <t>ｵｰﾄﾊﾞｯｸｽｻﾞﾏ</t>
  </si>
  <si>
    <t>ｵｰﾄﾊﾞｯｸｽ座間</t>
  </si>
  <si>
    <t>ｵｵﾆｼｷﾝｿﾞｸ</t>
  </si>
  <si>
    <t>大西金属</t>
  </si>
  <si>
    <t>ｵｵﾓﾄｸﾞﾐ</t>
  </si>
  <si>
    <t>大本組</t>
  </si>
  <si>
    <t>ｶｽﾀﾑﾃﾞﾝｼ</t>
  </si>
  <si>
    <t>ｶｽﾀﾑ電子</t>
  </si>
  <si>
    <t>ｷﾀｲｼｮｳｼﾞ</t>
  </si>
  <si>
    <t>鍛代商事</t>
  </si>
  <si>
    <t>ｸﾘｴｲﾄﾋﾗﾂｶﾅｶﾊﾗ</t>
  </si>
  <si>
    <t>ｸﾘｴｲﾄﾋﾗﾂｶﾅｶﾞﾓﾁ</t>
  </si>
  <si>
    <t>ｺ‐ﾅﾝｵｵﾌﾅﾓｰﾙ</t>
  </si>
  <si>
    <t>ｺ‐ﾅﾝ大船ﾓｰﾙ</t>
  </si>
  <si>
    <t>ｺｲｽﾞﾐｷｷｺｳｷﾞｮｳ</t>
  </si>
  <si>
    <t>ｺｳﾉｲｹｳﾝﾕ</t>
  </si>
  <si>
    <t>鴻池運輸</t>
  </si>
  <si>
    <t>ｺｳﾖｳ</t>
  </si>
  <si>
    <t>広陽</t>
  </si>
  <si>
    <t>第２月曜日</t>
  </si>
  <si>
    <t>ｺﾊﾞﾔｼｳﾝｿｳﾃﾝ</t>
  </si>
  <si>
    <t>小林運送店</t>
  </si>
  <si>
    <t>ｺﾔﾏﾄﾂｶ</t>
  </si>
  <si>
    <t>ｻｶﾀﾘｮｳｻｸｼｮｳﾃﾝ</t>
  </si>
  <si>
    <t>坂田亮作商店</t>
  </si>
  <si>
    <t>ｻﾞﾋﾞｯｸﾞｱﾂｷﾞ</t>
  </si>
  <si>
    <t>ｻﾞ･ﾋﾞｯｸﾞ厚木</t>
  </si>
  <si>
    <t>ｼｷｼﾏｾｲﾊﾟﾝ</t>
  </si>
  <si>
    <t>ｼｬｰﾌﾟｼﾞｬｽﾀﾞﾛｼﾞｽﾃｨｸｽ</t>
  </si>
  <si>
    <t>ｼｬｰﾌﾟｼﾞｬｽﾀﾞ</t>
  </si>
  <si>
    <t>ｼﾞｮｳｼｭｳﾔｻﾞﾏ</t>
  </si>
  <si>
    <t>上州屋</t>
  </si>
  <si>
    <t>ｽﾄﾘｯｸｺﾝｻﾙﾃｨﾝｸﾞｲｾﾊﾗ</t>
  </si>
  <si>
    <t>ｾｲﾐﾂﾋﾗﾂｶｺｳｼﾞｮｳ</t>
  </si>
  <si>
    <t>ｾｲﾑｽﾏﾁﾀﾞﾔｯｷｮｸ</t>
  </si>
  <si>
    <t>ﾀﾞｲｷ</t>
  </si>
  <si>
    <t>大貴</t>
  </si>
  <si>
    <t>ﾀｶﾔﾏ</t>
  </si>
  <si>
    <t>ﾀｷｹﾞﾝｾｲｿﾞｳ</t>
  </si>
  <si>
    <t>ﾀｹﾍﾞﾃｯｺｳｼｮ</t>
  </si>
  <si>
    <t>ﾁｸﾌﾞｶﾐｴﾁ･ﾆ</t>
  </si>
  <si>
    <t>ﾁｸﾌﾞｶﾐﾐｿﾞ</t>
  </si>
  <si>
    <t>鶴見製紙</t>
  </si>
  <si>
    <t>第１月曜日</t>
  </si>
  <si>
    <t>ﾄｳｷｭｳｹﾝｾﾂ</t>
  </si>
  <si>
    <t>東急建設</t>
  </si>
  <si>
    <t>東京研文社2ヵ所</t>
  </si>
  <si>
    <t>東京研文社 国吉</t>
  </si>
  <si>
    <t>東京研文社 配送C</t>
  </si>
  <si>
    <t>ﾄｳﾚｲ　ｱﾂｷﾞ</t>
  </si>
  <si>
    <t>第２,第４火曜日</t>
  </si>
  <si>
    <t>ﾄｳﾚｲ　ｻｶﾞﾐﾊﾗ</t>
  </si>
  <si>
    <t>東京冷機(相模原)</t>
  </si>
  <si>
    <t>ﾄｳﾚｲ　ｻｶﾞﾐﾊﾗ　ｶﾅｶﾞﾜ</t>
  </si>
  <si>
    <t>東京冷機(神奈川)</t>
  </si>
  <si>
    <t>ﾄｳﾚｲ　ｼｮｳﾅﾝ</t>
  </si>
  <si>
    <t>東京冷機(湘南)</t>
  </si>
  <si>
    <t>ﾆｼﾀﾏｳﾝﾕ</t>
  </si>
  <si>
    <t>ﾆﾎﾝｲﾝｼﾞｪｸﾀ</t>
  </si>
  <si>
    <t>ﾆﾎﾝﾛｼﾞ</t>
  </si>
  <si>
    <t>ﾊｰﾄﾛｼﾞｻｶﾞﾐﾊﾗ</t>
  </si>
  <si>
    <t>ﾊﾙｳﾗﾗｶ</t>
  </si>
  <si>
    <t>ﾊﾟﾙｼｽﾃﾑｻｶﾞﾐｾｲｶｾﾝﾀｰ</t>
  </si>
  <si>
    <t>ﾊﾟﾙｼｽﾃﾑｻｶﾞﾐﾊﾗｾﾝﾀｰ</t>
  </si>
  <si>
    <t>ﾋﾟｱﾉｳﾝｿｳｱﾂｷﾞｷｮｳﾊｲ</t>
  </si>
  <si>
    <t>ﾋｶﾞｼﾆﾎﾝｷｮｳﾄﾞｳﾊﾟﾚｯﾄ</t>
  </si>
  <si>
    <t>東日本協同ﾊﾟﾚｯﾄ</t>
  </si>
  <si>
    <t>ﾌｧﾐﾘｰﾏｰﾄ ｼﾓｶｽﾔ</t>
  </si>
  <si>
    <t>FamilyMart下糟屋</t>
  </si>
  <si>
    <t>ﾌｧﾐﾘｰﾏｰﾄ ﾐﾄﾞﾘｶﾞｵｶ</t>
  </si>
  <si>
    <t>FamilyMart緑ヶ丘</t>
  </si>
  <si>
    <t>ﾌｼﾞﾂｳﾈｯﾄﾜｰｸｿﾘｭｰｼｮﾝ</t>
  </si>
  <si>
    <t>富士通</t>
  </si>
  <si>
    <t>不二家ｶﾚﾝﾀﾞｰ参照</t>
  </si>
  <si>
    <t>ﾌｼﾞﾛｼﾞｶﾈﾀﾞ</t>
  </si>
  <si>
    <t>ﾌｼﾞﾛｼﾞﾅｶﾞﾇﾏ</t>
  </si>
  <si>
    <t>ﾌｼﾞﾛｼﾞﾅｶﾞﾇﾏｼﾞﾑｼｮ</t>
  </si>
  <si>
    <t>ﾌﾗｲｽﾀｰ物流(ｽﾎﾟｯﾄ)</t>
  </si>
  <si>
    <t>ﾌﾞﾘｼﾞｽﾄﾝﾖｺﾊﾏ</t>
  </si>
  <si>
    <t>ﾌﾞﾘｼﾞｽﾄﾝ横浜工場</t>
  </si>
  <si>
    <t>ﾌﾞﾘﾁﾞｽﾄﾝｼｶﾝ</t>
  </si>
  <si>
    <t>Maxvalue秦野</t>
  </si>
  <si>
    <t>ﾔﾏｻﾞｷﾊｸﾞﾙﾏｲｾﾊﾗ</t>
  </si>
  <si>
    <t>山崎歯車 伊勢原(ｽﾎﾟｯﾄ)</t>
  </si>
  <si>
    <t>ﾔﾏｻﾞｷﾊｸﾞﾙﾏﾄﾀﾞ</t>
  </si>
  <si>
    <t>ﾕｱｻﾌﾅｼｮｸｶﾌﾞ</t>
  </si>
  <si>
    <t>ﾖﾓｷﾞﾉｻﾄ</t>
  </si>
  <si>
    <t>よもぎの里</t>
  </si>
  <si>
    <t>LIXIL厚木</t>
  </si>
  <si>
    <t>第３金曜日</t>
  </si>
  <si>
    <t>ﾜｾﾀﾞｱｶﾃﾞﾐｰ</t>
  </si>
  <si>
    <t>月</t>
    <rPh sb="0" eb="1">
      <t>ゲツ</t>
    </rPh>
    <phoneticPr fontId="61"/>
  </si>
  <si>
    <t>火</t>
    <rPh sb="0" eb="1">
      <t>カ</t>
    </rPh>
    <phoneticPr fontId="61"/>
  </si>
  <si>
    <t>ESPOT(BY)㏂</t>
    <phoneticPr fontId="61"/>
  </si>
  <si>
    <t>ｱｰｸﾙ</t>
    <phoneticPr fontId="61"/>
  </si>
  <si>
    <t>抜け漏れの可能性</t>
    <rPh sb="0" eb="1">
      <t>ぬ</t>
    </rPh>
    <rPh sb="2" eb="3">
      <t>も</t>
    </rPh>
    <rPh sb="5" eb="8">
      <t>かのうせい</t>
    </rPh>
    <phoneticPr fontId="13" type="Hiragana"/>
  </si>
  <si>
    <t>2267PK／菊地</t>
    <phoneticPr fontId="11"/>
  </si>
  <si>
    <t>国民の祝日・休日月日</t>
  </si>
  <si>
    <t>国民の祝日・休日名称</t>
  </si>
  <si>
    <t>自衛隊</t>
    <rPh sb="0" eb="2">
      <t>ジエイタ</t>
    </rPh>
    <phoneticPr fontId="32"/>
  </si>
  <si>
    <t>自衛隊</t>
    <rPh sb="0" eb="1">
      <t>ジエイタ</t>
    </rPh>
    <phoneticPr fontId="32"/>
  </si>
  <si>
    <t>列1</t>
    <phoneticPr fontId="11"/>
  </si>
  <si>
    <t>２．ADDRESS(行番号, 列番号) で行番号には表の範囲である「4」と「15」を指定し、セルの座標「$E$4」「$E$15」をそれぞれ取得</t>
    <phoneticPr fontId="71"/>
  </si>
  <si>
    <t>EFC</t>
    <phoneticPr fontId="32"/>
  </si>
  <si>
    <t>第３木曜日</t>
    <phoneticPr fontId="61"/>
  </si>
  <si>
    <t>ｵｰﾄﾊﾞｯｸｽ座間</t>
    <rPh sb="8" eb="10">
      <t>ざま</t>
    </rPh>
    <phoneticPr fontId="13" type="Hiragana"/>
  </si>
  <si>
    <t>マルナカPM再</t>
    <rPh sb="6" eb="7">
      <t>サイ</t>
    </rPh>
    <phoneticPr fontId="32"/>
  </si>
  <si>
    <t>英海商事</t>
    <rPh sb="0" eb="2">
      <t>えいかい</t>
    </rPh>
    <rPh sb="2" eb="4">
      <t>しょうじ</t>
    </rPh>
    <phoneticPr fontId="13" type="Hiragana"/>
  </si>
  <si>
    <t>ｴｲｶｲｼｮｳｼﾞ</t>
  </si>
  <si>
    <t>英海商事</t>
    <rPh sb="0" eb="1">
      <t>カイ</t>
    </rPh>
    <rPh sb="1" eb="3">
      <t>ショウジ</t>
    </rPh>
    <phoneticPr fontId="32"/>
  </si>
  <si>
    <t>DAISO残紙</t>
    <rPh sb="4" eb="6">
      <t>ザンシ</t>
    </rPh>
    <phoneticPr fontId="32"/>
  </si>
  <si>
    <t>第2第4火曜日</t>
    <rPh sb="0" eb="1">
      <t>ダイ</t>
    </rPh>
    <rPh sb="2" eb="3">
      <t>ダイ</t>
    </rPh>
    <rPh sb="4" eb="7">
      <t>カヨウビ</t>
    </rPh>
    <phoneticPr fontId="61"/>
  </si>
  <si>
    <t>休み</t>
  </si>
  <si>
    <t>休出D</t>
  </si>
  <si>
    <t xml:space="preserve"> ﾃﾞｼﾞﾌﾟﾛ(偶数月)</t>
    <rPh sb="9" eb="12">
      <t>グウスウ</t>
    </rPh>
    <phoneticPr fontId="11"/>
  </si>
  <si>
    <t>東京研文社AM9</t>
    <rPh sb="0" eb="4">
      <t>トウキョウケンブンシャ</t>
    </rPh>
    <phoneticPr fontId="36"/>
  </si>
  <si>
    <t>項目</t>
    <rPh sb="0" eb="2">
      <t>こうもく</t>
    </rPh>
    <phoneticPr fontId="13" type="Hiragana"/>
  </si>
  <si>
    <t>一全</t>
    <rPh sb="0" eb="1">
      <t>いち</t>
    </rPh>
    <rPh sb="1" eb="2">
      <t>ぜん</t>
    </rPh>
    <phoneticPr fontId="13" type="Hiragana"/>
  </si>
  <si>
    <t>DAISOなし</t>
    <phoneticPr fontId="32"/>
  </si>
  <si>
    <t>SBSフレック</t>
    <phoneticPr fontId="32"/>
  </si>
  <si>
    <t>SBSﾌﾚｯｸ</t>
    <phoneticPr fontId="13" type="Hiragana"/>
  </si>
  <si>
    <t>ｴｽﾋﾞｰｴｽﾌﾚｯｸ</t>
    <phoneticPr fontId="13" type="Hiragana"/>
  </si>
  <si>
    <t>都市環境ｻｰﾋﾞｽ</t>
    <rPh sb="0" eb="3">
      <t>トシカンキョウ</t>
    </rPh>
    <phoneticPr fontId="32"/>
  </si>
  <si>
    <t>自衛隊B</t>
  </si>
  <si>
    <t>富士電線A</t>
  </si>
  <si>
    <t>早出休出</t>
  </si>
  <si>
    <t>万里</t>
  </si>
  <si>
    <t>松明</t>
  </si>
  <si>
    <t>片山</t>
  </si>
  <si>
    <t>岩佐</t>
  </si>
  <si>
    <t>鈴木</t>
  </si>
  <si>
    <t>藤川</t>
  </si>
  <si>
    <t>山田</t>
  </si>
  <si>
    <t>伊藤ビル</t>
    <rPh sb="0" eb="4">
      <t>いとう</t>
    </rPh>
    <phoneticPr fontId="13" type="Hiragana"/>
  </si>
  <si>
    <t>ｲﾄｳﾋﾞﾙ</t>
    <phoneticPr fontId="13" type="Hiragana"/>
  </si>
  <si>
    <t>ジャクソン</t>
  </si>
  <si>
    <t>広陽振替</t>
    <rPh sb="0" eb="2">
      <t>フリカエ</t>
    </rPh>
    <phoneticPr fontId="32"/>
  </si>
  <si>
    <t>ﾏﾙﾅｶ</t>
    <phoneticPr fontId="32"/>
  </si>
  <si>
    <t>小泉機器移転</t>
    <rPh sb="0" eb="2">
      <t>コイズミ</t>
    </rPh>
    <rPh sb="2" eb="4">
      <t>キキ</t>
    </rPh>
    <rPh sb="4" eb="6">
      <t>イテン</t>
    </rPh>
    <phoneticPr fontId="32"/>
  </si>
  <si>
    <t>東冷厚木</t>
    <rPh sb="0" eb="2">
      <t>トウレイ</t>
    </rPh>
    <rPh sb="2" eb="4">
      <t>アツギ</t>
    </rPh>
    <phoneticPr fontId="32"/>
  </si>
  <si>
    <t>AMエバネクスト百瀬</t>
    <rPh sb="8" eb="10">
      <t>モモセ</t>
    </rPh>
    <phoneticPr fontId="32"/>
  </si>
  <si>
    <t>2267車検</t>
    <rPh sb="4" eb="6">
      <t>シャケン</t>
    </rPh>
    <phoneticPr fontId="32"/>
  </si>
  <si>
    <t>2618修理</t>
    <rPh sb="4" eb="6">
      <t>シュウリ</t>
    </rPh>
    <phoneticPr fontId="32"/>
  </si>
  <si>
    <t>2618修理</t>
    <rPh sb="4" eb="6">
      <t>シュウ</t>
    </rPh>
    <phoneticPr fontId="32"/>
  </si>
  <si>
    <t>Pm関包スチール</t>
    <rPh sb="2" eb="4">
      <t>カンポウ</t>
    </rPh>
    <phoneticPr fontId="32"/>
  </si>
  <si>
    <t>不二家</t>
    <rPh sb="0" eb="3">
      <t>フジヤ</t>
    </rPh>
    <phoneticPr fontId="32"/>
  </si>
  <si>
    <t>リライズ</t>
    <phoneticPr fontId="32"/>
  </si>
  <si>
    <t>ﾘﾗｲｽﾞ</t>
    <phoneticPr fontId="13" type="Hiragana"/>
  </si>
  <si>
    <t>'東京研文社AM</t>
  </si>
  <si>
    <t>大和ハウスPM</t>
    <phoneticPr fontId="32"/>
  </si>
  <si>
    <t>大和ハウス綾瀬 ﾃﾞｯｸ現場</t>
  </si>
  <si>
    <t>大和ハウス綾瀬 ﾃﾞｯｸ現場</t>
    <rPh sb="0" eb="5">
      <t>だ</t>
    </rPh>
    <rPh sb="5" eb="7">
      <t>あや</t>
    </rPh>
    <rPh sb="12" eb="14">
      <t>げんば</t>
    </rPh>
    <phoneticPr fontId="13" type="Hiragana"/>
  </si>
  <si>
    <t>HUMAN MADE</t>
    <phoneticPr fontId="32"/>
  </si>
  <si>
    <t>HUMAN MADE</t>
    <phoneticPr fontId="13" type="Hiragana"/>
  </si>
  <si>
    <t>ﾋｭｰﾏﾝﾒｲﾄﾞ</t>
    <phoneticPr fontId="13" type="Hiragana"/>
  </si>
  <si>
    <t>キョクレイ</t>
    <phoneticPr fontId="32"/>
  </si>
  <si>
    <t>やまざきはぐるま</t>
    <phoneticPr fontId="32"/>
  </si>
  <si>
    <t>2267午後入院</t>
    <rPh sb="4" eb="6">
      <t>ゴゴ</t>
    </rPh>
    <rPh sb="6" eb="8">
      <t>ニュウイン</t>
    </rPh>
    <phoneticPr fontId="32"/>
  </si>
  <si>
    <t>大和ハウスPM</t>
  </si>
  <si>
    <t>キョクレイ</t>
  </si>
  <si>
    <t>AMエバネクスト</t>
    <phoneticPr fontId="32"/>
  </si>
  <si>
    <t>2618タイヤ交換</t>
    <phoneticPr fontId="32"/>
  </si>
  <si>
    <t>不二家あり</t>
    <rPh sb="0" eb="4">
      <t>フジヤ</t>
    </rPh>
    <phoneticPr fontId="32"/>
  </si>
  <si>
    <t>パルシステム</t>
    <phoneticPr fontId="32"/>
  </si>
  <si>
    <t>寝台社</t>
    <rPh sb="0" eb="3">
      <t>しんだい</t>
    </rPh>
    <phoneticPr fontId="13" type="Hiragana"/>
  </si>
  <si>
    <t>ｼﾝﾀﾞｲｼｬ</t>
    <phoneticPr fontId="13" type="Hiragana"/>
  </si>
  <si>
    <t>(株)ｱｸﾃｨｵ</t>
    <phoneticPr fontId="32"/>
  </si>
  <si>
    <t>セイミツ</t>
    <phoneticPr fontId="32"/>
  </si>
  <si>
    <t>第１月曜日</t>
    <rPh sb="2" eb="3">
      <t>ゲツ</t>
    </rPh>
    <phoneticPr fontId="61"/>
  </si>
  <si>
    <t>2025PK／万里</t>
  </si>
  <si>
    <t>オノコム</t>
    <phoneticPr fontId="32"/>
  </si>
  <si>
    <t>キョクレイ ストレッチ</t>
    <phoneticPr fontId="32"/>
  </si>
  <si>
    <t>研文社</t>
    <rPh sb="0" eb="2">
      <t>ケンブン</t>
    </rPh>
    <phoneticPr fontId="32"/>
  </si>
  <si>
    <t>関東セイワ</t>
    <rPh sb="0" eb="1">
      <t>カントウ</t>
    </rPh>
    <phoneticPr fontId="32"/>
  </si>
  <si>
    <t>トナミ運輸相模</t>
    <rPh sb="2" eb="4">
      <t>ウン</t>
    </rPh>
    <rPh sb="4" eb="6">
      <t>サガミ</t>
    </rPh>
    <phoneticPr fontId="32"/>
  </si>
  <si>
    <t>回収シフト  第1  火曜日</t>
    <rPh sb="0" eb="2">
      <t>カイシュウ</t>
    </rPh>
    <rPh sb="7" eb="8">
      <t>ダイ</t>
    </rPh>
    <phoneticPr fontId="11"/>
  </si>
  <si>
    <t>猪股D</t>
  </si>
  <si>
    <t>トナミ運輸相模</t>
    <rPh sb="5" eb="7">
      <t>さがみ</t>
    </rPh>
    <phoneticPr fontId="13" type="Hiragana"/>
  </si>
  <si>
    <t>ﾄﾅﾐｳﾝﾕｻｶﾞﾐ</t>
    <phoneticPr fontId="13" type="Hiragana"/>
  </si>
  <si>
    <t>オノコム</t>
  </si>
  <si>
    <t>2025車検</t>
    <rPh sb="3" eb="5">
      <t>シャケン</t>
    </rPh>
    <phoneticPr fontId="32"/>
  </si>
  <si>
    <t>6902車検</t>
    <rPh sb="3" eb="5">
      <t>シャケン</t>
    </rPh>
    <phoneticPr fontId="32"/>
  </si>
  <si>
    <t>2025PK</t>
  </si>
  <si>
    <t>麻美</t>
    <rPh sb="0" eb="2">
      <t>あさみ</t>
    </rPh>
    <phoneticPr fontId="13" type="Hiragana"/>
  </si>
  <si>
    <t>ダイワコーポレーション</t>
    <phoneticPr fontId="32"/>
  </si>
  <si>
    <t>チクブ上依知ゲボール</t>
    <rPh sb="2" eb="5">
      <t>カミエチ</t>
    </rPh>
    <phoneticPr fontId="32"/>
  </si>
  <si>
    <t>島田</t>
    <rPh sb="0" eb="2">
      <t>シマダ</t>
    </rPh>
    <phoneticPr fontId="11"/>
  </si>
  <si>
    <t>山崎歯車戸田</t>
    <rPh sb="0" eb="1">
      <t>ヤマザキ</t>
    </rPh>
    <rPh sb="1" eb="3">
      <t>ハグルマ</t>
    </rPh>
    <rPh sb="3" eb="5">
      <t>トダ</t>
    </rPh>
    <phoneticPr fontId="32"/>
  </si>
  <si>
    <t>FamilyMar東海大学駅前店</t>
    <phoneticPr fontId="13" type="Hiragana"/>
  </si>
  <si>
    <t>自衛隊のない水曜日</t>
    <phoneticPr fontId="61"/>
  </si>
  <si>
    <t>第２,第４水曜日,他</t>
    <phoneticPr fontId="61"/>
  </si>
  <si>
    <t>大和ハウスAM</t>
    <phoneticPr fontId="32"/>
  </si>
  <si>
    <t>5122修理10:00～</t>
    <rPh sb="3" eb="5">
      <t>シュウリ</t>
    </rPh>
    <phoneticPr fontId="32"/>
  </si>
  <si>
    <t>5122修理</t>
    <phoneticPr fontId="32"/>
  </si>
  <si>
    <t>エバネクストam</t>
    <phoneticPr fontId="32"/>
  </si>
  <si>
    <t>環境センター</t>
    <rPh sb="0" eb="5">
      <t>カンキョウ</t>
    </rPh>
    <phoneticPr fontId="32"/>
  </si>
  <si>
    <t>ｽﾎﾟｯﾄ回収</t>
    <rPh sb="5" eb="7">
      <t>かいしゅう</t>
    </rPh>
    <phoneticPr fontId="13" type="Hiragana"/>
  </si>
  <si>
    <t>キョクレイストレッチ</t>
    <phoneticPr fontId="32"/>
  </si>
  <si>
    <t>関口</t>
    <rPh sb="0" eb="2">
      <t>せきぐち</t>
    </rPh>
    <phoneticPr fontId="13" type="Hiragana"/>
  </si>
  <si>
    <t>2618</t>
  </si>
  <si>
    <t>2618</t>
    <phoneticPr fontId="32"/>
  </si>
  <si>
    <t>5122</t>
  </si>
  <si>
    <t>5122</t>
    <phoneticPr fontId="32"/>
  </si>
  <si>
    <t>キョクレイストレッチ</t>
  </si>
  <si>
    <t>ﾊｰｾﾞｽﾄ</t>
    <phoneticPr fontId="13" type="Hiragana"/>
  </si>
  <si>
    <t>関口</t>
  </si>
  <si>
    <t>5122PK／関口</t>
  </si>
  <si>
    <t>5122夕方車検</t>
    <rPh sb="3" eb="5">
      <t>ユウガタ</t>
    </rPh>
    <rPh sb="5" eb="7">
      <t>シャケン</t>
    </rPh>
    <phoneticPr fontId="32"/>
  </si>
  <si>
    <t>5122車検</t>
    <rPh sb="4" eb="6">
      <t>シャケン</t>
    </rPh>
    <phoneticPr fontId="32"/>
  </si>
  <si>
    <t>5122昼車検</t>
    <rPh sb="4" eb="5">
      <t>ヒル</t>
    </rPh>
    <rPh sb="5" eb="7">
      <t>シャケン</t>
    </rPh>
    <phoneticPr fontId="32"/>
  </si>
  <si>
    <t>6902オイル13:30</t>
  </si>
  <si>
    <t>2267午後</t>
    <rPh sb="4" eb="6">
      <t>ゴゴ</t>
    </rPh>
    <phoneticPr fontId="32"/>
  </si>
  <si>
    <t>湘南寝台社</t>
    <rPh sb="0" eb="1">
      <t>ショウナ</t>
    </rPh>
    <rPh sb="1" eb="3">
      <t>シンダイ</t>
    </rPh>
    <rPh sb="3" eb="4">
      <t>シャ</t>
    </rPh>
    <phoneticPr fontId="32"/>
  </si>
  <si>
    <t>東京スチールセンターAm</t>
    <rPh sb="0" eb="1">
      <t>トウキョウ</t>
    </rPh>
    <phoneticPr fontId="32"/>
  </si>
  <si>
    <t>リライズ（スポット）</t>
    <phoneticPr fontId="32"/>
  </si>
  <si>
    <t>2267午後修理</t>
    <rPh sb="4" eb="6">
      <t>ゴゴ</t>
    </rPh>
    <rPh sb="5" eb="7">
      <t>シュウリ</t>
    </rPh>
    <phoneticPr fontId="32"/>
  </si>
  <si>
    <t>2025オイルのみ14:00</t>
    <phoneticPr fontId="32"/>
  </si>
  <si>
    <t>ﾃｨｰｴｽｶﾝｷｮｳﾘｻｲｸﾙ</t>
    <phoneticPr fontId="13" type="Hiragana"/>
  </si>
  <si>
    <t>TS環境ﾘｻｲｸﾙ</t>
    <phoneticPr fontId="13" type="Hiragana"/>
  </si>
  <si>
    <t>マルナカ</t>
    <phoneticPr fontId="32"/>
  </si>
  <si>
    <t>該当なし</t>
  </si>
  <si>
    <t>仁和包装AM</t>
    <rPh sb="0" eb="1">
      <t>ジンワ</t>
    </rPh>
    <rPh sb="1" eb="3">
      <t>ホウソウ</t>
    </rPh>
    <phoneticPr fontId="32"/>
  </si>
  <si>
    <t>近代セールスAM</t>
    <rPh sb="0" eb="1">
      <t>キンダイ</t>
    </rPh>
    <phoneticPr fontId="32"/>
  </si>
  <si>
    <t>不二家なし</t>
    <rPh sb="0" eb="2">
      <t>フジヤ</t>
    </rPh>
    <phoneticPr fontId="32"/>
  </si>
  <si>
    <t>BS紙管</t>
    <rPh sb="1" eb="3">
      <t>シカン</t>
    </rPh>
    <phoneticPr fontId="32"/>
  </si>
  <si>
    <t>小山厚木</t>
    <rPh sb="0" eb="1">
      <t>コヤマ</t>
    </rPh>
    <rPh sb="1" eb="3">
      <t>アツギ</t>
    </rPh>
    <phoneticPr fontId="32"/>
  </si>
  <si>
    <t>山崎歯車伊勢原</t>
    <rPh sb="0" eb="1">
      <t>ヤマザキ</t>
    </rPh>
    <rPh sb="1" eb="3">
      <t>ハグルマ</t>
    </rPh>
    <rPh sb="3" eb="6">
      <t>イセハラ</t>
    </rPh>
    <phoneticPr fontId="32"/>
  </si>
  <si>
    <t>ｹｲﾌﾞﾗﾝﾄﾞ㈱</t>
    <phoneticPr fontId="13" type="Hiragana"/>
  </si>
  <si>
    <t>ﾌｼﾞﾛｼﾞﾖｺﾊﾏﾏﾁﾀﾞ</t>
    <phoneticPr fontId="13" type="Hiragana"/>
  </si>
  <si>
    <t>ｹｲﾌﾞﾗﾝﾄﾞ</t>
  </si>
  <si>
    <t>広陽</t>
    <rPh sb="0" eb="1">
      <t>ヒロ</t>
    </rPh>
    <rPh sb="1" eb="2">
      <t>ヨウ</t>
    </rPh>
    <phoneticPr fontId="11"/>
  </si>
  <si>
    <t>BS +1ヶ所振替</t>
    <rPh sb="0" eb="2">
      <t>シカン</t>
    </rPh>
    <rPh sb="6" eb="7">
      <t>ショ</t>
    </rPh>
    <rPh sb="7" eb="9">
      <t>フリカエ</t>
    </rPh>
    <phoneticPr fontId="32"/>
  </si>
  <si>
    <t>マルナカ振替</t>
    <rPh sb="4" eb="6">
      <t>フリカエ</t>
    </rPh>
    <phoneticPr fontId="32"/>
  </si>
  <si>
    <t>富士ロジ</t>
    <rPh sb="0" eb="1">
      <t>フジ</t>
    </rPh>
    <phoneticPr fontId="32"/>
  </si>
  <si>
    <t>見聞者</t>
    <rPh sb="0" eb="1">
      <t>ケンブン</t>
    </rPh>
    <rPh sb="1" eb="2">
      <t>シャ</t>
    </rPh>
    <phoneticPr fontId="32"/>
  </si>
  <si>
    <t>マルイチ14：00</t>
    <phoneticPr fontId="32"/>
  </si>
  <si>
    <t>タキロン無し</t>
    <rPh sb="3" eb="4">
      <t>ナ</t>
    </rPh>
    <phoneticPr fontId="32"/>
  </si>
  <si>
    <t>高山 大和ｾﾝﾀｰ</t>
    <rPh sb="0" eb="2">
      <t>たかやま</t>
    </rPh>
    <rPh sb="3" eb="5">
      <t>やまと</t>
    </rPh>
    <phoneticPr fontId="13" type="Hiragana"/>
  </si>
  <si>
    <t>ﾀｶﾔﾏﾔﾏﾄｾﾝﾀｰ</t>
    <phoneticPr fontId="13" type="Hiragana"/>
  </si>
  <si>
    <t>富士ﾛｼﾞ三田</t>
    <rPh sb="0" eb="2">
      <t>ふじ</t>
    </rPh>
    <rPh sb="5" eb="7">
      <t>さんだ</t>
    </rPh>
    <phoneticPr fontId="13" type="Hiragana"/>
  </si>
  <si>
    <t>ﾌｼﾞﾛｼﾞｻﾝﾀﾞ</t>
    <phoneticPr fontId="13" type="Hiragana"/>
  </si>
  <si>
    <t>回収シフト  第2  木曜日</t>
    <rPh sb="7" eb="8">
      <t>ダイ</t>
    </rPh>
    <rPh sb="11" eb="14">
      <t>モクヨウビ</t>
    </rPh>
    <phoneticPr fontId="11"/>
  </si>
  <si>
    <t>回収シフト  第4  木曜日</t>
    <rPh sb="7" eb="8">
      <t>ダイ</t>
    </rPh>
    <rPh sb="11" eb="14">
      <t>モクヨウビ</t>
    </rPh>
    <phoneticPr fontId="11"/>
  </si>
  <si>
    <t>BS+1ヵ所</t>
    <phoneticPr fontId="13" type="Hiragana"/>
  </si>
  <si>
    <t>東冷厚木,ﾏﾙﾅｶ</t>
    <phoneticPr fontId="11"/>
  </si>
  <si>
    <t>マルイチPM</t>
    <phoneticPr fontId="32"/>
  </si>
  <si>
    <t>関包スチールPm</t>
    <rPh sb="0" eb="1">
      <t>カンポウ</t>
    </rPh>
    <phoneticPr fontId="32"/>
  </si>
  <si>
    <t>不二家あり</t>
    <rPh sb="0" eb="2">
      <t>フジヤ</t>
    </rPh>
    <phoneticPr fontId="32"/>
  </si>
  <si>
    <t>ディーニング</t>
    <phoneticPr fontId="32"/>
  </si>
  <si>
    <t>ディーニング</t>
  </si>
  <si>
    <t>小田急電鉄シュレッダー</t>
    <rPh sb="0" eb="4">
      <t>オダキュウ</t>
    </rPh>
    <phoneticPr fontId="32"/>
  </si>
  <si>
    <t>ｲｼﾀﾞ製作所</t>
    <phoneticPr fontId="32"/>
  </si>
  <si>
    <t>リライズ2ヶ所</t>
    <rPh sb="5" eb="6">
      <t>ショ</t>
    </rPh>
    <phoneticPr fontId="32"/>
  </si>
  <si>
    <t>yanazakihaguruma</t>
    <phoneticPr fontId="32"/>
  </si>
  <si>
    <t>／菊地</t>
    <phoneticPr fontId="13" type="Hiragana"/>
  </si>
  <si>
    <t>／松明</t>
    <phoneticPr fontId="13" type="Hiragana"/>
  </si>
  <si>
    <t>／畑澤</t>
    <phoneticPr fontId="13" type="Hiragana"/>
  </si>
  <si>
    <t>／麻美</t>
    <phoneticPr fontId="13" type="Hiragana"/>
  </si>
  <si>
    <t>／片山</t>
    <phoneticPr fontId="13" type="Hiragana"/>
  </si>
  <si>
    <t>ｴﾊﾞﾈｸｽﾄ</t>
    <phoneticPr fontId="13" type="Hiragana"/>
  </si>
  <si>
    <t>㈱ｱｸﾃｨｵ・春うららか</t>
    <rPh sb="7" eb="8">
      <t>はる</t>
    </rPh>
    <phoneticPr fontId="13" type="Hiragana"/>
  </si>
  <si>
    <t>宇都宮螺子（）</t>
    <rPh sb="0" eb="2">
      <t>ウツノミヤ</t>
    </rPh>
    <rPh sb="2" eb="4">
      <t>ラシ</t>
    </rPh>
    <phoneticPr fontId="32"/>
  </si>
  <si>
    <t>東京スチールセンター</t>
    <phoneticPr fontId="32"/>
  </si>
  <si>
    <t>東京研分社</t>
    <rPh sb="1" eb="2">
      <t>ケン</t>
    </rPh>
    <rPh sb="2" eb="4">
      <t>ブンシャ</t>
    </rPh>
    <phoneticPr fontId="32"/>
  </si>
  <si>
    <t>セイフティ無し</t>
    <rPh sb="4" eb="5">
      <t>ナ</t>
    </rPh>
    <phoneticPr fontId="32"/>
  </si>
  <si>
    <t>山崎歯車2ヶ所</t>
    <rPh sb="0" eb="3">
      <t>ヤマ</t>
    </rPh>
    <phoneticPr fontId="32"/>
  </si>
  <si>
    <t>資さんうどん</t>
  </si>
  <si>
    <t>資さんうどん</t>
    <phoneticPr fontId="32"/>
  </si>
  <si>
    <t>2267オイル交換</t>
    <phoneticPr fontId="32"/>
  </si>
  <si>
    <t>回収シフト  第1  水曜日</t>
    <rPh sb="0" eb="2">
      <t>カイシュウ</t>
    </rPh>
    <rPh sb="7" eb="8">
      <t>ダイ</t>
    </rPh>
    <rPh sb="11" eb="14">
      <t>スイヨウビ</t>
    </rPh>
    <phoneticPr fontId="11"/>
  </si>
  <si>
    <t>回収シフト  第3  水曜日</t>
    <rPh sb="0" eb="2">
      <t>カイシュウ</t>
    </rPh>
    <rPh sb="7" eb="8">
      <t>ダイ</t>
    </rPh>
    <rPh sb="11" eb="14">
      <t>スイヨウビ</t>
    </rPh>
    <phoneticPr fontId="11"/>
  </si>
  <si>
    <t>資さんうどん</t>
    <rPh sb="0" eb="1">
      <t>すけ</t>
    </rPh>
    <phoneticPr fontId="13" type="Hiragana"/>
  </si>
  <si>
    <t>ｽｹｻﾝｳﾄﾞﾝ</t>
    <phoneticPr fontId="13" type="Hiragana"/>
  </si>
  <si>
    <t>横浜国大</t>
    <rPh sb="0" eb="2">
      <t>よこはま</t>
    </rPh>
    <rPh sb="2" eb="4">
      <t>こくだい</t>
    </rPh>
    <phoneticPr fontId="13" type="Hiragana"/>
  </si>
  <si>
    <t>ﾖｺﾊﾏｺｸﾀﾞｲ</t>
    <phoneticPr fontId="13" type="Hiragana"/>
  </si>
  <si>
    <t>／麻美･小島</t>
  </si>
  <si>
    <t>／麻美･小島</t>
    <rPh sb="1" eb="3">
      <t>あさみ</t>
    </rPh>
    <phoneticPr fontId="13" type="Hiragana"/>
  </si>
  <si>
    <t>／小島</t>
  </si>
  <si>
    <t>／菊池･小島</t>
    <rPh sb="1" eb="3">
      <t>きくち</t>
    </rPh>
    <phoneticPr fontId="13" type="Hiragana"/>
  </si>
  <si>
    <t>／片山･小島</t>
  </si>
  <si>
    <t>／関口</t>
    <phoneticPr fontId="13" type="Hiragana"/>
  </si>
  <si>
    <t>小田急電鉄切符＆ｼｭﾚｯﾀﾞｰ</t>
    <rPh sb="0" eb="5">
      <t>おだきゅう</t>
    </rPh>
    <rPh sb="5" eb="7">
      <t>きっぷ</t>
    </rPh>
    <phoneticPr fontId="13" type="Hiragana"/>
  </si>
  <si>
    <t>小田急電鉄切符</t>
    <rPh sb="0" eb="5">
      <t>おだきゅう</t>
    </rPh>
    <rPh sb="5" eb="7">
      <t>きっぷ</t>
    </rPh>
    <phoneticPr fontId="13" type="Hiragana"/>
  </si>
  <si>
    <t>／関口･小島</t>
  </si>
  <si>
    <t>／畑澤･小島</t>
    <rPh sb="1" eb="3">
      <t>はたざわ</t>
    </rPh>
    <phoneticPr fontId="13" type="Hiragana"/>
  </si>
  <si>
    <t>小島さん休み</t>
    <rPh sb="0" eb="2">
      <t>こじま</t>
    </rPh>
    <rPh sb="4" eb="5">
      <t>やす</t>
    </rPh>
    <phoneticPr fontId="13" type="Hiragana"/>
  </si>
  <si>
    <t>午前半休</t>
    <rPh sb="0" eb="2">
      <t>ごぜん</t>
    </rPh>
    <rPh sb="2" eb="4">
      <t>はんきゅう</t>
    </rPh>
    <phoneticPr fontId="13" type="Hiragana"/>
  </si>
  <si>
    <t>ﾀﾞｲﾜｺｰﾎﾟﾚｰｼｮﾝ</t>
    <phoneticPr fontId="13" type="Hiragana"/>
  </si>
  <si>
    <t>2026/3/24 10:08</t>
    <phoneticPr fontId="13" type="Hiragana"/>
  </si>
  <si>
    <t>近代セールス社</t>
    <phoneticPr fontId="32"/>
  </si>
  <si>
    <t>IWD</t>
    <phoneticPr fontId="32"/>
  </si>
  <si>
    <t>イシダ制作所</t>
    <rPh sb="2" eb="4">
      <t>セイサク</t>
    </rPh>
    <rPh sb="4" eb="5">
      <t>ショ</t>
    </rPh>
    <phoneticPr fontId="32"/>
  </si>
  <si>
    <t>タキロンシーアイなし</t>
    <phoneticPr fontId="32"/>
  </si>
  <si>
    <t>ハーゼスト午後</t>
    <rPh sb="5" eb="7">
      <t>ゴゴ</t>
    </rPh>
    <phoneticPr fontId="32"/>
  </si>
  <si>
    <t>ハーゼスト午前</t>
    <rPh sb="5" eb="7">
      <t>ゴゼン</t>
    </rPh>
    <phoneticPr fontId="32"/>
  </si>
  <si>
    <t>IWDAM</t>
    <phoneticPr fontId="32"/>
  </si>
  <si>
    <t>宇都宮螺子</t>
    <rPh sb="0" eb="1">
      <t>ウツノミヤ</t>
    </rPh>
    <rPh sb="1" eb="3">
      <t>ラシ</t>
    </rPh>
    <phoneticPr fontId="32"/>
  </si>
  <si>
    <t>富士ロジ三田</t>
    <rPh sb="0" eb="2">
      <t>フジ</t>
    </rPh>
    <rPh sb="4" eb="5">
      <t>サンダ</t>
    </rPh>
    <phoneticPr fontId="32"/>
  </si>
  <si>
    <t>岡崎ファミマ</t>
    <rPh sb="0" eb="1">
      <t>オカザキ</t>
    </rPh>
    <phoneticPr fontId="32"/>
  </si>
  <si>
    <t>FamilyMart 平塚おかざき店</t>
    <rPh sb="10" eb="12">
      <t>ヒラツカ</t>
    </rPh>
    <rPh sb="16" eb="17">
      <t>テン</t>
    </rPh>
    <phoneticPr fontId="32"/>
  </si>
  <si>
    <t>小島</t>
  </si>
  <si>
    <t>藤井</t>
  </si>
  <si>
    <t>麻美</t>
  </si>
  <si>
    <t>小田急</t>
  </si>
  <si>
    <t>午後半休</t>
  </si>
  <si>
    <t>午前現場</t>
  </si>
  <si>
    <t>早出C</t>
  </si>
  <si>
    <t>＋1休日</t>
  </si>
  <si>
    <t>４(仮)</t>
  </si>
  <si>
    <t>６(仮)</t>
  </si>
  <si>
    <t>７(仮)</t>
  </si>
  <si>
    <t>９(仮)</t>
  </si>
  <si>
    <t xml:space="preserve">5122oirukoukann </t>
    <phoneticPr fontId="32"/>
  </si>
  <si>
    <t>ディーニングAM</t>
    <phoneticPr fontId="32"/>
  </si>
  <si>
    <t>セイミツ平塚</t>
    <rPh sb="4" eb="6">
      <t>ひらつか</t>
    </rPh>
    <phoneticPr fontId="13" type="Hiragana"/>
  </si>
  <si>
    <t>鴻池午後</t>
    <rPh sb="0" eb="1">
      <t>コウノイケ</t>
    </rPh>
    <rPh sb="1" eb="3">
      <t>ゴゴ</t>
    </rPh>
    <phoneticPr fontId="32"/>
  </si>
  <si>
    <t>金田</t>
    <rPh sb="0" eb="1">
      <t>カネダ</t>
    </rPh>
    <phoneticPr fontId="32"/>
  </si>
  <si>
    <t>午後ストリックス雑誌</t>
    <rPh sb="0" eb="1">
      <t>ゴゴ</t>
    </rPh>
    <rPh sb="7" eb="9">
      <t>ザッシ</t>
    </rPh>
    <phoneticPr fontId="32"/>
  </si>
  <si>
    <t>ブリヂストン紙管AM</t>
    <rPh sb="5" eb="7">
      <t>シカン</t>
    </rPh>
    <phoneticPr fontId="32"/>
  </si>
  <si>
    <t>2025PK／関口･小島</t>
  </si>
  <si>
    <t>5122PK／菊地</t>
  </si>
  <si>
    <t>1㌧6902／万里</t>
  </si>
  <si>
    <t>6:00</t>
  </si>
  <si>
    <t>ダイワコーポレーション</t>
  </si>
  <si>
    <t>回収</t>
    <rPh sb="0" eb="2">
      <t>かいしゅう</t>
    </rPh>
    <phoneticPr fontId="13" type="Hiragana"/>
  </si>
  <si>
    <t>IWD(南海辰村建設)</t>
    <rPh sb="4" eb="6">
      <t>ナンカイ</t>
    </rPh>
    <rPh sb="6" eb="7">
      <t>シン</t>
    </rPh>
    <rPh sb="7" eb="8">
      <t>ムラ</t>
    </rPh>
    <rPh sb="8" eb="10">
      <t>ケンセツ</t>
    </rPh>
    <phoneticPr fontId="1"/>
  </si>
  <si>
    <t>TS環境ﾘｻｲｸﾙ</t>
  </si>
  <si>
    <t>2025PK／関口</t>
  </si>
  <si>
    <t>2618PK／小島</t>
  </si>
  <si>
    <t>SBSﾌﾚｯｸ</t>
  </si>
  <si>
    <t>1㌧6902／麻美</t>
  </si>
  <si>
    <t>藤川さん午後半休</t>
    <rPh sb="0" eb="2">
      <t>ふじかわ</t>
    </rPh>
    <rPh sb="4" eb="6">
      <t>ごご</t>
    </rPh>
    <rPh sb="6" eb="8">
      <t>はんきゅう</t>
    </rPh>
    <phoneticPr fontId="13" type="Hiragana"/>
  </si>
  <si>
    <t>ｹｲﾌﾞﾗﾝﾄﾞ㈱</t>
  </si>
  <si>
    <t>2618PK／片山･小島</t>
  </si>
  <si>
    <t>伊藤ビル</t>
  </si>
  <si>
    <t>5122PK／畑澤</t>
  </si>
  <si>
    <t>2025PK／小島</t>
  </si>
  <si>
    <t>2267PK／片山</t>
  </si>
  <si>
    <t>松明 会議</t>
    <rPh sb="0" eb="1">
      <t>まつ</t>
    </rPh>
    <rPh sb="1" eb="2">
      <t>めい</t>
    </rPh>
    <rPh sb="3" eb="5">
      <t>かいぎ</t>
    </rPh>
    <phoneticPr fontId="13" type="Hiragana"/>
  </si>
  <si>
    <t>関口さんBS機密書類立合</t>
    <rPh sb="0" eb="2">
      <t>せき</t>
    </rPh>
    <rPh sb="6" eb="10">
      <t>きみつ</t>
    </rPh>
    <rPh sb="10" eb="12">
      <t>たちあい</t>
    </rPh>
    <phoneticPr fontId="13" type="Hiragana"/>
  </si>
  <si>
    <t>ﾘﾗｲｽﾞ</t>
  </si>
  <si>
    <t>2267PK／小島</t>
  </si>
  <si>
    <t>5122PK／片山</t>
  </si>
  <si>
    <t>名糖運輸</t>
    <rPh sb="0" eb="2">
      <t>めいとう</t>
    </rPh>
    <rPh sb="2" eb="4">
      <t>うんゆ</t>
    </rPh>
    <phoneticPr fontId="13" type="Hiragana"/>
  </si>
  <si>
    <t>ミクロ</t>
  </si>
  <si>
    <t>2618PK／関口</t>
  </si>
  <si>
    <t>2267PK／畑澤･小島</t>
  </si>
  <si>
    <t>2025PK／畑澤･小島</t>
  </si>
  <si>
    <t>不二家平塚工場なし</t>
    <phoneticPr fontId="13" type="Hiragana"/>
  </si>
  <si>
    <t>2618PK／畑澤･小島</t>
  </si>
  <si>
    <t>FamilyMart岡崎点</t>
    <rPh sb="10" eb="12">
      <t>お</t>
    </rPh>
    <rPh sb="12" eb="13">
      <t>てん</t>
    </rPh>
    <phoneticPr fontId="13" type="Hiragana"/>
  </si>
  <si>
    <t>5122PK／片山･小島</t>
  </si>
  <si>
    <t>2267PK／関口</t>
  </si>
  <si>
    <t>2025PK／片山･小島</t>
  </si>
  <si>
    <t>2267PK／片山･小島</t>
  </si>
  <si>
    <t>小田急電鉄</t>
    <rPh sb="0" eb="5">
      <t>おだきゅう</t>
    </rPh>
    <phoneticPr fontId="13" type="Hiragana"/>
  </si>
  <si>
    <t>トナミ運輸相模</t>
  </si>
  <si>
    <t>小島さんAM現場</t>
    <rPh sb="0" eb="2">
      <t>こじま</t>
    </rPh>
    <rPh sb="6" eb="8">
      <t>げんば</t>
    </rPh>
    <phoneticPr fontId="13" type="Hiragana"/>
  </si>
  <si>
    <t>藤井さんAM現場</t>
    <rPh sb="0" eb="2">
      <t>ふじい</t>
    </rPh>
    <rPh sb="6" eb="8">
      <t>げんば</t>
    </rPh>
    <phoneticPr fontId="13" type="Hiragana"/>
  </si>
  <si>
    <t>5122PK／関口･藤井</t>
    <rPh sb="10" eb="12">
      <t>ふじい</t>
    </rPh>
    <phoneticPr fontId="13" type="Hiragana"/>
  </si>
  <si>
    <t>2618PK／菊池･小島</t>
  </si>
  <si>
    <t>5122PK／関口・藤井</t>
    <rPh sb="10" eb="12">
      <t>ふじい</t>
    </rPh>
    <phoneticPr fontId="13" type="Hiragana"/>
  </si>
  <si>
    <t>LIXIL厚木(弟３金)</t>
  </si>
  <si>
    <t>5122PK／松明</t>
    <rPh sb="7" eb="9">
      <t>まつ</t>
    </rPh>
    <phoneticPr fontId="13" type="Hiragana"/>
  </si>
  <si>
    <t>PK車メンテナンス</t>
  </si>
  <si>
    <t>FamilyMartおかざき店</t>
    <rPh sb="14" eb="15">
      <t>てん</t>
    </rPh>
    <phoneticPr fontId="13" type="Hiragana"/>
  </si>
  <si>
    <t>不二家平塚工場なし</t>
  </si>
  <si>
    <t>ディーミング</t>
  </si>
  <si>
    <t>5122PK／小島</t>
  </si>
  <si>
    <t>2618PK／畑澤</t>
  </si>
  <si>
    <t>DAISO在庫確認</t>
    <rPh sb="5" eb="9">
      <t>ざいこかくにん</t>
    </rPh>
    <phoneticPr fontId="13" type="Hiragana"/>
  </si>
  <si>
    <t>雑誌</t>
    <rPh sb="0" eb="2">
      <t>ざっし</t>
    </rPh>
    <phoneticPr fontId="13" type="Hiragana"/>
  </si>
  <si>
    <t>10:00 頃</t>
    <rPh sb="6" eb="7">
      <t>ころ</t>
    </rPh>
    <phoneticPr fontId="13" type="Hiragana"/>
  </si>
  <si>
    <t>2618PK／関口･小島</t>
  </si>
  <si>
    <t>2025PK／関口･藤井</t>
    <rPh sb="10" eb="12">
      <t>ふ</t>
    </rPh>
    <phoneticPr fontId="13" type="Hiragana"/>
  </si>
  <si>
    <t>5122PK／片山･藤井</t>
    <rPh sb="10" eb="12">
      <t>ふじい</t>
    </rPh>
    <phoneticPr fontId="13" type="Hiragana"/>
  </si>
  <si>
    <t>2025PK／片山･藤井</t>
    <phoneticPr fontId="13" type="Hiragana"/>
  </si>
  <si>
    <t>午後半休</t>
    <rPh sb="0" eb="4">
      <t>ごご</t>
    </rPh>
    <phoneticPr fontId="13" type="Hiragana"/>
  </si>
  <si>
    <t>ディーミング</t>
    <phoneticPr fontId="32"/>
  </si>
  <si>
    <t>ディーニング</t>
    <phoneticPr fontId="13" type="Hiragana"/>
  </si>
  <si>
    <t>5122PK／関口･藤井</t>
    <rPh sb="10" eb="12">
      <t>ふじ</t>
    </rPh>
    <phoneticPr fontId="13" type="Hiragana"/>
  </si>
  <si>
    <t>5122オイル交換</t>
  </si>
  <si>
    <t>5122オイル交換</t>
    <phoneticPr fontId="13" type="Hiragana"/>
  </si>
  <si>
    <t>予約13：30</t>
    <rPh sb="0" eb="2">
      <t>よやく</t>
    </rPh>
    <phoneticPr fontId="13" type="Hiragana"/>
  </si>
  <si>
    <t>猪股・藤井</t>
    <rPh sb="0" eb="2">
      <t>いのまた</t>
    </rPh>
    <rPh sb="3" eb="5">
      <t>ふじい</t>
    </rPh>
    <phoneticPr fontId="13" type="Hiragana"/>
  </si>
  <si>
    <t>藤井</t>
    <rPh sb="0" eb="2">
      <t>ふじい</t>
    </rPh>
    <phoneticPr fontId="13" type="Hiragana"/>
  </si>
  <si>
    <t>猪股</t>
    <rPh sb="0" eb="2">
      <t>いのまた</t>
    </rPh>
    <phoneticPr fontId="13" type="Hiragana"/>
  </si>
  <si>
    <t>2025PK／関口・藤井</t>
    <rPh sb="10" eb="12">
      <t>ふじい</t>
    </rPh>
    <phoneticPr fontId="13" type="Hiragana"/>
  </si>
  <si>
    <t>2025PK／関口･藤井</t>
    <rPh sb="10" eb="12">
      <t>ふじい</t>
    </rPh>
    <phoneticPr fontId="13" type="Hiragana"/>
  </si>
  <si>
    <t>小島さん山櫻</t>
    <rPh sb="0" eb="2">
      <t>こじま</t>
    </rPh>
    <rPh sb="4" eb="6">
      <t>やま</t>
    </rPh>
    <phoneticPr fontId="13" type="Hiragana"/>
  </si>
  <si>
    <t>小田急切符</t>
    <rPh sb="0" eb="2">
      <t>オダキュウ</t>
    </rPh>
    <rPh sb="3" eb="5">
      <t>キップ</t>
    </rPh>
    <phoneticPr fontId="32"/>
  </si>
  <si>
    <t>菊地さん山櫻</t>
    <rPh sb="0" eb="2">
      <t>きくち</t>
    </rPh>
    <rPh sb="4" eb="6">
      <t>やまざ</t>
    </rPh>
    <phoneticPr fontId="13" type="Hiragana"/>
  </si>
  <si>
    <t>ﾋﾟｱﾉ運送なし</t>
    <phoneticPr fontId="13" type="Hiragana"/>
  </si>
  <si>
    <t>武部鉄工所なし</t>
    <phoneticPr fontId="13" type="Hiragana"/>
  </si>
  <si>
    <t>片山さん山櫻</t>
    <rPh sb="4" eb="6">
      <t>や</t>
    </rPh>
    <phoneticPr fontId="13" type="Hiragana"/>
  </si>
  <si>
    <t>2267PK／関口･藤井</t>
    <rPh sb="10" eb="12">
      <t>ふじい</t>
    </rPh>
    <phoneticPr fontId="13" type="Hiragana"/>
  </si>
  <si>
    <t>2618PK／関口･藤井</t>
    <rPh sb="10" eb="12">
      <t>ふじい</t>
    </rPh>
    <phoneticPr fontId="13" type="Hiragana"/>
  </si>
  <si>
    <t>小田急電鉄</t>
    <rPh sb="0" eb="5">
      <t>おだ</t>
    </rPh>
    <phoneticPr fontId="13" type="Hiragana"/>
  </si>
  <si>
    <t>ｳｪﾙｼｱ平塚中原店</t>
    <phoneticPr fontId="13" type="Hiragana"/>
  </si>
  <si>
    <t>2618PK／藤井</t>
    <rPh sb="7" eb="9">
      <t>ふじい</t>
    </rPh>
    <phoneticPr fontId="13" type="Hiragana"/>
  </si>
  <si>
    <t>2267PK／小島</t>
    <phoneticPr fontId="13" type="Hiragana"/>
  </si>
  <si>
    <t>2267PK／藤井</t>
    <rPh sb="7" eb="9">
      <t>ふじい</t>
    </rPh>
    <phoneticPr fontId="13" type="Hiragana"/>
  </si>
  <si>
    <t>IWD</t>
    <phoneticPr fontId="13" type="Hiragana"/>
  </si>
  <si>
    <t>5122PK／藤井</t>
    <rPh sb="7" eb="9">
      <t>ふじい</t>
    </rPh>
    <phoneticPr fontId="13" type="Hiragana"/>
  </si>
  <si>
    <t>2267PK／畑澤</t>
  </si>
  <si>
    <t>PK車点検修理★2618</t>
  </si>
  <si>
    <t>ビギ片付け雑誌回収</t>
    <rPh sb="1" eb="3">
      <t>カタヅ</t>
    </rPh>
    <rPh sb="4" eb="6">
      <t>ザッシ</t>
    </rPh>
    <rPh sb="6" eb="8">
      <t>カイシュウ</t>
    </rPh>
    <phoneticPr fontId="32"/>
  </si>
  <si>
    <t>英海商事　無理なら午後</t>
    <rPh sb="0" eb="2">
      <t>えいかい</t>
    </rPh>
    <rPh sb="2" eb="4">
      <t>しょうじ</t>
    </rPh>
    <rPh sb="5" eb="7">
      <t>むり</t>
    </rPh>
    <rPh sb="9" eb="11">
      <t>ごご</t>
    </rPh>
    <phoneticPr fontId="13" type="Hiragana"/>
  </si>
  <si>
    <t>英海商事</t>
    <rPh sb="0" eb="4">
      <t>えい</t>
    </rPh>
    <phoneticPr fontId="13" type="Hiragana"/>
  </si>
  <si>
    <t>新規IWD</t>
    <rPh sb="0" eb="1">
      <t>シンキ</t>
    </rPh>
    <phoneticPr fontId="32"/>
  </si>
  <si>
    <t>ジャクソンAM</t>
    <phoneticPr fontId="32"/>
  </si>
  <si>
    <t>新規IWD</t>
  </si>
  <si>
    <t>英海商事</t>
    <rPh sb="0" eb="1">
      <t>エイ</t>
    </rPh>
    <rPh sb="1" eb="2">
      <t>カイ</t>
    </rPh>
    <rPh sb="2" eb="4">
      <t>ショウジ</t>
    </rPh>
    <phoneticPr fontId="1"/>
  </si>
  <si>
    <t>5122PK／藤井</t>
    <phoneticPr fontId="13" type="Hiragana"/>
  </si>
  <si>
    <t>5122PK／関口･藤井</t>
    <rPh sb="7" eb="9">
      <t>せき</t>
    </rPh>
    <rPh sb="10" eb="12">
      <t>ふじい</t>
    </rPh>
    <phoneticPr fontId="13" type="Hiragana"/>
  </si>
  <si>
    <t>2025PK／藤井</t>
    <rPh sb="7" eb="9">
      <t>ふじい</t>
    </rPh>
    <phoneticPr fontId="13" type="Hiragana"/>
  </si>
  <si>
    <t>関口午後現場</t>
    <rPh sb="0" eb="2">
      <t>せきぐち</t>
    </rPh>
    <rPh sb="2" eb="4">
      <t>ごご</t>
    </rPh>
    <rPh sb="4" eb="6">
      <t>げんば</t>
    </rPh>
    <phoneticPr fontId="13" type="Hiragana"/>
  </si>
  <si>
    <t>小田急切符・ｼｭﾚｯﾀﾞ</t>
    <rPh sb="0" eb="2">
      <t>オダキュウ</t>
    </rPh>
    <rPh sb="3" eb="5">
      <t>キップ</t>
    </rPh>
    <phoneticPr fontId="32"/>
  </si>
  <si>
    <t>2618PK／藤井</t>
    <rPh sb="7" eb="9">
      <t>ふ</t>
    </rPh>
    <phoneticPr fontId="13" type="Hiragana"/>
  </si>
  <si>
    <t>小島さん山桜出張</t>
    <rPh sb="0" eb="2">
      <t>こじま</t>
    </rPh>
    <phoneticPr fontId="13" type="Hiragana"/>
  </si>
  <si>
    <t>5122PK／藤井</t>
    <rPh sb="7" eb="9">
      <t>ふ</t>
    </rPh>
    <phoneticPr fontId="13" type="Hiragana"/>
  </si>
  <si>
    <t>IWD海老名中央</t>
    <rPh sb="2" eb="5">
      <t>エビナ</t>
    </rPh>
    <rPh sb="5" eb="7">
      <t>チュウオウ</t>
    </rPh>
    <phoneticPr fontId="32"/>
  </si>
  <si>
    <t>BS機密書類</t>
    <phoneticPr fontId="32"/>
  </si>
  <si>
    <t>IWD(海老名中央)</t>
    <rPh sb="4" eb="9">
      <t>えびな</t>
    </rPh>
    <phoneticPr fontId="13" type="Hiragana"/>
  </si>
  <si>
    <t>2025タイヤ交換</t>
    <rPh sb="7" eb="9">
      <t>こうかん</t>
    </rPh>
    <phoneticPr fontId="13" type="Hiragana"/>
  </si>
  <si>
    <t>英海商事　</t>
    <rPh sb="0" eb="2">
      <t>えいかい</t>
    </rPh>
    <rPh sb="2" eb="4">
      <t>しょうじ</t>
    </rPh>
    <phoneticPr fontId="13" type="Hiragana"/>
  </si>
  <si>
    <t>コーナン大船モール</t>
    <rPh sb="4" eb="6">
      <t>おおふな</t>
    </rPh>
    <phoneticPr fontId="13" type="Hiragana"/>
  </si>
  <si>
    <t>畑澤さんブリヂストン機密書類立合</t>
    <rPh sb="10" eb="14">
      <t>きみつ</t>
    </rPh>
    <rPh sb="14" eb="16">
      <t>たちあい</t>
    </rPh>
    <phoneticPr fontId="13" type="Hiragana"/>
  </si>
  <si>
    <t>車検</t>
    <rPh sb="0" eb="2">
      <t>しゃけん</t>
    </rPh>
    <phoneticPr fontId="13" type="Hiragana"/>
  </si>
  <si>
    <t>IWD(南海辰村建設)</t>
  </si>
  <si>
    <t>ﾁｸﾌﾞ上依知★臭なし</t>
    <phoneticPr fontId="13" type="Hiragana"/>
  </si>
  <si>
    <t>英海商事</t>
  </si>
  <si>
    <t>IWD(㈱大勝)</t>
  </si>
  <si>
    <t>IWD(㈱大勝)</t>
    <phoneticPr fontId="32"/>
  </si>
  <si>
    <t>東京研文社AM</t>
    <rPh sb="0" eb="1">
      <t>トウキョウ</t>
    </rPh>
    <rPh sb="1" eb="4">
      <t>ケンブン</t>
    </rPh>
    <phoneticPr fontId="32"/>
  </si>
  <si>
    <t>2267オイル交換13:30</t>
    <rPh sb="7" eb="9">
      <t>こうかん</t>
    </rPh>
    <phoneticPr fontId="13" type="Hiragana"/>
  </si>
  <si>
    <t>早稲田ｱｶﾃﾞﾐｰ(厚木無し</t>
    <rPh sb="12" eb="13">
      <t>な</t>
    </rPh>
    <phoneticPr fontId="13" type="Hiragana"/>
  </si>
  <si>
    <t>三井倉庫</t>
    <phoneticPr fontId="13" type="Hiragana"/>
  </si>
  <si>
    <t>5122PK／小島</t>
    <rPh sb="7" eb="9">
      <t>こじま</t>
    </rPh>
    <phoneticPr fontId="13" type="Hiragana"/>
  </si>
  <si>
    <t>岩佐さん午後半休</t>
    <rPh sb="0" eb="2">
      <t>いわさ</t>
    </rPh>
    <rPh sb="4" eb="8">
      <t>ごご</t>
    </rPh>
    <phoneticPr fontId="13" type="Hiragana"/>
  </si>
  <si>
    <t>IWD(㈱大勝)</t>
    <phoneticPr fontId="13" type="Hiragana"/>
  </si>
  <si>
    <t>2267PK／菊池･小島</t>
  </si>
  <si>
    <t>5122PK／関口</t>
    <rPh sb="7" eb="9">
      <t>せきぐち</t>
    </rPh>
    <phoneticPr fontId="13" type="Hiragana"/>
  </si>
  <si>
    <t>2025PK／畑澤・麻美</t>
    <rPh sb="10" eb="12">
      <t>あさみ</t>
    </rPh>
    <phoneticPr fontId="13" type="Hiragana"/>
  </si>
  <si>
    <t>小島さんブリヂストン機密書類立合</t>
    <rPh sb="0" eb="2">
      <t>こじま</t>
    </rPh>
    <rPh sb="10" eb="14">
      <t>きみつ</t>
    </rPh>
    <rPh sb="14" eb="16">
      <t>たちあい</t>
    </rPh>
    <phoneticPr fontId="13" type="Hiragana"/>
  </si>
  <si>
    <t>5122/小島</t>
    <rPh sb="5" eb="7">
      <t>こじま</t>
    </rPh>
    <phoneticPr fontId="13" type="Hiragana"/>
  </si>
  <si>
    <t>厚木市環境センター</t>
    <rPh sb="0" eb="2">
      <t>アツギシ</t>
    </rPh>
    <rPh sb="2" eb="4">
      <t>カンキョウ</t>
    </rPh>
    <phoneticPr fontId="32"/>
  </si>
  <si>
    <t>2267PK／関口</t>
    <rPh sb="7" eb="9">
      <t>せきぐち</t>
    </rPh>
    <phoneticPr fontId="13" type="Hiragana"/>
  </si>
  <si>
    <t>2618PK／小島</t>
    <rPh sb="7" eb="9">
      <t>こじま</t>
    </rPh>
    <phoneticPr fontId="13" type="Hiragana"/>
  </si>
  <si>
    <t>5122PK／片山</t>
    <phoneticPr fontId="13" type="Hiragana"/>
  </si>
  <si>
    <t>1㌧6902／麻美</t>
    <phoneticPr fontId="13" type="Hiragana"/>
  </si>
  <si>
    <t>平塚</t>
    <rPh sb="0" eb="2">
      <t>ひらつか</t>
    </rPh>
    <phoneticPr fontId="13" type="Hiragana"/>
  </si>
  <si>
    <t>再生センター話合</t>
    <rPh sb="0" eb="1">
      <t>サイセイ</t>
    </rPh>
    <rPh sb="5" eb="7">
      <t>ハナシア</t>
    </rPh>
    <phoneticPr fontId="32"/>
  </si>
  <si>
    <t>タチオカ</t>
    <phoneticPr fontId="32"/>
  </si>
  <si>
    <t>お盆</t>
    <rPh sb="1" eb="2">
      <t>ボン</t>
    </rPh>
    <phoneticPr fontId="32"/>
  </si>
  <si>
    <t>平塚</t>
    <rPh sb="0" eb="2">
      <t>ひ</t>
    </rPh>
    <phoneticPr fontId="13" type="Hiragana"/>
  </si>
  <si>
    <t>22618PK／小島</t>
    <phoneticPr fontId="13" type="Hiragana"/>
  </si>
  <si>
    <t>5122PK／片山</t>
    <rPh sb="7" eb="9">
      <t>かたやま</t>
    </rPh>
    <phoneticPr fontId="13" type="Hiragana"/>
  </si>
  <si>
    <t>2618PK／片山</t>
    <phoneticPr fontId="13" type="Hiragana"/>
  </si>
  <si>
    <t>2618PK／片山</t>
    <rPh sb="7" eb="9">
      <t>かたやま</t>
    </rPh>
    <phoneticPr fontId="13" type="Hiragana"/>
  </si>
  <si>
    <t>'資さん 平塚</t>
    <rPh sb="5" eb="7">
      <t>ヒ</t>
    </rPh>
    <phoneticPr fontId="32"/>
  </si>
  <si>
    <t>関口さん休み</t>
    <rPh sb="0" eb="2">
      <t>せき</t>
    </rPh>
    <phoneticPr fontId="13" type="Hiragana"/>
  </si>
  <si>
    <t>IWD(社家)</t>
    <rPh sb="4" eb="6">
      <t>しゃけ</t>
    </rPh>
    <phoneticPr fontId="13" type="Hiragana"/>
  </si>
  <si>
    <t>小田急</t>
    <rPh sb="0" eb="3">
      <t>おだきゅう</t>
    </rPh>
    <phoneticPr fontId="13" type="Hiragana"/>
  </si>
  <si>
    <t>2267PK／藤井</t>
    <rPh sb="7" eb="9">
      <t>ふ</t>
    </rPh>
    <phoneticPr fontId="13" type="Hiragana"/>
  </si>
  <si>
    <t>F</t>
    <phoneticPr fontId="13" type="Hiragana"/>
  </si>
  <si>
    <t>ｸﾘﾅｯﾌﾟ</t>
    <phoneticPr fontId="13" type="Hiragana"/>
  </si>
  <si>
    <t>平塚</t>
    <rPh sb="0" eb="2">
      <t>ひら</t>
    </rPh>
    <phoneticPr fontId="13" type="Hiragana"/>
  </si>
  <si>
    <t>ミクロ</t>
    <phoneticPr fontId="13" type="Hiragana"/>
  </si>
  <si>
    <t>ブリヂストン紙管</t>
    <rPh sb="5" eb="7">
      <t>シカン</t>
    </rPh>
    <phoneticPr fontId="32"/>
  </si>
  <si>
    <t>EFC最終</t>
    <rPh sb="2" eb="4">
      <t>サイシュウ</t>
    </rPh>
    <phoneticPr fontId="32"/>
  </si>
  <si>
    <t>パスコ</t>
    <phoneticPr fontId="32"/>
  </si>
  <si>
    <t>PK車点検修理★4877</t>
  </si>
  <si>
    <t>PK車点検修理★4877</t>
    <phoneticPr fontId="13" type="Hiragana"/>
  </si>
  <si>
    <t>戸田</t>
    <phoneticPr fontId="13" type="Hiragana"/>
  </si>
  <si>
    <t>カインズ</t>
    <phoneticPr fontId="13" type="Hiragana"/>
  </si>
  <si>
    <t>4877PK／関口</t>
    <phoneticPr fontId="13" type="Hiragana"/>
  </si>
  <si>
    <t>カインズ</t>
  </si>
  <si>
    <t>4877PK／畑澤</t>
    <phoneticPr fontId="13" type="Hiragana"/>
  </si>
  <si>
    <t>4877PK／藤井</t>
    <rPh sb="7" eb="9">
      <t>ふじい</t>
    </rPh>
    <phoneticPr fontId="13" type="Hiragana"/>
  </si>
  <si>
    <t>1㌧6902／小島</t>
  </si>
  <si>
    <t>近代セールス社</t>
    <rPh sb="0" eb="2">
      <t>きんだい</t>
    </rPh>
    <phoneticPr fontId="13" type="Hiragana"/>
  </si>
  <si>
    <t>カインズ鎌倉梶原店</t>
    <rPh sb="4" eb="6">
      <t>かまくら</t>
    </rPh>
    <rPh sb="6" eb="8">
      <t>かじ</t>
    </rPh>
    <rPh sb="8" eb="9">
      <t>てん</t>
    </rPh>
    <phoneticPr fontId="13" type="Hiragana"/>
  </si>
  <si>
    <t>回収</t>
    <phoneticPr fontId="13" type="Hiragana"/>
  </si>
  <si>
    <t>戸田</t>
    <rPh sb="0" eb="2">
      <t>とだ</t>
    </rPh>
    <phoneticPr fontId="13" type="Hiragana"/>
  </si>
  <si>
    <t>カインズPM14</t>
    <phoneticPr fontId="32"/>
  </si>
  <si>
    <t>カインズPM15</t>
    <phoneticPr fontId="32"/>
  </si>
  <si>
    <t>カインズPM15</t>
  </si>
  <si>
    <t>カインズPM12</t>
    <phoneticPr fontId="32"/>
  </si>
  <si>
    <t>カインズAM8</t>
    <phoneticPr fontId="32"/>
  </si>
  <si>
    <t>カインズAM8</t>
  </si>
  <si>
    <t>鴻池戸田15</t>
    <rPh sb="0" eb="1">
      <t>コウノイケ</t>
    </rPh>
    <rPh sb="1" eb="3">
      <t>トダ</t>
    </rPh>
    <phoneticPr fontId="32"/>
  </si>
  <si>
    <t>ﾕﾆﾏｯﾄLIFEあり</t>
    <phoneticPr fontId="32"/>
  </si>
  <si>
    <t>エバネクストAM</t>
    <phoneticPr fontId="32"/>
  </si>
  <si>
    <t>4877PK／関口</t>
    <rPh sb="7" eb="9">
      <t>せきぐち</t>
    </rPh>
    <phoneticPr fontId="13" type="Hiragana"/>
  </si>
  <si>
    <t>4877PK／小島</t>
    <rPh sb="7" eb="9">
      <t>こじま</t>
    </rPh>
    <phoneticPr fontId="13" type="Hiragana"/>
  </si>
  <si>
    <t>JPロジネット【山紀】</t>
    <rPh sb="8" eb="9">
      <t>さん</t>
    </rPh>
    <rPh sb="9" eb="10">
      <t>き</t>
    </rPh>
    <phoneticPr fontId="13" type="Hiragana"/>
  </si>
  <si>
    <t>IWD(㈱大勝)2</t>
    <phoneticPr fontId="13" type="Hiragana"/>
  </si>
  <si>
    <t>高山常温一括ｾﾝﾀｰPM</t>
    <phoneticPr fontId="13" type="Hiragana"/>
  </si>
  <si>
    <t>ESPOT(BY+PS)PM</t>
    <phoneticPr fontId="13" type="Hiragana"/>
  </si>
  <si>
    <t>厚木事業所1</t>
    <phoneticPr fontId="13" type="Hiragana"/>
  </si>
  <si>
    <t>EFCなし</t>
    <phoneticPr fontId="32"/>
  </si>
  <si>
    <t>4877PK／片山</t>
    <phoneticPr fontId="13" type="Hiragana"/>
  </si>
  <si>
    <t>4877PK/藤井</t>
    <rPh sb="7" eb="9">
      <t>ふじい</t>
    </rPh>
    <phoneticPr fontId="13" type="Hiragana"/>
  </si>
  <si>
    <t>5122PK／松明</t>
    <rPh sb="7" eb="8">
      <t>まつ</t>
    </rPh>
    <rPh sb="8" eb="9">
      <t>めい</t>
    </rPh>
    <phoneticPr fontId="13" type="Hiragana"/>
  </si>
  <si>
    <t>猪股</t>
    <rPh sb="0" eb="2">
      <t>いの</t>
    </rPh>
    <phoneticPr fontId="13" type="Hiragana"/>
  </si>
  <si>
    <t>畑澤</t>
    <rPh sb="0" eb="2">
      <t>はた</t>
    </rPh>
    <phoneticPr fontId="13" type="Hiragana"/>
  </si>
  <si>
    <t>1㌧6902／小島</t>
    <rPh sb="7" eb="9">
      <t>こじま</t>
    </rPh>
    <phoneticPr fontId="13" type="Hiragana"/>
  </si>
  <si>
    <t>2618PK／松明</t>
    <rPh sb="7" eb="8">
      <t>まつ</t>
    </rPh>
    <rPh sb="8" eb="9">
      <t>めい</t>
    </rPh>
    <phoneticPr fontId="13" type="Hiragana"/>
  </si>
  <si>
    <t>小島</t>
    <phoneticPr fontId="13" type="Hiragana"/>
  </si>
  <si>
    <t>2618PK／畑澤</t>
    <rPh sb="7" eb="9">
      <t>はた</t>
    </rPh>
    <phoneticPr fontId="13" type="Hiragana"/>
  </si>
  <si>
    <t>倉見</t>
    <rPh sb="0" eb="2">
      <t>くらみ</t>
    </rPh>
    <phoneticPr fontId="13" type="Hiragana"/>
  </si>
  <si>
    <t>鏡紙業</t>
    <rPh sb="0" eb="1">
      <t>かがみ</t>
    </rPh>
    <rPh sb="1" eb="3">
      <t>しぎょう</t>
    </rPh>
    <phoneticPr fontId="13" type="Hiragana"/>
  </si>
  <si>
    <t>5122PK／菊池･小島</t>
  </si>
  <si>
    <t>2267PK／松明</t>
    <rPh sb="7" eb="9">
      <t>まつ</t>
    </rPh>
    <phoneticPr fontId="13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</si>
</sst>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176" formatCode="[$-F800]dddd\,\ mmmm\ dd\,\ yyyy"/>
    <numFmt numFmtId="177" formatCode="h:mm;@"/>
    <numFmt numFmtId="178" formatCode="[$¥-411]#,##0.00;[$¥-411]#,##0.00"/>
    <numFmt numFmtId="179" formatCode="#,##0_ ;[Red]\-#,##0\ "/>
    <numFmt numFmtId="180" formatCode="m&quot;月&quot;d&quot;日&quot;\(aaa\)"/>
    <numFmt numFmtId="181" formatCode="m&quot;月&quot;d&quot;日&quot;;@"/>
    <numFmt numFmtId="182" formatCode="\(aaa\)"/>
    <numFmt numFmtId="183" formatCode="yyyy&quot;年&quot;"/>
    <numFmt numFmtId="184" formatCode="aaa"/>
    <numFmt numFmtId="185" formatCode="d&quot;日&quot;;@"/>
    <numFmt numFmtId="186" formatCode="m/d;@"/>
    <numFmt numFmtId="187" formatCode="#"/>
    <numFmt numFmtId="188" formatCode="ggge&quot;年&quot;;@"/>
    <numFmt numFmtId="189" formatCode="yyyy/m/d\(aaa\)"/>
  </numFmts>
  <fonts count="99">
    <font>
      <sz val="9"/>
      <color theme="3" tint="-0.499984740745262"/>
      <name val="メイリオ"/>
      <family val="3"/>
      <charset val="128"/>
    </font>
    <font>
      <sz val="8"/>
      <color theme="1"/>
      <name val="Arial"/>
      <family val="2"/>
      <scheme val="minor"/>
    </font>
    <font>
      <sz val="8"/>
      <color theme="3" tint="-0.499984740745262"/>
      <name val="Arial"/>
      <family val="2"/>
      <scheme val="minor"/>
    </font>
    <font>
      <sz val="9"/>
      <color theme="3" tint="-0.499984740745262"/>
      <name val="Arial"/>
      <family val="2"/>
      <scheme val="minor"/>
    </font>
    <font>
      <sz val="18"/>
      <color theme="3" tint="-0.499984740745262"/>
      <name val="Arial"/>
      <family val="2"/>
      <scheme val="major"/>
    </font>
    <font>
      <b/>
      <sz val="11"/>
      <color theme="3" tint="-0.499984740745262"/>
      <name val="Arial"/>
      <family val="2"/>
      <scheme val="major"/>
    </font>
    <font>
      <b/>
      <sz val="11"/>
      <color theme="3"/>
      <name val="Arial"/>
      <family val="2"/>
      <scheme val="major"/>
    </font>
    <font>
      <sz val="6"/>
      <name val="Arial"/>
      <family val="3"/>
      <charset val="128"/>
      <scheme val="minor"/>
    </font>
    <font>
      <sz val="11"/>
      <color rgb="FF9C6500"/>
      <name val="Arial"/>
      <family val="2"/>
      <charset val="128"/>
      <scheme val="minor"/>
    </font>
    <font>
      <sz val="11"/>
      <color rgb="FF3F3F76"/>
      <name val="Arial"/>
      <family val="2"/>
      <charset val="128"/>
      <scheme val="minor"/>
    </font>
    <font>
      <sz val="11"/>
      <color theme="0"/>
      <name val="Arial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9"/>
      <color theme="3" tint="-0.499984740745262"/>
      <name val="游ゴシック"/>
      <family val="2"/>
      <scheme val="minor"/>
    </font>
    <font>
      <sz val="8"/>
      <color theme="3" tint="-0.499984740745262"/>
      <name val="游ゴシック"/>
      <family val="2"/>
      <scheme val="minor"/>
    </font>
    <font>
      <sz val="9"/>
      <color theme="1"/>
      <name val="メイリオ"/>
      <family val="3"/>
      <charset val="128"/>
    </font>
    <font>
      <b/>
      <sz val="9"/>
      <color theme="3" tint="-0.499984740745262"/>
      <name val="メイリオ"/>
      <family val="3"/>
      <charset val="128"/>
    </font>
    <font>
      <u/>
      <sz val="9"/>
      <color theme="10"/>
      <name val="Arial"/>
      <family val="2"/>
      <scheme val="minor"/>
    </font>
    <font>
      <b/>
      <sz val="9"/>
      <color theme="0"/>
      <name val="メイリオ"/>
      <family val="3"/>
      <charset val="128"/>
    </font>
    <font>
      <b/>
      <sz val="9"/>
      <color theme="5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1" tint="0.249977111117893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rgb="FFFF0000"/>
      <name val="メイリオ"/>
      <family val="3"/>
      <charset val="128"/>
    </font>
    <font>
      <sz val="11"/>
      <color theme="1"/>
      <name val="Yu Gothic"/>
      <family val="2"/>
      <charset val="128"/>
      <scheme val="minor"/>
    </font>
    <font>
      <b/>
      <sz val="9"/>
      <color rgb="FF3F3F76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u/>
      <sz val="9"/>
      <color rgb="FFFF0000"/>
      <name val="メイリオ"/>
      <family val="3"/>
      <charset val="128"/>
    </font>
    <font>
      <b/>
      <sz val="9"/>
      <color rgb="FF7030A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sz val="10"/>
      <color rgb="FFFF0000"/>
      <name val="メイリオ"/>
      <family val="3"/>
      <charset val="128"/>
    </font>
    <font>
      <sz val="10"/>
      <name val="メイリオ"/>
      <family val="3"/>
      <charset val="128"/>
    </font>
    <font>
      <b/>
      <sz val="10"/>
      <color rgb="FF00B050"/>
      <name val="メイリオ"/>
      <family val="3"/>
      <charset val="128"/>
    </font>
    <font>
      <b/>
      <sz val="10"/>
      <color rgb="FF00B0F0"/>
      <name val="メイリオ"/>
      <family val="3"/>
      <charset val="128"/>
    </font>
    <font>
      <sz val="11"/>
      <color theme="1"/>
      <name val="Yu Gothic"/>
      <family val="2"/>
      <scheme val="minor"/>
    </font>
    <font>
      <b/>
      <sz val="11"/>
      <color theme="1"/>
      <name val="メイリオ"/>
      <family val="3"/>
      <charset val="128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sz val="6"/>
      <name val="Yu Gothic"/>
      <family val="2"/>
      <charset val="128"/>
      <scheme val="minor"/>
    </font>
    <font>
      <sz val="11"/>
      <name val="メイリオ"/>
      <family val="3"/>
      <charset val="128"/>
    </font>
    <font>
      <b/>
      <sz val="9"/>
      <color theme="7" tint="-0.499984740745262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b/>
      <sz val="9"/>
      <color rgb="FF00B0F0"/>
      <name val="メイリオ"/>
      <family val="3"/>
      <charset val="128"/>
    </font>
    <font>
      <b/>
      <sz val="11"/>
      <color theme="0" tint="-0.34998626667073579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name val="メイリオ"/>
      <family val="3"/>
      <charset val="128"/>
    </font>
    <font>
      <sz val="8"/>
      <color theme="4" tint="-0.249977111117893"/>
      <name val="メイリオ"/>
      <family val="3"/>
      <charset val="128"/>
    </font>
    <font>
      <sz val="8"/>
      <color theme="5" tint="-0.249977111117893"/>
      <name val="メイリオ"/>
      <family val="3"/>
      <charset val="128"/>
    </font>
    <font>
      <sz val="8"/>
      <color theme="9" tint="-0.499984740745262"/>
      <name val="メイリオ"/>
      <family val="3"/>
      <charset val="128"/>
    </font>
    <font>
      <sz val="8"/>
      <color theme="8" tint="-0.249977111117893"/>
      <name val="メイリオ"/>
      <family val="3"/>
      <charset val="128"/>
    </font>
    <font>
      <sz val="8"/>
      <color theme="6" tint="-0.499984740745262"/>
      <name val="メイリオ"/>
      <family val="3"/>
      <charset val="128"/>
    </font>
    <font>
      <sz val="8"/>
      <color theme="7" tint="-0.249977111117893"/>
      <name val="メイリオ"/>
      <family val="3"/>
      <charset val="128"/>
    </font>
    <font>
      <sz val="8"/>
      <color theme="6" tint="-0.249977111117893"/>
      <name val="メイリオ"/>
      <family val="3"/>
      <charset val="128"/>
    </font>
    <font>
      <sz val="8"/>
      <color theme="4" tint="-0.499984740745262"/>
      <name val="メイリオ"/>
      <family val="3"/>
      <charset val="128"/>
    </font>
    <font>
      <sz val="8"/>
      <color theme="5" tint="-0.499984740745262"/>
      <name val="メイリオ"/>
      <family val="3"/>
      <charset val="128"/>
    </font>
    <font>
      <sz val="10"/>
      <color rgb="FF006100"/>
      <name val="メイリオ"/>
      <family val="2"/>
      <charset val="128"/>
    </font>
    <font>
      <sz val="9"/>
      <color theme="3" tint="-0.499984740745262"/>
      <name val="Meiryo UI"/>
      <family val="3"/>
      <charset val="128"/>
    </font>
    <font>
      <b/>
      <sz val="10"/>
      <color theme="8" tint="-0.249977111117893"/>
      <name val="メイリオ"/>
      <family val="3"/>
      <charset val="128"/>
    </font>
    <font>
      <sz val="6"/>
      <name val="メイリオ"/>
      <family val="3"/>
      <charset val="128"/>
    </font>
    <font>
      <sz val="9"/>
      <color theme="1"/>
      <name val="Meiryo UI"/>
      <family val="3"/>
      <charset val="128"/>
    </font>
    <font>
      <sz val="1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b/>
      <sz val="10"/>
      <color rgb="FF00B050"/>
      <name val="ＭＳ Ｐゴシック"/>
      <family val="3"/>
      <charset val="128"/>
      <scheme val="minor"/>
    </font>
    <font>
      <sz val="9"/>
      <color rgb="FF16120A"/>
      <name val="ＭＳ Ｐゴシック"/>
      <family val="3"/>
      <charset val="128"/>
    </font>
    <font>
      <sz val="9"/>
      <color rgb="FF16120A"/>
      <name val="メイリオ"/>
      <family val="3"/>
      <charset val="128"/>
    </font>
    <font>
      <sz val="9"/>
      <color theme="3" tint="-0.499984740745262"/>
      <name val="メイリオ"/>
      <family val="3"/>
      <charset val="128"/>
    </font>
    <font>
      <b/>
      <sz val="10"/>
      <color rgb="FF3F3F3F"/>
      <name val="メイリオ"/>
      <family val="2"/>
      <charset val="128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9"/>
      <color rgb="FF00B050"/>
      <name val="メイリオ"/>
      <family val="3"/>
      <charset val="128"/>
    </font>
    <font>
      <b/>
      <sz val="9"/>
      <color theme="4" tint="-0.499984740745262"/>
      <name val="メイリオ"/>
      <family val="3"/>
      <charset val="128"/>
    </font>
    <font>
      <b/>
      <sz val="10"/>
      <color theme="4" tint="-0.499984740745262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10"/>
      <color theme="5"/>
      <name val="メイリオ"/>
      <family val="3"/>
      <charset val="128"/>
    </font>
    <font>
      <b/>
      <sz val="10"/>
      <color theme="8"/>
      <name val="メイリオ"/>
      <family val="3"/>
      <charset val="128"/>
    </font>
    <font>
      <sz val="11"/>
      <color theme="3" tint="-0.499984740745262"/>
      <name val="Calibri"/>
      <family val="2"/>
    </font>
    <font>
      <sz val="10"/>
      <color theme="3" tint="-0.499984740745262"/>
      <name val="Arial"/>
      <family val="2"/>
    </font>
    <font>
      <sz val="10"/>
      <color theme="3" tint="-0.499984740745262"/>
      <name val="Meiryo"/>
      <family val="3"/>
      <charset val="128"/>
    </font>
    <font>
      <sz val="10"/>
      <color rgb="FF00B050"/>
      <name val="Arial"/>
      <family val="2"/>
    </font>
    <font>
      <sz val="10"/>
      <color rgb="FFFFFFFF"/>
      <name val="Arial"/>
      <family val="2"/>
    </font>
    <font>
      <sz val="8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0.5"/>
      <color theme="3" tint="-0.499984740745262"/>
      <name val="游ゴシック"/>
      <family val="3"/>
      <charset val="128"/>
    </font>
    <font>
      <b/>
      <sz val="10"/>
      <color theme="3" tint="-0.499984740745262"/>
      <name val="メイリオ"/>
      <family val="3"/>
      <charset val="128"/>
    </font>
    <font>
      <b/>
      <sz val="12"/>
      <color theme="3" tint="-0.499984740745262"/>
      <name val="メイリオ"/>
      <family val="3"/>
      <charset val="128"/>
    </font>
    <font>
      <b/>
      <sz val="20"/>
      <color theme="0"/>
      <name val="メイリオ"/>
      <family val="3"/>
      <charset val="128"/>
    </font>
    <font>
      <b/>
      <u/>
      <sz val="20"/>
      <color rgb="FF7030A0"/>
      <name val="メイリオ"/>
      <family val="3"/>
      <charset val="128"/>
    </font>
    <font>
      <sz val="18"/>
      <color theme="3" tint="-0.499984740745262"/>
      <name val="メイリオ"/>
      <family val="3"/>
      <charset val="128"/>
    </font>
    <font>
      <b/>
      <sz val="9"/>
      <color rgb="FF222222"/>
      <name val="メイリオ"/>
      <family val="3"/>
      <charset val="128"/>
    </font>
    <font>
      <b/>
      <sz val="11"/>
      <color theme="3" tint="-0.499984740745262"/>
      <name val="メイリオ"/>
      <family val="3"/>
      <charset val="128"/>
    </font>
    <font>
      <b/>
      <sz val="9"/>
      <color rgb="FF0070C0"/>
      <name val="メイリオ"/>
      <family val="3"/>
      <charset val="128"/>
    </font>
    <font>
      <b/>
      <sz val="9"/>
      <color theme="6" tint="-0.499984740745262"/>
      <name val="メイリオ"/>
      <family val="3"/>
      <charset val="128"/>
    </font>
    <font>
      <b/>
      <sz val="9"/>
      <color theme="8" tint="-0.499984740745262"/>
      <name val="メイリオ"/>
      <family val="3"/>
      <charset val="128"/>
    </font>
    <font>
      <b/>
      <sz val="9"/>
      <color theme="8" tint="-0.249977111117893"/>
      <name val="メイリオ"/>
      <family val="3"/>
      <charset val="128"/>
    </font>
    <font>
      <i/>
      <sz val="9"/>
      <color theme="1"/>
      <name val="メイリオ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6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</patternFill>
    </fill>
    <fill>
      <patternFill patternType="solid">
        <fgColor rgb="FFF4B084"/>
        <bgColor indexed="64"/>
      </patternFill>
    </fill>
    <fill>
      <patternFill patternType="solid">
        <fgColor rgb="FF665A1A"/>
        <bgColor indexed="64"/>
      </patternFill>
    </fill>
    <fill>
      <patternFill patternType="solid">
        <fgColor rgb="FFF4AF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2EFD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theme="3" tint="0.39994506668294322"/>
      </bottom>
      <diagonal/>
    </border>
    <border>
      <left/>
      <right/>
      <top/>
      <bottom style="thin">
        <color theme="2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3" tint="0.39994506668294322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theme="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rgb="FFB2B2B2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2"/>
      </left>
      <right/>
      <top/>
      <bottom/>
      <diagonal/>
    </border>
    <border>
      <left style="medium">
        <color theme="2"/>
      </left>
      <right/>
      <top style="thin">
        <color theme="3" tint="0.39994506668294322"/>
      </top>
      <bottom/>
      <diagonal/>
    </border>
    <border>
      <left style="medium">
        <color theme="0"/>
      </left>
      <right/>
      <top style="thin">
        <color theme="3" tint="0.39994506668294322"/>
      </top>
      <bottom/>
      <diagonal/>
    </border>
    <border>
      <left style="medium">
        <color theme="0"/>
      </left>
      <right/>
      <top style="thin">
        <color theme="3" tint="0.39994506668294322"/>
      </top>
      <bottom style="thin">
        <color theme="3" tint="0.39994506668294322"/>
      </bottom>
      <diagonal/>
    </border>
    <border>
      <left style="medium">
        <color theme="0"/>
      </left>
      <right style="medium">
        <color theme="0"/>
      </right>
      <top/>
      <bottom style="thin">
        <color rgb="FFA98A49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rgb="FF00B0F0"/>
      </top>
      <bottom style="thin">
        <color theme="2" tint="-9.9917600024414813E-2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rgb="FFD0CECE"/>
      </left>
      <right style="medium">
        <color rgb="FFD0CECE"/>
      </right>
      <top style="medium">
        <color rgb="FFD0CECE"/>
      </top>
      <bottom style="medium">
        <color rgb="FFD0CECE"/>
      </bottom>
      <diagonal/>
    </border>
    <border>
      <left style="medium">
        <color rgb="FFCCCCCC"/>
      </left>
      <right style="medium">
        <color rgb="FFD0CECE"/>
      </right>
      <top style="medium">
        <color rgb="FFD0CECE"/>
      </top>
      <bottom style="medium">
        <color rgb="FFD0CECE"/>
      </bottom>
      <diagonal/>
    </border>
    <border>
      <left style="medium">
        <color rgb="FFD0CECE"/>
      </left>
      <right style="medium">
        <color rgb="FFD0CECE"/>
      </right>
      <top style="medium">
        <color rgb="FFCCCCCC"/>
      </top>
      <bottom style="medium">
        <color rgb="FFD0CECE"/>
      </bottom>
      <diagonal/>
    </border>
    <border>
      <left style="medium">
        <color rgb="FFCCCCCC"/>
      </left>
      <right style="medium">
        <color rgb="FFD0CECE"/>
      </right>
      <top style="medium">
        <color rgb="FFCCCCCC"/>
      </top>
      <bottom style="medium">
        <color rgb="FFD0CECE"/>
      </bottom>
      <diagonal/>
    </border>
  </borders>
  <cellStyleXfs count="26">
    <xf numFmtId="0" fontId="0" fillId="0" borderId="0" applyFill="0" applyBorder="0" applyAlignment="0" applyProtection="0"/>
    <xf numFmtId="0" fontId="4" fillId="2" borderId="1" applyNumberFormat="0" applyFill="0" applyProtection="0">
      <alignment horizontal="left" vertical="center"/>
    </xf>
    <xf numFmtId="176" fontId="5" fillId="0" borderId="0" applyFill="0" applyBorder="0" applyProtection="0">
      <alignment horizontal="left" vertical="top"/>
    </xf>
    <xf numFmtId="0" fontId="3" fillId="0" borderId="0" applyNumberFormat="0" applyFont="0" applyFill="0" applyBorder="0" applyAlignment="0" applyProtection="0">
      <alignment vertical="top"/>
    </xf>
    <xf numFmtId="0" fontId="2" fillId="2" borderId="0" applyNumberFormat="0" applyFont="0" applyFill="0" applyBorder="0" applyAlignment="0" applyProtection="0"/>
    <xf numFmtId="0" fontId="2" fillId="0" borderId="2" applyNumberFormat="0" applyFont="0" applyFill="0" applyBorder="0" applyAlignment="0" applyProtection="0"/>
    <xf numFmtId="0" fontId="1" fillId="0" borderId="3" applyNumberFormat="0" applyFont="0" applyFill="0" applyBorder="0" applyAlignment="0" applyProtection="0">
      <alignment horizontal="left" vertical="center"/>
    </xf>
    <xf numFmtId="0" fontId="6" fillId="0" borderId="5" applyNumberFormat="0" applyFill="0" applyAlignment="0" applyProtection="0"/>
    <xf numFmtId="0" fontId="6" fillId="0" borderId="0" applyNumberFormat="0" applyFill="0" applyBorder="0" applyAlignment="0" applyProtection="0"/>
    <xf numFmtId="0" fontId="8" fillId="12" borderId="0" applyNumberFormat="0" applyBorder="0" applyAlignment="0" applyProtection="0">
      <alignment vertical="center"/>
    </xf>
    <xf numFmtId="0" fontId="9" fillId="13" borderId="6" applyNumberFormat="0" applyFill="0" applyAlignment="0" applyProtection="0">
      <alignment vertical="center"/>
    </xf>
    <xf numFmtId="0" fontId="10" fillId="14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3" fillId="0" borderId="0" applyNumberFormat="0" applyFont="0" applyFill="0" applyBorder="0" applyAlignment="0" applyProtection="0"/>
    <xf numFmtId="0" fontId="14" fillId="2" borderId="0" applyNumberFormat="0" applyFont="0" applyFill="0" applyBorder="0" applyAlignment="0" applyProtection="0"/>
    <xf numFmtId="0" fontId="3" fillId="18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/>
    <xf numFmtId="0" fontId="26" fillId="23" borderId="0" applyNumberFormat="0" applyBorder="0" applyAlignment="0" applyProtection="0">
      <alignment vertical="center"/>
    </xf>
    <xf numFmtId="0" fontId="37" fillId="0" borderId="0"/>
    <xf numFmtId="0" fontId="26" fillId="0" borderId="0">
      <alignment vertical="center"/>
    </xf>
    <xf numFmtId="0" fontId="3" fillId="0" borderId="0" applyNumberFormat="0" applyFont="0" applyFill="0" applyBorder="0" applyAlignment="0" applyProtection="0"/>
    <xf numFmtId="0" fontId="70" fillId="32" borderId="29" applyNumberFormat="0" applyAlignment="0" applyProtection="0">
      <alignment vertical="center"/>
    </xf>
    <xf numFmtId="187" fontId="31" fillId="0" borderId="0">
      <alignment vertical="center"/>
    </xf>
    <xf numFmtId="0" fontId="69" fillId="0" borderId="0" applyFill="0" applyBorder="0" applyAlignment="0" applyProtection="0"/>
    <xf numFmtId="0" fontId="72" fillId="0" borderId="0">
      <alignment vertical="center"/>
    </xf>
    <xf numFmtId="0" fontId="84" fillId="0" borderId="3" applyNumberFormat="0" applyFont="0" applyFill="0" applyBorder="0" applyAlignment="0" applyProtection="0">
      <alignment horizontal="left" vertical="center"/>
    </xf>
  </cellStyleXfs>
  <cellXfs count="244">
    <xf numFmtId="177" fontId="0" fillId="0" borderId="0" xfId="0" applyNumberFormat="1"/>
    <xf numFmtId="0" fontId="18" fillId="19" borderId="0" xfId="3" applyFont="1" applyFill="1">
      <alignment vertical="top"/>
    </xf>
    <xf numFmtId="182" fontId="29" fillId="0" borderId="0" xfId="16" applyNumberFormat="1" applyFont="1" applyAlignment="1">
      <alignment horizontal="center" vertical="center"/>
    </xf>
    <xf numFmtId="182" fontId="25" fillId="0" borderId="0" xfId="0" applyNumberFormat="1" applyFont="1" applyAlignment="1">
      <alignment horizontal="center" vertical="center"/>
    </xf>
    <xf numFmtId="177" fontId="25" fillId="0" borderId="0" xfId="0" applyNumberFormat="1" applyFont="1" applyAlignment="1">
      <alignment vertical="center"/>
    </xf>
    <xf numFmtId="177" fontId="20" fillId="23" borderId="0" xfId="17" applyNumberFormat="1" applyFont="1" applyAlignment="1">
      <alignment horizontal="center"/>
    </xf>
    <xf numFmtId="184" fontId="20" fillId="23" borderId="8" xfId="17" applyNumberFormat="1" applyFont="1" applyBorder="1" applyAlignment="1">
      <alignment horizontal="center"/>
    </xf>
    <xf numFmtId="180" fontId="27" fillId="17" borderId="18" xfId="10" applyNumberFormat="1" applyFont="1" applyFill="1" applyBorder="1" applyAlignment="1">
      <alignment horizontal="center" vertical="center"/>
    </xf>
    <xf numFmtId="177" fontId="30" fillId="24" borderId="8" xfId="17" applyNumberFormat="1" applyFont="1" applyFill="1" applyBorder="1" applyAlignment="1">
      <alignment horizontal="center"/>
    </xf>
    <xf numFmtId="182" fontId="25" fillId="20" borderId="8" xfId="17" applyNumberFormat="1" applyFont="1" applyFill="1" applyBorder="1" applyAlignment="1">
      <alignment horizontal="center" vertical="center"/>
    </xf>
    <xf numFmtId="180" fontId="20" fillId="23" borderId="8" xfId="17" applyNumberFormat="1" applyFont="1" applyBorder="1" applyAlignment="1">
      <alignment horizontal="center"/>
    </xf>
    <xf numFmtId="0" fontId="31" fillId="0" borderId="0" xfId="12" applyFont="1" applyAlignment="1">
      <alignment horizontal="center" vertical="center"/>
    </xf>
    <xf numFmtId="177" fontId="16" fillId="18" borderId="17" xfId="15" applyNumberFormat="1" applyFont="1" applyBorder="1" applyAlignment="1">
      <alignment horizontal="center"/>
    </xf>
    <xf numFmtId="177" fontId="16" fillId="0" borderId="0" xfId="0" applyNumberFormat="1" applyFont="1"/>
    <xf numFmtId="0" fontId="38" fillId="0" borderId="0" xfId="18" applyFont="1"/>
    <xf numFmtId="0" fontId="40" fillId="0" borderId="0" xfId="18" applyFont="1"/>
    <xf numFmtId="0" fontId="40" fillId="29" borderId="20" xfId="18" applyFont="1" applyFill="1" applyBorder="1"/>
    <xf numFmtId="185" fontId="40" fillId="0" borderId="8" xfId="18" applyNumberFormat="1" applyFont="1" applyBorder="1" applyAlignment="1">
      <alignment horizontal="center" vertical="center"/>
    </xf>
    <xf numFmtId="0" fontId="40" fillId="0" borderId="8" xfId="18" applyFont="1" applyBorder="1"/>
    <xf numFmtId="186" fontId="38" fillId="0" borderId="0" xfId="18" applyNumberFormat="1" applyFont="1"/>
    <xf numFmtId="0" fontId="42" fillId="0" borderId="0" xfId="18" applyFont="1"/>
    <xf numFmtId="0" fontId="31" fillId="20" borderId="19" xfId="12" applyFont="1" applyFill="1" applyBorder="1" applyAlignment="1">
      <alignment horizontal="center" vertical="center" shrinkToFit="1"/>
    </xf>
    <xf numFmtId="0" fontId="31" fillId="25" borderId="19" xfId="12" applyFont="1" applyFill="1" applyBorder="1" applyAlignment="1">
      <alignment horizontal="center" vertical="center" shrinkToFit="1"/>
    </xf>
    <xf numFmtId="0" fontId="31" fillId="26" borderId="19" xfId="12" applyFont="1" applyFill="1" applyBorder="1" applyAlignment="1">
      <alignment horizontal="center" vertical="center" shrinkToFit="1"/>
    </xf>
    <xf numFmtId="187" fontId="16" fillId="18" borderId="0" xfId="15" applyNumberFormat="1" applyFont="1" applyBorder="1" applyAlignment="1">
      <alignment horizontal="center"/>
    </xf>
    <xf numFmtId="177" fontId="16" fillId="18" borderId="28" xfId="15" applyNumberFormat="1" applyFont="1" applyBorder="1" applyAlignment="1">
      <alignment horizontal="center"/>
    </xf>
    <xf numFmtId="177" fontId="43" fillId="7" borderId="8" xfId="0" quotePrefix="1" applyNumberFormat="1" applyFont="1" applyFill="1" applyBorder="1" applyAlignment="1">
      <alignment horizontal="center"/>
    </xf>
    <xf numFmtId="177" fontId="45" fillId="25" borderId="8" xfId="0" quotePrefix="1" applyNumberFormat="1" applyFont="1" applyFill="1" applyBorder="1" applyAlignment="1">
      <alignment horizontal="center"/>
    </xf>
    <xf numFmtId="177" fontId="22" fillId="0" borderId="0" xfId="0" applyNumberFormat="1" applyFont="1"/>
    <xf numFmtId="177" fontId="0" fillId="0" borderId="0" xfId="0" applyNumberFormat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0" borderId="25" xfId="0" applyFont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0" fontId="33" fillId="0" borderId="27" xfId="0" applyFont="1" applyFill="1" applyBorder="1" applyAlignment="1">
      <alignment vertical="center"/>
    </xf>
    <xf numFmtId="177" fontId="42" fillId="0" borderId="0" xfId="18" applyNumberFormat="1" applyFont="1" applyAlignment="1">
      <alignment shrinkToFit="1"/>
    </xf>
    <xf numFmtId="177" fontId="42" fillId="0" borderId="0" xfId="18" quotePrefix="1" applyNumberFormat="1" applyFont="1" applyAlignment="1">
      <alignment shrinkToFit="1"/>
    </xf>
    <xf numFmtId="177" fontId="22" fillId="0" borderId="0" xfId="18" applyNumberFormat="1" applyFont="1" applyAlignment="1">
      <alignment shrinkToFit="1"/>
    </xf>
    <xf numFmtId="180" fontId="0" fillId="0" borderId="0" xfId="0" quotePrefix="1" applyNumberFormat="1" applyAlignment="1">
      <alignment horizontal="center"/>
    </xf>
    <xf numFmtId="177" fontId="0" fillId="0" borderId="0" xfId="0" quotePrefix="1" applyNumberFormat="1" applyAlignment="1">
      <alignment horizontal="center"/>
    </xf>
    <xf numFmtId="177" fontId="0" fillId="0" borderId="0" xfId="0" applyNumberFormat="1" applyAlignment="1">
      <alignment horizontal="center" shrinkToFit="1"/>
    </xf>
    <xf numFmtId="180" fontId="0" fillId="0" borderId="0" xfId="0" applyNumberFormat="1" applyAlignment="1">
      <alignment horizontal="center"/>
    </xf>
    <xf numFmtId="184" fontId="0" fillId="0" borderId="0" xfId="0" applyNumberFormat="1" applyAlignment="1">
      <alignment horizontal="center"/>
    </xf>
    <xf numFmtId="49" fontId="0" fillId="0" borderId="0" xfId="0" quotePrefix="1" applyNumberFormat="1" applyFill="1" applyAlignment="1">
      <alignment horizontal="left"/>
    </xf>
    <xf numFmtId="0" fontId="0" fillId="0" borderId="0" xfId="0"/>
    <xf numFmtId="56" fontId="0" fillId="0" borderId="0" xfId="0" applyNumberFormat="1"/>
    <xf numFmtId="187" fontId="0" fillId="0" borderId="0" xfId="0" applyNumberFormat="1"/>
    <xf numFmtId="0" fontId="48" fillId="30" borderId="0" xfId="0" applyFont="1" applyFill="1" applyAlignment="1">
      <alignment horizontal="center"/>
    </xf>
    <xf numFmtId="0" fontId="48" fillId="31" borderId="0" xfId="0" applyFont="1" applyFill="1" applyAlignment="1">
      <alignment horizontal="center"/>
    </xf>
    <xf numFmtId="177" fontId="0" fillId="0" borderId="0" xfId="0" applyNumberFormat="1" applyProtection="1"/>
    <xf numFmtId="177" fontId="0" fillId="0" borderId="0" xfId="0" applyNumberFormat="1" applyBorder="1"/>
    <xf numFmtId="177" fontId="0" fillId="0" borderId="0" xfId="0" quotePrefix="1" applyNumberFormat="1"/>
    <xf numFmtId="177" fontId="0" fillId="0" borderId="0" xfId="0" quotePrefix="1" applyNumberFormat="1" applyAlignment="1">
      <alignment horizontal="center" shrinkToFit="1"/>
    </xf>
    <xf numFmtId="188" fontId="0" fillId="0" borderId="0" xfId="0" applyNumberFormat="1" applyAlignment="1">
      <alignment horizontal="center"/>
    </xf>
    <xf numFmtId="188" fontId="20" fillId="23" borderId="0" xfId="17" applyNumberFormat="1" applyFont="1" applyAlignment="1">
      <alignment horizontal="center"/>
    </xf>
    <xf numFmtId="177" fontId="16" fillId="18" borderId="9" xfId="15" applyNumberFormat="1" applyFont="1" applyAlignment="1">
      <alignment horizontal="center"/>
    </xf>
    <xf numFmtId="177" fontId="59" fillId="0" borderId="0" xfId="0" applyNumberFormat="1" applyFont="1"/>
    <xf numFmtId="177" fontId="22" fillId="16" borderId="0" xfId="0" applyNumberFormat="1" applyFont="1" applyFill="1"/>
    <xf numFmtId="0" fontId="35" fillId="0" borderId="27" xfId="12" applyFont="1" applyBorder="1" applyAlignment="1">
      <alignment horizontal="center" vertical="center" shrinkToFit="1"/>
    </xf>
    <xf numFmtId="0" fontId="60" fillId="24" borderId="27" xfId="12" applyFont="1" applyFill="1" applyBorder="1" applyAlignment="1">
      <alignment horizontal="center" vertical="center" shrinkToFit="1"/>
    </xf>
    <xf numFmtId="0" fontId="63" fillId="17" borderId="27" xfId="0" applyFont="1" applyFill="1" applyBorder="1" applyAlignment="1">
      <alignment horizontal="center" vertical="center" shrinkToFit="1"/>
    </xf>
    <xf numFmtId="0" fontId="65" fillId="28" borderId="27" xfId="0" applyFont="1" applyFill="1" applyBorder="1" applyAlignment="1">
      <alignment vertical="center" shrinkToFit="1"/>
    </xf>
    <xf numFmtId="0" fontId="64" fillId="0" borderId="27" xfId="0" applyFont="1" applyBorder="1" applyAlignment="1">
      <alignment vertical="center" shrinkToFit="1"/>
    </xf>
    <xf numFmtId="0" fontId="64" fillId="0" borderId="27" xfId="0" applyFont="1" applyBorder="1" applyAlignment="1">
      <alignment horizontal="center" vertical="center" shrinkToFit="1"/>
    </xf>
    <xf numFmtId="0" fontId="65" fillId="0" borderId="27" xfId="0" applyFont="1" applyBorder="1" applyAlignment="1">
      <alignment vertical="center" shrinkToFit="1"/>
    </xf>
    <xf numFmtId="0" fontId="63" fillId="27" borderId="27" xfId="0" quotePrefix="1" applyFont="1" applyFill="1" applyBorder="1" applyAlignment="1">
      <alignment horizontal="center" vertical="center" shrinkToFit="1"/>
    </xf>
    <xf numFmtId="0" fontId="64" fillId="11" borderId="27" xfId="0" applyFont="1" applyFill="1" applyBorder="1" applyAlignment="1">
      <alignment horizontal="center" vertical="center" shrinkToFit="1"/>
    </xf>
    <xf numFmtId="0" fontId="0" fillId="0" borderId="0" xfId="0" applyBorder="1"/>
    <xf numFmtId="0" fontId="0" fillId="0" borderId="30" xfId="3" applyFont="1" applyBorder="1" applyAlignment="1">
      <alignment horizontal="center" vertical="top"/>
    </xf>
    <xf numFmtId="179" fontId="0" fillId="0" borderId="31" xfId="5" applyNumberFormat="1" applyFont="1" applyBorder="1" applyAlignment="1">
      <alignment horizontal="center" vertical="top"/>
    </xf>
    <xf numFmtId="179" fontId="0" fillId="0" borderId="31" xfId="5" applyNumberFormat="1" applyFont="1" applyBorder="1" applyAlignment="1">
      <alignment horizontal="center"/>
    </xf>
    <xf numFmtId="179" fontId="0" fillId="2" borderId="32" xfId="5" applyNumberFormat="1" applyFont="1" applyFill="1" applyBorder="1" applyAlignment="1">
      <alignment horizontal="center"/>
    </xf>
    <xf numFmtId="179" fontId="49" fillId="3" borderId="32" xfId="5" applyNumberFormat="1" applyFont="1" applyFill="1" applyBorder="1" applyAlignment="1">
      <alignment horizontal="center"/>
    </xf>
    <xf numFmtId="179" fontId="50" fillId="4" borderId="32" xfId="5" applyNumberFormat="1" applyFont="1" applyFill="1" applyBorder="1" applyAlignment="1">
      <alignment horizontal="center"/>
    </xf>
    <xf numFmtId="179" fontId="51" fillId="10" borderId="32" xfId="5" applyNumberFormat="1" applyFont="1" applyFill="1" applyBorder="1" applyAlignment="1">
      <alignment horizontal="center"/>
    </xf>
    <xf numFmtId="179" fontId="52" fillId="5" borderId="32" xfId="5" applyNumberFormat="1" applyFont="1" applyFill="1" applyBorder="1" applyAlignment="1">
      <alignment horizontal="center"/>
    </xf>
    <xf numFmtId="179" fontId="53" fillId="8" borderId="32" xfId="5" applyNumberFormat="1" applyFont="1" applyFill="1" applyBorder="1" applyAlignment="1">
      <alignment horizontal="center"/>
    </xf>
    <xf numFmtId="179" fontId="54" fillId="7" borderId="32" xfId="5" applyNumberFormat="1" applyFont="1" applyFill="1" applyBorder="1" applyAlignment="1">
      <alignment horizontal="center"/>
    </xf>
    <xf numFmtId="179" fontId="55" fillId="6" borderId="32" xfId="5" applyNumberFormat="1" applyFont="1" applyFill="1" applyBorder="1" applyAlignment="1">
      <alignment horizontal="center"/>
    </xf>
    <xf numFmtId="179" fontId="56" fillId="9" borderId="32" xfId="5" applyNumberFormat="1" applyFont="1" applyFill="1" applyBorder="1" applyAlignment="1">
      <alignment horizontal="center"/>
    </xf>
    <xf numFmtId="179" fontId="57" fillId="11" borderId="32" xfId="5" applyNumberFormat="1" applyFont="1" applyFill="1" applyBorder="1" applyAlignment="1">
      <alignment horizontal="center"/>
    </xf>
    <xf numFmtId="0" fontId="0" fillId="0" borderId="32" xfId="0" applyBorder="1"/>
    <xf numFmtId="179" fontId="0" fillId="0" borderId="32" xfId="5" applyNumberFormat="1" applyFont="1" applyBorder="1" applyAlignment="1">
      <alignment horizontal="center"/>
    </xf>
    <xf numFmtId="179" fontId="0" fillId="0" borderId="33" xfId="5" applyNumberFormat="1" applyFont="1" applyBorder="1" applyAlignment="1">
      <alignment horizontal="center"/>
    </xf>
    <xf numFmtId="177" fontId="56" fillId="0" borderId="0" xfId="0" applyNumberFormat="1" applyFont="1"/>
    <xf numFmtId="49" fontId="0" fillId="0" borderId="0" xfId="0" applyNumberFormat="1"/>
    <xf numFmtId="49" fontId="0" fillId="0" borderId="0" xfId="0" applyNumberFormat="1" applyBorder="1" applyAlignment="1">
      <alignment horizontal="center"/>
    </xf>
    <xf numFmtId="49" fontId="16" fillId="18" borderId="9" xfId="15" applyNumberFormat="1" applyFont="1" applyAlignment="1">
      <alignment horizontal="center"/>
    </xf>
    <xf numFmtId="49" fontId="0" fillId="0" borderId="7" xfId="0" applyNumberFormat="1" applyBorder="1"/>
    <xf numFmtId="49" fontId="22" fillId="16" borderId="7" xfId="0" applyNumberFormat="1" applyFont="1" applyFill="1" applyBorder="1"/>
    <xf numFmtId="49" fontId="22" fillId="0" borderId="7" xfId="0" applyNumberFormat="1" applyFont="1" applyBorder="1"/>
    <xf numFmtId="49" fontId="0" fillId="0" borderId="0" xfId="0" applyNumberFormat="1" applyBorder="1"/>
    <xf numFmtId="49" fontId="56" fillId="0" borderId="7" xfId="0" applyNumberFormat="1" applyFont="1" applyBorder="1"/>
    <xf numFmtId="49" fontId="0" fillId="0" borderId="7" xfId="0" applyNumberFormat="1" applyBorder="1" applyAlignment="1">
      <alignment horizontal="left" vertical="center" wrapText="1"/>
    </xf>
    <xf numFmtId="0" fontId="44" fillId="30" borderId="27" xfId="0" applyFont="1" applyFill="1" applyBorder="1" applyAlignment="1">
      <alignment horizontal="center" vertical="center" shrinkToFit="1"/>
    </xf>
    <xf numFmtId="0" fontId="60" fillId="24" borderId="27" xfId="24" applyFont="1" applyFill="1" applyBorder="1" applyAlignment="1">
      <alignment horizontal="center" vertical="center" shrinkToFit="1"/>
    </xf>
    <xf numFmtId="0" fontId="33" fillId="0" borderId="27" xfId="0" applyFont="1" applyBorder="1" applyAlignment="1">
      <alignment horizontal="center" vertical="top" shrinkToFit="1"/>
    </xf>
    <xf numFmtId="0" fontId="31" fillId="11" borderId="27" xfId="0" applyFont="1" applyFill="1" applyBorder="1" applyAlignment="1">
      <alignment horizontal="center" vertical="top" shrinkToFit="1"/>
    </xf>
    <xf numFmtId="0" fontId="25" fillId="0" borderId="35" xfId="0" applyFont="1" applyBorder="1" applyAlignment="1">
      <alignment horizontal="center" vertical="top" shrinkToFit="1"/>
    </xf>
    <xf numFmtId="0" fontId="33" fillId="28" borderId="36" xfId="0" applyFont="1" applyFill="1" applyBorder="1" applyAlignment="1">
      <alignment horizontal="center" vertical="top" shrinkToFit="1"/>
    </xf>
    <xf numFmtId="0" fontId="75" fillId="24" borderId="37" xfId="0" applyFont="1" applyFill="1" applyBorder="1" applyAlignment="1">
      <alignment horizontal="center" vertical="top" shrinkToFit="1"/>
    </xf>
    <xf numFmtId="0" fontId="33" fillId="28" borderId="38" xfId="0" applyFont="1" applyFill="1" applyBorder="1" applyAlignment="1">
      <alignment horizontal="center" vertical="top" shrinkToFit="1"/>
    </xf>
    <xf numFmtId="0" fontId="31" fillId="0" borderId="27" xfId="0" applyFont="1" applyBorder="1" applyAlignment="1">
      <alignment horizontal="center" vertical="top" shrinkToFit="1"/>
    </xf>
    <xf numFmtId="0" fontId="33" fillId="28" borderId="27" xfId="0" applyFont="1" applyFill="1" applyBorder="1" applyAlignment="1">
      <alignment horizontal="center" vertical="top" shrinkToFit="1"/>
    </xf>
    <xf numFmtId="0" fontId="34" fillId="17" borderId="27" xfId="0" applyFont="1" applyFill="1" applyBorder="1" applyAlignment="1">
      <alignment horizontal="center" vertical="top" shrinkToFit="1"/>
    </xf>
    <xf numFmtId="0" fontId="34" fillId="27" borderId="27" xfId="0" quotePrefix="1" applyFont="1" applyFill="1" applyBorder="1" applyAlignment="1">
      <alignment horizontal="center" vertical="top" shrinkToFit="1"/>
    </xf>
    <xf numFmtId="0" fontId="28" fillId="0" borderId="27" xfId="0" applyFont="1" applyBorder="1" applyAlignment="1">
      <alignment horizontal="center" vertical="top" shrinkToFit="1"/>
    </xf>
    <xf numFmtId="0" fontId="33" fillId="0" borderId="27" xfId="0" applyFont="1" applyBorder="1" applyAlignment="1">
      <alignment horizontal="center" vertical="center" shrinkToFit="1"/>
    </xf>
    <xf numFmtId="0" fontId="34" fillId="0" borderId="27" xfId="0" applyFont="1" applyBorder="1" applyAlignment="1">
      <alignment horizontal="center" vertical="top" shrinkToFit="1"/>
    </xf>
    <xf numFmtId="0" fontId="25" fillId="0" borderId="27" xfId="0" applyFont="1" applyBorder="1" applyAlignment="1">
      <alignment horizontal="center" vertical="top" shrinkToFit="1"/>
    </xf>
    <xf numFmtId="0" fontId="73" fillId="0" borderId="27" xfId="0" applyFont="1" applyBorder="1" applyAlignment="1">
      <alignment horizontal="center" vertical="top" shrinkToFit="1"/>
    </xf>
    <xf numFmtId="0" fontId="31" fillId="33" borderId="27" xfId="0" applyFont="1" applyFill="1" applyBorder="1" applyAlignment="1">
      <alignment horizontal="center" vertical="top" shrinkToFit="1"/>
    </xf>
    <xf numFmtId="0" fontId="34" fillId="0" borderId="39" xfId="0" applyFont="1" applyBorder="1" applyAlignment="1">
      <alignment vertical="center"/>
    </xf>
    <xf numFmtId="0" fontId="19" fillId="0" borderId="10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"/>
    </xf>
    <xf numFmtId="177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12" xfId="0" applyFon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2" fillId="0" borderId="13" xfId="0" applyFont="1" applyFill="1" applyBorder="1" applyAlignment="1">
      <alignment horizontal="center"/>
    </xf>
    <xf numFmtId="0" fontId="21" fillId="0" borderId="14" xfId="0" applyFon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80" fontId="21" fillId="0" borderId="13" xfId="0" applyNumberFormat="1" applyFont="1" applyFill="1" applyBorder="1" applyAlignment="1">
      <alignment horizontal="right"/>
    </xf>
    <xf numFmtId="181" fontId="21" fillId="0" borderId="13" xfId="0" applyNumberFormat="1" applyFont="1" applyFill="1" applyBorder="1" applyAlignment="1">
      <alignment horizontal="center"/>
    </xf>
    <xf numFmtId="180" fontId="23" fillId="0" borderId="13" xfId="0" applyNumberFormat="1" applyFont="1" applyFill="1" applyBorder="1" applyAlignment="1">
      <alignment horizontal="right"/>
    </xf>
    <xf numFmtId="181" fontId="22" fillId="0" borderId="13" xfId="0" applyNumberFormat="1" applyFont="1" applyFill="1" applyBorder="1" applyAlignment="1">
      <alignment horizontal="center"/>
    </xf>
    <xf numFmtId="177" fontId="21" fillId="0" borderId="13" xfId="0" applyNumberFormat="1" applyFont="1" applyFill="1" applyBorder="1" applyAlignment="1">
      <alignment horizontal="center"/>
    </xf>
    <xf numFmtId="0" fontId="21" fillId="0" borderId="0" xfId="0" applyFont="1" applyFill="1" applyAlignment="1">
      <alignment horizontal="center"/>
    </xf>
    <xf numFmtId="0" fontId="21" fillId="0" borderId="0" xfId="0" applyFont="1" applyFill="1"/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49" fontId="22" fillId="16" borderId="0" xfId="0" applyNumberFormat="1" applyFont="1" applyFill="1" applyBorder="1"/>
    <xf numFmtId="49" fontId="22" fillId="0" borderId="0" xfId="0" applyNumberFormat="1" applyFont="1" applyBorder="1"/>
    <xf numFmtId="49" fontId="56" fillId="0" borderId="0" xfId="0" applyNumberFormat="1" applyFont="1" applyBorder="1"/>
    <xf numFmtId="49" fontId="0" fillId="0" borderId="0" xfId="0" applyNumberFormat="1" applyBorder="1" applyAlignment="1">
      <alignment horizontal="left" vertical="center" wrapText="1"/>
    </xf>
    <xf numFmtId="177" fontId="79" fillId="28" borderId="40" xfId="0" applyNumberFormat="1" applyFont="1" applyFill="1" applyBorder="1" applyAlignment="1">
      <alignment vertical="center" wrapText="1"/>
    </xf>
    <xf numFmtId="177" fontId="79" fillId="28" borderId="41" xfId="0" applyNumberFormat="1" applyFont="1" applyFill="1" applyBorder="1" applyAlignment="1">
      <alignment vertical="center" wrapText="1"/>
    </xf>
    <xf numFmtId="177" fontId="79" fillId="0" borderId="41" xfId="0" applyNumberFormat="1" applyFont="1" applyBorder="1" applyAlignment="1">
      <alignment vertical="center" wrapText="1"/>
    </xf>
    <xf numFmtId="177" fontId="79" fillId="0" borderId="42" xfId="0" applyNumberFormat="1" applyFont="1" applyBorder="1" applyAlignment="1">
      <alignment vertical="center" wrapText="1"/>
    </xf>
    <xf numFmtId="177" fontId="80" fillId="0" borderId="43" xfId="0" applyNumberFormat="1" applyFont="1" applyBorder="1" applyAlignment="1">
      <alignment horizontal="center" vertical="center" wrapText="1"/>
    </xf>
    <xf numFmtId="177" fontId="79" fillId="0" borderId="43" xfId="0" applyNumberFormat="1" applyFont="1" applyBorder="1" applyAlignment="1">
      <alignment vertical="center" wrapText="1"/>
    </xf>
    <xf numFmtId="177" fontId="79" fillId="28" borderId="43" xfId="0" applyNumberFormat="1" applyFont="1" applyFill="1" applyBorder="1" applyAlignment="1">
      <alignment vertical="center" wrapText="1"/>
    </xf>
    <xf numFmtId="177" fontId="81" fillId="35" borderId="43" xfId="0" applyNumberFormat="1" applyFont="1" applyFill="1" applyBorder="1" applyAlignment="1">
      <alignment horizontal="center" vertical="center" wrapText="1"/>
    </xf>
    <xf numFmtId="177" fontId="82" fillId="36" borderId="43" xfId="0" applyNumberFormat="1" applyFont="1" applyFill="1" applyBorder="1" applyAlignment="1">
      <alignment horizontal="center" vertical="center" wrapText="1"/>
    </xf>
    <xf numFmtId="177" fontId="79" fillId="28" borderId="42" xfId="0" applyNumberFormat="1" applyFont="1" applyFill="1" applyBorder="1" applyAlignment="1">
      <alignment vertical="center" wrapText="1"/>
    </xf>
    <xf numFmtId="177" fontId="81" fillId="27" borderId="42" xfId="0" applyNumberFormat="1" applyFont="1" applyFill="1" applyBorder="1" applyAlignment="1">
      <alignment horizontal="center" vertical="center" wrapText="1"/>
    </xf>
    <xf numFmtId="177" fontId="83" fillId="34" borderId="43" xfId="0" applyNumberFormat="1" applyFont="1" applyFill="1" applyBorder="1" applyAlignment="1">
      <alignment horizontal="center" vertical="center" wrapText="1"/>
    </xf>
    <xf numFmtId="177" fontId="81" fillId="27" borderId="43" xfId="0" applyNumberFormat="1" applyFont="1" applyFill="1" applyBorder="1" applyAlignment="1">
      <alignment horizontal="center" vertical="center" wrapText="1"/>
    </xf>
    <xf numFmtId="177" fontId="80" fillId="0" borderId="42" xfId="0" applyNumberFormat="1" applyFont="1" applyBorder="1" applyAlignment="1">
      <alignment horizontal="center" vertical="center" wrapText="1"/>
    </xf>
    <xf numFmtId="177" fontId="80" fillId="17" borderId="43" xfId="0" applyNumberFormat="1" applyFont="1" applyFill="1" applyBorder="1" applyAlignment="1">
      <alignment horizontal="center" vertical="center" wrapText="1"/>
    </xf>
    <xf numFmtId="180" fontId="21" fillId="0" borderId="13" xfId="0" applyNumberFormat="1" applyFont="1" applyBorder="1" applyAlignment="1">
      <alignment horizontal="right"/>
    </xf>
    <xf numFmtId="177" fontId="21" fillId="0" borderId="13" xfId="0" applyNumberFormat="1" applyFont="1" applyBorder="1" applyAlignment="1">
      <alignment horizontal="center"/>
    </xf>
    <xf numFmtId="180" fontId="23" fillId="0" borderId="13" xfId="0" applyNumberFormat="1" applyFont="1" applyBorder="1" applyAlignment="1">
      <alignment horizontal="right"/>
    </xf>
    <xf numFmtId="0" fontId="21" fillId="0" borderId="13" xfId="0" applyFont="1" applyBorder="1" applyAlignment="1">
      <alignment horizontal="center"/>
    </xf>
    <xf numFmtId="181" fontId="21" fillId="0" borderId="1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189" fontId="0" fillId="0" borderId="0" xfId="0" applyNumberFormat="1"/>
    <xf numFmtId="49" fontId="15" fillId="0" borderId="7" xfId="0" applyNumberFormat="1" applyFont="1" applyBorder="1"/>
    <xf numFmtId="49" fontId="18" fillId="19" borderId="0" xfId="3" applyNumberFormat="1" applyFont="1" applyFill="1" applyBorder="1" applyAlignment="1"/>
    <xf numFmtId="49" fontId="0" fillId="0" borderId="4" xfId="3" applyNumberFormat="1" applyFont="1" applyBorder="1" applyAlignment="1">
      <alignment vertical="center"/>
    </xf>
    <xf numFmtId="49" fontId="0" fillId="0" borderId="4" xfId="0" applyNumberFormat="1" applyBorder="1"/>
    <xf numFmtId="49" fontId="15" fillId="0" borderId="32" xfId="6" applyNumberFormat="1" applyFont="1" applyBorder="1" applyAlignment="1">
      <alignment horizontal="left" vertical="center"/>
    </xf>
    <xf numFmtId="49" fontId="62" fillId="0" borderId="32" xfId="6" applyNumberFormat="1" applyFont="1" applyBorder="1" applyAlignment="1">
      <alignment horizontal="left" vertical="center"/>
    </xf>
    <xf numFmtId="49" fontId="15" fillId="0" borderId="33" xfId="6" applyNumberFormat="1" applyFont="1" applyBorder="1" applyAlignment="1">
      <alignment horizontal="left" vertical="center"/>
    </xf>
    <xf numFmtId="177" fontId="86" fillId="0" borderId="0" xfId="0" applyNumberFormat="1" applyFont="1"/>
    <xf numFmtId="177" fontId="81" fillId="37" borderId="40" xfId="0" applyNumberFormat="1" applyFont="1" applyFill="1" applyBorder="1" applyAlignment="1">
      <alignment horizontal="center" vertical="center" wrapText="1"/>
    </xf>
    <xf numFmtId="177" fontId="81" fillId="37" borderId="41" xfId="0" applyNumberFormat="1" applyFont="1" applyFill="1" applyBorder="1" applyAlignment="1">
      <alignment horizontal="center" vertical="center" wrapText="1"/>
    </xf>
    <xf numFmtId="177" fontId="81" fillId="38" borderId="41" xfId="0" applyNumberFormat="1" applyFont="1" applyFill="1" applyBorder="1" applyAlignment="1">
      <alignment horizontal="center" vertical="center" wrapText="1"/>
    </xf>
    <xf numFmtId="177" fontId="81" fillId="39" borderId="41" xfId="0" applyNumberFormat="1" applyFont="1" applyFill="1" applyBorder="1" applyAlignment="1">
      <alignment horizontal="center" vertical="center" wrapText="1"/>
    </xf>
    <xf numFmtId="177" fontId="0" fillId="21" borderId="15" xfId="0" applyNumberFormat="1" applyFill="1" applyBorder="1" applyAlignment="1" applyProtection="1">
      <protection locked="0"/>
    </xf>
    <xf numFmtId="177" fontId="0" fillId="21" borderId="16" xfId="0" applyNumberFormat="1" applyFill="1" applyBorder="1" applyAlignment="1" applyProtection="1">
      <protection locked="0"/>
    </xf>
    <xf numFmtId="177" fontId="0" fillId="21" borderId="16" xfId="0" applyNumberFormat="1" applyFill="1" applyBorder="1" applyProtection="1">
      <protection locked="0"/>
    </xf>
    <xf numFmtId="176" fontId="87" fillId="21" borderId="16" xfId="0" applyNumberFormat="1" applyFont="1" applyFill="1" applyBorder="1" applyProtection="1">
      <protection locked="0"/>
    </xf>
    <xf numFmtId="176" fontId="88" fillId="16" borderId="16" xfId="0" applyNumberFormat="1" applyFont="1" applyFill="1" applyBorder="1" applyProtection="1">
      <protection locked="0"/>
    </xf>
    <xf numFmtId="177" fontId="44" fillId="0" borderId="0" xfId="0" applyNumberFormat="1" applyFont="1" applyAlignment="1">
      <alignment horizontal="center" vertical="center"/>
    </xf>
    <xf numFmtId="177" fontId="0" fillId="21" borderId="0" xfId="0" applyNumberFormat="1" applyFill="1" applyBorder="1" applyAlignment="1" applyProtection="1">
      <protection locked="0"/>
    </xf>
    <xf numFmtId="177" fontId="0" fillId="21" borderId="0" xfId="0" applyNumberFormat="1" applyFill="1" applyBorder="1" applyProtection="1">
      <protection locked="0"/>
    </xf>
    <xf numFmtId="177" fontId="90" fillId="3" borderId="16" xfId="16" applyNumberFormat="1" applyFont="1" applyFill="1" applyBorder="1" applyAlignment="1" applyProtection="1">
      <alignment horizontal="center" vertical="center"/>
      <protection locked="0"/>
    </xf>
    <xf numFmtId="0" fontId="91" fillId="15" borderId="1" xfId="1" applyFont="1" applyFill="1" applyAlignment="1">
      <alignment horizontal="left" vertical="center" indent="1"/>
    </xf>
    <xf numFmtId="0" fontId="91" fillId="15" borderId="1" xfId="1" applyFont="1" applyFill="1">
      <alignment horizontal="left" vertical="center"/>
    </xf>
    <xf numFmtId="0" fontId="16" fillId="15" borderId="1" xfId="1" applyFont="1" applyFill="1" applyAlignment="1">
      <alignment horizontal="left" vertical="center" wrapText="1"/>
    </xf>
    <xf numFmtId="177" fontId="0" fillId="0" borderId="0" xfId="0" applyNumberFormat="1" applyProtection="1">
      <protection locked="0"/>
    </xf>
    <xf numFmtId="177" fontId="0" fillId="17" borderId="8" xfId="0" applyNumberFormat="1" applyFill="1" applyBorder="1" applyAlignment="1">
      <alignment horizontal="center"/>
    </xf>
    <xf numFmtId="177" fontId="0" fillId="0" borderId="0" xfId="0" applyNumberFormat="1" applyAlignment="1">
      <alignment vertical="center"/>
    </xf>
    <xf numFmtId="183" fontId="92" fillId="0" borderId="0" xfId="0" applyNumberFormat="1" applyFont="1" applyAlignment="1">
      <alignment horizontal="center"/>
    </xf>
    <xf numFmtId="0" fontId="0" fillId="0" borderId="3" xfId="0" applyBorder="1" applyAlignment="1">
      <alignment horizontal="center" vertical="center"/>
    </xf>
    <xf numFmtId="177" fontId="43" fillId="0" borderId="18" xfId="0" applyNumberFormat="1" applyFont="1" applyBorder="1" applyProtection="1">
      <protection locked="0"/>
    </xf>
    <xf numFmtId="181" fontId="92" fillId="0" borderId="0" xfId="0" applyNumberFormat="1" applyFont="1" applyAlignment="1">
      <alignment horizontal="center" vertical="top"/>
    </xf>
    <xf numFmtId="176" fontId="93" fillId="0" borderId="0" xfId="2" applyFont="1" applyAlignment="1">
      <alignment vertical="top"/>
    </xf>
    <xf numFmtId="0" fontId="15" fillId="0" borderId="34" xfId="6" applyNumberFormat="1" applyFont="1" applyBorder="1" applyAlignment="1" applyProtection="1">
      <alignment horizontal="left" vertical="center"/>
    </xf>
    <xf numFmtId="177" fontId="43" fillId="0" borderId="23" xfId="0" applyNumberFormat="1" applyFont="1" applyBorder="1" applyProtection="1">
      <protection locked="0"/>
    </xf>
    <xf numFmtId="177" fontId="0" fillId="0" borderId="0" xfId="0" applyNumberFormat="1" applyAlignment="1">
      <alignment horizontal="right"/>
    </xf>
    <xf numFmtId="177" fontId="0" fillId="0" borderId="4" xfId="0" applyNumberFormat="1" applyBorder="1" applyAlignment="1">
      <alignment horizontal="right"/>
    </xf>
    <xf numFmtId="0" fontId="15" fillId="0" borderId="3" xfId="6" applyNumberFormat="1" applyFont="1" applyBorder="1" applyAlignment="1" applyProtection="1">
      <alignment horizontal="left" vertical="center"/>
      <protection locked="0"/>
    </xf>
    <xf numFmtId="177" fontId="94" fillId="0" borderId="18" xfId="0" applyNumberFormat="1" applyFont="1" applyBorder="1" applyProtection="1">
      <protection locked="0"/>
    </xf>
    <xf numFmtId="177" fontId="94" fillId="0" borderId="23" xfId="0" applyNumberFormat="1" applyFont="1" applyBorder="1" applyProtection="1">
      <protection locked="0"/>
    </xf>
    <xf numFmtId="177" fontId="25" fillId="0" borderId="18" xfId="0" applyNumberFormat="1" applyFont="1" applyBorder="1" applyProtection="1">
      <protection locked="0"/>
    </xf>
    <xf numFmtId="177" fontId="25" fillId="0" borderId="24" xfId="0" applyNumberFormat="1" applyFont="1" applyBorder="1" applyProtection="1">
      <protection locked="0"/>
    </xf>
    <xf numFmtId="178" fontId="0" fillId="0" borderId="4" xfId="0" applyNumberFormat="1" applyBorder="1" applyAlignment="1">
      <alignment horizontal="right"/>
    </xf>
    <xf numFmtId="177" fontId="28" fillId="0" borderId="0" xfId="0" applyNumberFormat="1" applyFont="1" applyProtection="1">
      <protection locked="0"/>
    </xf>
    <xf numFmtId="177" fontId="25" fillId="0" borderId="23" xfId="0" applyNumberFormat="1" applyFont="1" applyBorder="1" applyProtection="1">
      <protection locked="0"/>
    </xf>
    <xf numFmtId="177" fontId="95" fillId="0" borderId="18" xfId="0" applyNumberFormat="1" applyFont="1" applyBorder="1" applyProtection="1">
      <protection locked="0"/>
    </xf>
    <xf numFmtId="177" fontId="96" fillId="0" borderId="18" xfId="0" applyNumberFormat="1" applyFont="1" applyBorder="1" applyProtection="1">
      <protection locked="0"/>
    </xf>
    <xf numFmtId="177" fontId="96" fillId="0" borderId="24" xfId="0" applyNumberFormat="1" applyFont="1" applyBorder="1" applyProtection="1">
      <protection locked="0"/>
    </xf>
    <xf numFmtId="177" fontId="97" fillId="0" borderId="25" xfId="0" applyNumberFormat="1" applyFont="1" applyBorder="1" applyProtection="1">
      <protection locked="0"/>
    </xf>
    <xf numFmtId="0" fontId="15" fillId="0" borderId="0" xfId="6" applyNumberFormat="1" applyFont="1" applyBorder="1" applyAlignment="1" applyProtection="1">
      <alignment horizontal="left" vertical="center"/>
      <protection locked="0"/>
    </xf>
    <xf numFmtId="0" fontId="98" fillId="0" borderId="3" xfId="6" applyNumberFormat="1" applyFont="1" applyBorder="1" applyAlignment="1" applyProtection="1">
      <alignment horizontal="left" vertical="center"/>
      <protection locked="0"/>
    </xf>
    <xf numFmtId="177" fontId="0" fillId="0" borderId="18" xfId="0" applyNumberFormat="1" applyBorder="1"/>
    <xf numFmtId="177" fontId="0" fillId="0" borderId="24" xfId="0" applyNumberFormat="1" applyBorder="1"/>
    <xf numFmtId="0" fontId="91" fillId="15" borderId="1" xfId="1" applyNumberFormat="1" applyFont="1" applyFill="1" applyAlignment="1">
      <alignment horizontal="left" vertical="center" indent="1"/>
    </xf>
    <xf numFmtId="0" fontId="91" fillId="15" borderId="1" xfId="1" applyNumberFormat="1" applyFont="1" applyFill="1">
      <alignment horizontal="left" vertical="center"/>
    </xf>
    <xf numFmtId="0" fontId="16" fillId="15" borderId="1" xfId="1" applyNumberFormat="1" applyFont="1" applyFill="1" applyAlignment="1">
      <alignment horizontal="left" vertical="center" wrapText="1"/>
    </xf>
    <xf numFmtId="0" fontId="15" fillId="0" borderId="34" xfId="6" applyNumberFormat="1" applyFont="1" applyBorder="1" applyAlignment="1">
      <alignment horizontal="left" vertical="center"/>
    </xf>
    <xf numFmtId="177" fontId="0" fillId="17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5" fillId="0" borderId="0" xfId="6" applyNumberFormat="1" applyFont="1" applyBorder="1" applyAlignment="1" applyProtection="1">
      <alignment horizontal="left" vertical="center"/>
    </xf>
    <xf numFmtId="0" fontId="15" fillId="0" borderId="0" xfId="6" applyNumberFormat="1" applyFont="1" applyBorder="1" applyAlignment="1">
      <alignment horizontal="left" vertical="center"/>
    </xf>
    <xf numFmtId="0" fontId="28" fillId="0" borderId="3" xfId="6" applyNumberFormat="1" applyFont="1" applyBorder="1" applyAlignment="1" applyProtection="1">
      <alignment horizontal="left" vertical="center"/>
      <protection locked="0"/>
    </xf>
    <xf numFmtId="177" fontId="0" fillId="17" borderId="0" xfId="0" applyNumberFormat="1" applyFill="1" applyAlignment="1">
      <alignment horizontal="center"/>
    </xf>
    <xf numFmtId="0" fontId="0" fillId="0" borderId="0" xfId="0" applyAlignment="1">
      <alignment horizontal="center" vertical="center"/>
    </xf>
    <xf numFmtId="177" fontId="25" fillId="0" borderId="18" xfId="0" applyNumberFormat="1" applyFont="1" applyBorder="1" applyAlignment="1" applyProtection="1">
      <alignment horizontal="center" vertical="center"/>
      <protection locked="0"/>
    </xf>
    <xf numFmtId="177" fontId="25" fillId="0" borderId="24" xfId="0" applyNumberFormat="1" applyFont="1" applyBorder="1" applyAlignment="1" applyProtection="1">
      <alignment horizontal="center" vertical="center"/>
      <protection locked="0"/>
    </xf>
    <xf numFmtId="177" fontId="25" fillId="0" borderId="23" xfId="0" applyNumberFormat="1" applyFont="1" applyBorder="1" applyAlignment="1" applyProtection="1">
      <alignment horizontal="center" vertical="center"/>
      <protection locked="0"/>
    </xf>
    <xf numFmtId="177" fontId="0" fillId="0" borderId="18" xfId="0" applyNumberFormat="1" applyBorder="1" applyAlignment="1" applyProtection="1">
      <alignment horizontal="center" vertical="center"/>
      <protection locked="0"/>
    </xf>
    <xf numFmtId="177" fontId="0" fillId="0" borderId="24" xfId="0" applyNumberFormat="1" applyBorder="1" applyAlignment="1" applyProtection="1">
      <alignment horizontal="center" vertical="center"/>
      <protection locked="0"/>
    </xf>
    <xf numFmtId="177" fontId="0" fillId="0" borderId="23" xfId="0" applyNumberFormat="1" applyBorder="1" applyAlignment="1" applyProtection="1">
      <alignment horizontal="center" vertical="center"/>
      <protection locked="0"/>
    </xf>
    <xf numFmtId="177" fontId="0" fillId="17" borderId="21" xfId="0" applyNumberFormat="1" applyFill="1" applyBorder="1" applyAlignment="1">
      <alignment horizontal="center"/>
    </xf>
    <xf numFmtId="177" fontId="0" fillId="17" borderId="22" xfId="0" applyNumberFormat="1" applyFill="1" applyBorder="1" applyAlignment="1">
      <alignment horizontal="center"/>
    </xf>
    <xf numFmtId="177" fontId="43" fillId="0" borderId="18" xfId="0" applyNumberFormat="1" applyFont="1" applyBorder="1" applyAlignment="1" applyProtection="1">
      <alignment horizontal="center" vertical="center"/>
      <protection locked="0"/>
    </xf>
    <xf numFmtId="177" fontId="43" fillId="0" borderId="23" xfId="0" applyNumberFormat="1" applyFont="1" applyBorder="1" applyAlignment="1" applyProtection="1">
      <alignment horizontal="center" vertical="center"/>
      <protection locked="0"/>
    </xf>
    <xf numFmtId="177" fontId="94" fillId="0" borderId="18" xfId="0" applyNumberFormat="1" applyFont="1" applyBorder="1" applyAlignment="1" applyProtection="1">
      <alignment horizontal="center" vertical="center"/>
      <protection locked="0"/>
    </xf>
    <xf numFmtId="177" fontId="94" fillId="0" borderId="23" xfId="0" applyNumberFormat="1" applyFont="1" applyBorder="1" applyAlignment="1" applyProtection="1">
      <alignment horizontal="center" vertical="center"/>
      <protection locked="0"/>
    </xf>
    <xf numFmtId="176" fontId="89" fillId="22" borderId="0" xfId="0" applyNumberFormat="1" applyFont="1" applyFill="1" applyBorder="1" applyAlignment="1" applyProtection="1">
      <alignment horizontal="center" vertical="top"/>
      <protection locked="0"/>
    </xf>
    <xf numFmtId="177" fontId="16" fillId="18" borderId="17" xfId="15" applyNumberFormat="1" applyFont="1" applyBorder="1" applyAlignment="1">
      <alignment horizontal="center"/>
    </xf>
    <xf numFmtId="177" fontId="16" fillId="18" borderId="0" xfId="15" applyNumberFormat="1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14" fontId="47" fillId="21" borderId="26" xfId="0" applyNumberFormat="1" applyFont="1" applyFill="1" applyBorder="1" applyAlignment="1">
      <alignment horizontal="center" vertical="center"/>
    </xf>
    <xf numFmtId="0" fontId="47" fillId="21" borderId="26" xfId="0" applyFont="1" applyFill="1" applyBorder="1" applyAlignment="1">
      <alignment horizontal="center" vertical="center"/>
    </xf>
    <xf numFmtId="0" fontId="47" fillId="21" borderId="22" xfId="0" applyFont="1" applyFill="1" applyBorder="1" applyAlignment="1">
      <alignment horizontal="center" vertical="center"/>
    </xf>
  </cellXfs>
  <cellStyles count="26">
    <cellStyle name="20% - アクセント 1" xfId="17" builtinId="30"/>
    <cellStyle name="Admin Shade" xfId="4" xr:uid="{00000000-0005-0000-0000-000000000000}"/>
    <cellStyle name="Admin Shade 2" xfId="14" xr:uid="{E7C32B9F-66F5-49AB-A9D9-EAA37B7141A5}"/>
    <cellStyle name="Duty Border" xfId="5" xr:uid="{00000000-0005-0000-0000-000001000000}"/>
    <cellStyle name="Header" xfId="3" xr:uid="{00000000-0005-0000-0000-000002000000}"/>
    <cellStyle name="Shift" xfId="6" xr:uid="{00000000-0005-0000-0000-000003000000}"/>
    <cellStyle name="Shift 2" xfId="25" xr:uid="{E6E71354-8E14-43AD-9462-BDEE40CF1F88}"/>
    <cellStyle name="アクセント 3" xfId="11" builtinId="37" customBuiltin="1"/>
    <cellStyle name="どちらでもない" xfId="9" builtinId="28" customBuiltin="1"/>
    <cellStyle name="ハイパーリンク" xfId="16" builtinId="8"/>
    <cellStyle name="メモ" xfId="15" builtinId="10"/>
    <cellStyle name="見出し 1" xfId="1" builtinId="16" customBuiltin="1"/>
    <cellStyle name="見出し 2" xfId="2" builtinId="17" customBuiltin="1"/>
    <cellStyle name="見出し 3" xfId="7" builtinId="18" customBuiltin="1"/>
    <cellStyle name="見出し 4" xfId="8" builtinId="19" customBuiltin="1"/>
    <cellStyle name="出力 2" xfId="21" xr:uid="{E4BF8A9C-4C63-4381-AED8-D5ED221389EF}"/>
    <cellStyle name="入力" xfId="10" builtinId="20" customBuiltin="1"/>
    <cellStyle name="標準" xfId="0" builtinId="0" customBuiltin="1"/>
    <cellStyle name="標準 2" xfId="12" xr:uid="{4FFE154A-B330-4514-94C8-4655A4108C8B}"/>
    <cellStyle name="標準 2 2" xfId="19" xr:uid="{50303AAD-7D38-49A9-A35C-29FDF598DB1E}"/>
    <cellStyle name="標準 2 2 2" xfId="22" xr:uid="{EF86D334-BBFA-4DC6-B1B8-9FD90FF92A6A}"/>
    <cellStyle name="標準 2 3" xfId="24" xr:uid="{3ED312D4-FA16-4D6A-8EAA-D0774DBD509C}"/>
    <cellStyle name="標準 3" xfId="13" xr:uid="{A0E56803-75A1-4297-8BF9-EE6A9A02F2C9}"/>
    <cellStyle name="標準 3 2" xfId="23" xr:uid="{BB555CAF-8DE6-40C6-B9EF-168EC00DCF32}"/>
    <cellStyle name="標準 4" xfId="18" xr:uid="{B498BE58-3879-4FFC-B3A1-811B84C76E7D}"/>
    <cellStyle name="標準 5" xfId="20" xr:uid="{F04A3FC7-F62B-4C72-A2F5-484605B1BFC1}"/>
  </cellStyles>
  <dxfs count="3263"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 val="0"/>
        <i val="0"/>
        <color theme="0" tint="-0.34998626667073579"/>
      </font>
    </dxf>
    <dxf>
      <font>
        <b/>
        <i val="0"/>
        <color rgb="FFFFFF00"/>
      </font>
    </dxf>
    <dxf>
      <font>
        <b val="0"/>
        <i val="0"/>
        <color theme="0" tint="-0.34998626667073579"/>
      </font>
    </dxf>
    <dxf>
      <font>
        <b/>
        <i val="0"/>
        <color rgb="FFFFFF00"/>
      </font>
    </dxf>
    <dxf>
      <font>
        <b val="0"/>
        <i val="0"/>
        <color theme="0" tint="-0.34998626667073579"/>
      </font>
    </dxf>
    <dxf>
      <font>
        <b/>
        <i val="0"/>
        <color rgb="FFFFFF00"/>
      </font>
    </dxf>
    <dxf>
      <font>
        <b val="0"/>
        <i val="0"/>
        <color theme="0" tint="-0.34998626667073579"/>
      </font>
    </dxf>
    <dxf>
      <font>
        <b/>
        <i val="0"/>
        <color rgb="FFFFFF00"/>
      </font>
    </dxf>
    <dxf>
      <font>
        <b val="0"/>
        <i val="0"/>
        <color theme="0" tint="-0.34998626667073579"/>
      </font>
    </dxf>
    <dxf>
      <font>
        <b/>
        <i val="0"/>
        <color rgb="FFFFFF00"/>
      </font>
    </dxf>
    <dxf>
      <font>
        <b val="0"/>
        <i val="0"/>
        <color theme="0" tint="-0.34998626667073579"/>
      </font>
    </dxf>
    <dxf>
      <font>
        <b/>
        <i val="0"/>
        <color rgb="FFFFFF00"/>
      </font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font>
        <b/>
        <i val="0"/>
        <color theme="0"/>
      </font>
      <fill>
        <patternFill>
          <bgColor theme="3" tint="-0.24994659260841701"/>
        </patternFill>
      </fill>
    </dxf>
    <dxf>
      <border>
        <top style="thin">
          <color theme="3" tint="0.39994506668294322"/>
        </top>
        <bottom/>
        <vertical/>
        <horizontal/>
      </border>
    </dxf>
    <dxf>
      <numFmt numFmtId="0" formatCode="General"/>
    </dxf>
    <dxf>
      <numFmt numFmtId="189" formatCode="yyyy/m/d\(aaa\)"/>
    </dxf>
    <dxf>
      <font>
        <b/>
        <i val="0"/>
        <color rgb="FF00B050"/>
      </font>
      <fill>
        <patternFill>
          <bgColor theme="7" tint="0.79998168889431442"/>
        </patternFill>
      </fill>
    </dxf>
    <dxf>
      <font>
        <b/>
        <i val="0"/>
        <color rgb="FF0070C0"/>
      </font>
      <fill>
        <patternFill>
          <bgColor rgb="FFCCECFF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70C0"/>
      </font>
      <fill>
        <patternFill>
          <bgColor rgb="FFCCECFF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b/>
        <i val="0"/>
        <color rgb="FF00B050"/>
      </font>
      <fill>
        <patternFill patternType="none">
          <bgColor auto="1"/>
        </patternFill>
      </fill>
      <border>
        <vertical/>
        <horizontal/>
      </border>
    </dxf>
    <dxf>
      <font>
        <b/>
        <i val="0"/>
        <color theme="0"/>
      </font>
      <fill>
        <patternFill patternType="solid">
          <bgColor rgb="FF665A1A"/>
        </patternFill>
      </fill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b/>
        <i val="0"/>
        <color theme="0"/>
      </font>
      <fill>
        <patternFill patternType="solid">
          <bgColor rgb="FF0070C0"/>
        </patternFill>
      </fill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b/>
        <i val="0"/>
        <color theme="4"/>
      </font>
      <fill>
        <patternFill patternType="solid">
          <bgColor theme="8" tint="0.79998168889431442"/>
        </patternFill>
      </fill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b/>
        <i val="0"/>
        <color theme="4"/>
      </font>
      <fill>
        <patternFill patternType="none">
          <bgColor auto="1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color theme="4"/>
      </font>
      <fill>
        <patternFill patternType="solid">
          <bgColor theme="8" tint="0.79998168889431442"/>
        </patternFill>
      </fill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b val="0"/>
        <i val="0"/>
        <color auto="1"/>
      </font>
      <fill>
        <patternFill patternType="solid">
          <bgColor rgb="FFFFC000"/>
        </patternFill>
      </fill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b/>
        <i val="0"/>
        <color rgb="FF0070C0"/>
      </font>
      <fill>
        <patternFill>
          <bgColor rgb="FFCCECFF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70C0"/>
      </font>
      <fill>
        <patternFill>
          <bgColor rgb="FFCCECFF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70C0"/>
      </font>
      <fill>
        <patternFill>
          <bgColor rgb="FFCCECFF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7" tint="0.79998168889431442"/>
        </patternFill>
      </fill>
    </dxf>
    <dxf>
      <font>
        <b/>
        <i val="0"/>
        <color rgb="FF0070C0"/>
      </font>
      <fill>
        <patternFill>
          <bgColor rgb="FFCCECFF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メイリオ"/>
        <family val="3"/>
        <charset val="128"/>
        <scheme val="none"/>
      </font>
      <numFmt numFmtId="177" formatCode="h:mm;@"/>
    </dxf>
    <dxf>
      <border outline="0">
        <top style="thin">
          <color rgb="FFB2B2B2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メイリオ"/>
        <family val="3"/>
        <charset val="128"/>
        <scheme val="none"/>
      </font>
    </dxf>
    <dxf>
      <border outline="0">
        <bottom style="thin">
          <color rgb="FFB2B2B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メイリオ"/>
        <family val="3"/>
        <charset val="128"/>
        <scheme val="none"/>
      </font>
      <numFmt numFmtId="177" formatCode="h:mm;@"/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name val="Meiryo UI"/>
        <scheme val="none"/>
      </font>
    </dxf>
    <dxf>
      <font>
        <i val="0"/>
        <strike val="0"/>
        <outline val="0"/>
        <shadow val="0"/>
        <u val="none"/>
        <vertAlign val="baseline"/>
        <name val="Meiryo UI"/>
        <scheme val="none"/>
      </font>
    </dxf>
    <dxf>
      <font>
        <b/>
        <i val="0"/>
        <strike val="0"/>
        <outline val="0"/>
        <shadow val="0"/>
        <u val="none"/>
        <vertAlign val="baseline"/>
        <sz val="9"/>
        <color theme="0"/>
        <name val="メイリオ"/>
        <family val="3"/>
        <charset val="128"/>
        <scheme val="none"/>
      </font>
      <fill>
        <patternFill patternType="solid">
          <fgColor indexed="64"/>
          <bgColor theme="3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6" tint="-0.24994659260841701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theme="3" tint="0.79998168889431442"/>
      </font>
      <numFmt numFmtId="0" formatCode="General"/>
      <fill>
        <patternFill>
          <bgColor theme="3" tint="0.79998168889431442"/>
        </patternFill>
      </fill>
    </dxf>
    <dxf>
      <font>
        <color theme="3" tint="-0.499984740745262"/>
      </font>
      <fill>
        <patternFill>
          <bgColor theme="3" tint="0.79998168889431442"/>
        </patternFill>
      </fill>
    </dxf>
    <dxf>
      <font>
        <color theme="3" tint="-0.499984740745262"/>
      </font>
      <fill>
        <patternFill patternType="solid">
          <fgColor auto="1"/>
          <bgColor theme="3" tint="0.79998168889431442"/>
        </patternFill>
      </fill>
    </dxf>
    <dxf>
      <border>
        <top style="thin">
          <color theme="0"/>
        </top>
        <bottom/>
        <vertical/>
        <horizontal/>
      </border>
    </dxf>
    <dxf>
      <border>
        <top style="thin">
          <color theme="3" tint="0.39994506668294322"/>
        </top>
        <vertical/>
        <horizontal/>
      </border>
    </dxf>
    <dxf>
      <border diagonalUp="0" diagonalDown="0">
        <left/>
        <right/>
        <top/>
        <bottom style="thin">
          <color theme="3" tint="0.39994506668294322"/>
        </bottom>
        <vertical style="thin">
          <color theme="2"/>
        </vertical>
        <horizontal/>
      </border>
    </dxf>
    <dxf>
      <border diagonalUp="0" diagonalDown="0">
        <left/>
        <right/>
        <top/>
        <bottom style="thin">
          <color theme="3" tint="0.39994506668294322"/>
        </bottom>
        <vertical style="medium">
          <color theme="2"/>
        </vertical>
        <horizontal style="thin">
          <color theme="3" tint="0.39994506668294322"/>
        </horizontal>
      </border>
    </dxf>
  </dxfs>
  <tableStyles count="1" defaultTableStyle="TableStyleMedium2" defaultPivotStyle="PivotStyleLight16">
    <tableStyle name="Employee Schedule" pivot="0" count="2" xr9:uid="{00000000-0011-0000-FFFF-FFFF00000000}">
      <tableStyleElement type="wholeTable" dxfId="3262"/>
      <tableStyleElement type="headerRow" dxfId="3261"/>
    </tableStyle>
  </tableStyles>
  <colors>
    <mruColors>
      <color rgb="FFA98A49"/>
      <color rgb="FFFFCCCC"/>
      <color rgb="FFFF00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24</xdr:row>
      <xdr:rowOff>38100</xdr:rowOff>
    </xdr:from>
    <xdr:to>
      <xdr:col>14</xdr:col>
      <xdr:colOff>171450</xdr:colOff>
      <xdr:row>28</xdr:row>
      <xdr:rowOff>161925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392025" y="4152900"/>
          <a:ext cx="2171700" cy="8096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ja-JP" altLang="en-US" sz="1100"/>
            <a:t>←</a:t>
          </a:r>
          <a:r>
            <a:rPr kumimoji="1" lang="en-US" altLang="ja-JP" sz="1100"/>
            <a:t>(</a:t>
          </a:r>
          <a:r>
            <a:rPr kumimoji="1" lang="ja-JP" altLang="en-US" sz="1100"/>
            <a:t>ｽﾎﾟｯﾄ</a:t>
          </a:r>
          <a:r>
            <a:rPr kumimoji="1" lang="en-US" altLang="ja-JP" sz="1100"/>
            <a:t>)</a:t>
          </a:r>
          <a:r>
            <a:rPr kumimoji="1" lang="ja-JP" altLang="en-US" sz="1100"/>
            <a:t>枠を作ったら管理に便利かも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581025</xdr:colOff>
          <xdr:row>0</xdr:row>
          <xdr:rowOff>276225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1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16120A"/>
                  </a:solidFill>
                  <a:latin typeface="ＭＳ Ｐゴシック"/>
                  <a:ea typeface="ＭＳ Ｐゴシック"/>
                </a:rPr>
                <a:t>日付選択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821219</xdr:colOff>
      <xdr:row>0</xdr:row>
      <xdr:rowOff>15939</xdr:rowOff>
    </xdr:from>
    <xdr:to>
      <xdr:col>3</xdr:col>
      <xdr:colOff>1530110</xdr:colOff>
      <xdr:row>1</xdr:row>
      <xdr:rowOff>713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21407" y="15939"/>
          <a:ext cx="708891" cy="27052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ja-JP" altLang="en-US" sz="1100"/>
            <a:t>今日は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0</xdr:rowOff>
        </xdr:from>
        <xdr:to>
          <xdr:col>1</xdr:col>
          <xdr:colOff>838200</xdr:colOff>
          <xdr:row>1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16120A"/>
                  </a:solidFill>
                  <a:latin typeface="メイリオ"/>
                  <a:ea typeface="メイリオ"/>
                </a:rPr>
                <a:t>日付選択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火曜日" id="{B1146D61-A04E-4727-9361-C69AA674442F}">
    <nsvFilter filterId="{5E614F70-DEF4-4361-88AA-6EB2E10FC9C6}" ref="A1:P130" tableId="0">
      <columnFilter colId="5">
        <filter colId="5">
          <x:filters>
            <x:filter val="TRUE"/>
          </x:filters>
        </filter>
      </columnFilter>
      <sortRules>
        <sortRule colId="0">
          <sortCondition ref="A1:A130"/>
        </sortRule>
      </sortRules>
    </nsvFilter>
  </namedSheetView>
  <namedSheetView name="金曜日" id="{745B217D-5CDA-4832-B6B6-6E38DAF0BB6F}">
    <nsvFilter filterId="{5E614F70-DEF4-4361-88AA-6EB2E10FC9C6}" ref="A1:P130" tableId="0">
      <columnFilter colId="8">
        <filter colId="8">
          <x:filters>
            <x:filter val="TRUE"/>
          </x:filters>
        </filter>
      </columnFilter>
      <columnFilter colId="13">
        <filter colId="13">
          <x:filters>
            <x:filter val="TRUE"/>
          </x:filters>
        </filter>
      </columnFilter>
      <sortRules>
        <sortRule colId="0">
          <sortCondition ref="A1:A130"/>
        </sortRule>
      </sortRules>
    </nsvFilter>
  </namedSheetView>
  <namedSheetView name="月曜日" id="{DF95A373-D454-4E03-B395-1E687C0A7CC1}">
    <nsvFilter filterId="{5E614F70-DEF4-4361-88AA-6EB2E10FC9C6}" ref="A1:P130" tableId="0">
      <columnFilter colId="4">
        <filter colId="4">
          <x:filters>
            <x:filter val="TRUE"/>
          </x:filters>
        </filter>
      </columnFilter>
      <sortRules>
        <sortRule colId="0">
          <sortCondition ref="A1:A130"/>
        </sortRule>
      </sortRules>
    </nsvFilter>
  </namedSheetView>
  <namedSheetView name="水曜日" id="{374E9FC5-38C1-4724-B10F-672726827F17}">
    <nsvFilter filterId="{5E614F70-DEF4-4361-88AA-6EB2E10FC9C6}" ref="A1:P130" tableId="0">
      <columnFilter colId="6">
        <filter colId="6">
          <x:filters>
            <x:filter val="TRUE"/>
          </x:filters>
        </filter>
      </columnFilter>
      <sortRules>
        <sortRule colId="0">
          <sortCondition ref="A1:A130"/>
        </sortRule>
      </sortRules>
    </nsvFilter>
  </namedSheetView>
  <namedSheetView name="土曜日" id="{EB8387D0-91DD-4D3B-979C-93DEE9C00942}">
    <nsvFilter filterId="{5E614F70-DEF4-4361-88AA-6EB2E10FC9C6}" ref="A1:P130" tableId="0">
      <columnFilter colId="9">
        <filter colId="9">
          <x:filters>
            <x:filter val="TRUE"/>
          </x:filters>
        </filter>
      </columnFilter>
      <sortRules>
        <sortRule colId="0">
          <sortCondition ref="A1:A130"/>
        </sortRule>
      </sortRules>
    </nsvFilter>
  </namedSheetView>
  <namedSheetView name="木曜日" id="{714FC37D-32F2-4698-9030-FDE1D876AD58}">
    <nsvFilter filterId="{5E614F70-DEF4-4361-88AA-6EB2E10FC9C6}" ref="A1:P130" tableId="0">
      <columnFilter colId="3">
        <filter colId="3">
          <x:filters>
            <x:filter val="FALSE"/>
          </x:filters>
        </filter>
      </columnFilter>
      <columnFilter colId="13">
        <filter colId="13">
          <x:filters>
            <x:filter val="TRUE"/>
          </x:filters>
        </filter>
      </columnFilter>
      <sortRules>
        <sortRule colId="0">
          <sortCondition ref="A1:A130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27FB4D8-2754-440C-A22A-36A2638EC650}" autoFormatId="20" applyNumberFormats="0" applyBorderFormats="0" applyFontFormats="0" applyPatternFormats="0" applyAlignmentFormats="0" applyWidthHeightFormats="0">
  <queryTableRefresh nextId="3">
    <queryTableFields count="2">
      <queryTableField id="1" name="国民の祝日・休日月日" tableColumnId="1"/>
      <queryTableField id="2" name="国民の祝日・休日名称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車両_担当者" displayName="車両_担当者" ref="D1:D69" totalsRowShown="0" headerRowDxfId="2682" dataDxfId="2681" headerRowCellStyle="Header">
  <tableColumns count="1">
    <tableColumn id="1" xr3:uid="{00000000-0010-0000-0000-000001000000}" name="車両/担当者" dataDxfId="2680"/>
  </tableColumns>
  <tableStyleInfo name="Employee Schedule" showFirstColumn="0" showLastColumn="0" showRowStripes="1" showColumnStripes="0"/>
  <extLst>
    <ext xmlns:x14="http://schemas.microsoft.com/office/spreadsheetml/2009/9/main" uri="{504A1905-F514-4f6f-8877-14C23A59335A}">
      <x14:table altText="従業員リスト" altTextSummary="姓と名の頭文字による全従業員のリストです。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9AD42E-248D-4BF5-B1A7-C2F5A352FE84}" name="UNET" displayName="UNET" ref="N7:N19" totalsRowShown="0" headerRowDxfId="2679" dataDxfId="2677" headerRowBorderDxfId="2678" tableBorderDxfId="2676" headerRowCellStyle="メモ">
  <sortState xmlns:xlrd2="http://schemas.microsoft.com/office/spreadsheetml/2017/richdata2" ref="N8:N18">
    <sortCondition ref="N7:N18"/>
  </sortState>
  <tableColumns count="1">
    <tableColumn id="1" xr3:uid="{AB53CAF3-C264-4A57-844F-B665A5A02ED5}" name="list_U-NET" dataDxfId="2675"/>
  </tableColumns>
  <tableStyleInfo name="Employee Schedu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08CE43-DA4E-484D-B65F-1E9A91D0B3DE}" name="テーブル2" displayName="テーブル2" ref="A1:J1048576" totalsRowShown="0" dataDxfId="2674">
  <autoFilter ref="A1:J1048576" xr:uid="{8A08CE43-DA4E-484D-B65F-1E9A91D0B3DE}"/>
  <tableColumns count="10">
    <tableColumn id="1" xr3:uid="{FA15AD2F-D464-44AD-8FBC-9B88B9C4D4C1}" name="富士電線" dataDxfId="2673"/>
    <tableColumn id="2" xr3:uid="{935F0EC6-05D9-4744-94F4-507AE97E25A1}" name="列1" dataDxfId="2672"/>
    <tableColumn id="3" xr3:uid="{42E8BA81-9B90-4762-9CAA-E53F3B3AC771}" name="週" dataDxfId="2671"/>
    <tableColumn id="4" xr3:uid="{C9879454-87E1-4D99-8264-1A9AC8A92886}" name="A" dataDxfId="2670"/>
    <tableColumn id="5" xr3:uid="{E6A5CE6F-819B-4C70-A302-A21362F8A682}" name="B" dataDxfId="2669"/>
    <tableColumn id="6" xr3:uid="{044064BA-DD38-46E3-BFB5-AB577A2DF8AC}" name="C" dataDxfId="2668"/>
    <tableColumn id="7" xr3:uid="{839D97C7-3EC3-4EAC-A568-DEE6E6ABC55A}" name="D" dataDxfId="2667"/>
    <tableColumn id="8" xr3:uid="{60E1AC3C-39FD-4181-B7BA-04665F39EA99}" name="E" dataDxfId="2666"/>
    <tableColumn id="9" xr3:uid="{1349066E-9E35-424B-AB75-B976126219FA}" name="現場/交代要員" dataDxfId="2665"/>
    <tableColumn id="10" xr3:uid="{15AFC7C4-9A40-4421-9F4B-FA80AE4EEA78}" name="ど現場" dataDxfId="2664"/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D9E7B7-DF21-445F-B2AF-1CB989E0C657}" name="syukujitsu" displayName="syukujitsu" ref="A1:B1033" tableType="queryTable" totalsRowShown="0">
  <autoFilter ref="A1:B1033" xr:uid="{7DD9E7B7-DF21-445F-B2AF-1CB989E0C657}">
    <filterColumn colId="1">
      <customFilters>
        <customFilter operator="notEqual" val=" "/>
      </customFilters>
    </filterColumn>
  </autoFilter>
  <tableColumns count="2">
    <tableColumn id="1" xr3:uid="{90795E54-39B4-42CB-84A1-2F7A5019816F}" uniqueName="1" name="国民の祝日・休日月日" queryTableFieldId="1" dataDxfId="2635"/>
    <tableColumn id="2" xr3:uid="{891C3E29-DCD6-4204-AAD7-5E003C7BEA5E}" uniqueName="2" name="国民の祝日・休日名称" queryTableFieldId="2" dataDxfId="263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mployee Schedule">
      <a:dk1>
        <a:sysClr val="windowText" lastClr="000000"/>
      </a:dk1>
      <a:lt1>
        <a:sysClr val="window" lastClr="FFFFFF"/>
      </a:lt1>
      <a:dk2>
        <a:srgbClr val="2C2413"/>
      </a:dk2>
      <a:lt2>
        <a:srgbClr val="FFFFFF"/>
      </a:lt2>
      <a:accent1>
        <a:srgbClr val="5E96AA"/>
      </a:accent1>
      <a:accent2>
        <a:srgbClr val="E27F86"/>
      </a:accent2>
      <a:accent3>
        <a:srgbClr val="E2A468"/>
      </a:accent3>
      <a:accent4>
        <a:srgbClr val="A7C17E"/>
      </a:accent4>
      <a:accent5>
        <a:srgbClr val="AE80AF"/>
      </a:accent5>
      <a:accent6>
        <a:srgbClr val="F2D65C"/>
      </a:accent6>
      <a:hlink>
        <a:srgbClr val="5E96AA"/>
      </a:hlink>
      <a:folHlink>
        <a:srgbClr val="AE80AF"/>
      </a:folHlink>
    </a:clrScheme>
    <a:fontScheme name="093_EmployeeShiftSchedul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75000"/>
          </a:schemeClr>
        </a:solidFill>
        <a:ln w="19050">
          <a:noFill/>
        </a:ln>
      </a:spPr>
      <a:bodyPr vertOverflow="clip" horzOverflow="clip" rtlCol="0" anchor="ctr"/>
      <a:lstStyle>
        <a:defPPr algn="l">
          <a:defRPr sz="8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kumimoji="1"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ED0DAC3-FD38-4488-8E78-28994A9FC9E1}">
  <we:reference id="wa200005271" version="2.0.0.0" store="ja-JP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5721090F-8EDF-42A2-8B5F-09E946594443}">
  <we:reference id="wa200007447" version="1.0.0.0" store="ja-JP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/>
    <pageSetUpPr autoPageBreaks="0" fitToPage="1"/>
  </sheetPr>
  <dimension ref="A1:AA28077"/>
  <sheetViews>
    <sheetView topLeftCell="S1" zoomScale="120" zoomScaleNormal="120" workbookViewId="0">
      <selection activeCell="U15" sqref="U15"/>
    </sheetView>
  </sheetViews>
  <sheetFormatPr defaultColWidth="9.140625" defaultRowHeight="13.5" customHeight="1"/>
  <cols>
    <col min="3" max="3" width="1.42578125" customWidth="1"/>
    <col min="4" max="4" width="23.140625" customWidth="1"/>
    <col min="5" max="5" width="15.5703125" customWidth="1"/>
    <col min="6" max="6" width="23.140625" style="85" customWidth="1"/>
    <col min="7" max="7" width="4.28515625" customWidth="1"/>
    <col min="9" max="9" width="43.140625" customWidth="1"/>
    <col min="10" max="10" width="23.140625" style="85" customWidth="1"/>
    <col min="11" max="11" width="7.7109375" style="85" customWidth="1"/>
    <col min="14" max="15" width="18" customWidth="1"/>
    <col min="16" max="16" width="16.42578125" style="45" customWidth="1"/>
    <col min="19" max="19" width="23" style="46" customWidth="1"/>
    <col min="21" max="21" width="21.5703125" customWidth="1"/>
  </cols>
  <sheetData>
    <row r="1" spans="1:27" ht="13.5" customHeight="1">
      <c r="D1" s="1" t="s">
        <v>0</v>
      </c>
      <c r="F1" s="162" t="s">
        <v>1</v>
      </c>
      <c r="G1" s="68" t="s">
        <v>2</v>
      </c>
      <c r="N1" t="s">
        <v>3</v>
      </c>
    </row>
    <row r="2" spans="1:27" ht="13.5" customHeight="1">
      <c r="F2" s="163" t="s">
        <v>4</v>
      </c>
      <c r="G2" s="69">
        <v>0</v>
      </c>
      <c r="N2" t="s">
        <v>5</v>
      </c>
    </row>
    <row r="3" spans="1:27" ht="13.5" customHeight="1">
      <c r="A3" t="s">
        <v>126</v>
      </c>
      <c r="B3" t="s">
        <v>798</v>
      </c>
      <c r="D3" t="str">
        <f t="shared" ref="D3:D19" si="0">A3&amp;B3</f>
        <v>1㌧6902／麻美･小島</v>
      </c>
      <c r="F3" s="164" t="s">
        <v>7</v>
      </c>
      <c r="G3" s="70">
        <v>0</v>
      </c>
    </row>
    <row r="4" spans="1:27" ht="13.5" customHeight="1">
      <c r="A4" t="s">
        <v>126</v>
      </c>
      <c r="B4" t="s">
        <v>802</v>
      </c>
      <c r="D4" t="str">
        <f t="shared" si="0"/>
        <v>1㌧6902／関口</v>
      </c>
      <c r="F4" s="164" t="s">
        <v>8</v>
      </c>
      <c r="G4" s="70">
        <v>0</v>
      </c>
    </row>
    <row r="5" spans="1:27" ht="13.5" customHeight="1">
      <c r="A5" t="s">
        <v>126</v>
      </c>
      <c r="B5" t="s">
        <v>357</v>
      </c>
      <c r="D5" t="str">
        <f>A5&amp;B5</f>
        <v>1㌧6902／菊地</v>
      </c>
      <c r="F5" s="164" t="s">
        <v>9</v>
      </c>
      <c r="G5" s="70">
        <v>0</v>
      </c>
    </row>
    <row r="6" spans="1:27" ht="13.5" customHeight="1">
      <c r="A6" t="s">
        <v>126</v>
      </c>
      <c r="B6" t="s">
        <v>799</v>
      </c>
      <c r="D6" t="str">
        <f t="shared" si="0"/>
        <v>1㌧6902／小島</v>
      </c>
      <c r="F6" s="164" t="s">
        <v>10</v>
      </c>
      <c r="G6" s="70">
        <v>0</v>
      </c>
      <c r="I6" s="29" t="s">
        <v>11</v>
      </c>
      <c r="J6" s="86"/>
      <c r="K6" s="86"/>
    </row>
    <row r="7" spans="1:27" ht="13.5" customHeight="1">
      <c r="A7" t="s">
        <v>126</v>
      </c>
      <c r="B7" t="s">
        <v>777</v>
      </c>
      <c r="D7" t="str">
        <f t="shared" si="0"/>
        <v>1㌧6902／松明</v>
      </c>
      <c r="F7" s="164"/>
      <c r="G7" s="69">
        <v>0</v>
      </c>
      <c r="I7" s="55" t="s">
        <v>12</v>
      </c>
      <c r="J7" s="87" t="s">
        <v>13</v>
      </c>
      <c r="K7" s="87" t="s">
        <v>638</v>
      </c>
      <c r="L7" s="55" t="s">
        <v>14</v>
      </c>
      <c r="N7" s="25" t="s">
        <v>15</v>
      </c>
      <c r="S7" s="24" t="s">
        <v>16</v>
      </c>
      <c r="U7" s="237" t="s">
        <v>17</v>
      </c>
      <c r="V7" s="238"/>
      <c r="X7" s="12" t="s">
        <v>18</v>
      </c>
      <c r="Y7" s="12" t="s">
        <v>19</v>
      </c>
      <c r="Z7" s="47" t="s">
        <v>20</v>
      </c>
      <c r="AA7" s="48" t="s">
        <v>21</v>
      </c>
    </row>
    <row r="8" spans="1:27" ht="13.5" customHeight="1">
      <c r="A8" t="s">
        <v>126</v>
      </c>
      <c r="B8" t="s">
        <v>778</v>
      </c>
      <c r="D8" t="str">
        <f t="shared" si="0"/>
        <v>1㌧6902／畑澤</v>
      </c>
      <c r="F8" s="165" t="str">
        <f>IF(J8="","",J8)</f>
        <v>ｱｰｸﾙ</v>
      </c>
      <c r="G8" s="71">
        <v>1</v>
      </c>
      <c r="I8" t="s">
        <v>22</v>
      </c>
      <c r="J8" s="88" t="s">
        <v>22</v>
      </c>
      <c r="K8" s="91"/>
      <c r="N8" s="13" t="s">
        <v>23</v>
      </c>
      <c r="O8" s="13"/>
      <c r="S8" s="46" t="s">
        <v>24</v>
      </c>
      <c r="U8" s="49" t="s">
        <v>697</v>
      </c>
      <c r="V8" s="49" t="s">
        <v>636</v>
      </c>
      <c r="X8" t="s">
        <v>26</v>
      </c>
      <c r="Y8" t="s">
        <v>27</v>
      </c>
      <c r="Z8" s="44">
        <v>2022</v>
      </c>
      <c r="AA8" s="44">
        <v>1</v>
      </c>
    </row>
    <row r="9" spans="1:27" ht="13.5" customHeight="1">
      <c r="A9" t="s">
        <v>126</v>
      </c>
      <c r="B9" t="s">
        <v>780</v>
      </c>
      <c r="D9" t="str">
        <f t="shared" si="0"/>
        <v>1㌧6902／片山</v>
      </c>
      <c r="F9" s="165" t="str">
        <f t="shared" ref="F9" si="1">IF(J9="","",J9)</f>
        <v>(株)ｱｸﾃｨｵ</v>
      </c>
      <c r="G9" s="72">
        <v>2</v>
      </c>
      <c r="I9" t="s">
        <v>469</v>
      </c>
      <c r="J9" s="88" t="s">
        <v>468</v>
      </c>
      <c r="K9" s="91"/>
      <c r="N9" s="13" t="s">
        <v>28</v>
      </c>
      <c r="O9" s="13"/>
      <c r="S9" s="46" t="s">
        <v>29</v>
      </c>
      <c r="U9" s="49" t="s">
        <v>25</v>
      </c>
      <c r="V9" s="49" t="s">
        <v>782</v>
      </c>
      <c r="X9" t="s">
        <v>30</v>
      </c>
      <c r="Y9" t="s">
        <v>31</v>
      </c>
      <c r="Z9" s="44">
        <v>2023</v>
      </c>
      <c r="AA9" s="44">
        <v>2</v>
      </c>
    </row>
    <row r="10" spans="1:27" ht="13.5" customHeight="1">
      <c r="A10" t="s">
        <v>126</v>
      </c>
      <c r="B10" t="s">
        <v>779</v>
      </c>
      <c r="D10" t="str">
        <f t="shared" si="0"/>
        <v>1㌧6902／麻美</v>
      </c>
      <c r="F10" s="165" t="str">
        <f>IF(J10="","",J10)</f>
        <v>旭運送</v>
      </c>
      <c r="G10" s="73">
        <v>3</v>
      </c>
      <c r="I10" s="67" t="s">
        <v>33</v>
      </c>
      <c r="J10" s="88" t="s">
        <v>236</v>
      </c>
      <c r="K10" s="91"/>
      <c r="N10" s="13" t="s">
        <v>34</v>
      </c>
      <c r="O10" s="13"/>
      <c r="S10" s="46" t="s">
        <v>35</v>
      </c>
      <c r="U10" s="49" t="s">
        <v>36</v>
      </c>
      <c r="V10" s="49" t="s">
        <v>752</v>
      </c>
      <c r="X10" t="s">
        <v>37</v>
      </c>
      <c r="Y10" t="s">
        <v>38</v>
      </c>
      <c r="Z10" s="44">
        <v>2024</v>
      </c>
      <c r="AA10" s="44">
        <v>3</v>
      </c>
    </row>
    <row r="11" spans="1:27" ht="13.5" customHeight="1">
      <c r="A11" t="s">
        <v>126</v>
      </c>
      <c r="B11" t="s">
        <v>32</v>
      </c>
      <c r="D11" t="str">
        <f>A11&amp;B11</f>
        <v>1㌧6902／万里</v>
      </c>
      <c r="F11" s="165" t="str">
        <f>IF(J11="","",J11)</f>
        <v>厚木市環境センター</v>
      </c>
      <c r="G11" s="74">
        <v>4</v>
      </c>
      <c r="I11" t="s">
        <v>363</v>
      </c>
      <c r="J11" s="88" t="s">
        <v>364</v>
      </c>
      <c r="K11" s="91"/>
      <c r="N11" s="13" t="s">
        <v>40</v>
      </c>
      <c r="O11" s="13"/>
      <c r="S11" s="46" t="s">
        <v>41</v>
      </c>
      <c r="U11" s="49" t="s">
        <v>349</v>
      </c>
      <c r="V11" s="49" t="s">
        <v>350</v>
      </c>
      <c r="Z11" s="44">
        <v>2025</v>
      </c>
      <c r="AA11" s="44">
        <v>4</v>
      </c>
    </row>
    <row r="12" spans="1:27" ht="13.5" customHeight="1">
      <c r="A12" t="s">
        <v>704</v>
      </c>
      <c r="B12" t="s">
        <v>800</v>
      </c>
      <c r="D12" t="str">
        <f t="shared" si="0"/>
        <v>2025PK／菊池･小島</v>
      </c>
      <c r="F12" s="165" t="str">
        <f>IF(J12="","",J12)</f>
        <v>㈱ E.F.C</v>
      </c>
      <c r="G12" s="75">
        <v>5</v>
      </c>
      <c r="I12" t="s">
        <v>365</v>
      </c>
      <c r="J12" s="88" t="s">
        <v>366</v>
      </c>
      <c r="K12" s="91"/>
      <c r="N12" s="13" t="s">
        <v>44</v>
      </c>
      <c r="O12" s="13"/>
      <c r="S12" s="46" t="s">
        <v>45</v>
      </c>
      <c r="U12" s="49" t="s">
        <v>42</v>
      </c>
      <c r="V12" s="49" t="s">
        <v>43</v>
      </c>
      <c r="Z12" s="44">
        <v>2026</v>
      </c>
      <c r="AA12" s="44">
        <v>5</v>
      </c>
    </row>
    <row r="13" spans="1:27" ht="13.5" customHeight="1">
      <c r="A13" t="s">
        <v>704</v>
      </c>
      <c r="B13" t="s">
        <v>802</v>
      </c>
      <c r="D13" t="str">
        <f>A13&amp;B13</f>
        <v>2025PK／関口</v>
      </c>
      <c r="F13" s="165" t="str">
        <f>IF(J13="","",J13)</f>
        <v>ｲｼﾀﾞ製作所</v>
      </c>
      <c r="G13" s="76">
        <v>6</v>
      </c>
      <c r="I13" t="s">
        <v>39</v>
      </c>
      <c r="J13" s="88" t="s">
        <v>362</v>
      </c>
      <c r="K13" s="91"/>
      <c r="N13" s="13" t="s">
        <v>48</v>
      </c>
      <c r="O13" s="13"/>
      <c r="S13" s="46" t="s">
        <v>49</v>
      </c>
      <c r="U13" s="49" t="s">
        <v>46</v>
      </c>
      <c r="V13" s="49" t="s">
        <v>457</v>
      </c>
      <c r="Z13" s="44">
        <v>2027</v>
      </c>
      <c r="AA13" s="44">
        <v>6</v>
      </c>
    </row>
    <row r="14" spans="1:27" ht="13.5" customHeight="1">
      <c r="A14" t="s">
        <v>704</v>
      </c>
      <c r="B14" t="s">
        <v>357</v>
      </c>
      <c r="D14" t="str">
        <f t="shared" si="0"/>
        <v>2025PK／菊地</v>
      </c>
      <c r="F14" s="165" t="str">
        <f>IF(J14="","",J14)</f>
        <v>一全</v>
      </c>
      <c r="G14" s="77">
        <v>7</v>
      </c>
      <c r="I14" t="s">
        <v>639</v>
      </c>
      <c r="J14" s="88" t="s">
        <v>639</v>
      </c>
      <c r="K14" s="91"/>
      <c r="N14" s="13" t="s">
        <v>52</v>
      </c>
      <c r="O14" s="13"/>
      <c r="S14" s="46" t="s">
        <v>53</v>
      </c>
      <c r="U14" s="49" t="s">
        <v>50</v>
      </c>
      <c r="V14" s="49" t="s">
        <v>766</v>
      </c>
      <c r="Z14" s="44">
        <v>2028</v>
      </c>
      <c r="AA14" s="44">
        <v>7</v>
      </c>
    </row>
    <row r="15" spans="1:27" ht="13.5" customHeight="1">
      <c r="A15" t="s">
        <v>704</v>
      </c>
      <c r="B15" t="s">
        <v>799</v>
      </c>
      <c r="D15" t="str">
        <f t="shared" si="0"/>
        <v>2025PK／小島</v>
      </c>
      <c r="F15" s="165" t="str">
        <f t="shared" ref="F15:F30" si="2">IF(J15="","",J15)</f>
        <v>伊藤ビル</v>
      </c>
      <c r="G15" s="78">
        <v>8</v>
      </c>
      <c r="I15" t="s">
        <v>656</v>
      </c>
      <c r="J15" s="88" t="s">
        <v>655</v>
      </c>
      <c r="K15" s="91"/>
      <c r="N15" s="13" t="s">
        <v>57</v>
      </c>
      <c r="O15" s="13"/>
      <c r="S15" s="46" t="s">
        <v>58</v>
      </c>
      <c r="U15" s="49" t="s">
        <v>54</v>
      </c>
      <c r="V15" s="49" t="s">
        <v>766</v>
      </c>
      <c r="Z15" s="44">
        <v>2029</v>
      </c>
      <c r="AA15" s="44">
        <v>8</v>
      </c>
    </row>
    <row r="16" spans="1:27" ht="13.5" customHeight="1">
      <c r="A16" t="s">
        <v>704</v>
      </c>
      <c r="B16" t="s">
        <v>77</v>
      </c>
      <c r="D16" t="str">
        <f t="shared" si="0"/>
        <v>2025PK／畑澤</v>
      </c>
      <c r="F16" s="165" t="str">
        <f t="shared" si="2"/>
        <v>ｳｪﾙｼｱ平塚中原店</v>
      </c>
      <c r="G16" s="79">
        <v>9</v>
      </c>
      <c r="I16" t="s">
        <v>444</v>
      </c>
      <c r="J16" s="88" t="s">
        <v>443</v>
      </c>
      <c r="K16" s="91"/>
      <c r="N16" s="13" t="s">
        <v>61</v>
      </c>
      <c r="O16" s="13"/>
      <c r="S16" s="46" t="s">
        <v>62</v>
      </c>
      <c r="U16" s="49" t="s">
        <v>351</v>
      </c>
      <c r="V16" s="49" t="s">
        <v>350</v>
      </c>
      <c r="Z16" s="44">
        <v>2030</v>
      </c>
      <c r="AA16" s="44">
        <v>9</v>
      </c>
    </row>
    <row r="17" spans="1:27" ht="13.5" customHeight="1">
      <c r="A17" t="s">
        <v>704</v>
      </c>
      <c r="B17" t="s">
        <v>82</v>
      </c>
      <c r="D17" t="str">
        <f t="shared" si="0"/>
        <v>2025PK／片山</v>
      </c>
      <c r="F17" s="165" t="str">
        <f>IF(J17="","",J17)</f>
        <v>宇都宮螺子(第三木)</v>
      </c>
      <c r="G17" s="74">
        <v>10</v>
      </c>
      <c r="I17" t="s">
        <v>47</v>
      </c>
      <c r="J17" s="88" t="s">
        <v>253</v>
      </c>
      <c r="K17" s="91"/>
      <c r="N17" s="13" t="s">
        <v>65</v>
      </c>
      <c r="O17" s="13"/>
      <c r="S17" s="46" t="s">
        <v>66</v>
      </c>
      <c r="U17" s="49" t="s">
        <v>763</v>
      </c>
      <c r="V17" s="49" t="s">
        <v>765</v>
      </c>
      <c r="Z17" s="44">
        <v>2031</v>
      </c>
      <c r="AA17" s="44">
        <v>10</v>
      </c>
    </row>
    <row r="18" spans="1:27" ht="13.5" customHeight="1">
      <c r="A18" t="s">
        <v>704</v>
      </c>
      <c r="B18" t="s">
        <v>801</v>
      </c>
      <c r="D18" t="str">
        <f t="shared" si="0"/>
        <v>2025PK／片山･小島</v>
      </c>
      <c r="F18" s="165" t="str">
        <f>IF(J18="","",J18)</f>
        <v>SBSﾌﾚｯｸ</v>
      </c>
      <c r="G18" s="80">
        <v>11</v>
      </c>
      <c r="I18" t="s">
        <v>643</v>
      </c>
      <c r="J18" s="88" t="s">
        <v>642</v>
      </c>
      <c r="K18" s="131"/>
      <c r="N18" s="13" t="s">
        <v>67</v>
      </c>
      <c r="O18" s="13"/>
      <c r="S18" s="46" t="s">
        <v>68</v>
      </c>
      <c r="U18" t="s">
        <v>764</v>
      </c>
      <c r="V18" t="s">
        <v>765</v>
      </c>
      <c r="Z18" s="44">
        <v>2032</v>
      </c>
      <c r="AA18" s="44">
        <v>11</v>
      </c>
    </row>
    <row r="19" spans="1:27" ht="13.5" customHeight="1">
      <c r="A19" t="s">
        <v>704</v>
      </c>
      <c r="B19" t="s">
        <v>797</v>
      </c>
      <c r="D19" t="str">
        <f t="shared" si="0"/>
        <v>2025PK／麻美･小島</v>
      </c>
      <c r="F19" s="165" t="str">
        <f t="shared" si="2"/>
        <v>ESPOT(BY+PS)AM</v>
      </c>
      <c r="G19" s="71">
        <v>1</v>
      </c>
      <c r="I19" t="s">
        <v>368</v>
      </c>
      <c r="J19" s="88" t="s">
        <v>51</v>
      </c>
      <c r="K19" s="91"/>
      <c r="N19" s="13" t="s">
        <v>71</v>
      </c>
      <c r="O19" s="13"/>
      <c r="S19" s="46" t="s">
        <v>72</v>
      </c>
      <c r="U19" t="s">
        <v>791</v>
      </c>
      <c r="V19" t="s">
        <v>804</v>
      </c>
      <c r="Z19" s="44">
        <v>2033</v>
      </c>
      <c r="AA19" s="44">
        <v>12</v>
      </c>
    </row>
    <row r="20" spans="1:27" ht="13.5" customHeight="1">
      <c r="A20" t="s">
        <v>704</v>
      </c>
      <c r="B20" t="s">
        <v>32</v>
      </c>
      <c r="D20" t="str">
        <f t="shared" ref="D20:D54" si="3">A20&amp;B20</f>
        <v>2025PK／万里</v>
      </c>
      <c r="F20" s="165" t="str">
        <f t="shared" si="2"/>
        <v>ESPOT(BY+PS)PM</v>
      </c>
      <c r="G20" s="72">
        <v>2</v>
      </c>
      <c r="I20" t="s">
        <v>55</v>
      </c>
      <c r="J20" s="88" t="s">
        <v>56</v>
      </c>
      <c r="K20" s="91"/>
      <c r="O20" s="13"/>
      <c r="S20" s="46" t="s">
        <v>73</v>
      </c>
      <c r="U20" t="s">
        <v>792</v>
      </c>
      <c r="V20" t="s">
        <v>803</v>
      </c>
    </row>
    <row r="21" spans="1:27" ht="13.5" customHeight="1">
      <c r="A21" t="s">
        <v>704</v>
      </c>
      <c r="B21" t="s">
        <v>805</v>
      </c>
      <c r="D21" t="str">
        <f t="shared" si="3"/>
        <v>2025PK／関口･小島</v>
      </c>
      <c r="F21" s="165" t="str">
        <f>IF(J21="","",J21)</f>
        <v>ESPOT(PS)AM</v>
      </c>
      <c r="G21" s="73">
        <v>3</v>
      </c>
      <c r="I21" s="57" t="s">
        <v>59</v>
      </c>
      <c r="J21" s="89" t="s">
        <v>60</v>
      </c>
      <c r="K21" s="91"/>
      <c r="S21" s="46" t="s">
        <v>74</v>
      </c>
    </row>
    <row r="22" spans="1:27" ht="13.5" customHeight="1">
      <c r="A22" t="s">
        <v>704</v>
      </c>
      <c r="B22" t="s">
        <v>806</v>
      </c>
      <c r="D22" t="str">
        <f t="shared" si="3"/>
        <v>2025PK／畑澤･小島</v>
      </c>
      <c r="F22" s="165" t="str">
        <f>IF(J22="","",J22)</f>
        <v>ESPOT(PS)PM</v>
      </c>
      <c r="G22" s="74">
        <v>4</v>
      </c>
      <c r="I22" t="s">
        <v>63</v>
      </c>
      <c r="J22" s="88" t="s">
        <v>64</v>
      </c>
      <c r="K22" s="91"/>
      <c r="S22" s="46" t="s">
        <v>75</v>
      </c>
    </row>
    <row r="23" spans="1:27" ht="13.5" customHeight="1">
      <c r="A23" t="s">
        <v>6</v>
      </c>
      <c r="B23" t="s">
        <v>800</v>
      </c>
      <c r="D23" t="str">
        <f t="shared" si="3"/>
        <v>2267PK／菊池･小島</v>
      </c>
      <c r="F23" s="165" t="str">
        <f t="shared" si="2"/>
        <v>㈱ｴﾃﾞｨｽﾀ</v>
      </c>
      <c r="G23" s="75">
        <v>5</v>
      </c>
      <c r="I23" t="s">
        <v>369</v>
      </c>
      <c r="J23" s="88" t="s">
        <v>278</v>
      </c>
      <c r="K23" s="91"/>
      <c r="S23" s="46" t="s">
        <v>76</v>
      </c>
    </row>
    <row r="24" spans="1:27" ht="13.5" customHeight="1">
      <c r="A24" t="s">
        <v>121</v>
      </c>
      <c r="B24" t="s">
        <v>802</v>
      </c>
      <c r="D24" t="str">
        <f t="shared" si="3"/>
        <v>2267PK／関口</v>
      </c>
      <c r="F24" s="165" t="str">
        <f>IF(J24="","",J24)</f>
        <v>ｴﾊﾞﾈｸｽﾄ</v>
      </c>
      <c r="G24" s="76">
        <v>6</v>
      </c>
      <c r="I24" t="s">
        <v>781</v>
      </c>
      <c r="J24" s="88" t="s">
        <v>70</v>
      </c>
      <c r="K24" s="91"/>
      <c r="S24" s="46" t="s">
        <v>79</v>
      </c>
    </row>
    <row r="25" spans="1:27" ht="13.5" customHeight="1">
      <c r="A25" t="s">
        <v>6</v>
      </c>
      <c r="B25" t="s">
        <v>776</v>
      </c>
      <c r="D25" t="str">
        <f t="shared" si="3"/>
        <v>2267PK／菊地</v>
      </c>
      <c r="F25" s="165" t="str">
        <f t="shared" si="2"/>
        <v>えびす興運</v>
      </c>
      <c r="G25" s="77">
        <v>7</v>
      </c>
      <c r="I25" t="s">
        <v>370</v>
      </c>
      <c r="J25" s="88" t="s">
        <v>371</v>
      </c>
      <c r="K25" s="91"/>
      <c r="S25" s="46" t="s">
        <v>81</v>
      </c>
    </row>
    <row r="26" spans="1:27" ht="13.5" customHeight="1">
      <c r="A26" t="s">
        <v>121</v>
      </c>
      <c r="B26" t="s">
        <v>799</v>
      </c>
      <c r="D26" t="str">
        <f t="shared" si="3"/>
        <v>2267PK／小島</v>
      </c>
      <c r="F26" s="165" t="str">
        <f t="shared" si="2"/>
        <v>ｵｰﾄﾊﾞｯｸｽ伊勢原</v>
      </c>
      <c r="G26" s="78">
        <v>8</v>
      </c>
      <c r="I26" t="s">
        <v>372</v>
      </c>
      <c r="J26" s="88" t="s">
        <v>244</v>
      </c>
      <c r="K26" s="132"/>
      <c r="S26" s="46" t="s">
        <v>84</v>
      </c>
    </row>
    <row r="27" spans="1:27" ht="13.5" customHeight="1">
      <c r="A27" t="s">
        <v>6</v>
      </c>
      <c r="B27" t="s">
        <v>77</v>
      </c>
      <c r="D27" t="str">
        <f t="shared" si="3"/>
        <v>2267PK／畑澤</v>
      </c>
      <c r="F27" s="165" t="str">
        <f t="shared" si="2"/>
        <v>ｵｰﾄﾊﾞｯｸｽ座間</v>
      </c>
      <c r="G27" s="79">
        <v>9</v>
      </c>
      <c r="I27" t="s">
        <v>445</v>
      </c>
      <c r="J27" s="88" t="s">
        <v>627</v>
      </c>
      <c r="K27" s="132"/>
      <c r="S27" s="46" t="s">
        <v>85</v>
      </c>
    </row>
    <row r="28" spans="1:27" ht="13.5" customHeight="1">
      <c r="A28" t="s">
        <v>6</v>
      </c>
      <c r="B28" t="s">
        <v>82</v>
      </c>
      <c r="D28" t="str">
        <f t="shared" si="3"/>
        <v>2267PK／片山</v>
      </c>
      <c r="F28" s="165" t="str">
        <f t="shared" si="2"/>
        <v>ｶﾝﾅﾐｱｸｱｼｽﾃﾑ</v>
      </c>
      <c r="G28" s="74">
        <v>10</v>
      </c>
      <c r="I28" t="s">
        <v>78</v>
      </c>
      <c r="J28" s="88" t="s">
        <v>78</v>
      </c>
      <c r="K28" s="132"/>
      <c r="S28" s="46" t="s">
        <v>87</v>
      </c>
    </row>
    <row r="29" spans="1:27" ht="13.5" customHeight="1">
      <c r="A29" t="s">
        <v>6</v>
      </c>
      <c r="B29" t="s">
        <v>801</v>
      </c>
      <c r="D29" t="str">
        <f t="shared" si="3"/>
        <v>2267PK／片山･小島</v>
      </c>
      <c r="F29" s="165" t="str">
        <f t="shared" si="2"/>
        <v>関包ｽﾁｰﾙ</v>
      </c>
      <c r="G29" s="80">
        <v>11</v>
      </c>
      <c r="I29" s="28" t="s">
        <v>80</v>
      </c>
      <c r="J29" s="90" t="s">
        <v>256</v>
      </c>
      <c r="K29" s="91"/>
      <c r="S29" s="46" t="s">
        <v>89</v>
      </c>
    </row>
    <row r="30" spans="1:27" ht="13.5" customHeight="1">
      <c r="A30" t="s">
        <v>6</v>
      </c>
      <c r="B30" t="s">
        <v>797</v>
      </c>
      <c r="D30" t="str">
        <f t="shared" si="3"/>
        <v>2267PK／麻美･小島</v>
      </c>
      <c r="F30" s="165" t="str">
        <f t="shared" si="2"/>
        <v>ｸﾘｴｲﾄ原当麻店</v>
      </c>
      <c r="G30" s="71">
        <v>1</v>
      </c>
      <c r="I30" s="28" t="s">
        <v>373</v>
      </c>
      <c r="J30" s="90" t="s">
        <v>83</v>
      </c>
      <c r="K30" s="91"/>
      <c r="Q30" s="46"/>
      <c r="S30" s="46" t="s">
        <v>91</v>
      </c>
    </row>
    <row r="31" spans="1:27" ht="13.5" customHeight="1">
      <c r="A31" t="s">
        <v>6</v>
      </c>
      <c r="B31" t="s">
        <v>32</v>
      </c>
      <c r="D31" t="str">
        <f t="shared" si="3"/>
        <v>2267PK／万里</v>
      </c>
      <c r="F31" s="165" t="s">
        <v>759</v>
      </c>
      <c r="G31" s="72">
        <v>2</v>
      </c>
      <c r="I31" s="28" t="s">
        <v>760</v>
      </c>
      <c r="J31" s="90" t="s">
        <v>759</v>
      </c>
      <c r="K31" s="91"/>
      <c r="Q31" s="46"/>
      <c r="S31" s="46" t="s">
        <v>92</v>
      </c>
    </row>
    <row r="32" spans="1:27" ht="13.5" customHeight="1">
      <c r="A32" t="s">
        <v>6</v>
      </c>
      <c r="B32" t="s">
        <v>805</v>
      </c>
      <c r="D32" t="str">
        <f t="shared" si="3"/>
        <v>2267PK／関口･小島</v>
      </c>
      <c r="F32" s="165" t="s">
        <v>761</v>
      </c>
      <c r="G32" s="73">
        <v>3</v>
      </c>
      <c r="I32" t="s">
        <v>762</v>
      </c>
      <c r="J32" s="88" t="s">
        <v>761</v>
      </c>
      <c r="K32" s="91"/>
      <c r="Q32" s="46"/>
      <c r="S32" s="46" t="s">
        <v>93</v>
      </c>
    </row>
    <row r="33" spans="1:19" ht="13.5" customHeight="1">
      <c r="A33" t="s">
        <v>121</v>
      </c>
      <c r="B33" t="s">
        <v>806</v>
      </c>
      <c r="D33" t="str">
        <f t="shared" si="3"/>
        <v>2267PK／畑澤･小島</v>
      </c>
      <c r="F33" s="165" t="s">
        <v>88</v>
      </c>
      <c r="G33" s="74">
        <v>4</v>
      </c>
      <c r="I33" t="s">
        <v>88</v>
      </c>
      <c r="J33" s="88" t="s">
        <v>88</v>
      </c>
      <c r="K33" s="91"/>
      <c r="Q33" s="46"/>
      <c r="S33" s="46" t="s">
        <v>96</v>
      </c>
    </row>
    <row r="34" spans="1:19" ht="13.5" customHeight="1">
      <c r="A34" t="s">
        <v>86</v>
      </c>
      <c r="B34" t="s">
        <v>800</v>
      </c>
      <c r="D34" t="str">
        <f t="shared" si="3"/>
        <v>2618PK／菊池･小島</v>
      </c>
      <c r="F34" s="165" t="str">
        <f t="shared" ref="F34:F65" si="4">IF(J34="","",J34)</f>
        <v>ｹｲﾌﾞﾗﾝﾄﾞ㈱</v>
      </c>
      <c r="G34" s="75">
        <v>5</v>
      </c>
      <c r="I34" t="s">
        <v>749</v>
      </c>
      <c r="J34" s="88" t="s">
        <v>749</v>
      </c>
      <c r="K34" s="91"/>
      <c r="Q34" s="46"/>
      <c r="S34" s="46" t="s">
        <v>97</v>
      </c>
    </row>
    <row r="35" spans="1:19" ht="13.5" customHeight="1">
      <c r="A35" t="s">
        <v>86</v>
      </c>
      <c r="B35" t="s">
        <v>802</v>
      </c>
      <c r="D35" t="str">
        <f t="shared" si="3"/>
        <v>2618PK／関口</v>
      </c>
      <c r="F35" s="165" t="str">
        <f t="shared" si="4"/>
        <v>小泉機器</v>
      </c>
      <c r="G35" s="76">
        <v>6</v>
      </c>
      <c r="I35" s="28" t="s">
        <v>374</v>
      </c>
      <c r="J35" s="88" t="s">
        <v>375</v>
      </c>
      <c r="K35" s="91"/>
      <c r="Q35" s="46"/>
      <c r="S35" s="46" t="s">
        <v>99</v>
      </c>
    </row>
    <row r="36" spans="1:19" ht="13.5" customHeight="1">
      <c r="A36" t="s">
        <v>86</v>
      </c>
      <c r="B36" t="s">
        <v>357</v>
      </c>
      <c r="D36" t="str">
        <f t="shared" si="3"/>
        <v>2618PK／菊地</v>
      </c>
      <c r="F36" s="165" t="s">
        <v>793</v>
      </c>
      <c r="G36" s="77">
        <v>7</v>
      </c>
      <c r="I36" t="s">
        <v>794</v>
      </c>
      <c r="J36" s="88" t="s">
        <v>793</v>
      </c>
      <c r="K36" s="91"/>
      <c r="Q36" s="46"/>
      <c r="S36" s="46" t="s">
        <v>101</v>
      </c>
    </row>
    <row r="37" spans="1:19" ht="13.5" customHeight="1">
      <c r="A37" t="s">
        <v>86</v>
      </c>
      <c r="B37" t="s">
        <v>799</v>
      </c>
      <c r="D37" t="str">
        <f t="shared" si="3"/>
        <v>2618PK／小島</v>
      </c>
      <c r="F37" s="165" t="str">
        <f t="shared" si="4"/>
        <v>広陽(第二月)</v>
      </c>
      <c r="G37" s="78">
        <v>8</v>
      </c>
      <c r="I37" t="s">
        <v>90</v>
      </c>
      <c r="J37" s="88" t="s">
        <v>376</v>
      </c>
      <c r="K37" s="91"/>
      <c r="Q37" s="46"/>
      <c r="S37" s="46" t="s">
        <v>102</v>
      </c>
    </row>
    <row r="38" spans="1:19" ht="13.5" customHeight="1">
      <c r="A38" t="s">
        <v>86</v>
      </c>
      <c r="B38" t="s">
        <v>77</v>
      </c>
      <c r="D38" t="str">
        <f t="shared" si="3"/>
        <v>2618PK／畑澤</v>
      </c>
      <c r="F38" s="165" t="str">
        <f t="shared" si="4"/>
        <v>鴻池運輸</v>
      </c>
      <c r="G38" s="79">
        <v>9</v>
      </c>
      <c r="I38" t="s">
        <v>94</v>
      </c>
      <c r="J38" s="88" t="s">
        <v>95</v>
      </c>
      <c r="K38" s="91"/>
      <c r="Q38" s="46"/>
      <c r="S38" s="46" t="s">
        <v>807</v>
      </c>
    </row>
    <row r="39" spans="1:19" ht="13.5" customHeight="1">
      <c r="A39" t="s">
        <v>86</v>
      </c>
      <c r="B39" t="s">
        <v>82</v>
      </c>
      <c r="D39" t="str">
        <f t="shared" si="3"/>
        <v>2618PK／片山</v>
      </c>
      <c r="F39" s="165" t="str">
        <f t="shared" si="4"/>
        <v>小山㈱厚木</v>
      </c>
      <c r="G39" s="74">
        <v>10</v>
      </c>
      <c r="I39" t="s">
        <v>377</v>
      </c>
      <c r="J39" s="88" t="s">
        <v>98</v>
      </c>
      <c r="K39" s="132"/>
      <c r="Q39" s="46"/>
      <c r="S39" s="46" t="s">
        <v>103</v>
      </c>
    </row>
    <row r="40" spans="1:19" ht="13.5" customHeight="1">
      <c r="A40" t="s">
        <v>86</v>
      </c>
      <c r="B40" t="s">
        <v>801</v>
      </c>
      <c r="D40" t="str">
        <f t="shared" si="3"/>
        <v>2618PK／片山･小島</v>
      </c>
      <c r="F40" s="165" t="str">
        <f t="shared" si="4"/>
        <v>小山㈱戸塚</v>
      </c>
      <c r="G40" s="80">
        <v>11</v>
      </c>
      <c r="I40" t="s">
        <v>378</v>
      </c>
      <c r="J40" s="88" t="s">
        <v>100</v>
      </c>
      <c r="K40" s="91"/>
      <c r="Q40" s="46"/>
      <c r="S40" s="46" t="s">
        <v>104</v>
      </c>
    </row>
    <row r="41" spans="1:19" ht="13.5" customHeight="1">
      <c r="A41" t="s">
        <v>86</v>
      </c>
      <c r="B41" t="s">
        <v>32</v>
      </c>
      <c r="D41" t="str">
        <f t="shared" si="3"/>
        <v>2618PK／万里</v>
      </c>
      <c r="F41" s="165" t="str">
        <f t="shared" si="4"/>
        <v>自衛隊久里浜駐屯地</v>
      </c>
      <c r="G41" s="71">
        <v>1</v>
      </c>
      <c r="I41" s="28" t="s">
        <v>380</v>
      </c>
      <c r="J41" s="90" t="s">
        <v>106</v>
      </c>
      <c r="K41" s="132"/>
      <c r="Q41" s="46"/>
      <c r="S41" s="46" t="s">
        <v>105</v>
      </c>
    </row>
    <row r="42" spans="1:19" ht="13.5" customHeight="1">
      <c r="A42" t="s">
        <v>86</v>
      </c>
      <c r="B42" t="s">
        <v>805</v>
      </c>
      <c r="D42" t="str">
        <f t="shared" si="3"/>
        <v>2618PK／関口･小島</v>
      </c>
      <c r="F42" s="165" t="str">
        <f t="shared" si="4"/>
        <v>敷島製ﾊﾟﾝ(ﾊﾟｽｺ)</v>
      </c>
      <c r="G42" s="72">
        <v>2</v>
      </c>
      <c r="I42" t="s">
        <v>108</v>
      </c>
      <c r="J42" s="91" t="s">
        <v>242</v>
      </c>
      <c r="K42" s="91"/>
      <c r="Q42" s="46"/>
      <c r="S42" s="46" t="s">
        <v>107</v>
      </c>
    </row>
    <row r="43" spans="1:19" ht="13.5" customHeight="1">
      <c r="A43" t="s">
        <v>86</v>
      </c>
      <c r="B43" t="s">
        <v>806</v>
      </c>
      <c r="D43" t="str">
        <f t="shared" si="3"/>
        <v>2618PK／畑澤･小島</v>
      </c>
      <c r="F43" s="165" t="str">
        <f t="shared" si="4"/>
        <v>ｼﾞｬｸｿﾝ･ﾗﾎﾞﾗﾄﾘｰ･ｼﾞｬﾊﾟﾝ</v>
      </c>
      <c r="G43" s="73">
        <v>3</v>
      </c>
      <c r="I43" t="s">
        <v>111</v>
      </c>
      <c r="J43" s="88" t="s">
        <v>111</v>
      </c>
      <c r="K43" s="91"/>
      <c r="Q43" s="46"/>
      <c r="S43" s="46" t="s">
        <v>109</v>
      </c>
    </row>
    <row r="44" spans="1:19" ht="13.5" customHeight="1">
      <c r="A44" t="s">
        <v>69</v>
      </c>
      <c r="B44" t="s">
        <v>800</v>
      </c>
      <c r="D44" t="str">
        <f t="shared" si="3"/>
        <v>5122PK／菊池･小島</v>
      </c>
      <c r="F44" s="165" t="str">
        <f t="shared" si="4"/>
        <v>ｼﾞｬｸｿﾝ･ﾗﾎﾞﾗﾄﾘｰ･ｼﾞｬﾊﾟﾝ恩名</v>
      </c>
      <c r="G44" s="74">
        <v>4</v>
      </c>
      <c r="I44" s="28" t="s">
        <v>381</v>
      </c>
      <c r="J44" s="90" t="s">
        <v>382</v>
      </c>
      <c r="K44" s="91"/>
      <c r="Q44" s="46"/>
      <c r="S44" s="46" t="s">
        <v>110</v>
      </c>
    </row>
    <row r="45" spans="1:19" ht="13.5" customHeight="1">
      <c r="A45" t="s">
        <v>69</v>
      </c>
      <c r="B45" t="s">
        <v>802</v>
      </c>
      <c r="D45" t="str">
        <f t="shared" si="3"/>
        <v>5122PK／関口</v>
      </c>
      <c r="F45" s="165" t="str">
        <f t="shared" si="4"/>
        <v>寝台社</v>
      </c>
      <c r="G45" s="75">
        <v>5</v>
      </c>
      <c r="I45" t="s">
        <v>687</v>
      </c>
      <c r="J45" s="88" t="s">
        <v>686</v>
      </c>
      <c r="K45" s="91"/>
      <c r="Q45" s="46"/>
      <c r="S45" s="46" t="s">
        <v>112</v>
      </c>
    </row>
    <row r="46" spans="1:19" ht="13.5" customHeight="1">
      <c r="A46" t="s">
        <v>69</v>
      </c>
      <c r="B46" t="s">
        <v>357</v>
      </c>
      <c r="D46" t="str">
        <f t="shared" si="3"/>
        <v>5122PK／菊地</v>
      </c>
      <c r="F46" s="165" t="str">
        <f t="shared" si="4"/>
        <v>ｽﾄﾘｯｸｺﾝｻﾙﾃｨﾝｸﾞ</v>
      </c>
      <c r="G46" s="76">
        <v>6</v>
      </c>
      <c r="I46" t="s">
        <v>114</v>
      </c>
      <c r="J46" s="88" t="s">
        <v>114</v>
      </c>
      <c r="K46" s="91"/>
      <c r="S46" s="46" t="s">
        <v>113</v>
      </c>
    </row>
    <row r="47" spans="1:19" ht="13.5" customHeight="1">
      <c r="A47" t="s">
        <v>69</v>
      </c>
      <c r="B47" t="s">
        <v>799</v>
      </c>
      <c r="D47" t="str">
        <f t="shared" si="3"/>
        <v>5122PK／小島</v>
      </c>
      <c r="F47" s="165" t="str">
        <f t="shared" si="4"/>
        <v>㈱ｾｲﾐﾂ平塚工場</v>
      </c>
      <c r="G47" s="77">
        <v>7</v>
      </c>
      <c r="I47" t="s">
        <v>116</v>
      </c>
      <c r="J47" s="88" t="s">
        <v>383</v>
      </c>
      <c r="K47" s="133"/>
      <c r="S47" s="46" t="s">
        <v>115</v>
      </c>
    </row>
    <row r="48" spans="1:19" ht="13.5" customHeight="1">
      <c r="A48" t="s">
        <v>69</v>
      </c>
      <c r="B48" t="s">
        <v>77</v>
      </c>
      <c r="D48" t="str">
        <f t="shared" si="3"/>
        <v>5122PK／畑澤</v>
      </c>
      <c r="F48" s="165" t="str">
        <f t="shared" si="4"/>
        <v>ｾﾌﾃｨ</v>
      </c>
      <c r="G48" s="78">
        <v>8</v>
      </c>
      <c r="I48" t="s">
        <v>119</v>
      </c>
      <c r="J48" s="88" t="s">
        <v>119</v>
      </c>
      <c r="K48" s="91"/>
      <c r="S48" s="46" t="s">
        <v>117</v>
      </c>
    </row>
    <row r="49" spans="1:19" ht="13.5" customHeight="1">
      <c r="A49" t="s">
        <v>69</v>
      </c>
      <c r="B49" t="s">
        <v>82</v>
      </c>
      <c r="D49" t="str">
        <f t="shared" si="3"/>
        <v>5122PK／片山</v>
      </c>
      <c r="F49" s="165" t="str">
        <f t="shared" si="4"/>
        <v>DAISO</v>
      </c>
      <c r="G49" s="79">
        <v>9</v>
      </c>
      <c r="I49" s="84" t="s">
        <v>384</v>
      </c>
      <c r="J49" s="92" t="s">
        <v>361</v>
      </c>
      <c r="K49" s="91"/>
      <c r="S49" s="46" t="s">
        <v>118</v>
      </c>
    </row>
    <row r="50" spans="1:19" ht="13.5" customHeight="1">
      <c r="A50" t="s">
        <v>69</v>
      </c>
      <c r="B50" t="s">
        <v>801</v>
      </c>
      <c r="D50" t="str">
        <f t="shared" si="3"/>
        <v>5122PK／片山･小島</v>
      </c>
      <c r="F50" s="165" t="str">
        <f t="shared" si="4"/>
        <v>2026/3/24 10:08</v>
      </c>
      <c r="G50" s="74">
        <v>10</v>
      </c>
      <c r="I50" t="s">
        <v>809</v>
      </c>
      <c r="J50" s="88" t="s">
        <v>810</v>
      </c>
      <c r="K50" s="132"/>
      <c r="S50" s="46" t="s">
        <v>120</v>
      </c>
    </row>
    <row r="51" spans="1:19" ht="13.5" customHeight="1">
      <c r="A51" t="s">
        <v>69</v>
      </c>
      <c r="B51" t="s">
        <v>797</v>
      </c>
      <c r="D51" t="str">
        <f t="shared" si="3"/>
        <v>5122PK／麻美･小島</v>
      </c>
      <c r="F51" s="165" t="str">
        <f t="shared" si="4"/>
        <v>大和ハウス綾瀬 ﾃﾞｯｸ現場</v>
      </c>
      <c r="G51" s="80">
        <v>11</v>
      </c>
      <c r="I51" t="s">
        <v>385</v>
      </c>
      <c r="J51" s="88" t="s">
        <v>673</v>
      </c>
      <c r="K51" s="132"/>
      <c r="S51" s="46" t="s">
        <v>122</v>
      </c>
    </row>
    <row r="52" spans="1:19" ht="13.5" customHeight="1">
      <c r="A52" t="s">
        <v>69</v>
      </c>
      <c r="B52" t="s">
        <v>32</v>
      </c>
      <c r="D52" t="str">
        <f t="shared" si="3"/>
        <v>5122PK／万里</v>
      </c>
      <c r="F52" s="165" t="str">
        <f t="shared" si="4"/>
        <v>高山常温一括ｾﾝﾀｰAM</v>
      </c>
      <c r="G52" s="71">
        <v>1</v>
      </c>
      <c r="I52" s="28" t="s">
        <v>386</v>
      </c>
      <c r="J52" s="90" t="s">
        <v>124</v>
      </c>
      <c r="K52" s="132"/>
      <c r="S52" s="46" t="s">
        <v>123</v>
      </c>
    </row>
    <row r="53" spans="1:19" ht="13.5" customHeight="1">
      <c r="A53" t="s">
        <v>69</v>
      </c>
      <c r="B53" t="s">
        <v>805</v>
      </c>
      <c r="D53" t="str">
        <f t="shared" si="3"/>
        <v>5122PK／関口･小島</v>
      </c>
      <c r="F53" s="165" t="str">
        <f t="shared" si="4"/>
        <v>高山常温一括ｾﾝﾀｰPM</v>
      </c>
      <c r="G53" s="72">
        <v>2</v>
      </c>
      <c r="I53" s="28" t="s">
        <v>387</v>
      </c>
      <c r="J53" s="90" t="s">
        <v>125</v>
      </c>
      <c r="K53" s="91"/>
      <c r="S53" s="46" t="str">
        <f>IF(F175="","",F175)</f>
        <v>IWD(㈱大勝)</v>
      </c>
    </row>
    <row r="54" spans="1:19" ht="13.5" customHeight="1">
      <c r="A54" t="s">
        <v>69</v>
      </c>
      <c r="B54" t="s">
        <v>806</v>
      </c>
      <c r="D54" t="str">
        <f t="shared" si="3"/>
        <v>5122PK／畑澤･小島</v>
      </c>
      <c r="F54" s="165" t="str">
        <f t="shared" si="4"/>
        <v>ﾀｷｹﾞﾝ</v>
      </c>
      <c r="G54" s="73">
        <v>3</v>
      </c>
      <c r="I54" s="28" t="s">
        <v>127</v>
      </c>
      <c r="J54" s="90" t="s">
        <v>127</v>
      </c>
      <c r="K54" s="91"/>
      <c r="S54" s="46" t="str">
        <f>IF(F176="","",F176)</f>
        <v/>
      </c>
    </row>
    <row r="55" spans="1:19" ht="13.5" customHeight="1">
      <c r="D55" t="s">
        <v>121</v>
      </c>
      <c r="F55" s="165" t="str">
        <f t="shared" si="4"/>
        <v>ﾀｷﾛﾝｼｰｱｲ</v>
      </c>
      <c r="G55" s="74">
        <v>4</v>
      </c>
      <c r="I55" t="s">
        <v>129</v>
      </c>
      <c r="J55" s="88" t="s">
        <v>129</v>
      </c>
      <c r="K55" s="91"/>
      <c r="S55" s="46" t="str">
        <f>IF(F177="","",F177)</f>
        <v/>
      </c>
    </row>
    <row r="56" spans="1:19" ht="13.5" customHeight="1">
      <c r="D56" t="s">
        <v>704</v>
      </c>
      <c r="F56" s="165" t="str">
        <f t="shared" si="4"/>
        <v>武部鉄工所</v>
      </c>
      <c r="G56" s="75">
        <v>5</v>
      </c>
      <c r="I56" t="s">
        <v>388</v>
      </c>
      <c r="J56" s="88" t="s">
        <v>352</v>
      </c>
      <c r="K56" s="91"/>
      <c r="L56" s="50"/>
      <c r="S56" s="46" t="str">
        <f>IF(F178="","",F178)</f>
        <v/>
      </c>
    </row>
    <row r="57" spans="1:19" ht="13.5" customHeight="1">
      <c r="D57" t="s">
        <v>69</v>
      </c>
      <c r="F57" s="165" t="str">
        <f t="shared" si="4"/>
        <v>㈲ﾀﾞﾌﾞｻｰﾌｨﾝｸﾞｳｪｯﾄｽｰﾂ</v>
      </c>
      <c r="G57" s="76">
        <v>6</v>
      </c>
      <c r="I57" t="s">
        <v>389</v>
      </c>
      <c r="J57" s="88" t="s">
        <v>390</v>
      </c>
      <c r="K57" s="91"/>
      <c r="S57" s="46" t="str">
        <f>IF(F179="","",F179)</f>
        <v/>
      </c>
    </row>
    <row r="58" spans="1:19" ht="13.5" customHeight="1">
      <c r="D58" t="s">
        <v>86</v>
      </c>
      <c r="F58" s="165" t="str">
        <f t="shared" si="4"/>
        <v>相模原･多摩PF</v>
      </c>
      <c r="G58" s="77">
        <v>7</v>
      </c>
      <c r="I58" t="s">
        <v>391</v>
      </c>
      <c r="J58" s="88" t="s">
        <v>392</v>
      </c>
      <c r="K58" s="91"/>
      <c r="P58"/>
      <c r="S58"/>
    </row>
    <row r="59" spans="1:19" ht="13.5" customHeight="1">
      <c r="D59" t="s">
        <v>126</v>
      </c>
      <c r="F59" s="165" t="str">
        <f t="shared" si="4"/>
        <v>ﾁｸﾌﾞ上依知</v>
      </c>
      <c r="G59" s="78">
        <v>8</v>
      </c>
      <c r="I59" t="s">
        <v>130</v>
      </c>
      <c r="J59" s="88" t="s">
        <v>393</v>
      </c>
      <c r="K59" s="91"/>
      <c r="P59"/>
      <c r="S59"/>
    </row>
    <row r="60" spans="1:19" ht="13.5" customHeight="1">
      <c r="D60" t="s">
        <v>128</v>
      </c>
      <c r="F60" s="165" t="str">
        <f t="shared" si="4"/>
        <v>ﾁｸﾌﾞ上依知★ｹﾞﾎﾞｰﾙ</v>
      </c>
      <c r="G60" s="79">
        <v>9</v>
      </c>
      <c r="I60" t="s">
        <v>131</v>
      </c>
      <c r="J60" s="88" t="s">
        <v>394</v>
      </c>
      <c r="K60" s="91"/>
      <c r="P60"/>
      <c r="S60"/>
    </row>
    <row r="61" spans="1:19" ht="13.5" customHeight="1">
      <c r="D61" s="56" t="s">
        <v>354</v>
      </c>
      <c r="F61" s="165" t="str">
        <f t="shared" si="4"/>
        <v>ﾁｸﾌﾞ上依知★臭</v>
      </c>
      <c r="G61" s="74">
        <v>10</v>
      </c>
      <c r="I61" t="s">
        <v>132</v>
      </c>
      <c r="J61" s="88" t="s">
        <v>233</v>
      </c>
      <c r="K61" s="91"/>
      <c r="P61"/>
      <c r="S61"/>
    </row>
    <row r="62" spans="1:19" ht="13.5" customHeight="1">
      <c r="D62" s="56" t="s">
        <v>720</v>
      </c>
      <c r="F62" s="165" t="str">
        <f t="shared" si="4"/>
        <v>ﾁｸﾌﾞ上溝★ｹﾞﾎﾞｰﾙ</v>
      </c>
      <c r="G62" s="80">
        <v>11</v>
      </c>
      <c r="I62" t="s">
        <v>133</v>
      </c>
      <c r="J62" s="88" t="s">
        <v>395</v>
      </c>
      <c r="K62" s="91"/>
      <c r="P62"/>
      <c r="S62"/>
    </row>
    <row r="63" spans="1:19" ht="13.5" customHeight="1">
      <c r="D63" s="56" t="s">
        <v>649</v>
      </c>
      <c r="F63" s="165" t="str">
        <f t="shared" si="4"/>
        <v>ﾁｸﾌﾞ上溝★段ﾎﾞｰﾙ</v>
      </c>
      <c r="G63" s="71">
        <v>1</v>
      </c>
      <c r="I63" t="s">
        <v>134</v>
      </c>
      <c r="J63" s="88" t="s">
        <v>135</v>
      </c>
      <c r="K63" s="91"/>
      <c r="P63"/>
      <c r="S63"/>
    </row>
    <row r="64" spans="1:19" ht="13.5" customHeight="1">
      <c r="D64" s="56" t="s">
        <v>249</v>
      </c>
      <c r="F64" s="165" t="str">
        <f t="shared" si="4"/>
        <v>TS環境ﾘｻｲｸﾙ</v>
      </c>
      <c r="G64" s="72">
        <v>2</v>
      </c>
      <c r="I64" t="s">
        <v>739</v>
      </c>
      <c r="J64" s="161" t="s">
        <v>740</v>
      </c>
      <c r="K64" s="91"/>
      <c r="P64"/>
      <c r="S64"/>
    </row>
    <row r="65" spans="4:11" ht="13.5" customHeight="1">
      <c r="D65" s="56" t="s">
        <v>650</v>
      </c>
      <c r="F65" s="165" t="str">
        <f t="shared" si="4"/>
        <v>横浜DeNAﾍﾞｲｽﾀｰｽﾞ</v>
      </c>
      <c r="G65" s="73">
        <v>3</v>
      </c>
      <c r="I65" t="s">
        <v>396</v>
      </c>
      <c r="J65" s="88" t="s">
        <v>397</v>
      </c>
      <c r="K65" s="91"/>
    </row>
    <row r="66" spans="4:11" ht="13.5" customHeight="1">
      <c r="D66" s="56" t="s">
        <v>648</v>
      </c>
      <c r="F66" s="165" t="str">
        <f t="shared" ref="F66:F97" si="5">IF(J66="","",J66)</f>
        <v>ﾃﾞｼﾞﾀﾙﾌﾟﾛｾｽ</v>
      </c>
      <c r="G66" s="74">
        <v>4</v>
      </c>
      <c r="I66" t="s">
        <v>472</v>
      </c>
      <c r="J66" s="88" t="s">
        <v>472</v>
      </c>
      <c r="K66" s="91"/>
    </row>
    <row r="67" spans="4:11" ht="13.5" customHeight="1">
      <c r="D67" s="56" t="s">
        <v>137</v>
      </c>
      <c r="F67" s="165" t="s">
        <v>795</v>
      </c>
      <c r="G67" s="75">
        <v>5</v>
      </c>
      <c r="I67" t="s">
        <v>796</v>
      </c>
      <c r="J67" s="88" t="s">
        <v>795</v>
      </c>
      <c r="K67" s="91"/>
    </row>
    <row r="68" spans="4:11" ht="13.5" customHeight="1">
      <c r="D68" s="56" t="s">
        <v>705</v>
      </c>
      <c r="F68" s="165" t="str">
        <f t="shared" si="5"/>
        <v>東京研文社</v>
      </c>
      <c r="G68" s="76">
        <v>6</v>
      </c>
      <c r="I68" t="s">
        <v>139</v>
      </c>
      <c r="J68" s="88" t="s">
        <v>398</v>
      </c>
      <c r="K68" s="91"/>
    </row>
    <row r="69" spans="4:11" ht="13.5" customHeight="1">
      <c r="D69" s="56" t="s">
        <v>138</v>
      </c>
      <c r="F69" s="165" t="str">
        <f t="shared" si="5"/>
        <v>東京ｽﾁｰﾙｾﾝﾀｰ</v>
      </c>
      <c r="G69" s="77">
        <v>7</v>
      </c>
      <c r="I69" t="s">
        <v>140</v>
      </c>
      <c r="J69" s="88" t="s">
        <v>399</v>
      </c>
      <c r="K69" s="91"/>
    </row>
    <row r="70" spans="4:11" ht="13.5" customHeight="1">
      <c r="F70" s="165" t="str">
        <f t="shared" si="5"/>
        <v>東京冷機(厚木)</v>
      </c>
      <c r="G70" s="78">
        <v>8</v>
      </c>
      <c r="I70" t="s">
        <v>141</v>
      </c>
      <c r="J70" s="88" t="s">
        <v>142</v>
      </c>
      <c r="K70" s="91"/>
    </row>
    <row r="71" spans="4:11" ht="13.5" customHeight="1">
      <c r="F71" s="165" t="str">
        <f t="shared" si="5"/>
        <v>東京冷機(神奈川)</v>
      </c>
      <c r="G71" s="79">
        <v>9</v>
      </c>
      <c r="I71" t="s">
        <v>143</v>
      </c>
      <c r="J71" s="88" t="s">
        <v>144</v>
      </c>
      <c r="K71" s="91"/>
    </row>
    <row r="72" spans="4:11" ht="13.5" customHeight="1">
      <c r="F72" s="165" t="str">
        <f t="shared" si="5"/>
        <v>東京冷機(湘南)</v>
      </c>
      <c r="G72" s="74">
        <v>10</v>
      </c>
      <c r="I72" t="s">
        <v>145</v>
      </c>
      <c r="J72" s="88" t="s">
        <v>146</v>
      </c>
      <c r="K72" s="91"/>
    </row>
    <row r="73" spans="4:11" ht="13.5" customHeight="1">
      <c r="F73" s="165" t="str">
        <f t="shared" si="5"/>
        <v>東京ﾛｼﾞﾌｧｸﾄﾘｰ</v>
      </c>
      <c r="G73" s="80">
        <v>11</v>
      </c>
      <c r="I73" t="s">
        <v>147</v>
      </c>
      <c r="J73" s="88" t="s">
        <v>148</v>
      </c>
      <c r="K73" s="132"/>
    </row>
    <row r="74" spans="4:11" ht="13.5" customHeight="1">
      <c r="F74" s="165" t="str">
        <f t="shared" si="5"/>
        <v>都市環境ｻｰﾋﾞｽ</v>
      </c>
      <c r="G74" s="71">
        <v>1</v>
      </c>
      <c r="I74" t="s">
        <v>400</v>
      </c>
      <c r="J74" s="88" t="s">
        <v>149</v>
      </c>
      <c r="K74" s="91"/>
    </row>
    <row r="75" spans="4:11" ht="13.5" customHeight="1">
      <c r="F75" s="165" t="str">
        <f t="shared" si="5"/>
        <v>トナミ運輸相模</v>
      </c>
      <c r="G75" s="72">
        <v>2</v>
      </c>
      <c r="I75" t="s">
        <v>700</v>
      </c>
      <c r="J75" s="88" t="s">
        <v>699</v>
      </c>
      <c r="K75" s="91"/>
    </row>
    <row r="76" spans="4:11" ht="13.5" customHeight="1">
      <c r="F76" s="165" t="str">
        <f t="shared" si="5"/>
        <v>西多摩運送</v>
      </c>
      <c r="G76" s="73">
        <v>3</v>
      </c>
      <c r="I76" s="28" t="s">
        <v>150</v>
      </c>
      <c r="J76" s="90" t="s">
        <v>241</v>
      </c>
      <c r="K76" s="132"/>
    </row>
    <row r="77" spans="4:11" ht="13.5" customHeight="1">
      <c r="F77" s="165" t="str">
        <f t="shared" si="5"/>
        <v>日本化工機材</v>
      </c>
      <c r="G77" s="74">
        <v>4</v>
      </c>
      <c r="I77" t="s">
        <v>402</v>
      </c>
      <c r="J77" s="88" t="s">
        <v>403</v>
      </c>
      <c r="K77" s="91"/>
    </row>
    <row r="78" spans="4:11" ht="13.5" customHeight="1">
      <c r="F78" s="165" t="str">
        <f t="shared" si="5"/>
        <v>上神谷運送厚木</v>
      </c>
      <c r="G78" s="75">
        <v>5</v>
      </c>
      <c r="I78" s="28" t="s">
        <v>404</v>
      </c>
      <c r="J78" s="90" t="s">
        <v>151</v>
      </c>
      <c r="K78" s="91"/>
    </row>
    <row r="79" spans="4:11" ht="13.5" customHeight="1">
      <c r="F79" s="165" t="str">
        <f t="shared" si="5"/>
        <v>ﾊｰｾﾞｽﾄ</v>
      </c>
      <c r="G79" s="76">
        <v>6</v>
      </c>
      <c r="I79" t="s">
        <v>726</v>
      </c>
      <c r="J79" s="88" t="s">
        <v>726</v>
      </c>
      <c r="K79" s="91"/>
    </row>
    <row r="80" spans="4:11" ht="13.5" customHeight="1">
      <c r="F80" s="165" t="str">
        <f t="shared" si="5"/>
        <v>ﾊｰﾄﾛｼﾞ</v>
      </c>
      <c r="G80" s="77">
        <v>7</v>
      </c>
      <c r="I80" t="s">
        <v>152</v>
      </c>
      <c r="J80" s="88" t="s">
        <v>152</v>
      </c>
      <c r="K80" s="91"/>
    </row>
    <row r="81" spans="6:11" ht="13.5" customHeight="1">
      <c r="F81" s="165" t="str">
        <f t="shared" si="5"/>
        <v>ﾊﾏｷｮｳﾚｯｸｽ</v>
      </c>
      <c r="G81" s="78">
        <v>8</v>
      </c>
      <c r="I81" t="s">
        <v>153</v>
      </c>
      <c r="J81" s="88" t="s">
        <v>153</v>
      </c>
      <c r="K81" s="91"/>
    </row>
    <row r="82" spans="6:11" ht="13.5" customHeight="1">
      <c r="F82" s="165" t="str">
        <f t="shared" si="5"/>
        <v>春うららかな書房</v>
      </c>
      <c r="G82" s="79">
        <v>9</v>
      </c>
      <c r="I82" t="s">
        <v>154</v>
      </c>
      <c r="J82" s="88" t="s">
        <v>221</v>
      </c>
      <c r="K82" s="91"/>
    </row>
    <row r="83" spans="6:11" ht="13.5" customHeight="1">
      <c r="F83" s="165" t="str">
        <f t="shared" si="5"/>
        <v>ﾊﾟﾙｼｽﾃﾑ相模原</v>
      </c>
      <c r="G83" s="74">
        <v>10</v>
      </c>
      <c r="I83" t="s">
        <v>155</v>
      </c>
      <c r="J83" s="88" t="s">
        <v>229</v>
      </c>
      <c r="K83" s="91"/>
    </row>
    <row r="84" spans="6:11" ht="13.5" customHeight="1">
      <c r="F84" s="165" t="str">
        <f t="shared" si="5"/>
        <v>ﾊﾟﾙｼｽﾃﾑ青果</v>
      </c>
      <c r="G84" s="80">
        <v>11</v>
      </c>
      <c r="I84" t="s">
        <v>156</v>
      </c>
      <c r="J84" s="88" t="s">
        <v>230</v>
      </c>
      <c r="K84" s="91"/>
    </row>
    <row r="85" spans="6:11" ht="13.5" customHeight="1">
      <c r="F85" s="165" t="str">
        <f t="shared" si="5"/>
        <v>ﾋﾟｱﾉ運送</v>
      </c>
      <c r="G85" s="71">
        <v>1</v>
      </c>
      <c r="I85" t="s">
        <v>157</v>
      </c>
      <c r="J85" s="88" t="s">
        <v>239</v>
      </c>
      <c r="K85" s="91"/>
    </row>
    <row r="86" spans="6:11" ht="13.5" customHeight="1">
      <c r="F86" s="165" t="str">
        <f t="shared" si="5"/>
        <v>東日本協同ﾊﾟﾚｯﾄ</v>
      </c>
      <c r="G86" s="72">
        <v>2</v>
      </c>
      <c r="I86" t="s">
        <v>158</v>
      </c>
      <c r="J86" s="88" t="s">
        <v>159</v>
      </c>
      <c r="K86" s="91"/>
    </row>
    <row r="87" spans="6:11" ht="13.5" customHeight="1">
      <c r="F87" s="165" t="str">
        <f t="shared" si="5"/>
        <v>ﾋﾞｷﾞ</v>
      </c>
      <c r="G87" s="73">
        <v>3</v>
      </c>
      <c r="I87" t="s">
        <v>160</v>
      </c>
      <c r="J87" s="91" t="s">
        <v>160</v>
      </c>
      <c r="K87" s="91"/>
    </row>
    <row r="88" spans="6:11" ht="13.5" customHeight="1">
      <c r="F88" s="165" t="str">
        <f t="shared" si="5"/>
        <v>HUMAN MADE</v>
      </c>
      <c r="G88" s="74">
        <v>4</v>
      </c>
      <c r="I88" t="s">
        <v>676</v>
      </c>
      <c r="J88" s="88" t="s">
        <v>675</v>
      </c>
      <c r="K88" s="91"/>
    </row>
    <row r="89" spans="6:11" ht="13.5" customHeight="1">
      <c r="F89" s="165" t="str">
        <f t="shared" si="5"/>
        <v>FamilyMar東海大学駅前店</v>
      </c>
      <c r="G89" s="75">
        <v>5</v>
      </c>
      <c r="I89" t="s">
        <v>442</v>
      </c>
      <c r="J89" s="88" t="s">
        <v>710</v>
      </c>
      <c r="K89" s="132"/>
    </row>
    <row r="90" spans="6:11" ht="13.5" customHeight="1">
      <c r="F90" s="165" t="str">
        <f t="shared" si="5"/>
        <v>FamilyMart緑ヶ丘</v>
      </c>
      <c r="G90" s="76">
        <v>6</v>
      </c>
      <c r="I90" t="s">
        <v>406</v>
      </c>
      <c r="J90" s="88" t="s">
        <v>407</v>
      </c>
      <c r="K90" s="91"/>
    </row>
    <row r="91" spans="6:11" ht="13.5" customHeight="1">
      <c r="F91" s="165" t="str">
        <f t="shared" si="5"/>
        <v>富士電線</v>
      </c>
      <c r="G91" s="77">
        <v>7</v>
      </c>
      <c r="I91" s="28" t="s">
        <v>161</v>
      </c>
      <c r="J91" s="90" t="s">
        <v>238</v>
      </c>
      <c r="K91" s="91"/>
    </row>
    <row r="92" spans="6:11" ht="13.5" customHeight="1">
      <c r="F92" s="165" t="str">
        <f t="shared" si="5"/>
        <v>不二家平塚工場</v>
      </c>
      <c r="G92" s="78">
        <v>8</v>
      </c>
      <c r="I92" t="s">
        <v>408</v>
      </c>
      <c r="J92" s="88" t="s">
        <v>162</v>
      </c>
      <c r="K92" s="91"/>
    </row>
    <row r="93" spans="6:11" ht="13.5" customHeight="1">
      <c r="F93" s="165" t="str">
        <f t="shared" si="5"/>
        <v>富士ﾛｼﾞ金田</v>
      </c>
      <c r="G93" s="79">
        <v>9</v>
      </c>
      <c r="I93" t="s">
        <v>163</v>
      </c>
      <c r="J93" s="88" t="s">
        <v>214</v>
      </c>
      <c r="K93" s="91"/>
    </row>
    <row r="94" spans="6:11" ht="13.5" customHeight="1">
      <c r="F94" s="165" t="str">
        <f t="shared" si="5"/>
        <v>富士ﾛｼﾞ長沼</v>
      </c>
      <c r="G94" s="74">
        <v>10</v>
      </c>
      <c r="I94" t="s">
        <v>164</v>
      </c>
      <c r="J94" s="88" t="s">
        <v>264</v>
      </c>
      <c r="K94" s="91"/>
    </row>
    <row r="95" spans="6:11" ht="13.5" customHeight="1">
      <c r="F95" s="165" t="str">
        <f t="shared" si="5"/>
        <v>富士ﾛｼﾞ東名厚木</v>
      </c>
      <c r="G95" s="80">
        <v>11</v>
      </c>
      <c r="I95" t="s">
        <v>165</v>
      </c>
      <c r="J95" s="88" t="s">
        <v>224</v>
      </c>
      <c r="K95" s="132"/>
    </row>
    <row r="96" spans="6:11" ht="13.5" customHeight="1">
      <c r="F96" s="165" t="str">
        <f t="shared" si="5"/>
        <v>富士ﾛｼﾞ長沼(事</v>
      </c>
      <c r="G96" s="71">
        <v>1</v>
      </c>
      <c r="I96" t="s">
        <v>166</v>
      </c>
      <c r="J96" s="88" t="s">
        <v>211</v>
      </c>
      <c r="K96" s="91"/>
    </row>
    <row r="97" spans="6:11" ht="13.5" customHeight="1">
      <c r="F97" s="165" t="str">
        <f t="shared" si="5"/>
        <v>富士ﾛｼﾞ横浜町田</v>
      </c>
      <c r="G97" s="72">
        <v>2</v>
      </c>
      <c r="I97" s="28" t="s">
        <v>750</v>
      </c>
      <c r="J97" s="90" t="s">
        <v>216</v>
      </c>
      <c r="K97" s="91"/>
    </row>
    <row r="98" spans="6:11" ht="13.5" customHeight="1">
      <c r="F98" s="165" t="str">
        <f t="shared" ref="F98:F103" si="6">IF(J98="","",J98)</f>
        <v>ﾌﾞﾘｼﾞｽﾄﾝ横浜工場</v>
      </c>
      <c r="G98" s="73">
        <v>3</v>
      </c>
      <c r="I98" t="s">
        <v>168</v>
      </c>
      <c r="J98" s="88" t="s">
        <v>169</v>
      </c>
      <c r="K98" s="91"/>
    </row>
    <row r="99" spans="6:11" ht="13.5" customHeight="1">
      <c r="F99" s="165" t="str">
        <f t="shared" si="6"/>
        <v>ﾌﾞﾘｼﾞｽﾄﾝ横浜工場★紙管</v>
      </c>
      <c r="G99" s="74">
        <v>4</v>
      </c>
      <c r="I99" t="s">
        <v>170</v>
      </c>
      <c r="J99" s="88" t="s">
        <v>171</v>
      </c>
      <c r="K99" s="132"/>
    </row>
    <row r="100" spans="6:11" ht="13.5" customHeight="1">
      <c r="F100" s="165" t="str">
        <f t="shared" si="6"/>
        <v>本間ｺﾞﾙﾌ</v>
      </c>
      <c r="G100" s="75">
        <v>5</v>
      </c>
      <c r="I100" s="28" t="s">
        <v>172</v>
      </c>
      <c r="J100" s="90" t="s">
        <v>213</v>
      </c>
      <c r="K100" s="91"/>
    </row>
    <row r="101" spans="6:11" ht="13.5" customHeight="1">
      <c r="F101" s="165" t="str">
        <f t="shared" si="6"/>
        <v>Maxvalue秦野</v>
      </c>
      <c r="G101" s="76">
        <v>6</v>
      </c>
      <c r="I101" t="s">
        <v>410</v>
      </c>
      <c r="J101" s="88" t="s">
        <v>173</v>
      </c>
      <c r="K101" s="132"/>
    </row>
    <row r="102" spans="6:11" ht="13.5" customHeight="1">
      <c r="F102" s="165" t="str">
        <f t="shared" si="6"/>
        <v>Maxvalue秦野/新聞雑誌</v>
      </c>
      <c r="G102" s="77">
        <v>7</v>
      </c>
      <c r="I102" s="28" t="s">
        <v>174</v>
      </c>
      <c r="J102" s="90" t="s">
        <v>175</v>
      </c>
      <c r="K102" s="91"/>
    </row>
    <row r="103" spans="6:11" ht="13.5" customHeight="1">
      <c r="F103" s="165" t="str">
        <f t="shared" si="6"/>
        <v>Maxvalue秦野/段ﾎﾞｰﾙ/ﾍﾟｯﾄB</v>
      </c>
      <c r="G103" s="78">
        <v>8</v>
      </c>
      <c r="I103" t="s">
        <v>176</v>
      </c>
      <c r="J103" s="88" t="s">
        <v>177</v>
      </c>
      <c r="K103" s="91"/>
    </row>
    <row r="104" spans="6:11" ht="13.5" customHeight="1">
      <c r="F104" s="165" t="str">
        <f t="shared" ref="F104:F111" si="7">IF(J104="","",J104)</f>
        <v>ﾏﾙｲﾁ(ｽﾎﾟｯﾄ)</v>
      </c>
      <c r="G104" s="79">
        <v>9</v>
      </c>
      <c r="I104" t="s">
        <v>178</v>
      </c>
      <c r="J104" s="88" t="s">
        <v>411</v>
      </c>
      <c r="K104" s="91"/>
    </row>
    <row r="105" spans="6:11" ht="13.5" customHeight="1">
      <c r="F105" s="165" t="str">
        <f t="shared" si="7"/>
        <v>丸駒</v>
      </c>
      <c r="G105" s="74">
        <v>10</v>
      </c>
      <c r="I105" t="s">
        <v>179</v>
      </c>
      <c r="J105" s="88" t="s">
        <v>237</v>
      </c>
      <c r="K105" s="67"/>
    </row>
    <row r="106" spans="6:11" ht="13.5" customHeight="1">
      <c r="F106" s="165" t="str">
        <f t="shared" si="7"/>
        <v>ﾏﾙﾅｶ</v>
      </c>
      <c r="G106" s="80">
        <v>11</v>
      </c>
      <c r="I106" s="28" t="s">
        <v>474</v>
      </c>
      <c r="J106" s="88" t="s">
        <v>474</v>
      </c>
      <c r="K106" s="132"/>
    </row>
    <row r="107" spans="6:11" ht="13.5" customHeight="1">
      <c r="F107" s="165" t="str">
        <f t="shared" si="7"/>
        <v>三井倉庫</v>
      </c>
      <c r="G107" s="71">
        <v>1</v>
      </c>
      <c r="I107" s="28" t="s">
        <v>180</v>
      </c>
      <c r="J107" s="90" t="s">
        <v>228</v>
      </c>
      <c r="K107" s="134"/>
    </row>
    <row r="108" spans="6:11" ht="13.5" customHeight="1">
      <c r="F108" s="165" t="str">
        <f t="shared" si="7"/>
        <v>山崎歯車 伊勢原(ｽﾎﾟｯﾄ)</v>
      </c>
      <c r="G108" s="72">
        <v>2</v>
      </c>
      <c r="I108" s="28" t="s">
        <v>181</v>
      </c>
      <c r="J108" s="93" t="s">
        <v>182</v>
      </c>
      <c r="K108" s="91"/>
    </row>
    <row r="109" spans="6:11" ht="13.5" customHeight="1">
      <c r="F109" s="165" t="str">
        <f t="shared" si="7"/>
        <v>山崎歯車 戸田(ｽﾎﾟｯﾄ)</v>
      </c>
      <c r="G109" s="73">
        <v>3</v>
      </c>
      <c r="I109" t="s">
        <v>181</v>
      </c>
      <c r="J109" s="88" t="s">
        <v>183</v>
      </c>
      <c r="K109" s="91"/>
    </row>
    <row r="110" spans="6:11" ht="13.5" customHeight="1">
      <c r="F110" s="165" t="str">
        <f t="shared" si="7"/>
        <v>山桜</v>
      </c>
      <c r="G110" s="74">
        <v>4</v>
      </c>
      <c r="I110" t="s">
        <v>184</v>
      </c>
      <c r="J110" s="88" t="s">
        <v>412</v>
      </c>
      <c r="K110" s="91"/>
    </row>
    <row r="111" spans="6:11" ht="13.5" customHeight="1">
      <c r="F111" s="165" t="str">
        <f t="shared" si="7"/>
        <v>裕源</v>
      </c>
      <c r="G111" s="75">
        <v>5</v>
      </c>
      <c r="I111" t="s">
        <v>185</v>
      </c>
      <c r="J111" s="88" t="s">
        <v>186</v>
      </c>
      <c r="K111" s="91"/>
    </row>
    <row r="112" spans="6:11" ht="13.5" customHeight="1">
      <c r="F112" s="165" t="str">
        <f t="shared" ref="F112:F120" si="8">IF(J112="","",J112)</f>
        <v>有隣堂</v>
      </c>
      <c r="G112" s="76">
        <v>6</v>
      </c>
      <c r="I112" t="s">
        <v>187</v>
      </c>
      <c r="J112" s="88" t="s">
        <v>231</v>
      </c>
      <c r="K112" s="91"/>
    </row>
    <row r="113" spans="6:11" ht="13.5" customHeight="1">
      <c r="F113" s="165" t="str">
        <f t="shared" si="8"/>
        <v>ﾕﾆﾏｯﾄ藤沢</v>
      </c>
      <c r="G113" s="77">
        <v>7</v>
      </c>
      <c r="I113" t="s">
        <v>188</v>
      </c>
      <c r="J113" s="88" t="s">
        <v>218</v>
      </c>
      <c r="K113" s="91"/>
    </row>
    <row r="114" spans="6:11" ht="13.5" customHeight="1">
      <c r="F114" s="165" t="str">
        <f t="shared" si="8"/>
        <v>ﾕﾆﾏｯﾄlife厚木</v>
      </c>
      <c r="G114" s="78">
        <v>8</v>
      </c>
      <c r="I114" t="s">
        <v>189</v>
      </c>
      <c r="J114" s="88" t="s">
        <v>215</v>
      </c>
      <c r="K114" s="91"/>
    </row>
    <row r="115" spans="6:11" ht="13.5" customHeight="1">
      <c r="F115" s="165" t="str">
        <f t="shared" si="8"/>
        <v>ﾕﾆﾏｯﾄﾚﾝﾀﾙ厚木</v>
      </c>
      <c r="G115" s="79">
        <v>9</v>
      </c>
      <c r="I115" t="s">
        <v>190</v>
      </c>
      <c r="J115" s="88" t="s">
        <v>240</v>
      </c>
      <c r="K115" s="91"/>
    </row>
    <row r="116" spans="6:11" ht="13.5" customHeight="1">
      <c r="F116" s="165" t="str">
        <f>IF(J116="","",J116)</f>
        <v>LIXIL厚木(弟３金)</v>
      </c>
      <c r="G116" s="74">
        <v>10</v>
      </c>
      <c r="I116" t="s">
        <v>191</v>
      </c>
      <c r="J116" s="91" t="s">
        <v>192</v>
      </c>
      <c r="K116" s="91"/>
    </row>
    <row r="117" spans="6:11" ht="13.5" customHeight="1">
      <c r="F117" s="165" t="str">
        <f t="shared" si="8"/>
        <v>㈱ﾘﾊﾞｰｸﾚｲﾝ</v>
      </c>
      <c r="G117" s="80">
        <v>11</v>
      </c>
      <c r="I117" t="s">
        <v>413</v>
      </c>
      <c r="J117" s="88" t="s">
        <v>414</v>
      </c>
      <c r="K117" s="91"/>
    </row>
    <row r="118" spans="6:11" ht="13.5" customHeight="1">
      <c r="F118" s="165" t="str">
        <f t="shared" si="8"/>
        <v>ﾘﾗｲｽﾞ</v>
      </c>
      <c r="G118" s="71">
        <v>1</v>
      </c>
      <c r="I118" t="s">
        <v>669</v>
      </c>
      <c r="J118" s="88" t="s">
        <v>669</v>
      </c>
      <c r="K118" s="91"/>
    </row>
    <row r="119" spans="6:11" ht="13.5" customHeight="1">
      <c r="F119" s="165" t="str">
        <f t="shared" si="8"/>
        <v>ﾛｼﾞｽﾃｨｯｸﾈｯﾄﾜｰｸ(ｷｮｸﾚｲ)</v>
      </c>
      <c r="G119" s="72">
        <v>2</v>
      </c>
      <c r="I119" t="s">
        <v>193</v>
      </c>
      <c r="J119" s="88" t="s">
        <v>193</v>
      </c>
      <c r="K119" s="91"/>
    </row>
    <row r="120" spans="6:11" ht="13.5" customHeight="1">
      <c r="F120" s="165" t="str">
        <f t="shared" si="8"/>
        <v>早稲田ｱｶﾃﾞﾐｰ(厚木</v>
      </c>
      <c r="G120" s="73">
        <v>3</v>
      </c>
      <c r="I120" t="s">
        <v>194</v>
      </c>
      <c r="J120" s="85" t="s">
        <v>232</v>
      </c>
    </row>
    <row r="121" spans="6:11" ht="13.5" customHeight="1">
      <c r="F121" s="165"/>
      <c r="G121" s="81"/>
    </row>
    <row r="122" spans="6:11" ht="13.5" customHeight="1">
      <c r="F122" s="165" t="s">
        <v>24</v>
      </c>
      <c r="G122" s="82">
        <v>0</v>
      </c>
    </row>
    <row r="123" spans="6:11" ht="13.5" customHeight="1">
      <c r="F123" s="165" t="s">
        <v>29</v>
      </c>
      <c r="G123" s="71">
        <v>1</v>
      </c>
    </row>
    <row r="124" spans="6:11" ht="13.5" customHeight="1">
      <c r="F124" s="165" t="s">
        <v>195</v>
      </c>
      <c r="G124" s="82">
        <v>0</v>
      </c>
    </row>
    <row r="125" spans="6:11" ht="13.5" customHeight="1">
      <c r="F125" s="165" t="s">
        <v>41</v>
      </c>
      <c r="G125" s="82">
        <v>0</v>
      </c>
    </row>
    <row r="126" spans="6:11" ht="13.5" customHeight="1">
      <c r="F126" s="165" t="s">
        <v>45</v>
      </c>
      <c r="G126" s="82">
        <v>0</v>
      </c>
    </row>
    <row r="127" spans="6:11" ht="13.5" customHeight="1">
      <c r="F127" s="165" t="s">
        <v>49</v>
      </c>
      <c r="G127" s="82">
        <v>0</v>
      </c>
    </row>
    <row r="128" spans="6:11" ht="13.5" customHeight="1">
      <c r="F128" s="165" t="s">
        <v>53</v>
      </c>
      <c r="G128" s="82">
        <v>0</v>
      </c>
    </row>
    <row r="129" spans="6:7" ht="13.5" customHeight="1">
      <c r="F129" s="165" t="s">
        <v>415</v>
      </c>
      <c r="G129" s="77">
        <v>7</v>
      </c>
    </row>
    <row r="130" spans="6:7" ht="13.5" customHeight="1">
      <c r="F130" s="165" t="s">
        <v>62</v>
      </c>
      <c r="G130" s="78">
        <v>8</v>
      </c>
    </row>
    <row r="131" spans="6:7" ht="13.5" customHeight="1">
      <c r="F131" s="165" t="s">
        <v>416</v>
      </c>
      <c r="G131" s="79">
        <v>9</v>
      </c>
    </row>
    <row r="132" spans="6:7" ht="13.5" customHeight="1">
      <c r="F132" s="165" t="s">
        <v>196</v>
      </c>
      <c r="G132" s="74">
        <v>10</v>
      </c>
    </row>
    <row r="133" spans="6:7" ht="13.5" customHeight="1">
      <c r="F133" s="165" t="s">
        <v>68</v>
      </c>
      <c r="G133" s="80">
        <v>11</v>
      </c>
    </row>
    <row r="134" spans="6:7" ht="13.5" customHeight="1">
      <c r="F134" s="165" t="s">
        <v>72</v>
      </c>
      <c r="G134" s="72">
        <v>2</v>
      </c>
    </row>
    <row r="135" spans="6:7" ht="13.5" customHeight="1">
      <c r="F135" s="165" t="s">
        <v>73</v>
      </c>
      <c r="G135" s="71">
        <v>1</v>
      </c>
    </row>
    <row r="136" spans="6:7" ht="13.5" customHeight="1">
      <c r="F136" s="165" t="s">
        <v>74</v>
      </c>
      <c r="G136" s="73">
        <v>3</v>
      </c>
    </row>
    <row r="137" spans="6:7" ht="13.5" customHeight="1">
      <c r="F137" s="165" t="s">
        <v>348</v>
      </c>
      <c r="G137" s="74">
        <v>4</v>
      </c>
    </row>
    <row r="138" spans="6:7" ht="13.5" customHeight="1">
      <c r="F138" s="165" t="s">
        <v>75</v>
      </c>
      <c r="G138" s="82">
        <v>0</v>
      </c>
    </row>
    <row r="139" spans="6:7" ht="13.5" customHeight="1">
      <c r="F139" s="165" t="s">
        <v>76</v>
      </c>
      <c r="G139" s="72">
        <v>2</v>
      </c>
    </row>
    <row r="140" spans="6:7" ht="13.5" customHeight="1">
      <c r="F140" s="165" t="s">
        <v>417</v>
      </c>
      <c r="G140" s="73">
        <v>3</v>
      </c>
    </row>
    <row r="141" spans="6:7" ht="13.5" customHeight="1">
      <c r="F141" s="165" t="s">
        <v>79</v>
      </c>
      <c r="G141" s="74">
        <v>4</v>
      </c>
    </row>
    <row r="142" spans="6:7" ht="13.5" customHeight="1">
      <c r="F142" s="165" t="s">
        <v>81</v>
      </c>
      <c r="G142" s="75">
        <v>5</v>
      </c>
    </row>
    <row r="143" spans="6:7" ht="13.5" customHeight="1">
      <c r="F143" s="165" t="s">
        <v>84</v>
      </c>
      <c r="G143" s="76">
        <v>6</v>
      </c>
    </row>
    <row r="144" spans="6:7" ht="13.5" customHeight="1">
      <c r="F144" s="165" t="s">
        <v>85</v>
      </c>
      <c r="G144" s="77">
        <v>7</v>
      </c>
    </row>
    <row r="145" spans="6:7" ht="13.5" customHeight="1">
      <c r="F145" s="165" t="s">
        <v>490</v>
      </c>
      <c r="G145" s="78">
        <v>8</v>
      </c>
    </row>
    <row r="146" spans="6:7" ht="13.5" customHeight="1">
      <c r="F146" s="165" t="s">
        <v>87</v>
      </c>
      <c r="G146" s="79">
        <v>9</v>
      </c>
    </row>
    <row r="147" spans="6:7" ht="13.5" customHeight="1">
      <c r="F147" s="165" t="s">
        <v>89</v>
      </c>
      <c r="G147" s="74">
        <v>10</v>
      </c>
    </row>
    <row r="148" spans="6:7" ht="13.5" customHeight="1">
      <c r="F148" s="166" t="s">
        <v>91</v>
      </c>
      <c r="G148" s="80">
        <v>11</v>
      </c>
    </row>
    <row r="149" spans="6:7" ht="13.5" customHeight="1">
      <c r="F149" s="165" t="s">
        <v>489</v>
      </c>
      <c r="G149" s="71">
        <v>1</v>
      </c>
    </row>
    <row r="150" spans="6:7" ht="13.5" customHeight="1">
      <c r="F150" s="165" t="s">
        <v>92</v>
      </c>
      <c r="G150" s="72">
        <v>2</v>
      </c>
    </row>
    <row r="151" spans="6:7" ht="13.5" customHeight="1">
      <c r="F151" s="165" t="s">
        <v>93</v>
      </c>
      <c r="G151" s="82">
        <v>0</v>
      </c>
    </row>
    <row r="152" spans="6:7" ht="13.5" customHeight="1">
      <c r="F152" s="165" t="s">
        <v>718</v>
      </c>
      <c r="G152" s="82">
        <v>0</v>
      </c>
    </row>
    <row r="153" spans="6:7" ht="13.5" customHeight="1">
      <c r="F153" s="165" t="s">
        <v>197</v>
      </c>
      <c r="G153" s="72">
        <v>2</v>
      </c>
    </row>
    <row r="154" spans="6:7" ht="13.5" customHeight="1">
      <c r="F154" s="165" t="s">
        <v>99</v>
      </c>
      <c r="G154" s="72">
        <v>2</v>
      </c>
    </row>
    <row r="155" spans="6:7" ht="13.5" customHeight="1">
      <c r="F155" s="165" t="s">
        <v>101</v>
      </c>
      <c r="G155" s="72">
        <v>2</v>
      </c>
    </row>
    <row r="156" spans="6:7" ht="13.5" customHeight="1">
      <c r="F156" s="165" t="s">
        <v>102</v>
      </c>
      <c r="G156" s="72">
        <v>2</v>
      </c>
    </row>
    <row r="157" spans="6:7" ht="13.5" customHeight="1">
      <c r="F157" s="165" t="s">
        <v>198</v>
      </c>
      <c r="G157" s="72">
        <v>2</v>
      </c>
    </row>
    <row r="158" spans="6:7" ht="13.5" customHeight="1">
      <c r="F158" s="165" t="s">
        <v>807</v>
      </c>
      <c r="G158" s="82">
        <v>0</v>
      </c>
    </row>
    <row r="159" spans="6:7" ht="13.5" customHeight="1">
      <c r="F159" s="165" t="s">
        <v>103</v>
      </c>
      <c r="G159" s="82">
        <v>0</v>
      </c>
    </row>
    <row r="160" spans="6:7" ht="13.5" customHeight="1">
      <c r="F160" s="165" t="s">
        <v>104</v>
      </c>
      <c r="G160" s="82">
        <v>0</v>
      </c>
    </row>
    <row r="161" spans="6:7" ht="13.5" customHeight="1">
      <c r="F161" s="165" t="s">
        <v>105</v>
      </c>
      <c r="G161" s="82">
        <v>0</v>
      </c>
    </row>
    <row r="162" spans="6:7" ht="13.5" customHeight="1">
      <c r="F162" s="165" t="s">
        <v>107</v>
      </c>
      <c r="G162" s="82">
        <v>0</v>
      </c>
    </row>
    <row r="163" spans="6:7" ht="13.5" customHeight="1">
      <c r="F163" s="165" t="s">
        <v>109</v>
      </c>
      <c r="G163" s="82">
        <v>0</v>
      </c>
    </row>
    <row r="164" spans="6:7" ht="13.5" customHeight="1">
      <c r="F164" s="165" t="s">
        <v>110</v>
      </c>
      <c r="G164" s="82">
        <v>0</v>
      </c>
    </row>
    <row r="165" spans="6:7" ht="13.5" customHeight="1">
      <c r="F165" s="165" t="s">
        <v>112</v>
      </c>
      <c r="G165" s="82">
        <v>0</v>
      </c>
    </row>
    <row r="166" spans="6:7" ht="13.5" customHeight="1">
      <c r="F166" s="165" t="s">
        <v>199</v>
      </c>
      <c r="G166" s="82">
        <v>0</v>
      </c>
    </row>
    <row r="167" spans="6:7" ht="13.5" customHeight="1">
      <c r="F167" s="165" t="s">
        <v>115</v>
      </c>
      <c r="G167" s="82">
        <v>0</v>
      </c>
    </row>
    <row r="168" spans="6:7" ht="13.5" customHeight="1">
      <c r="F168" s="165" t="s">
        <v>117</v>
      </c>
      <c r="G168" s="73">
        <v>3</v>
      </c>
    </row>
    <row r="169" spans="6:7" ht="13.5" customHeight="1">
      <c r="F169" s="165" t="s">
        <v>808</v>
      </c>
      <c r="G169" s="71">
        <v>1</v>
      </c>
    </row>
    <row r="170" spans="6:7" ht="13.5" customHeight="1">
      <c r="F170" s="165" t="s">
        <v>356</v>
      </c>
      <c r="G170" s="72">
        <v>2</v>
      </c>
    </row>
    <row r="171" spans="6:7" ht="13.5" customHeight="1">
      <c r="F171" s="165" t="s">
        <v>120</v>
      </c>
      <c r="G171" s="83">
        <v>0</v>
      </c>
    </row>
    <row r="172" spans="6:7" ht="13.5" customHeight="1">
      <c r="F172" s="167" t="s">
        <v>122</v>
      </c>
      <c r="G172" s="83">
        <v>0</v>
      </c>
    </row>
    <row r="173" spans="6:7" ht="13.5" customHeight="1">
      <c r="F173" s="165" t="s">
        <v>954</v>
      </c>
      <c r="G173" s="73">
        <v>3</v>
      </c>
    </row>
    <row r="174" spans="6:7" ht="13.5" customHeight="1">
      <c r="F174" s="167" t="s">
        <v>200</v>
      </c>
      <c r="G174" s="83">
        <v>0</v>
      </c>
    </row>
    <row r="175" spans="6:7" ht="13.5" customHeight="1">
      <c r="F175" t="s">
        <v>962</v>
      </c>
    </row>
    <row r="19632" spans="5:5" ht="13.5" customHeight="1">
      <c r="E19632" t="s">
        <v>751</v>
      </c>
    </row>
    <row r="28066" spans="7:7" ht="13.5" customHeight="1">
      <c r="G28066" t="s">
        <v>795</v>
      </c>
    </row>
    <row r="28067" spans="7:7" ht="13.5" customHeight="1">
      <c r="G28067" t="s">
        <v>795</v>
      </c>
    </row>
    <row r="28068" spans="7:7" ht="13.5" customHeight="1">
      <c r="G28068" t="s">
        <v>795</v>
      </c>
    </row>
    <row r="28069" spans="7:7" ht="13.5" customHeight="1">
      <c r="G28069" t="s">
        <v>795</v>
      </c>
    </row>
    <row r="28074" spans="7:7" ht="13.5" customHeight="1">
      <c r="G28074" t="s">
        <v>795</v>
      </c>
    </row>
    <row r="28075" spans="7:7" ht="13.5" customHeight="1">
      <c r="G28075" t="s">
        <v>795</v>
      </c>
    </row>
    <row r="28076" spans="7:7" ht="13.5" customHeight="1">
      <c r="G28076" t="s">
        <v>795</v>
      </c>
    </row>
    <row r="28077" spans="7:7" ht="13.5" customHeight="1">
      <c r="G28077" t="s">
        <v>795</v>
      </c>
    </row>
  </sheetData>
  <sortState xmlns:xlrd2="http://schemas.microsoft.com/office/spreadsheetml/2017/richdata2" ref="A3:B54">
    <sortCondition ref="A3:A54"/>
  </sortState>
  <mergeCells count="1">
    <mergeCell ref="U7:V7"/>
  </mergeCells>
  <phoneticPr fontId="13" type="Hiragana"/>
  <conditionalFormatting sqref="F167:F168">
    <cfRule type="expression" dxfId="3260" priority="146128" stopIfTrue="1">
      <formula>(VALUE($B158)&lt;1)*($B158&lt;&gt;$B$344)*LEN(F$353)*(LEN(F167)=0)*(LEN(F166)=0)</formula>
    </cfRule>
    <cfRule type="expression" dxfId="3259" priority="146129" stopIfTrue="1">
      <formula>(VALUE($B158)&lt;1)*($B158&lt;&gt;$B$344)*LEN(F$353)</formula>
    </cfRule>
    <cfRule type="expression" dxfId="3258" priority="146130" stopIfTrue="1">
      <formula>IsEntireDay*ShowAssignmentName</formula>
    </cfRule>
    <cfRule type="expression" dxfId="3257" priority="146131" stopIfTrue="1">
      <formula>(1=IsColor)*ShowAssignmentName</formula>
    </cfRule>
    <cfRule type="expression" dxfId="3256" priority="146132" stopIfTrue="1">
      <formula>(1=IsColor)*ShowAssignmentColor</formula>
    </cfRule>
    <cfRule type="expression" dxfId="3255" priority="146133" stopIfTrue="1">
      <formula>(2=IsColor)*ShowAssignmentName</formula>
    </cfRule>
    <cfRule type="expression" dxfId="3254" priority="146134" stopIfTrue="1">
      <formula>(2=IsColor)*ShowAssignmentColor</formula>
    </cfRule>
    <cfRule type="expression" dxfId="3253" priority="146135" stopIfTrue="1">
      <formula>(3=IsColor)*ShowAssignmentName</formula>
    </cfRule>
    <cfRule type="expression" dxfId="3252" priority="146136" stopIfTrue="1">
      <formula>(3=IsColor)*ShowAssignmentColor</formula>
    </cfRule>
    <cfRule type="expression" dxfId="3251" priority="146137" stopIfTrue="1">
      <formula>(4=IsColor)*ShowAssignmentName</formula>
    </cfRule>
    <cfRule type="expression" dxfId="3250" priority="146138" stopIfTrue="1">
      <formula>(4=IsColor)*ShowAssignmentColor</formula>
    </cfRule>
    <cfRule type="expression" dxfId="3249" priority="146139" stopIfTrue="1">
      <formula>(5=IsColor)*ShowAssignmentName</formula>
    </cfRule>
    <cfRule type="expression" dxfId="3248" priority="146140" stopIfTrue="1">
      <formula>(5=IsColor)*ShowAssignmentColor</formula>
    </cfRule>
    <cfRule type="expression" dxfId="3247" priority="146141" stopIfTrue="1">
      <formula>(6=IsColor)*ShowAssignmentName</formula>
    </cfRule>
    <cfRule type="expression" dxfId="3246" priority="146142" stopIfTrue="1">
      <formula>(6=IsColor)*ShowAssignmentColor</formula>
    </cfRule>
    <cfRule type="expression" dxfId="3245" priority="146143" stopIfTrue="1">
      <formula>(7=IsColor)*ShowAssignmentName</formula>
    </cfRule>
    <cfRule type="expression" dxfId="3244" priority="146144" stopIfTrue="1">
      <formula>(7=IsColor)*ShowAssignmentColor</formula>
    </cfRule>
    <cfRule type="expression" dxfId="3243" priority="146145" stopIfTrue="1">
      <formula>(8=IsColor)*ShowAssignmentName</formula>
    </cfRule>
    <cfRule type="expression" dxfId="3242" priority="146146" stopIfTrue="1">
      <formula>(8=IsColor)*ShowAssignmentColor</formula>
    </cfRule>
    <cfRule type="expression" dxfId="3241" priority="146147" stopIfTrue="1">
      <formula>(9=IsColor)*ShowAssignmentName</formula>
    </cfRule>
    <cfRule type="expression" dxfId="3240" priority="146148" stopIfTrue="1">
      <formula>(9=IsColor)*ShowAssignmentColor</formula>
    </cfRule>
    <cfRule type="expression" dxfId="3239" priority="146149" stopIfTrue="1">
      <formula>(10=IsColor)*ShowAssignmentName</formula>
    </cfRule>
    <cfRule type="expression" dxfId="3238" priority="146150" stopIfTrue="1">
      <formula>(10=IsColor)*ShowAssignmentColor</formula>
    </cfRule>
    <cfRule type="expression" dxfId="3237" priority="146151" stopIfTrue="1">
      <formula>(11=IsColor)*ShowAssignmentName</formula>
    </cfRule>
    <cfRule type="expression" dxfId="3236" priority="146152" stopIfTrue="1">
      <formula>(11=IsColor)*ShowAssignmentColor</formula>
    </cfRule>
  </conditionalFormatting>
  <conditionalFormatting sqref="F169">
    <cfRule type="expression" dxfId="3235" priority="146153" stopIfTrue="1">
      <formula>(VALUE($B159)&lt;1)*($B159&lt;&gt;$B$344)*LEN(F$353)*(LEN(F169)=0)*(LEN(F167)=0)</formula>
    </cfRule>
    <cfRule type="expression" dxfId="3234" priority="146154" stopIfTrue="1">
      <formula>(VALUE($B159)&lt;1)*($B159&lt;&gt;$B$344)*LEN(F$353)</formula>
    </cfRule>
    <cfRule type="expression" dxfId="3233" priority="146155" stopIfTrue="1">
      <formula>IsEntireDay*ShowAssignmentName</formula>
    </cfRule>
    <cfRule type="expression" dxfId="3232" priority="146156" stopIfTrue="1">
      <formula>(1=IsColor)*ShowAssignmentName</formula>
    </cfRule>
    <cfRule type="expression" dxfId="3231" priority="146157" stopIfTrue="1">
      <formula>(1=IsColor)*ShowAssignmentColor</formula>
    </cfRule>
    <cfRule type="expression" dxfId="3230" priority="146158" stopIfTrue="1">
      <formula>(2=IsColor)*ShowAssignmentName</formula>
    </cfRule>
    <cfRule type="expression" dxfId="3229" priority="146159" stopIfTrue="1">
      <formula>(2=IsColor)*ShowAssignmentColor</formula>
    </cfRule>
    <cfRule type="expression" dxfId="3228" priority="146160" stopIfTrue="1">
      <formula>(3=IsColor)*ShowAssignmentName</formula>
    </cfRule>
    <cfRule type="expression" dxfId="3227" priority="146161" stopIfTrue="1">
      <formula>(3=IsColor)*ShowAssignmentColor</formula>
    </cfRule>
    <cfRule type="expression" dxfId="3226" priority="146162" stopIfTrue="1">
      <formula>(4=IsColor)*ShowAssignmentName</formula>
    </cfRule>
    <cfRule type="expression" dxfId="3225" priority="146163" stopIfTrue="1">
      <formula>(4=IsColor)*ShowAssignmentColor</formula>
    </cfRule>
    <cfRule type="expression" dxfId="3224" priority="146164" stopIfTrue="1">
      <formula>(5=IsColor)*ShowAssignmentName</formula>
    </cfRule>
    <cfRule type="expression" dxfId="3223" priority="146165" stopIfTrue="1">
      <formula>(5=IsColor)*ShowAssignmentColor</formula>
    </cfRule>
    <cfRule type="expression" dxfId="3222" priority="146166" stopIfTrue="1">
      <formula>(6=IsColor)*ShowAssignmentName</formula>
    </cfRule>
    <cfRule type="expression" dxfId="3221" priority="146167" stopIfTrue="1">
      <formula>(6=IsColor)*ShowAssignmentColor</formula>
    </cfRule>
    <cfRule type="expression" dxfId="3220" priority="146168" stopIfTrue="1">
      <formula>(7=IsColor)*ShowAssignmentName</formula>
    </cfRule>
    <cfRule type="expression" dxfId="3219" priority="146169" stopIfTrue="1">
      <formula>(7=IsColor)*ShowAssignmentColor</formula>
    </cfRule>
    <cfRule type="expression" dxfId="3218" priority="146170" stopIfTrue="1">
      <formula>(8=IsColor)*ShowAssignmentName</formula>
    </cfRule>
    <cfRule type="expression" dxfId="3217" priority="146171" stopIfTrue="1">
      <formula>(8=IsColor)*ShowAssignmentColor</formula>
    </cfRule>
    <cfRule type="expression" dxfId="3216" priority="146172" stopIfTrue="1">
      <formula>(9=IsColor)*ShowAssignmentName</formula>
    </cfRule>
    <cfRule type="expression" dxfId="3215" priority="146173" stopIfTrue="1">
      <formula>(9=IsColor)*ShowAssignmentColor</formula>
    </cfRule>
    <cfRule type="expression" dxfId="3214" priority="146174" stopIfTrue="1">
      <formula>(10=IsColor)*ShowAssignmentName</formula>
    </cfRule>
    <cfRule type="expression" dxfId="3213" priority="146175" stopIfTrue="1">
      <formula>(10=IsColor)*ShowAssignmentColor</formula>
    </cfRule>
    <cfRule type="expression" dxfId="3212" priority="146176" stopIfTrue="1">
      <formula>(11=IsColor)*ShowAssignmentName</formula>
    </cfRule>
    <cfRule type="expression" dxfId="3211" priority="146177" stopIfTrue="1">
      <formula>(11=IsColor)*ShowAssignmentColor</formula>
    </cfRule>
  </conditionalFormatting>
  <conditionalFormatting sqref="F170:F172">
    <cfRule type="expression" dxfId="3210" priority="146178" stopIfTrue="1">
      <formula>(VALUE($B160)&lt;1)*($B160&lt;&gt;$B$344)*LEN(F$353)*(LEN(F170)=0)*(LEN(F169)=0)</formula>
    </cfRule>
    <cfRule type="expression" dxfId="3209" priority="146179" stopIfTrue="1">
      <formula>(VALUE($B160)&lt;1)*($B160&lt;&gt;$B$344)*LEN(F$353)</formula>
    </cfRule>
    <cfRule type="expression" dxfId="3208" priority="146180" stopIfTrue="1">
      <formula>IsEntireDay*ShowAssignmentName</formula>
    </cfRule>
    <cfRule type="expression" dxfId="3207" priority="146181" stopIfTrue="1">
      <formula>(1=IsColor)*ShowAssignmentName</formula>
    </cfRule>
    <cfRule type="expression" dxfId="3206" priority="146182" stopIfTrue="1">
      <formula>(1=IsColor)*ShowAssignmentColor</formula>
    </cfRule>
    <cfRule type="expression" dxfId="3205" priority="146183" stopIfTrue="1">
      <formula>(2=IsColor)*ShowAssignmentName</formula>
    </cfRule>
    <cfRule type="expression" dxfId="3204" priority="146184" stopIfTrue="1">
      <formula>(2=IsColor)*ShowAssignmentColor</formula>
    </cfRule>
    <cfRule type="expression" dxfId="3203" priority="146185" stopIfTrue="1">
      <formula>(3=IsColor)*ShowAssignmentName</formula>
    </cfRule>
    <cfRule type="expression" dxfId="3202" priority="146186" stopIfTrue="1">
      <formula>(3=IsColor)*ShowAssignmentColor</formula>
    </cfRule>
    <cfRule type="expression" dxfId="3201" priority="146187" stopIfTrue="1">
      <formula>(4=IsColor)*ShowAssignmentName</formula>
    </cfRule>
    <cfRule type="expression" dxfId="3200" priority="146188" stopIfTrue="1">
      <formula>(4=IsColor)*ShowAssignmentColor</formula>
    </cfRule>
    <cfRule type="expression" dxfId="3199" priority="146189" stopIfTrue="1">
      <formula>(5=IsColor)*ShowAssignmentName</formula>
    </cfRule>
    <cfRule type="expression" dxfId="3198" priority="146190" stopIfTrue="1">
      <formula>(5=IsColor)*ShowAssignmentColor</formula>
    </cfRule>
    <cfRule type="expression" dxfId="3197" priority="146191" stopIfTrue="1">
      <formula>(6=IsColor)*ShowAssignmentName</formula>
    </cfRule>
    <cfRule type="expression" dxfId="3196" priority="146192" stopIfTrue="1">
      <formula>(6=IsColor)*ShowAssignmentColor</formula>
    </cfRule>
    <cfRule type="expression" dxfId="3195" priority="146193" stopIfTrue="1">
      <formula>(7=IsColor)*ShowAssignmentName</formula>
    </cfRule>
    <cfRule type="expression" dxfId="3194" priority="146194" stopIfTrue="1">
      <formula>(7=IsColor)*ShowAssignmentColor</formula>
    </cfRule>
    <cfRule type="expression" dxfId="3193" priority="146195" stopIfTrue="1">
      <formula>(8=IsColor)*ShowAssignmentName</formula>
    </cfRule>
    <cfRule type="expression" dxfId="3192" priority="146196" stopIfTrue="1">
      <formula>(8=IsColor)*ShowAssignmentColor</formula>
    </cfRule>
    <cfRule type="expression" dxfId="3191" priority="146197" stopIfTrue="1">
      <formula>(9=IsColor)*ShowAssignmentName</formula>
    </cfRule>
    <cfRule type="expression" dxfId="3190" priority="146198" stopIfTrue="1">
      <formula>(9=IsColor)*ShowAssignmentColor</formula>
    </cfRule>
    <cfRule type="expression" dxfId="3189" priority="146199" stopIfTrue="1">
      <formula>(10=IsColor)*ShowAssignmentName</formula>
    </cfRule>
    <cfRule type="expression" dxfId="3188" priority="146200" stopIfTrue="1">
      <formula>(10=IsColor)*ShowAssignmentColor</formula>
    </cfRule>
    <cfRule type="expression" dxfId="3187" priority="146201" stopIfTrue="1">
      <formula>(11=IsColor)*ShowAssignmentName</formula>
    </cfRule>
    <cfRule type="expression" dxfId="3186" priority="146202" stopIfTrue="1">
      <formula>(11=IsColor)*ShowAssignmentColor</formula>
    </cfRule>
  </conditionalFormatting>
  <conditionalFormatting sqref="F174">
    <cfRule type="expression" dxfId="3185" priority="146203" stopIfTrue="1">
      <formula>(VALUE($B163)&lt;1)*($B163&lt;&gt;$B$344)*LEN(F$353)*(LEN(F174)=0)*(LEN(F172)=0)</formula>
    </cfRule>
    <cfRule type="expression" dxfId="3184" priority="146204" stopIfTrue="1">
      <formula>(VALUE($B163)&lt;1)*($B163&lt;&gt;$B$344)*LEN(F$353)</formula>
    </cfRule>
    <cfRule type="expression" dxfId="3183" priority="146205" stopIfTrue="1">
      <formula>IsEntireDay*ShowAssignmentName</formula>
    </cfRule>
    <cfRule type="expression" dxfId="3182" priority="146206" stopIfTrue="1">
      <formula>(1=IsColor)*ShowAssignmentName</formula>
    </cfRule>
    <cfRule type="expression" dxfId="3181" priority="146207" stopIfTrue="1">
      <formula>(1=IsColor)*ShowAssignmentColor</formula>
    </cfRule>
    <cfRule type="expression" dxfId="3180" priority="146208" stopIfTrue="1">
      <formula>(2=IsColor)*ShowAssignmentName</formula>
    </cfRule>
    <cfRule type="expression" dxfId="3179" priority="146209" stopIfTrue="1">
      <formula>(2=IsColor)*ShowAssignmentColor</formula>
    </cfRule>
    <cfRule type="expression" dxfId="3178" priority="146210" stopIfTrue="1">
      <formula>(3=IsColor)*ShowAssignmentName</formula>
    </cfRule>
    <cfRule type="expression" dxfId="3177" priority="146211" stopIfTrue="1">
      <formula>(3=IsColor)*ShowAssignmentColor</formula>
    </cfRule>
    <cfRule type="expression" dxfId="3176" priority="146212" stopIfTrue="1">
      <formula>(4=IsColor)*ShowAssignmentName</formula>
    </cfRule>
    <cfRule type="expression" dxfId="3175" priority="146213" stopIfTrue="1">
      <formula>(4=IsColor)*ShowAssignmentColor</formula>
    </cfRule>
    <cfRule type="expression" dxfId="3174" priority="146214" stopIfTrue="1">
      <formula>(5=IsColor)*ShowAssignmentName</formula>
    </cfRule>
    <cfRule type="expression" dxfId="3173" priority="146215" stopIfTrue="1">
      <formula>(5=IsColor)*ShowAssignmentColor</formula>
    </cfRule>
    <cfRule type="expression" dxfId="3172" priority="146216" stopIfTrue="1">
      <formula>(6=IsColor)*ShowAssignmentName</formula>
    </cfRule>
    <cfRule type="expression" dxfId="3171" priority="146217" stopIfTrue="1">
      <formula>(6=IsColor)*ShowAssignmentColor</formula>
    </cfRule>
    <cfRule type="expression" dxfId="3170" priority="146218" stopIfTrue="1">
      <formula>(7=IsColor)*ShowAssignmentName</formula>
    </cfRule>
    <cfRule type="expression" dxfId="3169" priority="146219" stopIfTrue="1">
      <formula>(7=IsColor)*ShowAssignmentColor</formula>
    </cfRule>
    <cfRule type="expression" dxfId="3168" priority="146220" stopIfTrue="1">
      <formula>(8=IsColor)*ShowAssignmentName</formula>
    </cfRule>
    <cfRule type="expression" dxfId="3167" priority="146221" stopIfTrue="1">
      <formula>(8=IsColor)*ShowAssignmentColor</formula>
    </cfRule>
    <cfRule type="expression" dxfId="3166" priority="146222" stopIfTrue="1">
      <formula>(9=IsColor)*ShowAssignmentName</formula>
    </cfRule>
    <cfRule type="expression" dxfId="3165" priority="146223" stopIfTrue="1">
      <formula>(9=IsColor)*ShowAssignmentColor</formula>
    </cfRule>
    <cfRule type="expression" dxfId="3164" priority="146224" stopIfTrue="1">
      <formula>(10=IsColor)*ShowAssignmentName</formula>
    </cfRule>
    <cfRule type="expression" dxfId="3163" priority="146225" stopIfTrue="1">
      <formula>(10=IsColor)*ShowAssignmentColor</formula>
    </cfRule>
    <cfRule type="expression" dxfId="3162" priority="146226" stopIfTrue="1">
      <formula>(11=IsColor)*ShowAssignmentName</formula>
    </cfRule>
    <cfRule type="expression" dxfId="3161" priority="146227" stopIfTrue="1">
      <formula>(11=IsColor)*ShowAssignmentColor</formula>
    </cfRule>
  </conditionalFormatting>
  <conditionalFormatting sqref="F158:F163">
    <cfRule type="expression" dxfId="3160" priority="146253" stopIfTrue="1">
      <formula>(VALUE($B151)&lt;1)*($B151&lt;&gt;$B$344)*LEN(F$353)*(LEN(F158)=0)*(LEN(F157)=0)</formula>
    </cfRule>
    <cfRule type="expression" dxfId="3159" priority="146254" stopIfTrue="1">
      <formula>(VALUE($B151)&lt;1)*($B151&lt;&gt;$B$344)*LEN(F$353)</formula>
    </cfRule>
    <cfRule type="expression" dxfId="3158" priority="146255" stopIfTrue="1">
      <formula>IsEntireDay*ShowAssignmentName</formula>
    </cfRule>
    <cfRule type="expression" dxfId="3157" priority="146256" stopIfTrue="1">
      <formula>(1=IsColor)*ShowAssignmentName</formula>
    </cfRule>
    <cfRule type="expression" dxfId="3156" priority="146257" stopIfTrue="1">
      <formula>(1=IsColor)*ShowAssignmentColor</formula>
    </cfRule>
    <cfRule type="expression" dxfId="3155" priority="146258" stopIfTrue="1">
      <formula>(2=IsColor)*ShowAssignmentName</formula>
    </cfRule>
    <cfRule type="expression" dxfId="3154" priority="146259" stopIfTrue="1">
      <formula>(2=IsColor)*ShowAssignmentColor</formula>
    </cfRule>
    <cfRule type="expression" dxfId="3153" priority="146260" stopIfTrue="1">
      <formula>(3=IsColor)*ShowAssignmentName</formula>
    </cfRule>
    <cfRule type="expression" dxfId="3152" priority="146261" stopIfTrue="1">
      <formula>(3=IsColor)*ShowAssignmentColor</formula>
    </cfRule>
    <cfRule type="expression" dxfId="3151" priority="146262" stopIfTrue="1">
      <formula>(4=IsColor)*ShowAssignmentName</formula>
    </cfRule>
    <cfRule type="expression" dxfId="3150" priority="146263" stopIfTrue="1">
      <formula>(4=IsColor)*ShowAssignmentColor</formula>
    </cfRule>
    <cfRule type="expression" dxfId="3149" priority="146264" stopIfTrue="1">
      <formula>(5=IsColor)*ShowAssignmentName</formula>
    </cfRule>
    <cfRule type="expression" dxfId="3148" priority="146265" stopIfTrue="1">
      <formula>(5=IsColor)*ShowAssignmentColor</formula>
    </cfRule>
    <cfRule type="expression" dxfId="3147" priority="146266" stopIfTrue="1">
      <formula>(6=IsColor)*ShowAssignmentName</formula>
    </cfRule>
    <cfRule type="expression" dxfId="3146" priority="146267" stopIfTrue="1">
      <formula>(6=IsColor)*ShowAssignmentColor</formula>
    </cfRule>
    <cfRule type="expression" dxfId="3145" priority="146268" stopIfTrue="1">
      <formula>(7=IsColor)*ShowAssignmentName</formula>
    </cfRule>
    <cfRule type="expression" dxfId="3144" priority="146269" stopIfTrue="1">
      <formula>(7=IsColor)*ShowAssignmentColor</formula>
    </cfRule>
    <cfRule type="expression" dxfId="3143" priority="146270" stopIfTrue="1">
      <formula>(8=IsColor)*ShowAssignmentName</formula>
    </cfRule>
    <cfRule type="expression" dxfId="3142" priority="146271" stopIfTrue="1">
      <formula>(8=IsColor)*ShowAssignmentColor</formula>
    </cfRule>
    <cfRule type="expression" dxfId="3141" priority="146272" stopIfTrue="1">
      <formula>(9=IsColor)*ShowAssignmentName</formula>
    </cfRule>
    <cfRule type="expression" dxfId="3140" priority="146273" stopIfTrue="1">
      <formula>(9=IsColor)*ShowAssignmentColor</formula>
    </cfRule>
    <cfRule type="expression" dxfId="3139" priority="146274" stopIfTrue="1">
      <formula>(10=IsColor)*ShowAssignmentName</formula>
    </cfRule>
    <cfRule type="expression" dxfId="3138" priority="146275" stopIfTrue="1">
      <formula>(10=IsColor)*ShowAssignmentColor</formula>
    </cfRule>
    <cfRule type="expression" dxfId="3137" priority="146276" stopIfTrue="1">
      <formula>(11=IsColor)*ShowAssignmentName</formula>
    </cfRule>
    <cfRule type="expression" dxfId="3136" priority="146277" stopIfTrue="1">
      <formula>(11=IsColor)*ShowAssignmentColor</formula>
    </cfRule>
  </conditionalFormatting>
  <conditionalFormatting sqref="F140">
    <cfRule type="expression" dxfId="3135" priority="146278" stopIfTrue="1">
      <formula>(VALUE($B136)&lt;1)*($B136&lt;&gt;$B$344)*LEN(F$353)*(LEN(F140)=0)*(LEN(F138)=0)</formula>
    </cfRule>
    <cfRule type="expression" dxfId="3134" priority="146279" stopIfTrue="1">
      <formula>(VALUE($B136)&lt;1)*($B136&lt;&gt;$B$344)*LEN(F$353)</formula>
    </cfRule>
    <cfRule type="expression" dxfId="3133" priority="146280" stopIfTrue="1">
      <formula>IsEntireDay*ShowAssignmentName</formula>
    </cfRule>
    <cfRule type="expression" dxfId="3132" priority="146281" stopIfTrue="1">
      <formula>(1=IsColor)*ShowAssignmentName</formula>
    </cfRule>
    <cfRule type="expression" dxfId="3131" priority="146282" stopIfTrue="1">
      <formula>(1=IsColor)*ShowAssignmentColor</formula>
    </cfRule>
    <cfRule type="expression" dxfId="3130" priority="146283" stopIfTrue="1">
      <formula>(2=IsColor)*ShowAssignmentName</formula>
    </cfRule>
    <cfRule type="expression" dxfId="3129" priority="146284" stopIfTrue="1">
      <formula>(2=IsColor)*ShowAssignmentColor</formula>
    </cfRule>
    <cfRule type="expression" dxfId="3128" priority="146285" stopIfTrue="1">
      <formula>(3=IsColor)*ShowAssignmentName</formula>
    </cfRule>
    <cfRule type="expression" dxfId="3127" priority="146286" stopIfTrue="1">
      <formula>(3=IsColor)*ShowAssignmentColor</formula>
    </cfRule>
    <cfRule type="expression" dxfId="3126" priority="146287" stopIfTrue="1">
      <formula>(4=IsColor)*ShowAssignmentName</formula>
    </cfRule>
    <cfRule type="expression" dxfId="3125" priority="146288" stopIfTrue="1">
      <formula>(4=IsColor)*ShowAssignmentColor</formula>
    </cfRule>
    <cfRule type="expression" dxfId="3124" priority="146289" stopIfTrue="1">
      <formula>(5=IsColor)*ShowAssignmentName</formula>
    </cfRule>
    <cfRule type="expression" dxfId="3123" priority="146290" stopIfTrue="1">
      <formula>(5=IsColor)*ShowAssignmentColor</formula>
    </cfRule>
    <cfRule type="expression" dxfId="3122" priority="146291" stopIfTrue="1">
      <formula>(6=IsColor)*ShowAssignmentName</formula>
    </cfRule>
    <cfRule type="expression" dxfId="3121" priority="146292" stopIfTrue="1">
      <formula>(6=IsColor)*ShowAssignmentColor</formula>
    </cfRule>
    <cfRule type="expression" dxfId="3120" priority="146293" stopIfTrue="1">
      <formula>(7=IsColor)*ShowAssignmentName</formula>
    </cfRule>
    <cfRule type="expression" dxfId="3119" priority="146294" stopIfTrue="1">
      <formula>(7=IsColor)*ShowAssignmentColor</formula>
    </cfRule>
    <cfRule type="expression" dxfId="3118" priority="146295" stopIfTrue="1">
      <formula>(8=IsColor)*ShowAssignmentName</formula>
    </cfRule>
    <cfRule type="expression" dxfId="3117" priority="146296" stopIfTrue="1">
      <formula>(8=IsColor)*ShowAssignmentColor</formula>
    </cfRule>
    <cfRule type="expression" dxfId="3116" priority="146297" stopIfTrue="1">
      <formula>(9=IsColor)*ShowAssignmentName</formula>
    </cfRule>
    <cfRule type="expression" dxfId="3115" priority="146298" stopIfTrue="1">
      <formula>(9=IsColor)*ShowAssignmentColor</formula>
    </cfRule>
    <cfRule type="expression" dxfId="3114" priority="146299" stopIfTrue="1">
      <formula>(10=IsColor)*ShowAssignmentName</formula>
    </cfRule>
    <cfRule type="expression" dxfId="3113" priority="146300" stopIfTrue="1">
      <formula>(10=IsColor)*ShowAssignmentColor</formula>
    </cfRule>
    <cfRule type="expression" dxfId="3112" priority="146301" stopIfTrue="1">
      <formula>(11=IsColor)*ShowAssignmentName</formula>
    </cfRule>
    <cfRule type="expression" dxfId="3111" priority="146302" stopIfTrue="1">
      <formula>(11=IsColor)*ShowAssignmentColor</formula>
    </cfRule>
  </conditionalFormatting>
  <conditionalFormatting sqref="F137 F119:F120">
    <cfRule type="expression" dxfId="3110" priority="146303" stopIfTrue="1">
      <formula>(VALUE($B117)&lt;1)*($B117&lt;&gt;$B$344)*LEN(F$353)*(LEN(F119)=0)*(LEN(F117)=0)</formula>
    </cfRule>
    <cfRule type="expression" dxfId="3109" priority="146304" stopIfTrue="1">
      <formula>(VALUE($B117)&lt;1)*($B117&lt;&gt;$B$344)*LEN(F$353)</formula>
    </cfRule>
    <cfRule type="expression" dxfId="3108" priority="146305" stopIfTrue="1">
      <formula>IsEntireDay*ShowAssignmentName</formula>
    </cfRule>
    <cfRule type="expression" dxfId="3107" priority="146306" stopIfTrue="1">
      <formula>(1=IsColor)*ShowAssignmentName</formula>
    </cfRule>
    <cfRule type="expression" dxfId="3106" priority="146307" stopIfTrue="1">
      <formula>(1=IsColor)*ShowAssignmentColor</formula>
    </cfRule>
    <cfRule type="expression" dxfId="3105" priority="146308" stopIfTrue="1">
      <formula>(2=IsColor)*ShowAssignmentName</formula>
    </cfRule>
    <cfRule type="expression" dxfId="3104" priority="146309" stopIfTrue="1">
      <formula>(2=IsColor)*ShowAssignmentColor</formula>
    </cfRule>
    <cfRule type="expression" dxfId="3103" priority="146310" stopIfTrue="1">
      <formula>(3=IsColor)*ShowAssignmentName</formula>
    </cfRule>
    <cfRule type="expression" dxfId="3102" priority="146311" stopIfTrue="1">
      <formula>(3=IsColor)*ShowAssignmentColor</formula>
    </cfRule>
    <cfRule type="expression" dxfId="3101" priority="146312" stopIfTrue="1">
      <formula>(4=IsColor)*ShowAssignmentName</formula>
    </cfRule>
    <cfRule type="expression" dxfId="3100" priority="146313" stopIfTrue="1">
      <formula>(4=IsColor)*ShowAssignmentColor</formula>
    </cfRule>
    <cfRule type="expression" dxfId="3099" priority="146314" stopIfTrue="1">
      <formula>(5=IsColor)*ShowAssignmentName</formula>
    </cfRule>
    <cfRule type="expression" dxfId="3098" priority="146315" stopIfTrue="1">
      <formula>(5=IsColor)*ShowAssignmentColor</formula>
    </cfRule>
    <cfRule type="expression" dxfId="3097" priority="146316" stopIfTrue="1">
      <formula>(6=IsColor)*ShowAssignmentName</formula>
    </cfRule>
    <cfRule type="expression" dxfId="3096" priority="146317" stopIfTrue="1">
      <formula>(6=IsColor)*ShowAssignmentColor</formula>
    </cfRule>
    <cfRule type="expression" dxfId="3095" priority="146318" stopIfTrue="1">
      <formula>(7=IsColor)*ShowAssignmentName</formula>
    </cfRule>
    <cfRule type="expression" dxfId="3094" priority="146319" stopIfTrue="1">
      <formula>(7=IsColor)*ShowAssignmentColor</formula>
    </cfRule>
    <cfRule type="expression" dxfId="3093" priority="146320" stopIfTrue="1">
      <formula>(8=IsColor)*ShowAssignmentName</formula>
    </cfRule>
    <cfRule type="expression" dxfId="3092" priority="146321" stopIfTrue="1">
      <formula>(8=IsColor)*ShowAssignmentColor</formula>
    </cfRule>
    <cfRule type="expression" dxfId="3091" priority="146322" stopIfTrue="1">
      <formula>(9=IsColor)*ShowAssignmentName</formula>
    </cfRule>
    <cfRule type="expression" dxfId="3090" priority="146323" stopIfTrue="1">
      <formula>(9=IsColor)*ShowAssignmentColor</formula>
    </cfRule>
    <cfRule type="expression" dxfId="3089" priority="146324" stopIfTrue="1">
      <formula>(10=IsColor)*ShowAssignmentName</formula>
    </cfRule>
    <cfRule type="expression" dxfId="3088" priority="146325" stopIfTrue="1">
      <formula>(10=IsColor)*ShowAssignmentColor</formula>
    </cfRule>
    <cfRule type="expression" dxfId="3087" priority="146326" stopIfTrue="1">
      <formula>(11=IsColor)*ShowAssignmentName</formula>
    </cfRule>
    <cfRule type="expression" dxfId="3086" priority="146327" stopIfTrue="1">
      <formula>(11=IsColor)*ShowAssignmentColor</formula>
    </cfRule>
  </conditionalFormatting>
  <conditionalFormatting sqref="F151:F156 F146:F148">
    <cfRule type="expression" dxfId="3085" priority="146353" stopIfTrue="1">
      <formula>(VALUE($B141)&lt;1)*($B141&lt;&gt;$B$344)*LEN(F$353)*(LEN(F146)=0)*(LEN(F145)=0)</formula>
    </cfRule>
    <cfRule type="expression" dxfId="3084" priority="146354" stopIfTrue="1">
      <formula>(VALUE($B141)&lt;1)*($B141&lt;&gt;$B$344)*LEN(F$353)</formula>
    </cfRule>
    <cfRule type="expression" dxfId="3083" priority="146355" stopIfTrue="1">
      <formula>IsEntireDay*ShowAssignmentName</formula>
    </cfRule>
    <cfRule type="expression" dxfId="3082" priority="146356" stopIfTrue="1">
      <formula>(1=IsColor)*ShowAssignmentName</formula>
    </cfRule>
    <cfRule type="expression" dxfId="3081" priority="146357" stopIfTrue="1">
      <formula>(1=IsColor)*ShowAssignmentColor</formula>
    </cfRule>
    <cfRule type="expression" dxfId="3080" priority="146358" stopIfTrue="1">
      <formula>(2=IsColor)*ShowAssignmentName</formula>
    </cfRule>
    <cfRule type="expression" dxfId="3079" priority="146359" stopIfTrue="1">
      <formula>(2=IsColor)*ShowAssignmentColor</formula>
    </cfRule>
    <cfRule type="expression" dxfId="3078" priority="146360" stopIfTrue="1">
      <formula>(3=IsColor)*ShowAssignmentName</formula>
    </cfRule>
    <cfRule type="expression" dxfId="3077" priority="146361" stopIfTrue="1">
      <formula>(3=IsColor)*ShowAssignmentColor</formula>
    </cfRule>
    <cfRule type="expression" dxfId="3076" priority="146362" stopIfTrue="1">
      <formula>(4=IsColor)*ShowAssignmentName</formula>
    </cfRule>
    <cfRule type="expression" dxfId="3075" priority="146363" stopIfTrue="1">
      <formula>(4=IsColor)*ShowAssignmentColor</formula>
    </cfRule>
    <cfRule type="expression" dxfId="3074" priority="146364" stopIfTrue="1">
      <formula>(5=IsColor)*ShowAssignmentName</formula>
    </cfRule>
    <cfRule type="expression" dxfId="3073" priority="146365" stopIfTrue="1">
      <formula>(5=IsColor)*ShowAssignmentColor</formula>
    </cfRule>
    <cfRule type="expression" dxfId="3072" priority="146366" stopIfTrue="1">
      <formula>(6=IsColor)*ShowAssignmentName</formula>
    </cfRule>
    <cfRule type="expression" dxfId="3071" priority="146367" stopIfTrue="1">
      <formula>(6=IsColor)*ShowAssignmentColor</formula>
    </cfRule>
    <cfRule type="expression" dxfId="3070" priority="146368" stopIfTrue="1">
      <formula>(7=IsColor)*ShowAssignmentName</formula>
    </cfRule>
    <cfRule type="expression" dxfId="3069" priority="146369" stopIfTrue="1">
      <formula>(7=IsColor)*ShowAssignmentColor</formula>
    </cfRule>
    <cfRule type="expression" dxfId="3068" priority="146370" stopIfTrue="1">
      <formula>(8=IsColor)*ShowAssignmentName</formula>
    </cfRule>
    <cfRule type="expression" dxfId="3067" priority="146371" stopIfTrue="1">
      <formula>(8=IsColor)*ShowAssignmentColor</formula>
    </cfRule>
    <cfRule type="expression" dxfId="3066" priority="146372" stopIfTrue="1">
      <formula>(9=IsColor)*ShowAssignmentName</formula>
    </cfRule>
    <cfRule type="expression" dxfId="3065" priority="146373" stopIfTrue="1">
      <formula>(9=IsColor)*ShowAssignmentColor</formula>
    </cfRule>
    <cfRule type="expression" dxfId="3064" priority="146374" stopIfTrue="1">
      <formula>(10=IsColor)*ShowAssignmentName</formula>
    </cfRule>
    <cfRule type="expression" dxfId="3063" priority="146375" stopIfTrue="1">
      <formula>(10=IsColor)*ShowAssignmentColor</formula>
    </cfRule>
    <cfRule type="expression" dxfId="3062" priority="146376" stopIfTrue="1">
      <formula>(11=IsColor)*ShowAssignmentName</formula>
    </cfRule>
    <cfRule type="expression" dxfId="3061" priority="146377" stopIfTrue="1">
      <formula>(11=IsColor)*ShowAssignmentColor</formula>
    </cfRule>
  </conditionalFormatting>
  <conditionalFormatting sqref="F141:F144">
    <cfRule type="expression" dxfId="3060" priority="146403" stopIfTrue="1">
      <formula>(VALUE($B137)&lt;1)*($B137&lt;&gt;$B$344)*LEN(F$353)*(LEN(F141)=0)*(LEN(F140)=0)</formula>
    </cfRule>
    <cfRule type="expression" dxfId="3059" priority="146404" stopIfTrue="1">
      <formula>(VALUE($B137)&lt;1)*($B137&lt;&gt;$B$344)*LEN(F$353)</formula>
    </cfRule>
    <cfRule type="expression" dxfId="3058" priority="146405" stopIfTrue="1">
      <formula>IsEntireDay*ShowAssignmentName</formula>
    </cfRule>
    <cfRule type="expression" dxfId="3057" priority="146406" stopIfTrue="1">
      <formula>(1=IsColor)*ShowAssignmentName</formula>
    </cfRule>
    <cfRule type="expression" dxfId="3056" priority="146407" stopIfTrue="1">
      <formula>(1=IsColor)*ShowAssignmentColor</formula>
    </cfRule>
    <cfRule type="expression" dxfId="3055" priority="146408" stopIfTrue="1">
      <formula>(2=IsColor)*ShowAssignmentName</formula>
    </cfRule>
    <cfRule type="expression" dxfId="3054" priority="146409" stopIfTrue="1">
      <formula>(2=IsColor)*ShowAssignmentColor</formula>
    </cfRule>
    <cfRule type="expression" dxfId="3053" priority="146410" stopIfTrue="1">
      <formula>(3=IsColor)*ShowAssignmentName</formula>
    </cfRule>
    <cfRule type="expression" dxfId="3052" priority="146411" stopIfTrue="1">
      <formula>(3=IsColor)*ShowAssignmentColor</formula>
    </cfRule>
    <cfRule type="expression" dxfId="3051" priority="146412" stopIfTrue="1">
      <formula>(4=IsColor)*ShowAssignmentName</formula>
    </cfRule>
    <cfRule type="expression" dxfId="3050" priority="146413" stopIfTrue="1">
      <formula>(4=IsColor)*ShowAssignmentColor</formula>
    </cfRule>
    <cfRule type="expression" dxfId="3049" priority="146414" stopIfTrue="1">
      <formula>(5=IsColor)*ShowAssignmentName</formula>
    </cfRule>
    <cfRule type="expression" dxfId="3048" priority="146415" stopIfTrue="1">
      <formula>(5=IsColor)*ShowAssignmentColor</formula>
    </cfRule>
    <cfRule type="expression" dxfId="3047" priority="146416" stopIfTrue="1">
      <formula>(6=IsColor)*ShowAssignmentName</formula>
    </cfRule>
    <cfRule type="expression" dxfId="3046" priority="146417" stopIfTrue="1">
      <formula>(6=IsColor)*ShowAssignmentColor</formula>
    </cfRule>
    <cfRule type="expression" dxfId="3045" priority="146418" stopIfTrue="1">
      <formula>(7=IsColor)*ShowAssignmentName</formula>
    </cfRule>
    <cfRule type="expression" dxfId="3044" priority="146419" stopIfTrue="1">
      <formula>(7=IsColor)*ShowAssignmentColor</formula>
    </cfRule>
    <cfRule type="expression" dxfId="3043" priority="146420" stopIfTrue="1">
      <formula>(8=IsColor)*ShowAssignmentName</formula>
    </cfRule>
    <cfRule type="expression" dxfId="3042" priority="146421" stopIfTrue="1">
      <formula>(8=IsColor)*ShowAssignmentColor</formula>
    </cfRule>
    <cfRule type="expression" dxfId="3041" priority="146422" stopIfTrue="1">
      <formula>(9=IsColor)*ShowAssignmentName</formula>
    </cfRule>
    <cfRule type="expression" dxfId="3040" priority="146423" stopIfTrue="1">
      <formula>(9=IsColor)*ShowAssignmentColor</formula>
    </cfRule>
    <cfRule type="expression" dxfId="3039" priority="146424" stopIfTrue="1">
      <formula>(10=IsColor)*ShowAssignmentName</formula>
    </cfRule>
    <cfRule type="expression" dxfId="3038" priority="146425" stopIfTrue="1">
      <formula>(10=IsColor)*ShowAssignmentColor</formula>
    </cfRule>
    <cfRule type="expression" dxfId="3037" priority="146426" stopIfTrue="1">
      <formula>(11=IsColor)*ShowAssignmentName</formula>
    </cfRule>
    <cfRule type="expression" dxfId="3036" priority="146427" stopIfTrue="1">
      <formula>(11=IsColor)*ShowAssignmentColor</formula>
    </cfRule>
  </conditionalFormatting>
  <conditionalFormatting sqref="F145">
    <cfRule type="expression" dxfId="3035" priority="146428" stopIfTrue="1">
      <formula>(VALUE($B140)&lt;1)*($B140&lt;&gt;$B$344)*LEN(F$353)*(LEN(F145)=0)*(LEN(F143)=0)</formula>
    </cfRule>
    <cfRule type="expression" dxfId="3034" priority="146429" stopIfTrue="1">
      <formula>(VALUE($B140)&lt;1)*($B140&lt;&gt;$B$344)*LEN(F$353)</formula>
    </cfRule>
    <cfRule type="expression" dxfId="3033" priority="146430" stopIfTrue="1">
      <formula>IsEntireDay*ShowAssignmentName</formula>
    </cfRule>
    <cfRule type="expression" dxfId="3032" priority="146431" stopIfTrue="1">
      <formula>(1=IsColor)*ShowAssignmentName</formula>
    </cfRule>
    <cfRule type="expression" dxfId="3031" priority="146432" stopIfTrue="1">
      <formula>(1=IsColor)*ShowAssignmentColor</formula>
    </cfRule>
    <cfRule type="expression" dxfId="3030" priority="146433" stopIfTrue="1">
      <formula>(2=IsColor)*ShowAssignmentName</formula>
    </cfRule>
    <cfRule type="expression" dxfId="3029" priority="146434" stopIfTrue="1">
      <formula>(2=IsColor)*ShowAssignmentColor</formula>
    </cfRule>
    <cfRule type="expression" dxfId="3028" priority="146435" stopIfTrue="1">
      <formula>(3=IsColor)*ShowAssignmentName</formula>
    </cfRule>
    <cfRule type="expression" dxfId="3027" priority="146436" stopIfTrue="1">
      <formula>(3=IsColor)*ShowAssignmentColor</formula>
    </cfRule>
    <cfRule type="expression" dxfId="3026" priority="146437" stopIfTrue="1">
      <formula>(4=IsColor)*ShowAssignmentName</formula>
    </cfRule>
    <cfRule type="expression" dxfId="3025" priority="146438" stopIfTrue="1">
      <formula>(4=IsColor)*ShowAssignmentColor</formula>
    </cfRule>
    <cfRule type="expression" dxfId="3024" priority="146439" stopIfTrue="1">
      <formula>(5=IsColor)*ShowAssignmentName</formula>
    </cfRule>
    <cfRule type="expression" dxfId="3023" priority="146440" stopIfTrue="1">
      <formula>(5=IsColor)*ShowAssignmentColor</formula>
    </cfRule>
    <cfRule type="expression" dxfId="3022" priority="146441" stopIfTrue="1">
      <formula>(6=IsColor)*ShowAssignmentName</formula>
    </cfRule>
    <cfRule type="expression" dxfId="3021" priority="146442" stopIfTrue="1">
      <formula>(6=IsColor)*ShowAssignmentColor</formula>
    </cfRule>
    <cfRule type="expression" dxfId="3020" priority="146443" stopIfTrue="1">
      <formula>(7=IsColor)*ShowAssignmentName</formula>
    </cfRule>
    <cfRule type="expression" dxfId="3019" priority="146444" stopIfTrue="1">
      <formula>(7=IsColor)*ShowAssignmentColor</formula>
    </cfRule>
    <cfRule type="expression" dxfId="3018" priority="146445" stopIfTrue="1">
      <formula>(8=IsColor)*ShowAssignmentName</formula>
    </cfRule>
    <cfRule type="expression" dxfId="3017" priority="146446" stopIfTrue="1">
      <formula>(8=IsColor)*ShowAssignmentColor</formula>
    </cfRule>
    <cfRule type="expression" dxfId="3016" priority="146447" stopIfTrue="1">
      <formula>(9=IsColor)*ShowAssignmentName</formula>
    </cfRule>
    <cfRule type="expression" dxfId="3015" priority="146448" stopIfTrue="1">
      <formula>(9=IsColor)*ShowAssignmentColor</formula>
    </cfRule>
    <cfRule type="expression" dxfId="3014" priority="146449" stopIfTrue="1">
      <formula>(10=IsColor)*ShowAssignmentName</formula>
    </cfRule>
    <cfRule type="expression" dxfId="3013" priority="146450" stopIfTrue="1">
      <formula>(10=IsColor)*ShowAssignmentColor</formula>
    </cfRule>
    <cfRule type="expression" dxfId="3012" priority="146451" stopIfTrue="1">
      <formula>(11=IsColor)*ShowAssignmentName</formula>
    </cfRule>
    <cfRule type="expression" dxfId="3011" priority="146452" stopIfTrue="1">
      <formula>(11=IsColor)*ShowAssignmentColor</formula>
    </cfRule>
  </conditionalFormatting>
  <conditionalFormatting sqref="F149">
    <cfRule type="expression" dxfId="3010" priority="146453" stopIfTrue="1">
      <formula>(VALUE($B143)&lt;1)*($B143&lt;&gt;$B$344)*LEN(F$353)*(LEN(F149)=0)*(LEN(F147)=0)</formula>
    </cfRule>
    <cfRule type="expression" dxfId="3009" priority="146454" stopIfTrue="1">
      <formula>(VALUE($B143)&lt;1)*($B143&lt;&gt;$B$344)*LEN(F$353)</formula>
    </cfRule>
    <cfRule type="expression" dxfId="3008" priority="146455" stopIfTrue="1">
      <formula>IsEntireDay*ShowAssignmentName</formula>
    </cfRule>
    <cfRule type="expression" dxfId="3007" priority="146456" stopIfTrue="1">
      <formula>(1=IsColor)*ShowAssignmentName</formula>
    </cfRule>
    <cfRule type="expression" dxfId="3006" priority="146457" stopIfTrue="1">
      <formula>(1=IsColor)*ShowAssignmentColor</formula>
    </cfRule>
    <cfRule type="expression" dxfId="3005" priority="146458" stopIfTrue="1">
      <formula>(2=IsColor)*ShowAssignmentName</formula>
    </cfRule>
    <cfRule type="expression" dxfId="3004" priority="146459" stopIfTrue="1">
      <formula>(2=IsColor)*ShowAssignmentColor</formula>
    </cfRule>
    <cfRule type="expression" dxfId="3003" priority="146460" stopIfTrue="1">
      <formula>(3=IsColor)*ShowAssignmentName</formula>
    </cfRule>
    <cfRule type="expression" dxfId="3002" priority="146461" stopIfTrue="1">
      <formula>(3=IsColor)*ShowAssignmentColor</formula>
    </cfRule>
    <cfRule type="expression" dxfId="3001" priority="146462" stopIfTrue="1">
      <formula>(4=IsColor)*ShowAssignmentName</formula>
    </cfRule>
    <cfRule type="expression" dxfId="3000" priority="146463" stopIfTrue="1">
      <formula>(4=IsColor)*ShowAssignmentColor</formula>
    </cfRule>
    <cfRule type="expression" dxfId="2999" priority="146464" stopIfTrue="1">
      <formula>(5=IsColor)*ShowAssignmentName</formula>
    </cfRule>
    <cfRule type="expression" dxfId="2998" priority="146465" stopIfTrue="1">
      <formula>(5=IsColor)*ShowAssignmentColor</formula>
    </cfRule>
    <cfRule type="expression" dxfId="2997" priority="146466" stopIfTrue="1">
      <formula>(6=IsColor)*ShowAssignmentName</formula>
    </cfRule>
    <cfRule type="expression" dxfId="2996" priority="146467" stopIfTrue="1">
      <formula>(6=IsColor)*ShowAssignmentColor</formula>
    </cfRule>
    <cfRule type="expression" dxfId="2995" priority="146468" stopIfTrue="1">
      <formula>(7=IsColor)*ShowAssignmentName</formula>
    </cfRule>
    <cfRule type="expression" dxfId="2994" priority="146469" stopIfTrue="1">
      <formula>(7=IsColor)*ShowAssignmentColor</formula>
    </cfRule>
    <cfRule type="expression" dxfId="2993" priority="146470" stopIfTrue="1">
      <formula>(8=IsColor)*ShowAssignmentName</formula>
    </cfRule>
    <cfRule type="expression" dxfId="2992" priority="146471" stopIfTrue="1">
      <formula>(8=IsColor)*ShowAssignmentColor</formula>
    </cfRule>
    <cfRule type="expression" dxfId="2991" priority="146472" stopIfTrue="1">
      <formula>(9=IsColor)*ShowAssignmentName</formula>
    </cfRule>
    <cfRule type="expression" dxfId="2990" priority="146473" stopIfTrue="1">
      <formula>(9=IsColor)*ShowAssignmentColor</formula>
    </cfRule>
    <cfRule type="expression" dxfId="2989" priority="146474" stopIfTrue="1">
      <formula>(10=IsColor)*ShowAssignmentName</formula>
    </cfRule>
    <cfRule type="expression" dxfId="2988" priority="146475" stopIfTrue="1">
      <formula>(10=IsColor)*ShowAssignmentColor</formula>
    </cfRule>
    <cfRule type="expression" dxfId="2987" priority="146476" stopIfTrue="1">
      <formula>(11=IsColor)*ShowAssignmentName</formula>
    </cfRule>
    <cfRule type="expression" dxfId="2986" priority="146477" stopIfTrue="1">
      <formula>(11=IsColor)*ShowAssignmentColor</formula>
    </cfRule>
  </conditionalFormatting>
  <conditionalFormatting sqref="F115:F117 F122:F136">
    <cfRule type="expression" dxfId="2985" priority="146478" stopIfTrue="1">
      <formula>(VALUE($B114)&lt;1)*($B114&lt;&gt;$B$344)*LEN(F$353)*(LEN(F115)=0)*(LEN(F114)=0)</formula>
    </cfRule>
    <cfRule type="expression" dxfId="2984" priority="146479" stopIfTrue="1">
      <formula>(VALUE($B114)&lt;1)*($B114&lt;&gt;$B$344)*LEN(F$353)</formula>
    </cfRule>
    <cfRule type="expression" dxfId="2983" priority="146480" stopIfTrue="1">
      <formula>IsEntireDay*ShowAssignmentName</formula>
    </cfRule>
    <cfRule type="expression" dxfId="2982" priority="146481" stopIfTrue="1">
      <formula>(1=IsColor)*ShowAssignmentName</formula>
    </cfRule>
    <cfRule type="expression" dxfId="2981" priority="146482" stopIfTrue="1">
      <formula>(1=IsColor)*ShowAssignmentColor</formula>
    </cfRule>
    <cfRule type="expression" dxfId="2980" priority="146483" stopIfTrue="1">
      <formula>(2=IsColor)*ShowAssignmentName</formula>
    </cfRule>
    <cfRule type="expression" dxfId="2979" priority="146484" stopIfTrue="1">
      <formula>(2=IsColor)*ShowAssignmentColor</formula>
    </cfRule>
    <cfRule type="expression" dxfId="2978" priority="146485" stopIfTrue="1">
      <formula>(3=IsColor)*ShowAssignmentName</formula>
    </cfRule>
    <cfRule type="expression" dxfId="2977" priority="146486" stopIfTrue="1">
      <formula>(3=IsColor)*ShowAssignmentColor</formula>
    </cfRule>
    <cfRule type="expression" dxfId="2976" priority="146487" stopIfTrue="1">
      <formula>(4=IsColor)*ShowAssignmentName</formula>
    </cfRule>
    <cfRule type="expression" dxfId="2975" priority="146488" stopIfTrue="1">
      <formula>(4=IsColor)*ShowAssignmentColor</formula>
    </cfRule>
    <cfRule type="expression" dxfId="2974" priority="146489" stopIfTrue="1">
      <formula>(5=IsColor)*ShowAssignmentName</formula>
    </cfRule>
    <cfRule type="expression" dxfId="2973" priority="146490" stopIfTrue="1">
      <formula>(5=IsColor)*ShowAssignmentColor</formula>
    </cfRule>
    <cfRule type="expression" dxfId="2972" priority="146491" stopIfTrue="1">
      <formula>(6=IsColor)*ShowAssignmentName</formula>
    </cfRule>
    <cfRule type="expression" dxfId="2971" priority="146492" stopIfTrue="1">
      <formula>(6=IsColor)*ShowAssignmentColor</formula>
    </cfRule>
    <cfRule type="expression" dxfId="2970" priority="146493" stopIfTrue="1">
      <formula>(7=IsColor)*ShowAssignmentName</formula>
    </cfRule>
    <cfRule type="expression" dxfId="2969" priority="146494" stopIfTrue="1">
      <formula>(7=IsColor)*ShowAssignmentColor</formula>
    </cfRule>
    <cfRule type="expression" dxfId="2968" priority="146495" stopIfTrue="1">
      <formula>(8=IsColor)*ShowAssignmentName</formula>
    </cfRule>
    <cfRule type="expression" dxfId="2967" priority="146496" stopIfTrue="1">
      <formula>(8=IsColor)*ShowAssignmentColor</formula>
    </cfRule>
    <cfRule type="expression" dxfId="2966" priority="146497" stopIfTrue="1">
      <formula>(9=IsColor)*ShowAssignmentName</formula>
    </cfRule>
    <cfRule type="expression" dxfId="2965" priority="146498" stopIfTrue="1">
      <formula>(9=IsColor)*ShowAssignmentColor</formula>
    </cfRule>
    <cfRule type="expression" dxfId="2964" priority="146499" stopIfTrue="1">
      <formula>(10=IsColor)*ShowAssignmentName</formula>
    </cfRule>
    <cfRule type="expression" dxfId="2963" priority="146500" stopIfTrue="1">
      <formula>(10=IsColor)*ShowAssignmentColor</formula>
    </cfRule>
    <cfRule type="expression" dxfId="2962" priority="146501" stopIfTrue="1">
      <formula>(11=IsColor)*ShowAssignmentName</formula>
    </cfRule>
    <cfRule type="expression" dxfId="2961" priority="146502" stopIfTrue="1">
      <formula>(11=IsColor)*ShowAssignmentColor</formula>
    </cfRule>
  </conditionalFormatting>
  <conditionalFormatting sqref="F8:F9 F118 F13:F113">
    <cfRule type="expression" dxfId="2960" priority="146528" stopIfTrue="1">
      <formula>(VALUE($B8)&lt;1)*($B8&lt;&gt;$B$344)*LEN(F$353)*(LEN(F8)=0)*(LEN(F7)=0)</formula>
    </cfRule>
    <cfRule type="expression" dxfId="2959" priority="146529" stopIfTrue="1">
      <formula>(VALUE($B8)&lt;1)*($B8&lt;&gt;$B$344)*LEN(F$353)</formula>
    </cfRule>
    <cfRule type="expression" dxfId="2958" priority="146530" stopIfTrue="1">
      <formula>IsEntireDay*ShowAssignmentName</formula>
    </cfRule>
    <cfRule type="expression" dxfId="2957" priority="146531" stopIfTrue="1">
      <formula>(1=IsColor)*ShowAssignmentName</formula>
    </cfRule>
    <cfRule type="expression" dxfId="2956" priority="146532" stopIfTrue="1">
      <formula>(1=IsColor)*ShowAssignmentColor</formula>
    </cfRule>
    <cfRule type="expression" dxfId="2955" priority="146533" stopIfTrue="1">
      <formula>(2=IsColor)*ShowAssignmentName</formula>
    </cfRule>
    <cfRule type="expression" dxfId="2954" priority="146534" stopIfTrue="1">
      <formula>(2=IsColor)*ShowAssignmentColor</formula>
    </cfRule>
    <cfRule type="expression" dxfId="2953" priority="146535" stopIfTrue="1">
      <formula>(3=IsColor)*ShowAssignmentName</formula>
    </cfRule>
    <cfRule type="expression" dxfId="2952" priority="146536" stopIfTrue="1">
      <formula>(3=IsColor)*ShowAssignmentColor</formula>
    </cfRule>
    <cfRule type="expression" dxfId="2951" priority="146537" stopIfTrue="1">
      <formula>(4=IsColor)*ShowAssignmentName</formula>
    </cfRule>
    <cfRule type="expression" dxfId="2950" priority="146538" stopIfTrue="1">
      <formula>(4=IsColor)*ShowAssignmentColor</formula>
    </cfRule>
    <cfRule type="expression" dxfId="2949" priority="146539" stopIfTrue="1">
      <formula>(5=IsColor)*ShowAssignmentName</formula>
    </cfRule>
    <cfRule type="expression" dxfId="2948" priority="146540" stopIfTrue="1">
      <formula>(5=IsColor)*ShowAssignmentColor</formula>
    </cfRule>
    <cfRule type="expression" dxfId="2947" priority="146541" stopIfTrue="1">
      <formula>(6=IsColor)*ShowAssignmentName</formula>
    </cfRule>
    <cfRule type="expression" dxfId="2946" priority="146542" stopIfTrue="1">
      <formula>(6=IsColor)*ShowAssignmentColor</formula>
    </cfRule>
    <cfRule type="expression" dxfId="2945" priority="146543" stopIfTrue="1">
      <formula>(7=IsColor)*ShowAssignmentName</formula>
    </cfRule>
    <cfRule type="expression" dxfId="2944" priority="146544" stopIfTrue="1">
      <formula>(7=IsColor)*ShowAssignmentColor</formula>
    </cfRule>
    <cfRule type="expression" dxfId="2943" priority="146545" stopIfTrue="1">
      <formula>(8=IsColor)*ShowAssignmentName</formula>
    </cfRule>
    <cfRule type="expression" dxfId="2942" priority="146546" stopIfTrue="1">
      <formula>(8=IsColor)*ShowAssignmentColor</formula>
    </cfRule>
    <cfRule type="expression" dxfId="2941" priority="146547" stopIfTrue="1">
      <formula>(9=IsColor)*ShowAssignmentName</formula>
    </cfRule>
    <cfRule type="expression" dxfId="2940" priority="146548" stopIfTrue="1">
      <formula>(9=IsColor)*ShowAssignmentColor</formula>
    </cfRule>
    <cfRule type="expression" dxfId="2939" priority="146549" stopIfTrue="1">
      <formula>(10=IsColor)*ShowAssignmentName</formula>
    </cfRule>
    <cfRule type="expression" dxfId="2938" priority="146550" stopIfTrue="1">
      <formula>(10=IsColor)*ShowAssignmentColor</formula>
    </cfRule>
    <cfRule type="expression" dxfId="2937" priority="146551" stopIfTrue="1">
      <formula>(11=IsColor)*ShowAssignmentName</formula>
    </cfRule>
    <cfRule type="expression" dxfId="2936" priority="146552" stopIfTrue="1">
      <formula>(11=IsColor)*ShowAssignmentColor</formula>
    </cfRule>
  </conditionalFormatting>
  <conditionalFormatting sqref="F164">
    <cfRule type="expression" dxfId="2935" priority="146603" stopIfTrue="1">
      <formula>(VALUE($B156)&lt;1)*($B156&lt;&gt;$B$344)*LEN(F$353)*(LEN(F164)=0)*(LEN(F162)=0)</formula>
    </cfRule>
    <cfRule type="expression" dxfId="2934" priority="146604" stopIfTrue="1">
      <formula>(VALUE($B156)&lt;1)*($B156&lt;&gt;$B$344)*LEN(F$353)</formula>
    </cfRule>
    <cfRule type="expression" dxfId="2933" priority="146605" stopIfTrue="1">
      <formula>IsEntireDay*ShowAssignmentName</formula>
    </cfRule>
    <cfRule type="expression" dxfId="2932" priority="146606" stopIfTrue="1">
      <formula>(1=IsColor)*ShowAssignmentName</formula>
    </cfRule>
    <cfRule type="expression" dxfId="2931" priority="146607" stopIfTrue="1">
      <formula>(1=IsColor)*ShowAssignmentColor</formula>
    </cfRule>
    <cfRule type="expression" dxfId="2930" priority="146608" stopIfTrue="1">
      <formula>(2=IsColor)*ShowAssignmentName</formula>
    </cfRule>
    <cfRule type="expression" dxfId="2929" priority="146609" stopIfTrue="1">
      <formula>(2=IsColor)*ShowAssignmentColor</formula>
    </cfRule>
    <cfRule type="expression" dxfId="2928" priority="146610" stopIfTrue="1">
      <formula>(3=IsColor)*ShowAssignmentName</formula>
    </cfRule>
    <cfRule type="expression" dxfId="2927" priority="146611" stopIfTrue="1">
      <formula>(3=IsColor)*ShowAssignmentColor</formula>
    </cfRule>
    <cfRule type="expression" dxfId="2926" priority="146612" stopIfTrue="1">
      <formula>(4=IsColor)*ShowAssignmentName</formula>
    </cfRule>
    <cfRule type="expression" dxfId="2925" priority="146613" stopIfTrue="1">
      <formula>(4=IsColor)*ShowAssignmentColor</formula>
    </cfRule>
    <cfRule type="expression" dxfId="2924" priority="146614" stopIfTrue="1">
      <formula>(5=IsColor)*ShowAssignmentName</formula>
    </cfRule>
    <cfRule type="expression" dxfId="2923" priority="146615" stopIfTrue="1">
      <formula>(5=IsColor)*ShowAssignmentColor</formula>
    </cfRule>
    <cfRule type="expression" dxfId="2922" priority="146616" stopIfTrue="1">
      <formula>(6=IsColor)*ShowAssignmentName</formula>
    </cfRule>
    <cfRule type="expression" dxfId="2921" priority="146617" stopIfTrue="1">
      <formula>(6=IsColor)*ShowAssignmentColor</formula>
    </cfRule>
    <cfRule type="expression" dxfId="2920" priority="146618" stopIfTrue="1">
      <formula>(7=IsColor)*ShowAssignmentName</formula>
    </cfRule>
    <cfRule type="expression" dxfId="2919" priority="146619" stopIfTrue="1">
      <formula>(7=IsColor)*ShowAssignmentColor</formula>
    </cfRule>
    <cfRule type="expression" dxfId="2918" priority="146620" stopIfTrue="1">
      <formula>(8=IsColor)*ShowAssignmentName</formula>
    </cfRule>
    <cfRule type="expression" dxfId="2917" priority="146621" stopIfTrue="1">
      <formula>(8=IsColor)*ShowAssignmentColor</formula>
    </cfRule>
    <cfRule type="expression" dxfId="2916" priority="146622" stopIfTrue="1">
      <formula>(9=IsColor)*ShowAssignmentName</formula>
    </cfRule>
    <cfRule type="expression" dxfId="2915" priority="146623" stopIfTrue="1">
      <formula>(9=IsColor)*ShowAssignmentColor</formula>
    </cfRule>
    <cfRule type="expression" dxfId="2914" priority="146624" stopIfTrue="1">
      <formula>(10=IsColor)*ShowAssignmentName</formula>
    </cfRule>
    <cfRule type="expression" dxfId="2913" priority="146625" stopIfTrue="1">
      <formula>(10=IsColor)*ShowAssignmentColor</formula>
    </cfRule>
    <cfRule type="expression" dxfId="2912" priority="146626" stopIfTrue="1">
      <formula>(11=IsColor)*ShowAssignmentName</formula>
    </cfRule>
    <cfRule type="expression" dxfId="2911" priority="146627" stopIfTrue="1">
      <formula>(11=IsColor)*ShowAssignmentColor</formula>
    </cfRule>
  </conditionalFormatting>
  <conditionalFormatting sqref="F10:F12">
    <cfRule type="expression" dxfId="2910" priority="146628" stopIfTrue="1">
      <formula>(VALUE($B10)&lt;1)*($B10&lt;&gt;$B$344)*LEN(F$353)*(LEN(F10)=0)*(LEN(#REF!)=0)</formula>
    </cfRule>
    <cfRule type="expression" dxfId="2909" priority="146629" stopIfTrue="1">
      <formula>(VALUE($B10)&lt;1)*($B10&lt;&gt;$B$344)*LEN(F$353)</formula>
    </cfRule>
    <cfRule type="expression" dxfId="2908" priority="146630" stopIfTrue="1">
      <formula>IsEntireDay*ShowAssignmentName</formula>
    </cfRule>
    <cfRule type="expression" dxfId="2907" priority="146631" stopIfTrue="1">
      <formula>(1=IsColor)*ShowAssignmentName</formula>
    </cfRule>
    <cfRule type="expression" dxfId="2906" priority="146632" stopIfTrue="1">
      <formula>(1=IsColor)*ShowAssignmentColor</formula>
    </cfRule>
    <cfRule type="expression" dxfId="2905" priority="146633" stopIfTrue="1">
      <formula>(2=IsColor)*ShowAssignmentName</formula>
    </cfRule>
    <cfRule type="expression" dxfId="2904" priority="146634" stopIfTrue="1">
      <formula>(2=IsColor)*ShowAssignmentColor</formula>
    </cfRule>
    <cfRule type="expression" dxfId="2903" priority="146635" stopIfTrue="1">
      <formula>(3=IsColor)*ShowAssignmentName</formula>
    </cfRule>
    <cfRule type="expression" dxfId="2902" priority="146636" stopIfTrue="1">
      <formula>(3=IsColor)*ShowAssignmentColor</formula>
    </cfRule>
    <cfRule type="expression" dxfId="2901" priority="146637" stopIfTrue="1">
      <formula>(4=IsColor)*ShowAssignmentName</formula>
    </cfRule>
    <cfRule type="expression" dxfId="2900" priority="146638" stopIfTrue="1">
      <formula>(4=IsColor)*ShowAssignmentColor</formula>
    </cfRule>
    <cfRule type="expression" dxfId="2899" priority="146639" stopIfTrue="1">
      <formula>(5=IsColor)*ShowAssignmentName</formula>
    </cfRule>
    <cfRule type="expression" dxfId="2898" priority="146640" stopIfTrue="1">
      <formula>(5=IsColor)*ShowAssignmentColor</formula>
    </cfRule>
    <cfRule type="expression" dxfId="2897" priority="146641" stopIfTrue="1">
      <formula>(6=IsColor)*ShowAssignmentName</formula>
    </cfRule>
    <cfRule type="expression" dxfId="2896" priority="146642" stopIfTrue="1">
      <formula>(6=IsColor)*ShowAssignmentColor</formula>
    </cfRule>
    <cfRule type="expression" dxfId="2895" priority="146643" stopIfTrue="1">
      <formula>(7=IsColor)*ShowAssignmentName</formula>
    </cfRule>
    <cfRule type="expression" dxfId="2894" priority="146644" stopIfTrue="1">
      <formula>(7=IsColor)*ShowAssignmentColor</formula>
    </cfRule>
    <cfRule type="expression" dxfId="2893" priority="146645" stopIfTrue="1">
      <formula>(8=IsColor)*ShowAssignmentName</formula>
    </cfRule>
    <cfRule type="expression" dxfId="2892" priority="146646" stopIfTrue="1">
      <formula>(8=IsColor)*ShowAssignmentColor</formula>
    </cfRule>
    <cfRule type="expression" dxfId="2891" priority="146647" stopIfTrue="1">
      <formula>(9=IsColor)*ShowAssignmentName</formula>
    </cfRule>
    <cfRule type="expression" dxfId="2890" priority="146648" stopIfTrue="1">
      <formula>(9=IsColor)*ShowAssignmentColor</formula>
    </cfRule>
    <cfRule type="expression" dxfId="2889" priority="146649" stopIfTrue="1">
      <formula>(10=IsColor)*ShowAssignmentName</formula>
    </cfRule>
    <cfRule type="expression" dxfId="2888" priority="146650" stopIfTrue="1">
      <formula>(10=IsColor)*ShowAssignmentColor</formula>
    </cfRule>
    <cfRule type="expression" dxfId="2887" priority="146651" stopIfTrue="1">
      <formula>(11=IsColor)*ShowAssignmentName</formula>
    </cfRule>
    <cfRule type="expression" dxfId="2886" priority="146652" stopIfTrue="1">
      <formula>(11=IsColor)*ShowAssignmentColor</formula>
    </cfRule>
  </conditionalFormatting>
  <conditionalFormatting sqref="F114">
    <cfRule type="expression" dxfId="2885" priority="146653" stopIfTrue="1">
      <formula>(VALUE($B113)&lt;1)*($B113&lt;&gt;$B$344)*LEN(F$353)*(LEN(F114)=0)*(LEN(F112)=0)</formula>
    </cfRule>
    <cfRule type="expression" dxfId="2884" priority="146654" stopIfTrue="1">
      <formula>(VALUE($B113)&lt;1)*($B113&lt;&gt;$B$344)*LEN(F$353)</formula>
    </cfRule>
    <cfRule type="expression" dxfId="2883" priority="146655" stopIfTrue="1">
      <formula>IsEntireDay*ShowAssignmentName</formula>
    </cfRule>
    <cfRule type="expression" dxfId="2882" priority="146656" stopIfTrue="1">
      <formula>(1=IsColor)*ShowAssignmentName</formula>
    </cfRule>
    <cfRule type="expression" dxfId="2881" priority="146657" stopIfTrue="1">
      <formula>(1=IsColor)*ShowAssignmentColor</formula>
    </cfRule>
    <cfRule type="expression" dxfId="2880" priority="146658" stopIfTrue="1">
      <formula>(2=IsColor)*ShowAssignmentName</formula>
    </cfRule>
    <cfRule type="expression" dxfId="2879" priority="146659" stopIfTrue="1">
      <formula>(2=IsColor)*ShowAssignmentColor</formula>
    </cfRule>
    <cfRule type="expression" dxfId="2878" priority="146660" stopIfTrue="1">
      <formula>(3=IsColor)*ShowAssignmentName</formula>
    </cfRule>
    <cfRule type="expression" dxfId="2877" priority="146661" stopIfTrue="1">
      <formula>(3=IsColor)*ShowAssignmentColor</formula>
    </cfRule>
    <cfRule type="expression" dxfId="2876" priority="146662" stopIfTrue="1">
      <formula>(4=IsColor)*ShowAssignmentName</formula>
    </cfRule>
    <cfRule type="expression" dxfId="2875" priority="146663" stopIfTrue="1">
      <formula>(4=IsColor)*ShowAssignmentColor</formula>
    </cfRule>
    <cfRule type="expression" dxfId="2874" priority="146664" stopIfTrue="1">
      <formula>(5=IsColor)*ShowAssignmentName</formula>
    </cfRule>
    <cfRule type="expression" dxfId="2873" priority="146665" stopIfTrue="1">
      <formula>(5=IsColor)*ShowAssignmentColor</formula>
    </cfRule>
    <cfRule type="expression" dxfId="2872" priority="146666" stopIfTrue="1">
      <formula>(6=IsColor)*ShowAssignmentName</formula>
    </cfRule>
    <cfRule type="expression" dxfId="2871" priority="146667" stopIfTrue="1">
      <formula>(6=IsColor)*ShowAssignmentColor</formula>
    </cfRule>
    <cfRule type="expression" dxfId="2870" priority="146668" stopIfTrue="1">
      <formula>(7=IsColor)*ShowAssignmentName</formula>
    </cfRule>
    <cfRule type="expression" dxfId="2869" priority="146669" stopIfTrue="1">
      <formula>(7=IsColor)*ShowAssignmentColor</formula>
    </cfRule>
    <cfRule type="expression" dxfId="2868" priority="146670" stopIfTrue="1">
      <formula>(8=IsColor)*ShowAssignmentName</formula>
    </cfRule>
    <cfRule type="expression" dxfId="2867" priority="146671" stopIfTrue="1">
      <formula>(8=IsColor)*ShowAssignmentColor</formula>
    </cfRule>
    <cfRule type="expression" dxfId="2866" priority="146672" stopIfTrue="1">
      <formula>(9=IsColor)*ShowAssignmentName</formula>
    </cfRule>
    <cfRule type="expression" dxfId="2865" priority="146673" stopIfTrue="1">
      <formula>(9=IsColor)*ShowAssignmentColor</formula>
    </cfRule>
    <cfRule type="expression" dxfId="2864" priority="146674" stopIfTrue="1">
      <formula>(10=IsColor)*ShowAssignmentName</formula>
    </cfRule>
    <cfRule type="expression" dxfId="2863" priority="146675" stopIfTrue="1">
      <formula>(10=IsColor)*ShowAssignmentColor</formula>
    </cfRule>
    <cfRule type="expression" dxfId="2862" priority="146676" stopIfTrue="1">
      <formula>(11=IsColor)*ShowAssignmentName</formula>
    </cfRule>
    <cfRule type="expression" dxfId="2861" priority="146677" stopIfTrue="1">
      <formula>(11=IsColor)*ShowAssignmentColor</formula>
    </cfRule>
  </conditionalFormatting>
  <conditionalFormatting sqref="F165:F166">
    <cfRule type="expression" dxfId="2860" priority="146678" stopIfTrue="1">
      <formula>(VALUE($B156)&lt;1)*($B156&lt;&gt;$B$344)*LEN(F$353)*(LEN(F165)=0)*(LEN(F163)=0)</formula>
    </cfRule>
    <cfRule type="expression" dxfId="2859" priority="146679" stopIfTrue="1">
      <formula>(VALUE($B156)&lt;1)*($B156&lt;&gt;$B$344)*LEN(F$353)</formula>
    </cfRule>
    <cfRule type="expression" dxfId="2858" priority="146680" stopIfTrue="1">
      <formula>IsEntireDay*ShowAssignmentName</formula>
    </cfRule>
    <cfRule type="expression" dxfId="2857" priority="146681" stopIfTrue="1">
      <formula>(1=IsColor)*ShowAssignmentName</formula>
    </cfRule>
    <cfRule type="expression" dxfId="2856" priority="146682" stopIfTrue="1">
      <formula>(1=IsColor)*ShowAssignmentColor</formula>
    </cfRule>
    <cfRule type="expression" dxfId="2855" priority="146683" stopIfTrue="1">
      <formula>(2=IsColor)*ShowAssignmentName</formula>
    </cfRule>
    <cfRule type="expression" dxfId="2854" priority="146684" stopIfTrue="1">
      <formula>(2=IsColor)*ShowAssignmentColor</formula>
    </cfRule>
    <cfRule type="expression" dxfId="2853" priority="146685" stopIfTrue="1">
      <formula>(3=IsColor)*ShowAssignmentName</formula>
    </cfRule>
    <cfRule type="expression" dxfId="2852" priority="146686" stopIfTrue="1">
      <formula>(3=IsColor)*ShowAssignmentColor</formula>
    </cfRule>
    <cfRule type="expression" dxfId="2851" priority="146687" stopIfTrue="1">
      <formula>(4=IsColor)*ShowAssignmentName</formula>
    </cfRule>
    <cfRule type="expression" dxfId="2850" priority="146688" stopIfTrue="1">
      <formula>(4=IsColor)*ShowAssignmentColor</formula>
    </cfRule>
    <cfRule type="expression" dxfId="2849" priority="146689" stopIfTrue="1">
      <formula>(5=IsColor)*ShowAssignmentName</formula>
    </cfRule>
    <cfRule type="expression" dxfId="2848" priority="146690" stopIfTrue="1">
      <formula>(5=IsColor)*ShowAssignmentColor</formula>
    </cfRule>
    <cfRule type="expression" dxfId="2847" priority="146691" stopIfTrue="1">
      <formula>(6=IsColor)*ShowAssignmentName</formula>
    </cfRule>
    <cfRule type="expression" dxfId="2846" priority="146692" stopIfTrue="1">
      <formula>(6=IsColor)*ShowAssignmentColor</formula>
    </cfRule>
    <cfRule type="expression" dxfId="2845" priority="146693" stopIfTrue="1">
      <formula>(7=IsColor)*ShowAssignmentName</formula>
    </cfRule>
    <cfRule type="expression" dxfId="2844" priority="146694" stopIfTrue="1">
      <formula>(7=IsColor)*ShowAssignmentColor</formula>
    </cfRule>
    <cfRule type="expression" dxfId="2843" priority="146695" stopIfTrue="1">
      <formula>(8=IsColor)*ShowAssignmentName</formula>
    </cfRule>
    <cfRule type="expression" dxfId="2842" priority="146696" stopIfTrue="1">
      <formula>(8=IsColor)*ShowAssignmentColor</formula>
    </cfRule>
    <cfRule type="expression" dxfId="2841" priority="146697" stopIfTrue="1">
      <formula>(9=IsColor)*ShowAssignmentName</formula>
    </cfRule>
    <cfRule type="expression" dxfId="2840" priority="146698" stopIfTrue="1">
      <formula>(9=IsColor)*ShowAssignmentColor</formula>
    </cfRule>
    <cfRule type="expression" dxfId="2839" priority="146699" stopIfTrue="1">
      <formula>(10=IsColor)*ShowAssignmentName</formula>
    </cfRule>
    <cfRule type="expression" dxfId="2838" priority="146700" stopIfTrue="1">
      <formula>(10=IsColor)*ShowAssignmentColor</formula>
    </cfRule>
    <cfRule type="expression" dxfId="2837" priority="146701" stopIfTrue="1">
      <formula>(11=IsColor)*ShowAssignmentName</formula>
    </cfRule>
    <cfRule type="expression" dxfId="2836" priority="146702" stopIfTrue="1">
      <formula>(11=IsColor)*ShowAssignmentColor</formula>
    </cfRule>
  </conditionalFormatting>
  <conditionalFormatting sqref="F121">
    <cfRule type="expression" dxfId="2835" priority="146703" stopIfTrue="1">
      <formula>(VALUE($B120)&lt;1)*($B120&lt;&gt;$B$344)*LEN(F$353)*(LEN(F121)=0)*(LEN(F116)=0)</formula>
    </cfRule>
    <cfRule type="expression" dxfId="2834" priority="146704" stopIfTrue="1">
      <formula>(VALUE($B120)&lt;1)*($B120&lt;&gt;$B$344)*LEN(F$353)</formula>
    </cfRule>
    <cfRule type="expression" dxfId="2833" priority="146705" stopIfTrue="1">
      <formula>IsEntireDay*ShowAssignmentName</formula>
    </cfRule>
    <cfRule type="expression" dxfId="2832" priority="146706" stopIfTrue="1">
      <formula>(1=IsColor)*ShowAssignmentName</formula>
    </cfRule>
    <cfRule type="expression" dxfId="2831" priority="146707" stopIfTrue="1">
      <formula>(1=IsColor)*ShowAssignmentColor</formula>
    </cfRule>
    <cfRule type="expression" dxfId="2830" priority="146708" stopIfTrue="1">
      <formula>(2=IsColor)*ShowAssignmentName</formula>
    </cfRule>
    <cfRule type="expression" dxfId="2829" priority="146709" stopIfTrue="1">
      <formula>(2=IsColor)*ShowAssignmentColor</formula>
    </cfRule>
    <cfRule type="expression" dxfId="2828" priority="146710" stopIfTrue="1">
      <formula>(3=IsColor)*ShowAssignmentName</formula>
    </cfRule>
    <cfRule type="expression" dxfId="2827" priority="146711" stopIfTrue="1">
      <formula>(3=IsColor)*ShowAssignmentColor</formula>
    </cfRule>
    <cfRule type="expression" dxfId="2826" priority="146712" stopIfTrue="1">
      <formula>(4=IsColor)*ShowAssignmentName</formula>
    </cfRule>
    <cfRule type="expression" dxfId="2825" priority="146713" stopIfTrue="1">
      <formula>(4=IsColor)*ShowAssignmentColor</formula>
    </cfRule>
    <cfRule type="expression" dxfId="2824" priority="146714" stopIfTrue="1">
      <formula>(5=IsColor)*ShowAssignmentName</formula>
    </cfRule>
    <cfRule type="expression" dxfId="2823" priority="146715" stopIfTrue="1">
      <formula>(5=IsColor)*ShowAssignmentColor</formula>
    </cfRule>
    <cfRule type="expression" dxfId="2822" priority="146716" stopIfTrue="1">
      <formula>(6=IsColor)*ShowAssignmentName</formula>
    </cfRule>
    <cfRule type="expression" dxfId="2821" priority="146717" stopIfTrue="1">
      <formula>(6=IsColor)*ShowAssignmentColor</formula>
    </cfRule>
    <cfRule type="expression" dxfId="2820" priority="146718" stopIfTrue="1">
      <formula>(7=IsColor)*ShowAssignmentName</formula>
    </cfRule>
    <cfRule type="expression" dxfId="2819" priority="146719" stopIfTrue="1">
      <formula>(7=IsColor)*ShowAssignmentColor</formula>
    </cfRule>
    <cfRule type="expression" dxfId="2818" priority="146720" stopIfTrue="1">
      <formula>(8=IsColor)*ShowAssignmentName</formula>
    </cfRule>
    <cfRule type="expression" dxfId="2817" priority="146721" stopIfTrue="1">
      <formula>(8=IsColor)*ShowAssignmentColor</formula>
    </cfRule>
    <cfRule type="expression" dxfId="2816" priority="146722" stopIfTrue="1">
      <formula>(9=IsColor)*ShowAssignmentName</formula>
    </cfRule>
    <cfRule type="expression" dxfId="2815" priority="146723" stopIfTrue="1">
      <formula>(9=IsColor)*ShowAssignmentColor</formula>
    </cfRule>
    <cfRule type="expression" dxfId="2814" priority="146724" stopIfTrue="1">
      <formula>(10=IsColor)*ShowAssignmentName</formula>
    </cfRule>
    <cfRule type="expression" dxfId="2813" priority="146725" stopIfTrue="1">
      <formula>(10=IsColor)*ShowAssignmentColor</formula>
    </cfRule>
    <cfRule type="expression" dxfId="2812" priority="146726" stopIfTrue="1">
      <formula>(11=IsColor)*ShowAssignmentName</formula>
    </cfRule>
    <cfRule type="expression" dxfId="2811" priority="146727" stopIfTrue="1">
      <formula>(11=IsColor)*ShowAssignmentColor</formula>
    </cfRule>
  </conditionalFormatting>
  <conditionalFormatting sqref="F138">
    <cfRule type="expression" dxfId="2810" priority="146728" stopIfTrue="1">
      <formula>(VALUE($B135)&lt;1)*($B135&lt;&gt;$B$344)*LEN(F$353)*(LEN(F138)=0)*(LEN(F135)=0)</formula>
    </cfRule>
    <cfRule type="expression" dxfId="2809" priority="146729" stopIfTrue="1">
      <formula>(VALUE($B135)&lt;1)*($B135&lt;&gt;$B$344)*LEN(F$353)*(LEN(F138)=0)*(LEN(F135)=0)</formula>
    </cfRule>
    <cfRule type="expression" dxfId="2808" priority="146730" stopIfTrue="1">
      <formula>(VALUE($B135)&lt;1)*($B135&lt;&gt;$B$344)*LEN(F$353)</formula>
    </cfRule>
    <cfRule type="expression" dxfId="2807" priority="146731" stopIfTrue="1">
      <formula>IsEntireDay*ShowAssignmentName</formula>
    </cfRule>
    <cfRule type="expression" dxfId="2806" priority="146732" stopIfTrue="1">
      <formula>(1=IsColor)*ShowAssignmentName</formula>
    </cfRule>
    <cfRule type="expression" dxfId="2805" priority="146733" stopIfTrue="1">
      <formula>(1=IsColor)*ShowAssignmentColor</formula>
    </cfRule>
    <cfRule type="expression" dxfId="2804" priority="146734" stopIfTrue="1">
      <formula>(2=IsColor)*ShowAssignmentName</formula>
    </cfRule>
    <cfRule type="expression" dxfId="2803" priority="146735" stopIfTrue="1">
      <formula>(2=IsColor)*ShowAssignmentColor</formula>
    </cfRule>
    <cfRule type="expression" dxfId="2802" priority="146736" stopIfTrue="1">
      <formula>(3=IsColor)*ShowAssignmentName</formula>
    </cfRule>
    <cfRule type="expression" dxfId="2801" priority="146737" stopIfTrue="1">
      <formula>(3=IsColor)*ShowAssignmentColor</formula>
    </cfRule>
    <cfRule type="expression" dxfId="2800" priority="146738" stopIfTrue="1">
      <formula>(4=IsColor)*ShowAssignmentName</formula>
    </cfRule>
    <cfRule type="expression" dxfId="2799" priority="146739" stopIfTrue="1">
      <formula>(4=IsColor)*ShowAssignmentColor</formula>
    </cfRule>
    <cfRule type="expression" dxfId="2798" priority="146740" stopIfTrue="1">
      <formula>(5=IsColor)*ShowAssignmentName</formula>
    </cfRule>
    <cfRule type="expression" dxfId="2797" priority="146741" stopIfTrue="1">
      <formula>(5=IsColor)*ShowAssignmentColor</formula>
    </cfRule>
    <cfRule type="expression" dxfId="2796" priority="146742" stopIfTrue="1">
      <formula>(6=IsColor)*ShowAssignmentName</formula>
    </cfRule>
    <cfRule type="expression" dxfId="2795" priority="146743" stopIfTrue="1">
      <formula>(6=IsColor)*ShowAssignmentColor</formula>
    </cfRule>
    <cfRule type="expression" dxfId="2794" priority="146744" stopIfTrue="1">
      <formula>(7=IsColor)*ShowAssignmentName</formula>
    </cfRule>
    <cfRule type="expression" dxfId="2793" priority="146745" stopIfTrue="1">
      <formula>(7=IsColor)*ShowAssignmentColor</formula>
    </cfRule>
    <cfRule type="expression" dxfId="2792" priority="146746" stopIfTrue="1">
      <formula>(8=IsColor)*ShowAssignmentName</formula>
    </cfRule>
    <cfRule type="expression" dxfId="2791" priority="146747" stopIfTrue="1">
      <formula>(8=IsColor)*ShowAssignmentColor</formula>
    </cfRule>
    <cfRule type="expression" dxfId="2790" priority="146748" stopIfTrue="1">
      <formula>(9=IsColor)*ShowAssignmentName</formula>
    </cfRule>
    <cfRule type="expression" dxfId="2789" priority="146749" stopIfTrue="1">
      <formula>(9=IsColor)*ShowAssignmentColor</formula>
    </cfRule>
    <cfRule type="expression" dxfId="2788" priority="146750" stopIfTrue="1">
      <formula>(10=IsColor)*ShowAssignmentName</formula>
    </cfRule>
    <cfRule type="expression" dxfId="2787" priority="146751" stopIfTrue="1">
      <formula>(10=IsColor)*ShowAssignmentColor</formula>
    </cfRule>
    <cfRule type="expression" dxfId="2786" priority="146752" stopIfTrue="1">
      <formula>(11=IsColor)*ShowAssignmentName</formula>
    </cfRule>
    <cfRule type="expression" dxfId="2785" priority="146753" stopIfTrue="1">
      <formula>(11=IsColor)*ShowAssignmentColor</formula>
    </cfRule>
  </conditionalFormatting>
  <conditionalFormatting sqref="F139">
    <cfRule type="expression" dxfId="2784" priority="146754" stopIfTrue="1">
      <formula>(VALUE($B136)&lt;1)*($B136&lt;&gt;$B$344)*LEN(F$353)*(LEN(F139)=0)*(LEN(F137)=0)</formula>
    </cfRule>
    <cfRule type="expression" dxfId="2783" priority="146755" stopIfTrue="1">
      <formula>(VALUE($B136)&lt;1)*($B136&lt;&gt;$B$344)*LEN(F$353)*(LEN(F139)=0)*(LEN(F137)=0)</formula>
    </cfRule>
    <cfRule type="expression" dxfId="2782" priority="146756" stopIfTrue="1">
      <formula>(VALUE($B136)&lt;1)*($B136&lt;&gt;$B$344)*LEN(F$353)</formula>
    </cfRule>
    <cfRule type="expression" dxfId="2781" priority="146757" stopIfTrue="1">
      <formula>IsEntireDay*ShowAssignmentName</formula>
    </cfRule>
    <cfRule type="expression" dxfId="2780" priority="146758" stopIfTrue="1">
      <formula>(1=IsColor)*ShowAssignmentName</formula>
    </cfRule>
    <cfRule type="expression" dxfId="2779" priority="146759" stopIfTrue="1">
      <formula>(1=IsColor)*ShowAssignmentColor</formula>
    </cfRule>
    <cfRule type="expression" dxfId="2778" priority="146760" stopIfTrue="1">
      <formula>(2=IsColor)*ShowAssignmentName</formula>
    </cfRule>
    <cfRule type="expression" dxfId="2777" priority="146761" stopIfTrue="1">
      <formula>(2=IsColor)*ShowAssignmentColor</formula>
    </cfRule>
    <cfRule type="expression" dxfId="2776" priority="146762" stopIfTrue="1">
      <formula>(3=IsColor)*ShowAssignmentName</formula>
    </cfRule>
    <cfRule type="expression" dxfId="2775" priority="146763" stopIfTrue="1">
      <formula>(3=IsColor)*ShowAssignmentColor</formula>
    </cfRule>
    <cfRule type="expression" dxfId="2774" priority="146764" stopIfTrue="1">
      <formula>(4=IsColor)*ShowAssignmentName</formula>
    </cfRule>
    <cfRule type="expression" dxfId="2773" priority="146765" stopIfTrue="1">
      <formula>(4=IsColor)*ShowAssignmentColor</formula>
    </cfRule>
    <cfRule type="expression" dxfId="2772" priority="146766" stopIfTrue="1">
      <formula>(5=IsColor)*ShowAssignmentName</formula>
    </cfRule>
    <cfRule type="expression" dxfId="2771" priority="146767" stopIfTrue="1">
      <formula>(5=IsColor)*ShowAssignmentColor</formula>
    </cfRule>
    <cfRule type="expression" dxfId="2770" priority="146768" stopIfTrue="1">
      <formula>(6=IsColor)*ShowAssignmentName</formula>
    </cfRule>
    <cfRule type="expression" dxfId="2769" priority="146769" stopIfTrue="1">
      <formula>(6=IsColor)*ShowAssignmentColor</formula>
    </cfRule>
    <cfRule type="expression" dxfId="2768" priority="146770" stopIfTrue="1">
      <formula>(7=IsColor)*ShowAssignmentName</formula>
    </cfRule>
    <cfRule type="expression" dxfId="2767" priority="146771" stopIfTrue="1">
      <formula>(7=IsColor)*ShowAssignmentColor</formula>
    </cfRule>
    <cfRule type="expression" dxfId="2766" priority="146772" stopIfTrue="1">
      <formula>(8=IsColor)*ShowAssignmentName</formula>
    </cfRule>
    <cfRule type="expression" dxfId="2765" priority="146773" stopIfTrue="1">
      <formula>(8=IsColor)*ShowAssignmentColor</formula>
    </cfRule>
    <cfRule type="expression" dxfId="2764" priority="146774" stopIfTrue="1">
      <formula>(9=IsColor)*ShowAssignmentName</formula>
    </cfRule>
    <cfRule type="expression" dxfId="2763" priority="146775" stopIfTrue="1">
      <formula>(9=IsColor)*ShowAssignmentColor</formula>
    </cfRule>
    <cfRule type="expression" dxfId="2762" priority="146776" stopIfTrue="1">
      <formula>(10=IsColor)*ShowAssignmentName</formula>
    </cfRule>
    <cfRule type="expression" dxfId="2761" priority="146777" stopIfTrue="1">
      <formula>(10=IsColor)*ShowAssignmentColor</formula>
    </cfRule>
    <cfRule type="expression" dxfId="2760" priority="146778" stopIfTrue="1">
      <formula>(11=IsColor)*ShowAssignmentName</formula>
    </cfRule>
    <cfRule type="expression" dxfId="2759" priority="146779" stopIfTrue="1">
      <formula>(11=IsColor)*ShowAssignmentColor</formula>
    </cfRule>
  </conditionalFormatting>
  <conditionalFormatting sqref="F157">
    <cfRule type="expression" dxfId="2758" priority="146780" stopIfTrue="1">
      <formula>(VALUE($B150)&lt;1)*($B150&lt;&gt;$B$344)*LEN(F$353)*(LEN(F157)=0)*(LEN(F154)=0)</formula>
    </cfRule>
    <cfRule type="expression" dxfId="2757" priority="146781" stopIfTrue="1">
      <formula>(VALUE($B150)&lt;1)*($B150&lt;&gt;$B$344)*LEN(F$353)*(LEN(F157)=0)*(LEN(F154)=0)</formula>
    </cfRule>
    <cfRule type="expression" dxfId="2756" priority="146782" stopIfTrue="1">
      <formula>(VALUE($B150)&lt;1)*($B150&lt;&gt;$B$344)*LEN(F$353)</formula>
    </cfRule>
    <cfRule type="expression" dxfId="2755" priority="146783" stopIfTrue="1">
      <formula>IsEntireDay*ShowAssignmentName</formula>
    </cfRule>
    <cfRule type="expression" dxfId="2754" priority="146784" stopIfTrue="1">
      <formula>(1=IsColor)*ShowAssignmentName</formula>
    </cfRule>
    <cfRule type="expression" dxfId="2753" priority="146785" stopIfTrue="1">
      <formula>(1=IsColor)*ShowAssignmentColor</formula>
    </cfRule>
    <cfRule type="expression" dxfId="2752" priority="146786" stopIfTrue="1">
      <formula>(2=IsColor)*ShowAssignmentName</formula>
    </cfRule>
    <cfRule type="expression" dxfId="2751" priority="146787" stopIfTrue="1">
      <formula>(2=IsColor)*ShowAssignmentColor</formula>
    </cfRule>
    <cfRule type="expression" dxfId="2750" priority="146788" stopIfTrue="1">
      <formula>(3=IsColor)*ShowAssignmentName</formula>
    </cfRule>
    <cfRule type="expression" dxfId="2749" priority="146789" stopIfTrue="1">
      <formula>(3=IsColor)*ShowAssignmentColor</formula>
    </cfRule>
    <cfRule type="expression" dxfId="2748" priority="146790" stopIfTrue="1">
      <formula>(4=IsColor)*ShowAssignmentName</formula>
    </cfRule>
    <cfRule type="expression" dxfId="2747" priority="146791" stopIfTrue="1">
      <formula>(4=IsColor)*ShowAssignmentColor</formula>
    </cfRule>
    <cfRule type="expression" dxfId="2746" priority="146792" stopIfTrue="1">
      <formula>(5=IsColor)*ShowAssignmentName</formula>
    </cfRule>
    <cfRule type="expression" dxfId="2745" priority="146793" stopIfTrue="1">
      <formula>(5=IsColor)*ShowAssignmentColor</formula>
    </cfRule>
    <cfRule type="expression" dxfId="2744" priority="146794" stopIfTrue="1">
      <formula>(6=IsColor)*ShowAssignmentName</formula>
    </cfRule>
    <cfRule type="expression" dxfId="2743" priority="146795" stopIfTrue="1">
      <formula>(6=IsColor)*ShowAssignmentColor</formula>
    </cfRule>
    <cfRule type="expression" dxfId="2742" priority="146796" stopIfTrue="1">
      <formula>(7=IsColor)*ShowAssignmentName</formula>
    </cfRule>
    <cfRule type="expression" dxfId="2741" priority="146797" stopIfTrue="1">
      <formula>(7=IsColor)*ShowAssignmentColor</formula>
    </cfRule>
    <cfRule type="expression" dxfId="2740" priority="146798" stopIfTrue="1">
      <formula>(8=IsColor)*ShowAssignmentName</formula>
    </cfRule>
    <cfRule type="expression" dxfId="2739" priority="146799" stopIfTrue="1">
      <formula>(8=IsColor)*ShowAssignmentColor</formula>
    </cfRule>
    <cfRule type="expression" dxfId="2738" priority="146800" stopIfTrue="1">
      <formula>(9=IsColor)*ShowAssignmentName</formula>
    </cfRule>
    <cfRule type="expression" dxfId="2737" priority="146801" stopIfTrue="1">
      <formula>(9=IsColor)*ShowAssignmentColor</formula>
    </cfRule>
    <cfRule type="expression" dxfId="2736" priority="146802" stopIfTrue="1">
      <formula>(10=IsColor)*ShowAssignmentName</formula>
    </cfRule>
    <cfRule type="expression" dxfId="2735" priority="146803" stopIfTrue="1">
      <formula>(10=IsColor)*ShowAssignmentColor</formula>
    </cfRule>
    <cfRule type="expression" dxfId="2734" priority="146804" stopIfTrue="1">
      <formula>(11=IsColor)*ShowAssignmentName</formula>
    </cfRule>
    <cfRule type="expression" dxfId="2733" priority="146805" stopIfTrue="1">
      <formula>(11=IsColor)*ShowAssignmentColor</formula>
    </cfRule>
  </conditionalFormatting>
  <conditionalFormatting sqref="F150">
    <cfRule type="expression" dxfId="2732" priority="146806" stopIfTrue="1">
      <formula>(VALUE($B145)&lt;1)*($B145&lt;&gt;$B$344)*LEN(F$353)*(LEN(F150)=0)*(LEN(#REF!)=0)</formula>
    </cfRule>
    <cfRule type="expression" dxfId="2731" priority="146807" stopIfTrue="1">
      <formula>(VALUE($B145)&lt;1)*($B145&lt;&gt;$B$344)*LEN(F$353)</formula>
    </cfRule>
    <cfRule type="expression" dxfId="2730" priority="146808" stopIfTrue="1">
      <formula>IsEntireDay*ShowAssignmentName</formula>
    </cfRule>
    <cfRule type="expression" dxfId="2729" priority="146809" stopIfTrue="1">
      <formula>(1=IsColor)*ShowAssignmentName</formula>
    </cfRule>
    <cfRule type="expression" dxfId="2728" priority="146810" stopIfTrue="1">
      <formula>(1=IsColor)*ShowAssignmentColor</formula>
    </cfRule>
    <cfRule type="expression" dxfId="2727" priority="146811" stopIfTrue="1">
      <formula>(2=IsColor)*ShowAssignmentName</formula>
    </cfRule>
    <cfRule type="expression" dxfId="2726" priority="146812" stopIfTrue="1">
      <formula>(2=IsColor)*ShowAssignmentColor</formula>
    </cfRule>
    <cfRule type="expression" dxfId="2725" priority="146813" stopIfTrue="1">
      <formula>(3=IsColor)*ShowAssignmentName</formula>
    </cfRule>
    <cfRule type="expression" dxfId="2724" priority="146814" stopIfTrue="1">
      <formula>(3=IsColor)*ShowAssignmentColor</formula>
    </cfRule>
    <cfRule type="expression" dxfId="2723" priority="146815" stopIfTrue="1">
      <formula>(4=IsColor)*ShowAssignmentName</formula>
    </cfRule>
    <cfRule type="expression" dxfId="2722" priority="146816" stopIfTrue="1">
      <formula>(4=IsColor)*ShowAssignmentColor</formula>
    </cfRule>
    <cfRule type="expression" dxfId="2721" priority="146817" stopIfTrue="1">
      <formula>(5=IsColor)*ShowAssignmentName</formula>
    </cfRule>
    <cfRule type="expression" dxfId="2720" priority="146818" stopIfTrue="1">
      <formula>(5=IsColor)*ShowAssignmentColor</formula>
    </cfRule>
    <cfRule type="expression" dxfId="2719" priority="146819" stopIfTrue="1">
      <formula>(6=IsColor)*ShowAssignmentName</formula>
    </cfRule>
    <cfRule type="expression" dxfId="2718" priority="146820" stopIfTrue="1">
      <formula>(6=IsColor)*ShowAssignmentColor</formula>
    </cfRule>
    <cfRule type="expression" dxfId="2717" priority="146821" stopIfTrue="1">
      <formula>(7=IsColor)*ShowAssignmentName</formula>
    </cfRule>
    <cfRule type="expression" dxfId="2716" priority="146822" stopIfTrue="1">
      <formula>(7=IsColor)*ShowAssignmentColor</formula>
    </cfRule>
    <cfRule type="expression" dxfId="2715" priority="146823" stopIfTrue="1">
      <formula>(8=IsColor)*ShowAssignmentName</formula>
    </cfRule>
    <cfRule type="expression" dxfId="2714" priority="146824" stopIfTrue="1">
      <formula>(8=IsColor)*ShowAssignmentColor</formula>
    </cfRule>
    <cfRule type="expression" dxfId="2713" priority="146825" stopIfTrue="1">
      <formula>(9=IsColor)*ShowAssignmentName</formula>
    </cfRule>
    <cfRule type="expression" dxfId="2712" priority="146826" stopIfTrue="1">
      <formula>(9=IsColor)*ShowAssignmentColor</formula>
    </cfRule>
    <cfRule type="expression" dxfId="2711" priority="146827" stopIfTrue="1">
      <formula>(10=IsColor)*ShowAssignmentName</formula>
    </cfRule>
    <cfRule type="expression" dxfId="2710" priority="146828" stopIfTrue="1">
      <formula>(10=IsColor)*ShowAssignmentColor</formula>
    </cfRule>
    <cfRule type="expression" dxfId="2709" priority="146829" stopIfTrue="1">
      <formula>(11=IsColor)*ShowAssignmentName</formula>
    </cfRule>
    <cfRule type="expression" dxfId="2708" priority="146830" stopIfTrue="1">
      <formula>(11=IsColor)*ShowAssignmentColor</formula>
    </cfRule>
  </conditionalFormatting>
  <conditionalFormatting sqref="F173">
    <cfRule type="expression" dxfId="2707" priority="1" stopIfTrue="1">
      <formula>(VALUE($B172)&lt;1)*($B172&lt;&gt;$B$344)*LEN(F$353)*(LEN(F173)=0)*(LEN(F172)=0)</formula>
    </cfRule>
    <cfRule type="expression" dxfId="2706" priority="2" stopIfTrue="1">
      <formula>(VALUE($B172)&lt;1)*($B172&lt;&gt;$B$344)*LEN(F$353)</formula>
    </cfRule>
    <cfRule type="expression" dxfId="2705" priority="3" stopIfTrue="1">
      <formula>IsEntireDay*ShowAssignmentName</formula>
    </cfRule>
    <cfRule type="expression" dxfId="2704" priority="4" stopIfTrue="1">
      <formula>(1=IsColor)*ShowAssignmentName</formula>
    </cfRule>
    <cfRule type="expression" dxfId="2703" priority="5" stopIfTrue="1">
      <formula>(1=IsColor)*ShowAssignmentColor</formula>
    </cfRule>
    <cfRule type="expression" dxfId="2702" priority="6" stopIfTrue="1">
      <formula>(2=IsColor)*ShowAssignmentName</formula>
    </cfRule>
    <cfRule type="expression" dxfId="2701" priority="7" stopIfTrue="1">
      <formula>(2=IsColor)*ShowAssignmentColor</formula>
    </cfRule>
    <cfRule type="expression" dxfId="2700" priority="8" stopIfTrue="1">
      <formula>(3=IsColor)*ShowAssignmentName</formula>
    </cfRule>
    <cfRule type="expression" dxfId="2699" priority="9" stopIfTrue="1">
      <formula>(3=IsColor)*ShowAssignmentColor</formula>
    </cfRule>
    <cfRule type="expression" dxfId="2698" priority="10" stopIfTrue="1">
      <formula>(4=IsColor)*ShowAssignmentName</formula>
    </cfRule>
    <cfRule type="expression" dxfId="2697" priority="11" stopIfTrue="1">
      <formula>(4=IsColor)*ShowAssignmentColor</formula>
    </cfRule>
    <cfRule type="expression" dxfId="2696" priority="12" stopIfTrue="1">
      <formula>(5=IsColor)*ShowAssignmentName</formula>
    </cfRule>
    <cfRule type="expression" dxfId="2695" priority="13" stopIfTrue="1">
      <formula>(5=IsColor)*ShowAssignmentColor</formula>
    </cfRule>
    <cfRule type="expression" dxfId="2694" priority="14" stopIfTrue="1">
      <formula>(6=IsColor)*ShowAssignmentName</formula>
    </cfRule>
    <cfRule type="expression" dxfId="2693" priority="15" stopIfTrue="1">
      <formula>(6=IsColor)*ShowAssignmentColor</formula>
    </cfRule>
    <cfRule type="expression" dxfId="2692" priority="16" stopIfTrue="1">
      <formula>(7=IsColor)*ShowAssignmentName</formula>
    </cfRule>
    <cfRule type="expression" dxfId="2691" priority="17" stopIfTrue="1">
      <formula>(7=IsColor)*ShowAssignmentColor</formula>
    </cfRule>
    <cfRule type="expression" dxfId="2690" priority="18" stopIfTrue="1">
      <formula>(8=IsColor)*ShowAssignmentName</formula>
    </cfRule>
    <cfRule type="expression" dxfId="2689" priority="19" stopIfTrue="1">
      <formula>(8=IsColor)*ShowAssignmentColor</formula>
    </cfRule>
    <cfRule type="expression" dxfId="2688" priority="20" stopIfTrue="1">
      <formula>(9=IsColor)*ShowAssignmentName</formula>
    </cfRule>
    <cfRule type="expression" dxfId="2687" priority="21" stopIfTrue="1">
      <formula>(9=IsColor)*ShowAssignmentColor</formula>
    </cfRule>
    <cfRule type="expression" dxfId="2686" priority="22" stopIfTrue="1">
      <formula>(10=IsColor)*ShowAssignmentName</formula>
    </cfRule>
    <cfRule type="expression" dxfId="2685" priority="23" stopIfTrue="1">
      <formula>(10=IsColor)*ShowAssignmentColor</formula>
    </cfRule>
    <cfRule type="expression" dxfId="2684" priority="24" stopIfTrue="1">
      <formula>(11=IsColor)*ShowAssignmentName</formula>
    </cfRule>
    <cfRule type="expression" dxfId="2683" priority="25" stopIfTrue="1">
      <formula>(11=IsColor)*ShowAssignmentColor</formula>
    </cfRule>
  </conditionalFormatting>
  <printOptions horizontalCentered="1"/>
  <pageMargins left="0.7" right="0.7" top="0.75" bottom="0.75" header="0.3" footer="0.3"/>
  <pageSetup fitToHeight="0" orientation="portrait" r:id="rId1"/>
  <ignoredErrors>
    <ignoredError sqref="F8 F121 F23 F117 F15:F16 F25:F28 F19:F20 F104:F115" unlockedFormula="1"/>
  </ignoredErrors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7C033-A273-4386-B64D-84D7BFA88146}">
  <sheetPr codeName="Sheet16">
    <tabColor theme="4"/>
    <pageSetUpPr autoPageBreaks="0" fitToPage="1"/>
  </sheetPr>
  <dimension ref="A1:N7157"/>
  <sheetViews>
    <sheetView showGridLines="0" tabSelected="1" view="pageBreakPreview" zoomScale="70" zoomScaleNormal="100" zoomScaleSheetLayoutView="70" workbookViewId="0">
      <pane ySplit="1" topLeftCell="A6248" activePane="bottomLeft" state="frozen"/>
      <selection pane="bottomLeft" activeCell="F6277" sqref="F6277"/>
    </sheetView>
  </sheetViews>
  <sheetFormatPr defaultColWidth="16.42578125" defaultRowHeight="15"/>
  <cols>
    <col min="1" max="1" width="0.85546875" style="185" customWidth="1"/>
    <col min="2" max="2" width="20.42578125" style="185" bestFit="1" customWidth="1"/>
    <col min="3" max="3" width="1.28515625" style="185" customWidth="1"/>
    <col min="4" max="9" width="23.140625" style="185" customWidth="1"/>
    <col min="10" max="10" width="1.28515625" style="185" customWidth="1"/>
    <col min="11" max="11" width="13.42578125" style="185" customWidth="1"/>
    <col min="12" max="12" width="32.7109375" style="185" customWidth="1"/>
    <col min="13" max="13" width="24.7109375" bestFit="1" customWidth="1"/>
  </cols>
  <sheetData>
    <row r="1" spans="1:13" ht="22.5" customHeight="1" thickTop="1" thickBot="1">
      <c r="A1" s="173"/>
      <c r="B1" s="174"/>
      <c r="C1" s="175"/>
      <c r="D1" s="176"/>
      <c r="E1" s="177">
        <f ca="1">TODAY()</f>
        <v>46246</v>
      </c>
      <c r="F1" s="175"/>
      <c r="G1" s="175"/>
      <c r="H1" s="175"/>
      <c r="I1" s="175"/>
      <c r="J1" s="175"/>
      <c r="K1" s="175"/>
      <c r="L1" s="175"/>
      <c r="M1" s="178" t="s">
        <v>617</v>
      </c>
    </row>
    <row r="2" spans="1:13" ht="33.75" thickTop="1">
      <c r="A2" s="179"/>
      <c r="B2" s="179"/>
      <c r="C2" s="180"/>
      <c r="D2" s="236">
        <v>46246</v>
      </c>
      <c r="E2" s="236"/>
      <c r="F2" s="181" t="str">
        <f>HYPERLINK("#B"&amp;MATCH(D2,B:B,0)+16,"➔GO")</f>
        <v>➔GO</v>
      </c>
      <c r="G2" s="180"/>
      <c r="H2" s="180"/>
      <c r="I2" s="180"/>
      <c r="J2" s="180"/>
      <c r="K2" s="180"/>
      <c r="L2" s="180"/>
    </row>
    <row r="3" spans="1:13" ht="29.25" thickBot="1">
      <c r="A3" s="182" t="str">
        <f>"回収シフト  第"&amp;ROUNDUP(DAY(B6)/7,0)  &amp;"  "&amp;TEXT(B6,"aaaa")</f>
        <v>回収シフト  第1  水曜日</v>
      </c>
      <c r="B3" s="183"/>
      <c r="C3" s="183"/>
      <c r="D3" s="183"/>
      <c r="E3" s="183"/>
      <c r="F3" s="183"/>
      <c r="G3" s="184"/>
      <c r="H3" s="184"/>
      <c r="I3" s="184"/>
      <c r="K3" s="183"/>
      <c r="L3" s="183"/>
    </row>
    <row r="4" spans="1:13" ht="15.75" thickBot="1">
      <c r="A4"/>
      <c r="B4"/>
      <c r="C4"/>
      <c r="D4" s="186" t="s">
        <v>201</v>
      </c>
      <c r="E4" s="186" t="s">
        <v>202</v>
      </c>
      <c r="F4" s="186" t="s">
        <v>203</v>
      </c>
      <c r="G4" s="186" t="s">
        <v>204</v>
      </c>
      <c r="H4" s="186" t="s">
        <v>267</v>
      </c>
      <c r="I4" s="217" t="s">
        <v>267</v>
      </c>
      <c r="K4" s="230" t="s">
        <v>257</v>
      </c>
      <c r="L4" s="231"/>
    </row>
    <row r="5" spans="1:13">
      <c r="A5" s="187"/>
      <c r="B5" s="188">
        <f>B6</f>
        <v>46113</v>
      </c>
      <c r="C5" s="187"/>
      <c r="D5" s="189" t="s">
        <v>728</v>
      </c>
      <c r="E5" s="189" t="s">
        <v>418</v>
      </c>
      <c r="F5" s="189" t="s">
        <v>121</v>
      </c>
      <c r="G5" s="189" t="s">
        <v>691</v>
      </c>
      <c r="H5" s="189" t="s">
        <v>274</v>
      </c>
      <c r="I5" s="218" t="s">
        <v>274</v>
      </c>
      <c r="K5" s="232" t="s">
        <v>258</v>
      </c>
      <c r="L5" s="190" t="str">
        <f ca="1">_xlfn.XLOOKUP($B6,シフト抽出!$19:$19,シフト抽出!$20:$20,"該当なし",0,1)</f>
        <v/>
      </c>
    </row>
    <row r="6" spans="1:13" ht="19.5" thickBot="1">
      <c r="A6"/>
      <c r="B6" s="191">
        <v>46113</v>
      </c>
      <c r="C6" s="192" t="e">
        <v>#REF!</v>
      </c>
      <c r="D6" s="193"/>
      <c r="E6" s="193"/>
      <c r="F6" s="193"/>
      <c r="G6" s="193"/>
      <c r="H6" s="193"/>
      <c r="I6" s="219"/>
      <c r="K6" s="233"/>
      <c r="L6" s="194" t="str">
        <f ca="1">_xlfn.XLOOKUP($B6,シフト抽出!$19:$19,シフト抽出!$21:$21,"該当なし",0,1)</f>
        <v/>
      </c>
    </row>
    <row r="7" spans="1:13">
      <c r="A7" s="195"/>
      <c r="B7" s="196">
        <v>0.25</v>
      </c>
      <c r="C7"/>
      <c r="D7" s="197"/>
      <c r="E7" s="196"/>
      <c r="F7" s="197"/>
      <c r="G7" s="197"/>
      <c r="H7" s="197"/>
      <c r="I7" s="209"/>
      <c r="K7" s="234" t="s">
        <v>259</v>
      </c>
      <c r="L7" s="198" t="str">
        <f ca="1">_xlfn.XLOOKUP($B6,シフト抽出!$19:$19,シフト抽出!$23:$23,"該当なし",0,1)</f>
        <v/>
      </c>
    </row>
    <row r="8" spans="1:13" ht="15.75" thickBot="1">
      <c r="A8" s="195"/>
      <c r="B8" s="195" t="s">
        <v>205</v>
      </c>
      <c r="C8"/>
      <c r="D8" s="197"/>
      <c r="E8" s="197"/>
      <c r="F8" s="197"/>
      <c r="G8" s="197"/>
      <c r="H8" s="197"/>
      <c r="I8" s="209"/>
      <c r="K8" s="235"/>
      <c r="L8" s="199" t="str">
        <f ca="1">_xlfn.XLOOKUP($B6,シフト抽出!$19:$19,シフト抽出!$24:$24,"該当なし",0,1)</f>
        <v/>
      </c>
    </row>
    <row r="9" spans="1:13">
      <c r="A9" s="195"/>
      <c r="B9" s="195" t="s">
        <v>206</v>
      </c>
      <c r="C9"/>
      <c r="D9" s="197"/>
      <c r="E9" s="197"/>
      <c r="F9" s="197"/>
      <c r="G9" s="197"/>
      <c r="H9" s="197"/>
      <c r="I9" s="209"/>
      <c r="K9" s="224" t="s">
        <v>260</v>
      </c>
      <c r="L9" s="200" t="str">
        <f ca="1">_xlfn.XLOOKUP($B6,シフト抽出!$19:$19,シフト抽出!$26:$26,"該当なし",0,1)</f>
        <v/>
      </c>
    </row>
    <row r="10" spans="1:13">
      <c r="A10" s="195"/>
      <c r="B10" s="195" t="s">
        <v>207</v>
      </c>
      <c r="C10"/>
      <c r="D10" s="197"/>
      <c r="E10" s="197"/>
      <c r="F10" s="197"/>
      <c r="G10" s="197"/>
      <c r="H10" s="197"/>
      <c r="I10" s="209"/>
      <c r="K10" s="225"/>
      <c r="L10" s="201" t="str">
        <f ca="1">_xlfn.XLOOKUP($B6,シフト抽出!$19:$19,シフト抽出!$27:$27,"該当なし",0,1)</f>
        <v/>
      </c>
    </row>
    <row r="11" spans="1:13">
      <c r="A11" s="195"/>
      <c r="B11" s="202" t="s">
        <v>208</v>
      </c>
      <c r="C11"/>
      <c r="D11" s="197"/>
      <c r="E11" s="197"/>
      <c r="F11" s="197"/>
      <c r="G11" s="197"/>
      <c r="H11" s="197"/>
      <c r="I11" s="209"/>
      <c r="J11" s="203"/>
      <c r="K11" s="225"/>
      <c r="L11" s="201" t="str">
        <f ca="1">_xlfn.XLOOKUP($B6,シフト抽出!$19:$19,シフト抽出!$28:$28,"該当なし",0,1)</f>
        <v/>
      </c>
    </row>
    <row r="12" spans="1:13" ht="15.75" thickBot="1">
      <c r="A12" s="195"/>
      <c r="B12" s="195" t="s">
        <v>205</v>
      </c>
      <c r="C12"/>
      <c r="D12" s="197"/>
      <c r="E12" s="197"/>
      <c r="F12" s="197"/>
      <c r="G12" s="197"/>
      <c r="H12" s="197"/>
      <c r="I12" s="209"/>
      <c r="J12" s="203"/>
      <c r="K12" s="226"/>
      <c r="L12" s="204" t="str">
        <f ca="1">_xlfn.XLOOKUP($B6,シフト抽出!$19:$19,シフト抽出!$29:$29,"該当なし",0,1)</f>
        <v/>
      </c>
    </row>
    <row r="13" spans="1:13" ht="15.75" thickBot="1">
      <c r="A13" s="195"/>
      <c r="B13" s="195" t="s">
        <v>206</v>
      </c>
      <c r="C13"/>
      <c r="D13" s="197"/>
      <c r="E13" s="197"/>
      <c r="F13" s="197"/>
      <c r="G13" s="197"/>
      <c r="H13" s="197"/>
      <c r="I13" s="209"/>
      <c r="K13" s="205" t="s">
        <v>261</v>
      </c>
      <c r="L13" s="205">
        <f>_xlfn.XLOOKUP($B6,予定表!B:B,予定表!R:R,"該当なし",0,1)</f>
        <v>0</v>
      </c>
    </row>
    <row r="14" spans="1:13">
      <c r="A14" s="195"/>
      <c r="B14" s="195" t="s">
        <v>207</v>
      </c>
      <c r="C14"/>
      <c r="D14" s="197"/>
      <c r="E14" s="197"/>
      <c r="F14" s="197"/>
      <c r="G14" s="197"/>
      <c r="H14" s="197"/>
      <c r="I14" s="209"/>
      <c r="K14" s="227" t="s">
        <v>262</v>
      </c>
      <c r="L14" s="206">
        <f>_xlfn.XLOOKUP($B6,予定表!$B:$B,予定表!E:E,"該当なし",0,1)</f>
        <v>0</v>
      </c>
    </row>
    <row r="15" spans="1:13">
      <c r="A15" s="195"/>
      <c r="B15" s="196" t="s">
        <v>209</v>
      </c>
      <c r="C15"/>
      <c r="D15" s="197" t="s">
        <v>4</v>
      </c>
      <c r="E15" s="197" t="s">
        <v>4</v>
      </c>
      <c r="F15" s="197"/>
      <c r="G15" s="197"/>
      <c r="H15" s="197" t="s">
        <v>4</v>
      </c>
      <c r="I15" s="209" t="s">
        <v>4</v>
      </c>
      <c r="K15" s="228"/>
      <c r="L15" s="207">
        <f>_xlfn.XLOOKUP($B6,予定表!$B:$B,予定表!F:F,"該当なし",0,1)</f>
        <v>0</v>
      </c>
    </row>
    <row r="16" spans="1:13">
      <c r="A16" s="195"/>
      <c r="B16" s="195" t="s">
        <v>205</v>
      </c>
      <c r="C16"/>
      <c r="D16" s="197" t="s">
        <v>210</v>
      </c>
      <c r="E16" s="197" t="s">
        <v>264</v>
      </c>
      <c r="F16" s="197"/>
      <c r="G16" s="197" t="s">
        <v>268</v>
      </c>
      <c r="H16" s="197"/>
      <c r="I16" s="209"/>
      <c r="K16" s="228"/>
      <c r="L16" s="207" t="str">
        <f>_xlfn.XLOOKUP($B6,予定表!$B:$B,予定表!G:G,"該当なし",0,1)</f>
        <v>資さんうどん</v>
      </c>
    </row>
    <row r="17" spans="1:12">
      <c r="A17" s="195"/>
      <c r="B17" s="195" t="s">
        <v>206</v>
      </c>
      <c r="C17"/>
      <c r="D17" s="197" t="s">
        <v>210</v>
      </c>
      <c r="E17" s="197" t="s">
        <v>414</v>
      </c>
      <c r="F17" s="197"/>
      <c r="G17" s="197" t="s">
        <v>268</v>
      </c>
      <c r="H17" s="197"/>
      <c r="I17" s="209"/>
      <c r="K17" s="228"/>
      <c r="L17" s="207">
        <f>_xlfn.XLOOKUP($B6,予定表!$B:$B,予定表!H:H,"該当なし",0,1)</f>
        <v>0</v>
      </c>
    </row>
    <row r="18" spans="1:12">
      <c r="A18" s="195"/>
      <c r="B18" s="195" t="s">
        <v>207</v>
      </c>
      <c r="C18"/>
      <c r="D18" s="197" t="s">
        <v>119</v>
      </c>
      <c r="E18" s="197" t="s">
        <v>414</v>
      </c>
      <c r="F18" s="197"/>
      <c r="G18" s="197" t="s">
        <v>268</v>
      </c>
      <c r="H18" s="197"/>
      <c r="I18" s="209"/>
      <c r="K18" s="228"/>
      <c r="L18" s="207" t="str">
        <f>_xlfn.XLOOKUP($B6,予定表!$B:$B,予定表!I:I,"該当なし",0,1)</f>
        <v/>
      </c>
    </row>
    <row r="19" spans="1:12">
      <c r="A19" s="195"/>
      <c r="B19" s="196" t="s">
        <v>212</v>
      </c>
      <c r="C19"/>
      <c r="D19" s="197" t="s">
        <v>278</v>
      </c>
      <c r="E19" s="197" t="s">
        <v>414</v>
      </c>
      <c r="F19" s="197"/>
      <c r="G19" s="197" t="s">
        <v>268</v>
      </c>
      <c r="H19" s="197"/>
      <c r="I19" s="209"/>
      <c r="K19" s="228"/>
      <c r="L19" s="207" t="str">
        <f>_xlfn.XLOOKUP($B6,予定表!$B:$B,予定表!J:J,"該当なし",0,1)</f>
        <v/>
      </c>
    </row>
    <row r="20" spans="1:12">
      <c r="A20" s="195"/>
      <c r="B20" s="195" t="s">
        <v>205</v>
      </c>
      <c r="C20"/>
      <c r="D20" s="197" t="s">
        <v>278</v>
      </c>
      <c r="E20" s="197" t="s">
        <v>414</v>
      </c>
      <c r="F20" s="197"/>
      <c r="G20" s="197" t="s">
        <v>268</v>
      </c>
      <c r="H20" s="197"/>
      <c r="I20" s="209"/>
      <c r="K20" s="228"/>
      <c r="L20" s="207" t="str">
        <f>_xlfn.XLOOKUP($B6,予定表!$B:$B,予定表!K:K,"該当なし",0,1)</f>
        <v/>
      </c>
    </row>
    <row r="21" spans="1:12">
      <c r="A21" s="195"/>
      <c r="B21" s="195" t="s">
        <v>206</v>
      </c>
      <c r="C21"/>
      <c r="D21" s="197" t="s">
        <v>213</v>
      </c>
      <c r="E21" s="197" t="s">
        <v>414</v>
      </c>
      <c r="F21" s="197"/>
      <c r="G21" s="197" t="s">
        <v>269</v>
      </c>
      <c r="H21" s="197"/>
      <c r="I21" s="209"/>
      <c r="K21" s="228"/>
      <c r="L21" s="207" t="str">
        <f>_xlfn.XLOOKUP($B6,予定表!$B:$B,予定表!L:L,"該当なし",0,1)</f>
        <v/>
      </c>
    </row>
    <row r="22" spans="1:12" ht="15.75" thickBot="1">
      <c r="A22" s="195"/>
      <c r="B22" s="195" t="s">
        <v>207</v>
      </c>
      <c r="C22"/>
      <c r="D22" s="197" t="s">
        <v>213</v>
      </c>
      <c r="E22" s="197" t="s">
        <v>216</v>
      </c>
      <c r="F22" s="197"/>
      <c r="G22" s="197" t="s">
        <v>269</v>
      </c>
      <c r="H22" s="197"/>
      <c r="I22" s="209"/>
      <c r="K22" s="229"/>
      <c r="L22" s="204" t="str">
        <f>_xlfn.XLOOKUP($A3,ﾘｽﾄマスタ!$U$8:$U$17,ﾘｽﾄマスタ!$V$8:$V$17,"",0)</f>
        <v/>
      </c>
    </row>
    <row r="23" spans="1:12" ht="15.75" thickBot="1">
      <c r="A23" s="195"/>
      <c r="B23" s="196" t="s">
        <v>251</v>
      </c>
      <c r="C23"/>
      <c r="D23" s="197" t="s">
        <v>144</v>
      </c>
      <c r="E23" s="197" t="s">
        <v>216</v>
      </c>
      <c r="F23" s="197"/>
      <c r="G23" s="197" t="s">
        <v>271</v>
      </c>
      <c r="H23" s="197"/>
      <c r="I23" s="209"/>
      <c r="K23" s="208" t="s">
        <v>277</v>
      </c>
      <c r="L23" s="208" t="str">
        <f ca="1">_xlfn.XLOOKUP($B6,シフト抽出!$19:$19,シフト抽出!$30:$30,"該当なし",0,1)</f>
        <v/>
      </c>
    </row>
    <row r="24" spans="1:12">
      <c r="A24" s="195"/>
      <c r="B24" s="195" t="s">
        <v>205</v>
      </c>
      <c r="C24"/>
      <c r="D24" s="197" t="s">
        <v>144</v>
      </c>
      <c r="E24" s="197" t="s">
        <v>216</v>
      </c>
      <c r="F24" s="197"/>
      <c r="G24" s="197" t="s">
        <v>271</v>
      </c>
      <c r="H24" s="197"/>
      <c r="I24" s="209"/>
    </row>
    <row r="25" spans="1:12">
      <c r="A25" s="195"/>
      <c r="B25" s="195" t="s">
        <v>206</v>
      </c>
      <c r="C25"/>
      <c r="D25" s="197" t="s">
        <v>218</v>
      </c>
      <c r="E25" s="197" t="s">
        <v>216</v>
      </c>
      <c r="F25" s="197"/>
      <c r="G25" s="197" t="s">
        <v>272</v>
      </c>
      <c r="H25" s="197"/>
      <c r="I25" s="209"/>
    </row>
    <row r="26" spans="1:12">
      <c r="A26" s="195"/>
      <c r="B26" s="195" t="s">
        <v>207</v>
      </c>
      <c r="C26"/>
      <c r="D26" s="197" t="s">
        <v>78</v>
      </c>
      <c r="E26" s="197" t="s">
        <v>216</v>
      </c>
      <c r="F26" s="197"/>
      <c r="G26" s="197" t="s">
        <v>272</v>
      </c>
      <c r="H26" s="197"/>
      <c r="I26" s="209"/>
    </row>
    <row r="27" spans="1:12">
      <c r="A27" s="195"/>
      <c r="B27" s="196" t="s">
        <v>217</v>
      </c>
      <c r="C27"/>
      <c r="D27" s="197" t="s">
        <v>78</v>
      </c>
      <c r="E27" s="197" t="s">
        <v>216</v>
      </c>
      <c r="F27" s="197"/>
      <c r="G27" s="197" t="s">
        <v>51</v>
      </c>
      <c r="H27" s="197"/>
      <c r="I27" s="209"/>
    </row>
    <row r="28" spans="1:12">
      <c r="A28" s="195"/>
      <c r="B28" s="195" t="s">
        <v>205</v>
      </c>
      <c r="C28"/>
      <c r="D28" s="197" t="s">
        <v>146</v>
      </c>
      <c r="E28" s="197" t="s">
        <v>216</v>
      </c>
      <c r="F28" s="197"/>
      <c r="G28" s="197" t="s">
        <v>51</v>
      </c>
      <c r="H28" s="197"/>
      <c r="I28" s="209"/>
    </row>
    <row r="29" spans="1:12">
      <c r="A29" s="195"/>
      <c r="B29" s="195" t="s">
        <v>206</v>
      </c>
      <c r="C29"/>
      <c r="D29" s="197" t="s">
        <v>146</v>
      </c>
      <c r="E29" s="197"/>
      <c r="F29" s="197"/>
      <c r="G29" s="197" t="s">
        <v>51</v>
      </c>
      <c r="H29" s="197"/>
      <c r="I29" s="209"/>
    </row>
    <row r="30" spans="1:12">
      <c r="A30" s="195"/>
      <c r="B30" s="195" t="s">
        <v>207</v>
      </c>
      <c r="C30"/>
      <c r="D30" s="197" t="s">
        <v>146</v>
      </c>
      <c r="E30" s="197"/>
      <c r="F30" s="197"/>
      <c r="G30" s="197" t="s">
        <v>51</v>
      </c>
      <c r="H30" s="197"/>
      <c r="I30" s="209"/>
    </row>
    <row r="31" spans="1:12">
      <c r="A31" s="195"/>
      <c r="B31" s="196" t="s">
        <v>219</v>
      </c>
      <c r="C31"/>
      <c r="D31" s="197"/>
      <c r="E31" s="197"/>
      <c r="F31" s="197"/>
      <c r="G31" s="197"/>
      <c r="H31" s="197"/>
      <c r="I31" s="209"/>
    </row>
    <row r="32" spans="1:12">
      <c r="A32" s="195"/>
      <c r="B32" s="195" t="s">
        <v>205</v>
      </c>
      <c r="C32"/>
      <c r="D32" s="197"/>
      <c r="E32" s="197"/>
      <c r="F32" s="197"/>
      <c r="G32" s="197"/>
      <c r="H32" s="197"/>
      <c r="I32" s="209"/>
    </row>
    <row r="33" spans="1:9">
      <c r="A33" s="195"/>
      <c r="B33" s="195" t="s">
        <v>206</v>
      </c>
      <c r="C33"/>
      <c r="D33" s="197"/>
      <c r="E33" s="197"/>
      <c r="F33" s="197"/>
      <c r="G33" s="197"/>
      <c r="H33" s="197"/>
      <c r="I33" s="209"/>
    </row>
    <row r="34" spans="1:9">
      <c r="A34" s="195"/>
      <c r="B34" s="195" t="s">
        <v>207</v>
      </c>
      <c r="C34"/>
      <c r="D34" s="197"/>
      <c r="E34" s="197"/>
      <c r="F34" s="197"/>
      <c r="G34" s="197"/>
      <c r="H34" s="197"/>
      <c r="I34" s="209"/>
    </row>
    <row r="35" spans="1:9">
      <c r="A35" s="195"/>
      <c r="B35" s="196" t="s">
        <v>220</v>
      </c>
      <c r="C35"/>
      <c r="D35" s="197" t="s">
        <v>248</v>
      </c>
      <c r="E35" s="197"/>
      <c r="F35" s="197"/>
      <c r="G35" s="197" t="s">
        <v>235</v>
      </c>
      <c r="H35" s="197"/>
      <c r="I35" s="209"/>
    </row>
    <row r="36" spans="1:9">
      <c r="A36" s="195"/>
      <c r="B36" s="195" t="s">
        <v>205</v>
      </c>
      <c r="C36"/>
      <c r="D36" s="197" t="s">
        <v>160</v>
      </c>
      <c r="E36" s="197" t="s">
        <v>273</v>
      </c>
      <c r="F36" s="197"/>
      <c r="G36" s="197" t="s">
        <v>114</v>
      </c>
      <c r="H36" s="197"/>
      <c r="I36" s="209"/>
    </row>
    <row r="37" spans="1:9">
      <c r="A37" s="195"/>
      <c r="B37" s="195" t="s">
        <v>206</v>
      </c>
      <c r="C37"/>
      <c r="D37" s="197" t="s">
        <v>160</v>
      </c>
      <c r="E37" s="197" t="s">
        <v>273</v>
      </c>
      <c r="F37" s="197"/>
      <c r="G37" s="197" t="s">
        <v>114</v>
      </c>
      <c r="H37" s="197"/>
      <c r="I37" s="209"/>
    </row>
    <row r="38" spans="1:9">
      <c r="A38" s="195"/>
      <c r="B38" s="195" t="s">
        <v>207</v>
      </c>
      <c r="C38"/>
      <c r="D38" s="197" t="s">
        <v>215</v>
      </c>
      <c r="E38" s="197" t="s">
        <v>273</v>
      </c>
      <c r="F38" s="197"/>
      <c r="G38" s="197" t="s">
        <v>56</v>
      </c>
      <c r="H38" s="197"/>
      <c r="I38" s="209"/>
    </row>
    <row r="39" spans="1:9">
      <c r="A39" s="195"/>
      <c r="B39" s="196" t="s">
        <v>222</v>
      </c>
      <c r="C39"/>
      <c r="D39" s="197" t="s">
        <v>280</v>
      </c>
      <c r="E39" s="197" t="s">
        <v>273</v>
      </c>
      <c r="F39" s="197"/>
      <c r="G39" s="197" t="s">
        <v>56</v>
      </c>
      <c r="H39" s="197"/>
      <c r="I39" s="209"/>
    </row>
    <row r="40" spans="1:9">
      <c r="A40" s="195"/>
      <c r="B40" s="195" t="s">
        <v>205</v>
      </c>
      <c r="C40"/>
      <c r="D40" s="197" t="s">
        <v>127</v>
      </c>
      <c r="E40" s="197" t="s">
        <v>252</v>
      </c>
      <c r="F40" s="197"/>
      <c r="G40" s="197" t="s">
        <v>56</v>
      </c>
      <c r="H40" s="197"/>
      <c r="I40" s="209"/>
    </row>
    <row r="41" spans="1:9">
      <c r="A41" s="195"/>
      <c r="B41" s="195" t="s">
        <v>206</v>
      </c>
      <c r="C41"/>
      <c r="D41" s="197" t="s">
        <v>214</v>
      </c>
      <c r="E41" s="197" t="s">
        <v>252</v>
      </c>
      <c r="F41" s="197"/>
      <c r="G41" s="197"/>
      <c r="H41" s="197"/>
      <c r="I41" s="209"/>
    </row>
    <row r="42" spans="1:9">
      <c r="A42" s="195"/>
      <c r="B42" s="195" t="s">
        <v>207</v>
      </c>
      <c r="C42"/>
      <c r="D42" s="197" t="s">
        <v>214</v>
      </c>
      <c r="E42" s="197" t="s">
        <v>252</v>
      </c>
      <c r="F42" s="197"/>
      <c r="G42" s="197" t="s">
        <v>270</v>
      </c>
      <c r="H42" s="197"/>
      <c r="I42" s="209"/>
    </row>
    <row r="43" spans="1:9">
      <c r="A43" s="195"/>
      <c r="B43" s="196" t="s">
        <v>223</v>
      </c>
      <c r="C43"/>
      <c r="D43" s="197" t="s">
        <v>214</v>
      </c>
      <c r="E43" s="197" t="s">
        <v>252</v>
      </c>
      <c r="F43" s="197"/>
      <c r="G43" s="197" t="s">
        <v>270</v>
      </c>
      <c r="H43" s="197"/>
      <c r="I43" s="209"/>
    </row>
    <row r="44" spans="1:9">
      <c r="A44" s="195"/>
      <c r="B44" s="195" t="s">
        <v>205</v>
      </c>
      <c r="C44"/>
      <c r="D44" s="197" t="s">
        <v>214</v>
      </c>
      <c r="E44" s="197" t="s">
        <v>252</v>
      </c>
      <c r="F44" s="197"/>
      <c r="G44" s="197" t="s">
        <v>270</v>
      </c>
      <c r="H44" s="197"/>
      <c r="I44" s="209"/>
    </row>
    <row r="45" spans="1:9">
      <c r="A45" s="195"/>
      <c r="B45" s="195" t="s">
        <v>206</v>
      </c>
      <c r="C45"/>
      <c r="D45" s="197" t="s">
        <v>224</v>
      </c>
      <c r="E45" s="197" t="s">
        <v>252</v>
      </c>
      <c r="F45" s="197"/>
      <c r="G45" s="197" t="s">
        <v>270</v>
      </c>
      <c r="H45" s="197"/>
      <c r="I45" s="209"/>
    </row>
    <row r="46" spans="1:9">
      <c r="A46" s="195"/>
      <c r="B46" s="195" t="s">
        <v>207</v>
      </c>
      <c r="C46"/>
      <c r="D46" s="197" t="s">
        <v>224</v>
      </c>
      <c r="E46" s="197" t="s">
        <v>252</v>
      </c>
      <c r="F46" s="197"/>
      <c r="G46" s="197" t="s">
        <v>270</v>
      </c>
      <c r="H46" s="197"/>
      <c r="I46" s="209"/>
    </row>
    <row r="47" spans="1:9">
      <c r="A47" s="195"/>
      <c r="B47" s="196" t="s">
        <v>225</v>
      </c>
      <c r="C47"/>
      <c r="D47" s="197" t="s">
        <v>224</v>
      </c>
      <c r="E47" s="197" t="s">
        <v>252</v>
      </c>
      <c r="F47" s="197"/>
      <c r="G47" s="197" t="s">
        <v>270</v>
      </c>
      <c r="H47" s="197"/>
      <c r="I47" s="209"/>
    </row>
    <row r="48" spans="1:9">
      <c r="A48" s="195"/>
      <c r="B48" s="195" t="s">
        <v>205</v>
      </c>
      <c r="C48"/>
      <c r="D48" s="197"/>
      <c r="E48" s="197" t="s">
        <v>252</v>
      </c>
      <c r="F48" s="197"/>
      <c r="G48" s="197" t="s">
        <v>270</v>
      </c>
      <c r="H48" s="209"/>
      <c r="I48" s="209"/>
    </row>
    <row r="49" spans="1:12">
      <c r="A49" s="195"/>
      <c r="B49" s="195" t="s">
        <v>206</v>
      </c>
      <c r="C49"/>
      <c r="D49" s="197"/>
      <c r="E49" s="197" t="s">
        <v>8</v>
      </c>
      <c r="F49" s="197"/>
      <c r="G49" s="197" t="s">
        <v>270</v>
      </c>
      <c r="H49" s="209"/>
      <c r="I49" s="209"/>
    </row>
    <row r="50" spans="1:12">
      <c r="A50" s="195"/>
      <c r="B50" s="195" t="s">
        <v>207</v>
      </c>
      <c r="C50"/>
      <c r="D50" s="197"/>
      <c r="E50" s="197"/>
      <c r="F50" s="197"/>
      <c r="G50" s="197" t="s">
        <v>270</v>
      </c>
      <c r="H50" s="209"/>
      <c r="I50" s="209"/>
    </row>
    <row r="51" spans="1:12">
      <c r="A51" s="195"/>
      <c r="B51" s="196" t="s">
        <v>226</v>
      </c>
      <c r="C51"/>
      <c r="D51" s="197" t="s">
        <v>8</v>
      </c>
      <c r="E51" s="197"/>
      <c r="F51" s="197"/>
      <c r="G51" s="197" t="s">
        <v>270</v>
      </c>
      <c r="H51" s="209"/>
      <c r="I51" s="209"/>
    </row>
    <row r="52" spans="1:12">
      <c r="A52" s="195"/>
      <c r="B52" s="195" t="s">
        <v>205</v>
      </c>
      <c r="C52"/>
      <c r="D52" s="197"/>
      <c r="E52" s="197"/>
      <c r="F52" s="197"/>
      <c r="G52" s="197" t="s">
        <v>270</v>
      </c>
      <c r="H52" s="209"/>
      <c r="I52" s="209"/>
    </row>
    <row r="53" spans="1:12">
      <c r="A53" s="195"/>
      <c r="B53" s="195" t="s">
        <v>206</v>
      </c>
      <c r="C53"/>
      <c r="D53" s="197"/>
      <c r="E53" s="197"/>
      <c r="F53" s="197"/>
      <c r="G53" s="197" t="s">
        <v>270</v>
      </c>
      <c r="H53" s="209"/>
      <c r="I53" s="209"/>
    </row>
    <row r="54" spans="1:12">
      <c r="A54" s="195"/>
      <c r="B54" s="195" t="s">
        <v>207</v>
      </c>
      <c r="C54"/>
      <c r="D54" s="197"/>
      <c r="E54" s="197"/>
      <c r="F54" s="197"/>
      <c r="G54" s="197" t="s">
        <v>270</v>
      </c>
      <c r="H54" s="209"/>
      <c r="I54" s="209"/>
    </row>
    <row r="55" spans="1:12">
      <c r="A55" s="195"/>
      <c r="B55" s="196" t="s">
        <v>227</v>
      </c>
      <c r="C55"/>
      <c r="D55" s="197"/>
      <c r="E55" s="197"/>
      <c r="F55" s="197"/>
      <c r="G55" s="197"/>
      <c r="H55" s="209"/>
      <c r="I55" s="209"/>
      <c r="K55"/>
    </row>
    <row r="56" spans="1:12" ht="29.25" thickBot="1">
      <c r="A56" s="182" t="str">
        <f>"回収シフト  第"&amp;ROUNDUP(DAY(B59)/7,0)  &amp;"  "&amp;TEXT(B59,"aaaa")</f>
        <v>回収シフト  第1  木曜日</v>
      </c>
      <c r="B56" s="183"/>
      <c r="C56" s="183"/>
      <c r="D56" s="183"/>
      <c r="E56" s="183"/>
      <c r="F56" s="183"/>
      <c r="G56" s="184"/>
      <c r="H56" s="184"/>
      <c r="I56" s="184"/>
      <c r="K56" s="183"/>
      <c r="L56" s="183"/>
    </row>
    <row r="57" spans="1:12" ht="15.75" thickBot="1">
      <c r="A57"/>
      <c r="B57"/>
      <c r="C57"/>
      <c r="D57" s="186" t="s">
        <v>201</v>
      </c>
      <c r="E57" s="186" t="s">
        <v>202</v>
      </c>
      <c r="F57" s="186" t="s">
        <v>203</v>
      </c>
      <c r="G57" s="186" t="s">
        <v>204</v>
      </c>
      <c r="H57" s="186" t="s">
        <v>267</v>
      </c>
      <c r="I57" s="217" t="s">
        <v>267</v>
      </c>
      <c r="K57" s="230" t="s">
        <v>257</v>
      </c>
      <c r="L57" s="231"/>
    </row>
    <row r="58" spans="1:12">
      <c r="A58" s="187"/>
      <c r="B58" s="188">
        <v>46114</v>
      </c>
      <c r="C58" s="187"/>
      <c r="D58" s="189" t="s">
        <v>418</v>
      </c>
      <c r="E58" s="189" t="s">
        <v>841</v>
      </c>
      <c r="F58" s="189" t="s">
        <v>276</v>
      </c>
      <c r="G58" s="189" t="s">
        <v>842</v>
      </c>
      <c r="H58" s="189" t="s">
        <v>843</v>
      </c>
      <c r="I58" s="218" t="s">
        <v>843</v>
      </c>
      <c r="K58" s="232" t="s">
        <v>258</v>
      </c>
      <c r="L58" s="190" t="str">
        <f ca="1">_xlfn.XLOOKUP($B59,シフト抽出!$19:$19,シフト抽出!$20:$20,"該当なし",0,1)</f>
        <v/>
      </c>
    </row>
    <row r="59" spans="1:12" ht="19.5" thickBot="1">
      <c r="A59"/>
      <c r="B59" s="191">
        <f>B6+1</f>
        <v>46114</v>
      </c>
      <c r="C59" s="192"/>
      <c r="D59" s="193"/>
      <c r="E59" s="193"/>
      <c r="F59" s="193"/>
      <c r="G59" s="193"/>
      <c r="H59" s="193"/>
      <c r="I59" s="219"/>
      <c r="K59" s="233"/>
      <c r="L59" s="194" t="str">
        <f ca="1">_xlfn.XLOOKUP($B59,シフト抽出!$19:$19,シフト抽出!$21:$21,"該当なし",0,1)</f>
        <v/>
      </c>
    </row>
    <row r="60" spans="1:12">
      <c r="A60" s="195"/>
      <c r="B60" s="196" t="s">
        <v>844</v>
      </c>
      <c r="C60"/>
      <c r="D60" s="197"/>
      <c r="E60" s="196"/>
      <c r="F60" s="197"/>
      <c r="G60" s="197"/>
      <c r="H60" s="197"/>
      <c r="I60" s="209"/>
      <c r="K60" s="234" t="s">
        <v>259</v>
      </c>
      <c r="L60" s="198" t="str">
        <f ca="1">_xlfn.XLOOKUP($B59,シフト抽出!$19:$19,シフト抽出!$23:$23,"該当なし",0,1)</f>
        <v/>
      </c>
    </row>
    <row r="61" spans="1:12" ht="15.75" thickBot="1">
      <c r="A61" s="195"/>
      <c r="B61" s="195" t="s">
        <v>205</v>
      </c>
      <c r="C61"/>
      <c r="D61" s="197"/>
      <c r="E61" s="197"/>
      <c r="F61" s="197"/>
      <c r="G61" s="197"/>
      <c r="H61" s="197"/>
      <c r="I61" s="209"/>
      <c r="K61" s="235"/>
      <c r="L61" s="199" t="str">
        <f ca="1">_xlfn.XLOOKUP($B59,シフト抽出!$19:$19,シフト抽出!$24:$24,"該当なし",0,1)</f>
        <v/>
      </c>
    </row>
    <row r="62" spans="1:12">
      <c r="A62" s="195"/>
      <c r="B62" s="195" t="s">
        <v>206</v>
      </c>
      <c r="C62"/>
      <c r="D62" s="197"/>
      <c r="E62" s="197"/>
      <c r="F62" s="197"/>
      <c r="G62" s="197"/>
      <c r="H62" s="197"/>
      <c r="I62" s="209"/>
      <c r="K62" s="224" t="s">
        <v>260</v>
      </c>
      <c r="L62" s="200" t="str">
        <f ca="1">_xlfn.XLOOKUP($B59,シフト抽出!$19:$19,シフト抽出!$26:$26,"該当なし",0,1)</f>
        <v/>
      </c>
    </row>
    <row r="63" spans="1:12">
      <c r="A63" s="195"/>
      <c r="B63" s="195" t="s">
        <v>207</v>
      </c>
      <c r="C63"/>
      <c r="D63" s="197"/>
      <c r="E63" s="197"/>
      <c r="F63" s="197"/>
      <c r="G63" s="197"/>
      <c r="H63" s="197"/>
      <c r="I63" s="209"/>
      <c r="K63" s="225"/>
      <c r="L63" s="201" t="str">
        <f ca="1">_xlfn.XLOOKUP($B59,シフト抽出!$19:$19,シフト抽出!$27:$27,"該当なし",0,1)</f>
        <v/>
      </c>
    </row>
    <row r="64" spans="1:12">
      <c r="A64" s="195"/>
      <c r="B64" s="202" t="s">
        <v>208</v>
      </c>
      <c r="C64"/>
      <c r="D64" s="197" t="s">
        <v>4</v>
      </c>
      <c r="E64" s="197" t="s">
        <v>4</v>
      </c>
      <c r="F64" s="197"/>
      <c r="G64" s="197"/>
      <c r="H64" s="197"/>
      <c r="I64" s="209"/>
      <c r="J64" s="203"/>
      <c r="K64" s="225"/>
      <c r="L64" s="201" t="str">
        <f ca="1">_xlfn.XLOOKUP($B59,シフト抽出!$19:$19,シフト抽出!$28:$28,"該当なし",0,1)</f>
        <v/>
      </c>
    </row>
    <row r="65" spans="1:12" ht="15.75" thickBot="1">
      <c r="A65" s="195"/>
      <c r="B65" s="195" t="s">
        <v>205</v>
      </c>
      <c r="C65"/>
      <c r="D65" s="197" t="s">
        <v>414</v>
      </c>
      <c r="E65" s="197" t="s">
        <v>421</v>
      </c>
      <c r="F65" s="197"/>
      <c r="G65" s="197"/>
      <c r="H65" s="197"/>
      <c r="I65" s="209"/>
      <c r="J65" s="203"/>
      <c r="K65" s="226"/>
      <c r="L65" s="204" t="str">
        <f ca="1">_xlfn.XLOOKUP($B59,シフト抽出!$19:$19,シフト抽出!$29:$29,"該当なし",0,1)</f>
        <v/>
      </c>
    </row>
    <row r="66" spans="1:12" ht="15.75" thickBot="1">
      <c r="A66" s="195"/>
      <c r="B66" s="195" t="s">
        <v>206</v>
      </c>
      <c r="C66"/>
      <c r="D66" s="197" t="s">
        <v>414</v>
      </c>
      <c r="E66" s="197" t="s">
        <v>421</v>
      </c>
      <c r="F66" s="197"/>
      <c r="G66" s="197"/>
      <c r="H66" s="197"/>
      <c r="I66" s="209"/>
      <c r="K66" s="205" t="s">
        <v>261</v>
      </c>
      <c r="L66" s="205">
        <f>_xlfn.XLOOKUP($B59,予定表!B:B,予定表!R:R,"該当なし",0,1)</f>
        <v>0</v>
      </c>
    </row>
    <row r="67" spans="1:12">
      <c r="A67" s="195"/>
      <c r="B67" s="195" t="s">
        <v>207</v>
      </c>
      <c r="C67"/>
      <c r="D67" s="197" t="s">
        <v>414</v>
      </c>
      <c r="E67" s="197" t="s">
        <v>421</v>
      </c>
      <c r="F67" s="197"/>
      <c r="G67" s="197"/>
      <c r="H67" s="197"/>
      <c r="I67" s="209"/>
      <c r="K67" s="227" t="s">
        <v>262</v>
      </c>
      <c r="L67" s="206" t="str">
        <f>_xlfn.XLOOKUP($B59,予定表!$B:$B,予定表!E:E,"該当なし",0,1)</f>
        <v>ダイワコーポレーション</v>
      </c>
    </row>
    <row r="68" spans="1:12">
      <c r="A68" s="195"/>
      <c r="B68" s="196" t="s">
        <v>209</v>
      </c>
      <c r="C68"/>
      <c r="D68" s="197" t="s">
        <v>414</v>
      </c>
      <c r="E68" s="197" t="s">
        <v>421</v>
      </c>
      <c r="F68" s="197" t="s">
        <v>22</v>
      </c>
      <c r="G68" s="197" t="s">
        <v>268</v>
      </c>
      <c r="H68" s="197" t="s">
        <v>4</v>
      </c>
      <c r="I68" s="209" t="s">
        <v>4</v>
      </c>
      <c r="K68" s="228"/>
      <c r="L68" s="207" t="str">
        <f>_xlfn.XLOOKUP($B59,予定表!$B:$B,予定表!F:F,"該当なし",0,1)</f>
        <v>IWD</v>
      </c>
    </row>
    <row r="69" spans="1:12">
      <c r="A69" s="195"/>
      <c r="B69" s="195" t="s">
        <v>205</v>
      </c>
      <c r="C69"/>
      <c r="D69" s="197" t="s">
        <v>414</v>
      </c>
      <c r="E69" s="197" t="s">
        <v>421</v>
      </c>
      <c r="F69" s="197" t="s">
        <v>22</v>
      </c>
      <c r="G69" s="197" t="s">
        <v>268</v>
      </c>
      <c r="H69" s="197" t="s">
        <v>60</v>
      </c>
      <c r="I69" s="209" t="s">
        <v>60</v>
      </c>
      <c r="K69" s="228"/>
      <c r="L69" s="207" t="str">
        <f>_xlfn.XLOOKUP($B59,予定表!$B:$B,予定表!G:G,"該当なし",0,1)</f>
        <v>イシダ制作所</v>
      </c>
    </row>
    <row r="70" spans="1:12">
      <c r="A70" s="195"/>
      <c r="B70" s="195" t="s">
        <v>206</v>
      </c>
      <c r="C70"/>
      <c r="D70" s="197" t="s">
        <v>845</v>
      </c>
      <c r="E70" s="197" t="s">
        <v>273</v>
      </c>
      <c r="F70" s="197" t="s">
        <v>22</v>
      </c>
      <c r="G70" s="197" t="s">
        <v>268</v>
      </c>
      <c r="H70" s="197" t="s">
        <v>60</v>
      </c>
      <c r="I70" s="209" t="s">
        <v>60</v>
      </c>
      <c r="K70" s="228"/>
      <c r="L70" s="207" t="str">
        <f>_xlfn.XLOOKUP($B59,予定表!$B:$B,予定表!H:H,"該当なし",0,1)</f>
        <v>タキロンシーアイなし</v>
      </c>
    </row>
    <row r="71" spans="1:12">
      <c r="A71" s="195"/>
      <c r="B71" s="195" t="s">
        <v>207</v>
      </c>
      <c r="C71"/>
      <c r="D71" s="197" t="s">
        <v>846</v>
      </c>
      <c r="E71" s="197" t="s">
        <v>273</v>
      </c>
      <c r="F71" s="197" t="s">
        <v>416</v>
      </c>
      <c r="G71" s="197" t="s">
        <v>268</v>
      </c>
      <c r="H71" s="197" t="s">
        <v>60</v>
      </c>
      <c r="I71" s="209" t="s">
        <v>60</v>
      </c>
      <c r="K71" s="228"/>
      <c r="L71" s="207" t="str">
        <f>_xlfn.XLOOKUP($B59,予定表!$B:$B,予定表!I:I,"該当なし",0,1)</f>
        <v/>
      </c>
    </row>
    <row r="72" spans="1:12">
      <c r="A72" s="195"/>
      <c r="B72" s="196" t="s">
        <v>212</v>
      </c>
      <c r="C72"/>
      <c r="D72" s="197" t="s">
        <v>846</v>
      </c>
      <c r="E72" s="197" t="s">
        <v>273</v>
      </c>
      <c r="F72" s="197" t="s">
        <v>416</v>
      </c>
      <c r="G72" s="197" t="s">
        <v>268</v>
      </c>
      <c r="H72" s="197"/>
      <c r="I72" s="209"/>
      <c r="K72" s="228"/>
      <c r="L72" s="207" t="str">
        <f>_xlfn.XLOOKUP($B59,予定表!$B:$B,予定表!J:J,"該当なし",0,1)</f>
        <v/>
      </c>
    </row>
    <row r="73" spans="1:12">
      <c r="A73" s="195"/>
      <c r="B73" s="195" t="s">
        <v>205</v>
      </c>
      <c r="C73"/>
      <c r="D73" s="197" t="s">
        <v>846</v>
      </c>
      <c r="E73" s="197" t="s">
        <v>228</v>
      </c>
      <c r="F73" s="197" t="s">
        <v>847</v>
      </c>
      <c r="G73" s="197" t="s">
        <v>268</v>
      </c>
      <c r="H73" s="197" t="s">
        <v>230</v>
      </c>
      <c r="I73" s="209" t="s">
        <v>230</v>
      </c>
      <c r="K73" s="228"/>
      <c r="L73" s="207" t="str">
        <f>_xlfn.XLOOKUP($B59,予定表!$B:$B,予定表!K:K,"該当なし",0,1)</f>
        <v/>
      </c>
    </row>
    <row r="74" spans="1:12">
      <c r="A74" s="195"/>
      <c r="B74" s="195" t="s">
        <v>206</v>
      </c>
      <c r="C74"/>
      <c r="D74" s="197" t="s">
        <v>214</v>
      </c>
      <c r="E74" s="197" t="s">
        <v>228</v>
      </c>
      <c r="F74" s="197" t="s">
        <v>846</v>
      </c>
      <c r="G74" s="197" t="s">
        <v>268</v>
      </c>
      <c r="H74" s="197" t="s">
        <v>230</v>
      </c>
      <c r="I74" s="209" t="s">
        <v>230</v>
      </c>
      <c r="K74" s="228"/>
      <c r="L74" s="207" t="str">
        <f>_xlfn.XLOOKUP($B59,予定表!$B:$B,予定表!L:L,"該当なし",0,1)</f>
        <v/>
      </c>
    </row>
    <row r="75" spans="1:12" ht="15.75" thickBot="1">
      <c r="A75" s="195"/>
      <c r="B75" s="195" t="s">
        <v>207</v>
      </c>
      <c r="C75"/>
      <c r="D75" s="197" t="s">
        <v>214</v>
      </c>
      <c r="E75" s="197" t="s">
        <v>228</v>
      </c>
      <c r="F75" s="197" t="s">
        <v>846</v>
      </c>
      <c r="G75" s="197" t="s">
        <v>268</v>
      </c>
      <c r="H75" s="197" t="s">
        <v>230</v>
      </c>
      <c r="I75" s="209" t="s">
        <v>230</v>
      </c>
      <c r="K75" s="229"/>
      <c r="L75" s="204" t="str">
        <f>_xlfn.XLOOKUP($A56,ﾘｽﾄマスタ!$U$8:$U$17,ﾘｽﾄマスタ!$V$8:$V$17,"",0)</f>
        <v/>
      </c>
    </row>
    <row r="76" spans="1:12" ht="15.75" thickBot="1">
      <c r="A76" s="195"/>
      <c r="B76" s="196" t="s">
        <v>251</v>
      </c>
      <c r="C76"/>
      <c r="D76" s="197" t="s">
        <v>214</v>
      </c>
      <c r="E76" s="197" t="s">
        <v>228</v>
      </c>
      <c r="F76" s="197" t="s">
        <v>846</v>
      </c>
      <c r="G76" s="197" t="s">
        <v>268</v>
      </c>
      <c r="H76" s="197" t="s">
        <v>229</v>
      </c>
      <c r="I76" s="209" t="s">
        <v>229</v>
      </c>
      <c r="K76" s="208" t="s">
        <v>277</v>
      </c>
      <c r="L76" s="208" t="str">
        <f ca="1">_xlfn.XLOOKUP($B59,シフト抽出!$19:$19,シフト抽出!$30:$30,"該当なし",0,1)</f>
        <v/>
      </c>
    </row>
    <row r="77" spans="1:12">
      <c r="A77" s="195"/>
      <c r="B77" s="195" t="s">
        <v>205</v>
      </c>
      <c r="C77"/>
      <c r="D77" s="197" t="s">
        <v>214</v>
      </c>
      <c r="E77" s="197" t="s">
        <v>228</v>
      </c>
      <c r="F77" s="197" t="s">
        <v>846</v>
      </c>
      <c r="G77" s="197" t="s">
        <v>169</v>
      </c>
      <c r="H77" s="197" t="s">
        <v>229</v>
      </c>
      <c r="I77" s="209" t="s">
        <v>229</v>
      </c>
    </row>
    <row r="78" spans="1:12">
      <c r="A78" s="195"/>
      <c r="B78" s="195" t="s">
        <v>206</v>
      </c>
      <c r="C78"/>
      <c r="D78" s="197" t="s">
        <v>114</v>
      </c>
      <c r="E78" s="197" t="s">
        <v>263</v>
      </c>
      <c r="F78" s="197" t="s">
        <v>62</v>
      </c>
      <c r="G78" s="197" t="s">
        <v>169</v>
      </c>
      <c r="H78" s="197" t="s">
        <v>848</v>
      </c>
      <c r="I78" s="209" t="s">
        <v>848</v>
      </c>
    </row>
    <row r="79" spans="1:12">
      <c r="A79" s="195"/>
      <c r="B79" s="195" t="s">
        <v>207</v>
      </c>
      <c r="C79"/>
      <c r="D79" s="197" t="s">
        <v>114</v>
      </c>
      <c r="E79" s="197" t="s">
        <v>263</v>
      </c>
      <c r="F79" s="197" t="s">
        <v>62</v>
      </c>
      <c r="G79" s="197" t="s">
        <v>169</v>
      </c>
      <c r="H79" s="197" t="s">
        <v>848</v>
      </c>
      <c r="I79" s="209" t="s">
        <v>848</v>
      </c>
    </row>
    <row r="80" spans="1:12">
      <c r="A80" s="195"/>
      <c r="B80" s="196" t="s">
        <v>217</v>
      </c>
      <c r="C80"/>
      <c r="D80" s="197" t="s">
        <v>51</v>
      </c>
      <c r="E80" s="197" t="s">
        <v>263</v>
      </c>
      <c r="F80" s="197" t="s">
        <v>62</v>
      </c>
      <c r="G80" s="197" t="s">
        <v>169</v>
      </c>
      <c r="H80" s="197" t="s">
        <v>848</v>
      </c>
      <c r="I80" s="209" t="s">
        <v>848</v>
      </c>
    </row>
    <row r="81" spans="1:9">
      <c r="A81" s="195"/>
      <c r="B81" s="195" t="s">
        <v>205</v>
      </c>
      <c r="C81"/>
      <c r="D81" s="197" t="s">
        <v>51</v>
      </c>
      <c r="E81" s="197" t="s">
        <v>848</v>
      </c>
      <c r="F81" s="197" t="s">
        <v>62</v>
      </c>
      <c r="G81" s="197" t="s">
        <v>169</v>
      </c>
      <c r="H81" s="197" t="s">
        <v>848</v>
      </c>
      <c r="I81" s="209" t="s">
        <v>848</v>
      </c>
    </row>
    <row r="82" spans="1:9">
      <c r="A82" s="195"/>
      <c r="B82" s="195" t="s">
        <v>206</v>
      </c>
      <c r="C82"/>
      <c r="D82" s="197" t="s">
        <v>51</v>
      </c>
      <c r="E82" s="197" t="s">
        <v>848</v>
      </c>
      <c r="F82" s="197" t="s">
        <v>62</v>
      </c>
      <c r="G82" s="197" t="s">
        <v>278</v>
      </c>
      <c r="H82" s="197" t="s">
        <v>848</v>
      </c>
      <c r="I82" s="209" t="s">
        <v>848</v>
      </c>
    </row>
    <row r="83" spans="1:9">
      <c r="A83" s="195"/>
      <c r="B83" s="195" t="s">
        <v>207</v>
      </c>
      <c r="C83"/>
      <c r="D83" s="197" t="s">
        <v>51</v>
      </c>
      <c r="E83" s="197" t="s">
        <v>848</v>
      </c>
      <c r="F83" s="197" t="s">
        <v>62</v>
      </c>
      <c r="G83" s="197" t="s">
        <v>278</v>
      </c>
      <c r="H83" s="197"/>
      <c r="I83" s="209"/>
    </row>
    <row r="84" spans="1:9">
      <c r="A84" s="195"/>
      <c r="B84" s="196" t="s">
        <v>219</v>
      </c>
      <c r="C84"/>
      <c r="D84" s="197"/>
      <c r="E84" s="197" t="s">
        <v>848</v>
      </c>
      <c r="F84" s="197"/>
      <c r="G84" s="197"/>
      <c r="H84" s="197"/>
      <c r="I84" s="209"/>
    </row>
    <row r="85" spans="1:9">
      <c r="A85" s="195"/>
      <c r="B85" s="195" t="s">
        <v>205</v>
      </c>
      <c r="C85"/>
      <c r="D85" s="197"/>
      <c r="E85" s="197" t="s">
        <v>848</v>
      </c>
      <c r="F85" s="197"/>
      <c r="G85" s="197"/>
      <c r="H85" s="197"/>
      <c r="I85" s="209"/>
    </row>
    <row r="86" spans="1:9">
      <c r="A86" s="195"/>
      <c r="B86" s="195" t="s">
        <v>206</v>
      </c>
      <c r="C86"/>
      <c r="D86" s="197"/>
      <c r="E86" s="197"/>
      <c r="F86" s="197"/>
      <c r="G86" s="197"/>
      <c r="H86" s="197"/>
      <c r="I86" s="209"/>
    </row>
    <row r="87" spans="1:9">
      <c r="A87" s="195"/>
      <c r="B87" s="195" t="s">
        <v>207</v>
      </c>
      <c r="C87"/>
      <c r="D87" s="197"/>
      <c r="E87" s="197"/>
      <c r="F87" s="197"/>
      <c r="G87" s="197"/>
      <c r="H87" s="197"/>
      <c r="I87" s="209"/>
    </row>
    <row r="88" spans="1:9">
      <c r="A88" s="195"/>
      <c r="B88" s="196" t="s">
        <v>220</v>
      </c>
      <c r="C88"/>
      <c r="D88" s="197"/>
      <c r="E88" s="197" t="s">
        <v>849</v>
      </c>
      <c r="F88" s="197" t="s">
        <v>850</v>
      </c>
      <c r="G88" s="197"/>
      <c r="H88" s="197"/>
      <c r="I88" s="209"/>
    </row>
    <row r="89" spans="1:9">
      <c r="A89" s="195"/>
      <c r="B89" s="195" t="s">
        <v>205</v>
      </c>
      <c r="C89"/>
      <c r="D89" s="197" t="s">
        <v>851</v>
      </c>
      <c r="E89" s="197" t="s">
        <v>95</v>
      </c>
      <c r="F89" s="197" t="s">
        <v>160</v>
      </c>
      <c r="G89" s="197" t="s">
        <v>56</v>
      </c>
      <c r="H89" s="197" t="s">
        <v>415</v>
      </c>
      <c r="I89" s="209" t="s">
        <v>415</v>
      </c>
    </row>
    <row r="90" spans="1:9">
      <c r="A90" s="195"/>
      <c r="B90" s="195" t="s">
        <v>206</v>
      </c>
      <c r="C90"/>
      <c r="D90" s="197" t="s">
        <v>851</v>
      </c>
      <c r="E90" s="197" t="s">
        <v>95</v>
      </c>
      <c r="F90" s="197" t="s">
        <v>160</v>
      </c>
      <c r="G90" s="197" t="s">
        <v>56</v>
      </c>
      <c r="H90" s="197" t="s">
        <v>415</v>
      </c>
      <c r="I90" s="209" t="s">
        <v>415</v>
      </c>
    </row>
    <row r="91" spans="1:9">
      <c r="A91" s="195"/>
      <c r="B91" s="195" t="s">
        <v>207</v>
      </c>
      <c r="C91"/>
      <c r="D91" s="197" t="s">
        <v>851</v>
      </c>
      <c r="E91" s="197" t="s">
        <v>95</v>
      </c>
      <c r="F91" s="197" t="s">
        <v>252</v>
      </c>
      <c r="G91" s="197" t="s">
        <v>56</v>
      </c>
      <c r="H91" s="197" t="s">
        <v>415</v>
      </c>
      <c r="I91" s="209" t="s">
        <v>415</v>
      </c>
    </row>
    <row r="92" spans="1:9">
      <c r="A92" s="195"/>
      <c r="B92" s="196" t="s">
        <v>222</v>
      </c>
      <c r="C92"/>
      <c r="D92" s="197" t="s">
        <v>851</v>
      </c>
      <c r="E92" s="197" t="s">
        <v>95</v>
      </c>
      <c r="F92" s="197" t="s">
        <v>252</v>
      </c>
      <c r="G92" s="197" t="s">
        <v>56</v>
      </c>
      <c r="H92" s="197" t="s">
        <v>415</v>
      </c>
      <c r="I92" s="209" t="s">
        <v>415</v>
      </c>
    </row>
    <row r="93" spans="1:9">
      <c r="A93" s="195"/>
      <c r="B93" s="195" t="s">
        <v>205</v>
      </c>
      <c r="C93"/>
      <c r="D93" s="197"/>
      <c r="E93" s="197" t="s">
        <v>95</v>
      </c>
      <c r="F93" s="197" t="s">
        <v>252</v>
      </c>
      <c r="G93" s="197"/>
      <c r="H93" s="197" t="s">
        <v>415</v>
      </c>
      <c r="I93" s="209" t="s">
        <v>415</v>
      </c>
    </row>
    <row r="94" spans="1:9">
      <c r="A94" s="195"/>
      <c r="B94" s="195" t="s">
        <v>206</v>
      </c>
      <c r="C94"/>
      <c r="D94" s="197" t="s">
        <v>515</v>
      </c>
      <c r="E94" s="197" t="s">
        <v>95</v>
      </c>
      <c r="F94" s="197" t="s">
        <v>252</v>
      </c>
      <c r="G94" s="197" t="s">
        <v>270</v>
      </c>
      <c r="H94" s="197" t="s">
        <v>415</v>
      </c>
      <c r="I94" s="209" t="s">
        <v>415</v>
      </c>
    </row>
    <row r="95" spans="1:9">
      <c r="A95" s="195"/>
      <c r="B95" s="195" t="s">
        <v>207</v>
      </c>
      <c r="C95"/>
      <c r="D95" s="197" t="s">
        <v>515</v>
      </c>
      <c r="E95" s="197" t="s">
        <v>95</v>
      </c>
      <c r="F95" s="197" t="s">
        <v>252</v>
      </c>
      <c r="G95" s="197" t="s">
        <v>270</v>
      </c>
      <c r="H95" s="197" t="s">
        <v>415</v>
      </c>
      <c r="I95" s="209" t="s">
        <v>415</v>
      </c>
    </row>
    <row r="96" spans="1:9">
      <c r="A96" s="195"/>
      <c r="B96" s="196" t="s">
        <v>223</v>
      </c>
      <c r="C96"/>
      <c r="D96" s="197" t="s">
        <v>515</v>
      </c>
      <c r="E96" s="197" t="s">
        <v>95</v>
      </c>
      <c r="F96" s="197" t="s">
        <v>252</v>
      </c>
      <c r="G96" s="197" t="s">
        <v>270</v>
      </c>
      <c r="H96" s="197" t="s">
        <v>415</v>
      </c>
      <c r="I96" s="209" t="s">
        <v>415</v>
      </c>
    </row>
    <row r="97" spans="1:12">
      <c r="A97" s="195"/>
      <c r="B97" s="195" t="s">
        <v>205</v>
      </c>
      <c r="C97"/>
      <c r="D97" s="197" t="s">
        <v>362</v>
      </c>
      <c r="E97" s="197" t="s">
        <v>95</v>
      </c>
      <c r="F97" s="197" t="s">
        <v>395</v>
      </c>
      <c r="G97" s="197" t="s">
        <v>270</v>
      </c>
      <c r="H97" s="197" t="s">
        <v>415</v>
      </c>
      <c r="I97" s="209" t="s">
        <v>415</v>
      </c>
    </row>
    <row r="98" spans="1:12">
      <c r="A98" s="195"/>
      <c r="B98" s="195" t="s">
        <v>206</v>
      </c>
      <c r="C98"/>
      <c r="D98" s="197" t="s">
        <v>269</v>
      </c>
      <c r="E98" s="197" t="s">
        <v>95</v>
      </c>
      <c r="F98" s="197" t="s">
        <v>395</v>
      </c>
      <c r="G98" s="197" t="s">
        <v>270</v>
      </c>
      <c r="H98" s="197" t="s">
        <v>415</v>
      </c>
      <c r="I98" s="209" t="s">
        <v>415</v>
      </c>
    </row>
    <row r="99" spans="1:12">
      <c r="A99" s="195"/>
      <c r="B99" s="195" t="s">
        <v>207</v>
      </c>
      <c r="C99"/>
      <c r="D99" s="197" t="s">
        <v>269</v>
      </c>
      <c r="E99" s="197" t="s">
        <v>95</v>
      </c>
      <c r="F99" s="197" t="s">
        <v>395</v>
      </c>
      <c r="G99" s="197" t="s">
        <v>270</v>
      </c>
      <c r="H99" s="197" t="s">
        <v>415</v>
      </c>
      <c r="I99" s="209" t="s">
        <v>415</v>
      </c>
    </row>
    <row r="100" spans="1:12">
      <c r="A100" s="195"/>
      <c r="B100" s="196" t="s">
        <v>225</v>
      </c>
      <c r="C100"/>
      <c r="D100" s="197" t="s">
        <v>237</v>
      </c>
      <c r="E100" s="197" t="s">
        <v>95</v>
      </c>
      <c r="F100" s="197"/>
      <c r="G100" s="197" t="s">
        <v>270</v>
      </c>
      <c r="H100" s="197" t="s">
        <v>415</v>
      </c>
      <c r="I100" s="209" t="s">
        <v>415</v>
      </c>
    </row>
    <row r="101" spans="1:12">
      <c r="A101" s="195"/>
      <c r="B101" s="195" t="s">
        <v>205</v>
      </c>
      <c r="C101"/>
      <c r="D101" s="197" t="s">
        <v>236</v>
      </c>
      <c r="E101" s="197" t="s">
        <v>95</v>
      </c>
      <c r="F101" s="197"/>
      <c r="G101" s="197" t="s">
        <v>270</v>
      </c>
      <c r="H101" s="209" t="s">
        <v>415</v>
      </c>
      <c r="I101" s="209" t="s">
        <v>415</v>
      </c>
    </row>
    <row r="102" spans="1:12">
      <c r="A102" s="195"/>
      <c r="B102" s="195" t="s">
        <v>206</v>
      </c>
      <c r="C102"/>
      <c r="D102" s="197" t="s">
        <v>193</v>
      </c>
      <c r="E102" s="197" t="s">
        <v>95</v>
      </c>
      <c r="F102" s="197"/>
      <c r="G102" s="197" t="s">
        <v>270</v>
      </c>
      <c r="H102" s="209" t="s">
        <v>415</v>
      </c>
      <c r="I102" s="209" t="s">
        <v>415</v>
      </c>
    </row>
    <row r="103" spans="1:12">
      <c r="A103" s="195"/>
      <c r="B103" s="195" t="s">
        <v>207</v>
      </c>
      <c r="C103"/>
      <c r="D103" s="197"/>
      <c r="E103" s="197"/>
      <c r="F103" s="197"/>
      <c r="G103" s="197" t="s">
        <v>270</v>
      </c>
      <c r="H103" s="209" t="s">
        <v>415</v>
      </c>
      <c r="I103" s="209" t="s">
        <v>415</v>
      </c>
    </row>
    <row r="104" spans="1:12">
      <c r="A104" s="195"/>
      <c r="B104" s="196" t="s">
        <v>226</v>
      </c>
      <c r="C104"/>
      <c r="D104" s="197"/>
      <c r="E104" s="197"/>
      <c r="F104" s="197"/>
      <c r="G104" s="197"/>
      <c r="H104" s="209"/>
      <c r="I104" s="209"/>
    </row>
    <row r="105" spans="1:12">
      <c r="A105" s="195"/>
      <c r="B105" s="195" t="s">
        <v>205</v>
      </c>
      <c r="C105"/>
      <c r="D105" s="197"/>
      <c r="E105" s="197"/>
      <c r="F105" s="197"/>
      <c r="G105" s="197"/>
      <c r="H105" s="209"/>
      <c r="I105" s="209"/>
    </row>
    <row r="106" spans="1:12">
      <c r="A106" s="195"/>
      <c r="B106" s="195" t="s">
        <v>206</v>
      </c>
      <c r="C106"/>
      <c r="D106" s="197"/>
      <c r="E106" s="197"/>
      <c r="F106" s="197"/>
      <c r="G106" s="197"/>
      <c r="H106" s="209"/>
      <c r="I106" s="209"/>
    </row>
    <row r="107" spans="1:12">
      <c r="A107" s="195"/>
      <c r="B107" s="195" t="s">
        <v>207</v>
      </c>
      <c r="C107"/>
      <c r="D107" s="197"/>
      <c r="E107" s="197"/>
      <c r="F107" s="197"/>
      <c r="G107" s="197"/>
      <c r="H107" s="209"/>
      <c r="I107" s="209"/>
    </row>
    <row r="108" spans="1:12">
      <c r="A108" s="195"/>
      <c r="B108" s="196" t="s">
        <v>227</v>
      </c>
      <c r="C108"/>
      <c r="D108" s="197"/>
      <c r="E108" s="197"/>
      <c r="F108" s="197"/>
      <c r="G108" s="197"/>
      <c r="H108" s="209"/>
      <c r="I108" s="209"/>
      <c r="K108"/>
    </row>
    <row r="109" spans="1:12" ht="29.25" thickBot="1">
      <c r="A109" s="182" t="str">
        <f>"回収シフト  第"&amp;ROUNDUP(DAY(B112)/7,0)  &amp;"  "&amp;TEXT(B112,"aaaa")</f>
        <v>回収シフト  第1  金曜日</v>
      </c>
      <c r="B109" s="183"/>
      <c r="C109" s="183"/>
      <c r="D109" s="183"/>
      <c r="E109" s="183"/>
      <c r="F109" s="183"/>
      <c r="G109" s="184"/>
      <c r="H109" s="184"/>
      <c r="I109" s="184"/>
      <c r="K109" s="183"/>
      <c r="L109" s="183"/>
    </row>
    <row r="110" spans="1:12" ht="15.75" thickBot="1">
      <c r="A110"/>
      <c r="B110"/>
      <c r="C110"/>
      <c r="D110" s="186" t="s">
        <v>201</v>
      </c>
      <c r="E110" s="186" t="s">
        <v>202</v>
      </c>
      <c r="F110" s="186" t="s">
        <v>203</v>
      </c>
      <c r="G110" s="186" t="s">
        <v>204</v>
      </c>
      <c r="H110" s="186" t="s">
        <v>267</v>
      </c>
      <c r="I110" s="217" t="s">
        <v>267</v>
      </c>
      <c r="K110" s="230" t="s">
        <v>257</v>
      </c>
      <c r="L110" s="231"/>
    </row>
    <row r="111" spans="1:12">
      <c r="A111" s="187"/>
      <c r="B111" s="188">
        <v>46115</v>
      </c>
      <c r="C111" s="187"/>
      <c r="D111" s="189" t="s">
        <v>418</v>
      </c>
      <c r="E111" s="189" t="s">
        <v>841</v>
      </c>
      <c r="F111" s="189" t="s">
        <v>276</v>
      </c>
      <c r="G111" s="189" t="s">
        <v>842</v>
      </c>
      <c r="H111" s="189" t="s">
        <v>852</v>
      </c>
      <c r="I111" s="218" t="s">
        <v>852</v>
      </c>
      <c r="K111" s="232" t="s">
        <v>258</v>
      </c>
      <c r="L111" s="190" t="str">
        <f ca="1">_xlfn.XLOOKUP($B112,シフト抽出!$19:$19,シフト抽出!$20:$20,"該当なし",0,1)</f>
        <v/>
      </c>
    </row>
    <row r="112" spans="1:12" ht="19.5" thickBot="1">
      <c r="A112"/>
      <c r="B112" s="191">
        <f>B59+1</f>
        <v>46115</v>
      </c>
      <c r="C112" s="192"/>
      <c r="D112" s="193"/>
      <c r="E112" s="193"/>
      <c r="F112" s="193"/>
      <c r="G112" s="193"/>
      <c r="H112" s="193"/>
      <c r="I112" s="219"/>
      <c r="K112" s="233"/>
      <c r="L112" s="194" t="str">
        <f ca="1">_xlfn.XLOOKUP($B112,シフト抽出!$19:$19,シフト抽出!$21:$21,"該当なし",0,1)</f>
        <v/>
      </c>
    </row>
    <row r="113" spans="1:12">
      <c r="A113" s="195"/>
      <c r="B113" s="196">
        <v>0.25</v>
      </c>
      <c r="C113"/>
      <c r="D113" s="197"/>
      <c r="E113" s="196"/>
      <c r="F113" s="197"/>
      <c r="G113" s="197"/>
      <c r="H113" s="197"/>
      <c r="I113" s="209"/>
      <c r="K113" s="234" t="s">
        <v>259</v>
      </c>
      <c r="L113" s="198" t="str">
        <f ca="1">_xlfn.XLOOKUP($B112,シフト抽出!$19:$19,シフト抽出!$23:$23,"該当なし",0,1)</f>
        <v/>
      </c>
    </row>
    <row r="114" spans="1:12" ht="15.75" thickBot="1">
      <c r="A114" s="195"/>
      <c r="B114" s="195" t="s">
        <v>205</v>
      </c>
      <c r="C114"/>
      <c r="D114" s="197"/>
      <c r="E114" s="197"/>
      <c r="F114" s="197" t="s">
        <v>853</v>
      </c>
      <c r="G114" s="197"/>
      <c r="H114" s="197"/>
      <c r="I114" s="209"/>
      <c r="K114" s="235"/>
      <c r="L114" s="199" t="str">
        <f ca="1">_xlfn.XLOOKUP($B112,シフト抽出!$19:$19,シフト抽出!$24:$24,"該当なし",0,1)</f>
        <v/>
      </c>
    </row>
    <row r="115" spans="1:12">
      <c r="A115" s="195"/>
      <c r="B115" s="195" t="s">
        <v>206</v>
      </c>
      <c r="C115"/>
      <c r="D115" s="197" t="s">
        <v>238</v>
      </c>
      <c r="E115" s="197"/>
      <c r="F115" s="197"/>
      <c r="G115" s="197"/>
      <c r="H115" s="197"/>
      <c r="I115" s="209"/>
      <c r="K115" s="224" t="s">
        <v>260</v>
      </c>
      <c r="L115" s="200" t="str">
        <f ca="1">_xlfn.XLOOKUP($B112,シフト抽出!$19:$19,シフト抽出!$26:$26,"該当なし",0,1)</f>
        <v/>
      </c>
    </row>
    <row r="116" spans="1:12">
      <c r="A116" s="195"/>
      <c r="B116" s="195" t="s">
        <v>207</v>
      </c>
      <c r="C116"/>
      <c r="D116" s="197" t="s">
        <v>238</v>
      </c>
      <c r="E116" s="197"/>
      <c r="F116" s="197"/>
      <c r="G116" s="197"/>
      <c r="H116" s="197"/>
      <c r="I116" s="209"/>
      <c r="K116" s="225"/>
      <c r="L116" s="201" t="str">
        <f ca="1">_xlfn.XLOOKUP($B112,シフト抽出!$19:$19,シフト抽出!$27:$27,"該当なし",0,1)</f>
        <v/>
      </c>
    </row>
    <row r="117" spans="1:12">
      <c r="A117" s="195"/>
      <c r="B117" s="202" t="s">
        <v>208</v>
      </c>
      <c r="C117"/>
      <c r="D117" s="197" t="s">
        <v>238</v>
      </c>
      <c r="E117" s="197" t="s">
        <v>4</v>
      </c>
      <c r="F117" s="197"/>
      <c r="G117" s="197" t="s">
        <v>22</v>
      </c>
      <c r="H117" s="197"/>
      <c r="I117" s="209"/>
      <c r="J117" s="203"/>
      <c r="K117" s="225"/>
      <c r="L117" s="201" t="str">
        <f ca="1">_xlfn.XLOOKUP($B112,シフト抽出!$19:$19,シフト抽出!$28:$28,"該当なし",0,1)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/c>
      <c r="E118" s="197" t="s">
        <v>420</v>
      </c>
      <c r="F118" s="197"/>
      <c r="G118" s="197" t="s">
        <v>22</v>
      </c>
      <c r="H118" s="197"/>
      <c r="I118" s="209"/>
      <c r="J118" s="203"/>
      <c r="K118" s="226"/>
      <c r="L118" s="204" t="str">
        <f ca="1">_xlfn.XLOOKUP($B112,シフト抽出!$19:$19,シフト抽出!$29:$29,"該当なし",0,1)</f>
        <v/>
      </c>
    </row>
    <row r="119" spans="1:12" ht="15.75" thickBot="1">
      <c r="A119" s="195"/>
      <c r="B119" s="195" t="s">
        <v>206</v>
      </c>
      <c r="C119"/>
      <c r="D119" s="197" t="s">
        <v>238</v>
      </c>
      <c r="E119" s="197" t="s">
        <v>420</v>
      </c>
      <c r="F119" s="197"/>
      <c r="G119" s="197" t="s">
        <v>788</v>
      </c>
      <c r="H119" s="197"/>
      <c r="I119" s="209"/>
      <c r="K119" s="205" t="s">
        <v>261</v>
      </c>
      <c r="L119" s="205">
        <f>_xlfn.XLOOKUP($B112,予定表!B:B,予定表!R:R,"該当なし",0,1)</f>
        <v>0</v>
      </c>
    </row>
    <row r="120" spans="1:12">
      <c r="A120" s="195"/>
      <c r="B120" s="195" t="s">
        <v>207</v>
      </c>
      <c r="C120"/>
      <c r="D120" s="197" t="s">
        <v>238</v>
      </c>
      <c r="E120" s="197" t="s">
        <v>420</v>
      </c>
      <c r="F120" s="197"/>
      <c r="G120" s="197" t="s">
        <v>788</v>
      </c>
      <c r="H120" s="197"/>
      <c r="I120" s="209"/>
      <c r="K120" s="227" t="s">
        <v>262</v>
      </c>
      <c r="L120" s="206" t="str">
        <f>_xlfn.XLOOKUP($B112,予定表!$B:$B,予定表!E:E,"該当なし",0,1)</f>
        <v>ジャクソン</v>
      </c>
    </row>
    <row r="121" spans="1:12">
      <c r="A121" s="195"/>
      <c r="B121" s="196" t="s">
        <v>209</v>
      </c>
      <c r="C121"/>
      <c r="D121" s="197"/>
      <c r="E121" s="197" t="s">
        <v>420</v>
      </c>
      <c r="F121" s="197" t="s">
        <v>111</v>
      </c>
      <c r="G121" s="197" t="s">
        <v>268</v>
      </c>
      <c r="H121" s="197" t="s">
        <v>4</v>
      </c>
      <c r="I121" s="209" t="s">
        <v>4</v>
      </c>
      <c r="K121" s="228"/>
      <c r="L121" s="207">
        <f>_xlfn.XLOOKUP($B112,予定表!$B:$B,予定表!F:F,"該当なし",0,1)</f>
        <v>0</v>
      </c>
    </row>
    <row r="122" spans="1:12">
      <c r="A122" s="195"/>
      <c r="B122" s="195" t="s">
        <v>205</v>
      </c>
      <c r="C122"/>
      <c r="D122" s="197" t="s">
        <v>264</v>
      </c>
      <c r="E122" s="197" t="s">
        <v>420</v>
      </c>
      <c r="F122" s="197" t="s">
        <v>111</v>
      </c>
      <c r="G122" s="197" t="s">
        <v>268</v>
      </c>
      <c r="H122" s="197" t="s">
        <v>60</v>
      </c>
      <c r="I122" s="209" t="s">
        <v>60</v>
      </c>
      <c r="K122" s="228"/>
      <c r="L122" s="207" t="str">
        <f>_xlfn.XLOOKUP($B112,予定表!$B:$B,予定表!G:G,"該当なし",0,1)</f>
        <v>資さんうどん</v>
      </c>
    </row>
    <row r="123" spans="1:12">
      <c r="A123" s="195"/>
      <c r="B123" s="195" t="s">
        <v>206</v>
      </c>
      <c r="C123"/>
      <c r="D123" s="197" t="s">
        <v>239</v>
      </c>
      <c r="E123" s="197" t="s">
        <v>414</v>
      </c>
      <c r="F123" s="197" t="s">
        <v>111</v>
      </c>
      <c r="G123" s="197" t="s">
        <v>268</v>
      </c>
      <c r="H123" s="197" t="s">
        <v>60</v>
      </c>
      <c r="I123" s="209" t="s">
        <v>60</v>
      </c>
      <c r="K123" s="228"/>
      <c r="L123" s="207">
        <f>_xlfn.XLOOKUP($B112,予定表!$B:$B,予定表!H:H,"該当なし",0,1)</f>
        <v>0</v>
      </c>
    </row>
    <row r="124" spans="1:12">
      <c r="A124" s="195"/>
      <c r="B124" s="195" t="s">
        <v>207</v>
      </c>
      <c r="C124"/>
      <c r="D124" s="197" t="s">
        <v>425</v>
      </c>
      <c r="E124" s="197" t="s">
        <v>414</v>
      </c>
      <c r="F124" s="197" t="s">
        <v>111</v>
      </c>
      <c r="G124" s="197" t="s">
        <v>268</v>
      </c>
      <c r="H124" s="197" t="s">
        <v>60</v>
      </c>
      <c r="I124" s="209" t="s">
        <v>60</v>
      </c>
      <c r="K124" s="228"/>
      <c r="L124" s="207" t="str">
        <f>_xlfn.XLOOKUP($B112,予定表!$B:$B,予定表!I:I,"該当なし",0,1)</f>
        <v/>
      </c>
    </row>
    <row r="125" spans="1:12">
      <c r="A125" s="195"/>
      <c r="B125" s="196" t="s">
        <v>212</v>
      </c>
      <c r="C125"/>
      <c r="D125" s="197" t="s">
        <v>240</v>
      </c>
      <c r="E125" s="197" t="s">
        <v>414</v>
      </c>
      <c r="F125" s="197" t="s">
        <v>111</v>
      </c>
      <c r="G125" s="197" t="s">
        <v>268</v>
      </c>
      <c r="H125" s="197"/>
      <c r="I125" s="209"/>
      <c r="K125" s="228"/>
      <c r="L125" s="207" t="str">
        <f>_xlfn.XLOOKUP($B112,予定表!$B:$B,予定表!J:J,"該当なし",0,1)</f>
        <v/>
      </c>
    </row>
    <row r="126" spans="1:12">
      <c r="A126" s="195"/>
      <c r="B126" s="195" t="s">
        <v>205</v>
      </c>
      <c r="C126"/>
      <c r="D126" s="197" t="s">
        <v>240</v>
      </c>
      <c r="E126" s="197" t="s">
        <v>414</v>
      </c>
      <c r="F126" s="197" t="s">
        <v>111</v>
      </c>
      <c r="G126" s="197" t="s">
        <v>268</v>
      </c>
      <c r="H126" s="197" t="s">
        <v>848</v>
      </c>
      <c r="I126" s="209" t="s">
        <v>848</v>
      </c>
      <c r="K126" s="228"/>
      <c r="L126" s="207" t="str">
        <f>_xlfn.XLOOKUP($B112,予定表!$B:$B,予定表!K:K,"該当なし",0,1)</f>
        <v/>
      </c>
    </row>
    <row r="127" spans="1:12">
      <c r="A127" s="195"/>
      <c r="B127" s="195" t="s">
        <v>206</v>
      </c>
      <c r="C127"/>
      <c r="D127" s="197" t="s">
        <v>214</v>
      </c>
      <c r="E127" s="197" t="s">
        <v>854</v>
      </c>
      <c r="F127" s="197" t="s">
        <v>111</v>
      </c>
      <c r="G127" s="197" t="s">
        <v>515</v>
      </c>
      <c r="H127" s="197" t="s">
        <v>848</v>
      </c>
      <c r="I127" s="209" t="s">
        <v>848</v>
      </c>
      <c r="K127" s="228"/>
      <c r="L127" s="207" t="str">
        <f>_xlfn.XLOOKUP($B112,予定表!$B:$B,予定表!L:L,"該当なし",0,1)</f>
        <v/>
      </c>
    </row>
    <row r="128" spans="1:12" ht="15.75" thickBot="1">
      <c r="A128" s="195"/>
      <c r="B128" s="195" t="s">
        <v>207</v>
      </c>
      <c r="C128"/>
      <c r="D128" s="197" t="s">
        <v>214</v>
      </c>
      <c r="E128" s="197" t="s">
        <v>854</v>
      </c>
      <c r="F128" s="197" t="s">
        <v>111</v>
      </c>
      <c r="G128" s="197" t="s">
        <v>515</v>
      </c>
      <c r="H128" s="197" t="s">
        <v>848</v>
      </c>
      <c r="I128" s="209" t="s">
        <v>848</v>
      </c>
      <c r="K128" s="229"/>
      <c r="L128" s="204" t="str">
        <f>_xlfn.XLOOKUP($A109,ﾘｽﾄマスタ!$U$8:$U$17,ﾘｽﾄマスタ!$V$8:$V$17,"",0)</f>
        <v/>
      </c>
    </row>
    <row r="129" spans="1:12" ht="15.75" thickBot="1">
      <c r="A129" s="195"/>
      <c r="B129" s="196" t="s">
        <v>251</v>
      </c>
      <c r="C129"/>
      <c r="D129" s="197" t="s">
        <v>214</v>
      </c>
      <c r="E129" s="197" t="s">
        <v>854</v>
      </c>
      <c r="F129" s="197"/>
      <c r="G129" s="197" t="s">
        <v>515</v>
      </c>
      <c r="H129" s="197" t="s">
        <v>848</v>
      </c>
      <c r="I129" s="209" t="s">
        <v>848</v>
      </c>
      <c r="K129" s="208" t="s">
        <v>277</v>
      </c>
      <c r="L129" s="208" t="str">
        <f ca="1">_xlfn.XLOOKUP($B112,シフト抽出!$19:$19,シフト抽出!$30:$30,"該当なし",0,1)</f>
        <v/>
      </c>
    </row>
    <row r="130" spans="1:12">
      <c r="A130" s="195"/>
      <c r="B130" s="195" t="s">
        <v>205</v>
      </c>
      <c r="C130"/>
      <c r="D130" s="197" t="s">
        <v>214</v>
      </c>
      <c r="E130" s="197" t="s">
        <v>854</v>
      </c>
      <c r="F130" s="197" t="s">
        <v>851</v>
      </c>
      <c r="G130" s="197" t="s">
        <v>269</v>
      </c>
      <c r="H130" s="197" t="s">
        <v>848</v>
      </c>
      <c r="I130" s="209" t="s">
        <v>848</v>
      </c>
    </row>
    <row r="131" spans="1:12">
      <c r="A131" s="195"/>
      <c r="B131" s="195" t="s">
        <v>206</v>
      </c>
      <c r="C131"/>
      <c r="D131" s="197" t="s">
        <v>353</v>
      </c>
      <c r="E131" s="197" t="s">
        <v>216</v>
      </c>
      <c r="F131" s="197" t="s">
        <v>851</v>
      </c>
      <c r="G131" s="197" t="s">
        <v>269</v>
      </c>
      <c r="H131" s="197" t="s">
        <v>848</v>
      </c>
      <c r="I131" s="209" t="s">
        <v>848</v>
      </c>
    </row>
    <row r="132" spans="1:12">
      <c r="A132" s="195"/>
      <c r="B132" s="195" t="s">
        <v>207</v>
      </c>
      <c r="C132"/>
      <c r="D132" s="197" t="s">
        <v>353</v>
      </c>
      <c r="E132" s="197" t="s">
        <v>216</v>
      </c>
      <c r="F132" s="197" t="s">
        <v>851</v>
      </c>
      <c r="G132" s="197" t="s">
        <v>446</v>
      </c>
      <c r="H132" s="197" t="s">
        <v>848</v>
      </c>
      <c r="I132" s="209" t="s">
        <v>848</v>
      </c>
    </row>
    <row r="133" spans="1:12">
      <c r="A133" s="195"/>
      <c r="B133" s="196" t="s">
        <v>217</v>
      </c>
      <c r="C133"/>
      <c r="D133" s="197" t="s">
        <v>353</v>
      </c>
      <c r="E133" s="197" t="s">
        <v>216</v>
      </c>
      <c r="F133" s="197" t="s">
        <v>851</v>
      </c>
      <c r="G133" s="197" t="s">
        <v>446</v>
      </c>
      <c r="H133" s="197" t="s">
        <v>848</v>
      </c>
      <c r="I133" s="209" t="s">
        <v>848</v>
      </c>
    </row>
    <row r="134" spans="1:12">
      <c r="A134" s="195"/>
      <c r="B134" s="195" t="s">
        <v>205</v>
      </c>
      <c r="C134"/>
      <c r="D134" s="197" t="s">
        <v>761</v>
      </c>
      <c r="E134" s="197" t="s">
        <v>216</v>
      </c>
      <c r="F134" s="197" t="s">
        <v>851</v>
      </c>
      <c r="G134" s="197" t="s">
        <v>114</v>
      </c>
      <c r="H134" s="197" t="s">
        <v>848</v>
      </c>
      <c r="I134" s="209" t="s">
        <v>848</v>
      </c>
    </row>
    <row r="135" spans="1:12">
      <c r="A135" s="195"/>
      <c r="B135" s="195" t="s">
        <v>206</v>
      </c>
      <c r="C135"/>
      <c r="D135" s="197" t="s">
        <v>761</v>
      </c>
      <c r="E135" s="197" t="s">
        <v>216</v>
      </c>
      <c r="F135" s="197" t="s">
        <v>851</v>
      </c>
      <c r="G135" s="197" t="s">
        <v>114</v>
      </c>
      <c r="H135" s="197" t="s">
        <v>848</v>
      </c>
      <c r="I135" s="209" t="s">
        <v>848</v>
      </c>
    </row>
    <row r="136" spans="1:12">
      <c r="A136" s="195"/>
      <c r="B136" s="195" t="s">
        <v>207</v>
      </c>
      <c r="C136"/>
      <c r="D136" s="197" t="s">
        <v>51</v>
      </c>
      <c r="E136" s="197" t="s">
        <v>216</v>
      </c>
      <c r="F136" s="197" t="s">
        <v>851</v>
      </c>
      <c r="G136" s="197"/>
      <c r="H136" s="197"/>
      <c r="I136" s="209"/>
    </row>
    <row r="137" spans="1:12">
      <c r="A137" s="195"/>
      <c r="B137" s="196" t="s">
        <v>219</v>
      </c>
      <c r="C137"/>
      <c r="D137" s="197" t="s">
        <v>51</v>
      </c>
      <c r="E137" s="197" t="s">
        <v>216</v>
      </c>
      <c r="F137" s="197"/>
      <c r="G137" s="197"/>
      <c r="H137" s="197"/>
      <c r="I137" s="209"/>
    </row>
    <row r="138" spans="1:12">
      <c r="A138" s="195"/>
      <c r="B138" s="195" t="s">
        <v>205</v>
      </c>
      <c r="C138"/>
      <c r="D138" s="197" t="s">
        <v>51</v>
      </c>
      <c r="E138" s="197" t="s">
        <v>216</v>
      </c>
      <c r="F138" s="197"/>
      <c r="G138" s="197"/>
      <c r="H138" s="197"/>
      <c r="I138" s="209"/>
    </row>
    <row r="139" spans="1:12">
      <c r="A139" s="195"/>
      <c r="B139" s="195" t="s">
        <v>206</v>
      </c>
      <c r="C139"/>
      <c r="D139" s="197"/>
      <c r="E139" s="197"/>
      <c r="F139" s="197"/>
      <c r="G139" s="197"/>
      <c r="H139" s="197" t="s">
        <v>415</v>
      </c>
      <c r="I139" s="209" t="s">
        <v>415</v>
      </c>
    </row>
    <row r="140" spans="1:12">
      <c r="A140" s="195"/>
      <c r="B140" s="195" t="s">
        <v>207</v>
      </c>
      <c r="C140"/>
      <c r="D140" s="197"/>
      <c r="E140" s="197"/>
      <c r="F140" s="197"/>
      <c r="G140" s="197"/>
      <c r="H140" s="197" t="s">
        <v>415</v>
      </c>
      <c r="I140" s="209" t="s">
        <v>415</v>
      </c>
    </row>
    <row r="141" spans="1:12">
      <c r="A141" s="195"/>
      <c r="B141" s="196" t="s">
        <v>220</v>
      </c>
      <c r="C141"/>
      <c r="D141" s="197"/>
      <c r="E141" s="197" t="s">
        <v>849</v>
      </c>
      <c r="F141" s="197" t="s">
        <v>855</v>
      </c>
      <c r="G141" s="197"/>
      <c r="H141" s="197" t="s">
        <v>231</v>
      </c>
      <c r="I141" s="209" t="s">
        <v>231</v>
      </c>
    </row>
    <row r="142" spans="1:12">
      <c r="A142" s="195"/>
      <c r="B142" s="195" t="s">
        <v>205</v>
      </c>
      <c r="C142"/>
      <c r="D142" s="197" t="s">
        <v>224</v>
      </c>
      <c r="E142" s="197" t="s">
        <v>273</v>
      </c>
      <c r="F142" s="197" t="s">
        <v>193</v>
      </c>
      <c r="G142" s="197" t="s">
        <v>56</v>
      </c>
      <c r="H142" s="197" t="s">
        <v>231</v>
      </c>
      <c r="I142" s="209" t="s">
        <v>231</v>
      </c>
    </row>
    <row r="143" spans="1:12">
      <c r="A143" s="195"/>
      <c r="B143" s="195" t="s">
        <v>206</v>
      </c>
      <c r="C143"/>
      <c r="D143" s="197" t="s">
        <v>224</v>
      </c>
      <c r="E143" s="197" t="s">
        <v>273</v>
      </c>
      <c r="F143" s="197" t="s">
        <v>122</v>
      </c>
      <c r="G143" s="197" t="s">
        <v>56</v>
      </c>
      <c r="H143" s="197" t="s">
        <v>211</v>
      </c>
      <c r="I143" s="209" t="s">
        <v>211</v>
      </c>
    </row>
    <row r="144" spans="1:12">
      <c r="A144" s="195"/>
      <c r="B144" s="195" t="s">
        <v>207</v>
      </c>
      <c r="C144"/>
      <c r="D144" s="197" t="s">
        <v>224</v>
      </c>
      <c r="E144" s="197" t="s">
        <v>273</v>
      </c>
      <c r="F144" s="197" t="s">
        <v>850</v>
      </c>
      <c r="G144" s="197" t="s">
        <v>56</v>
      </c>
      <c r="H144" s="197" t="s">
        <v>211</v>
      </c>
      <c r="I144" s="209" t="s">
        <v>211</v>
      </c>
    </row>
    <row r="145" spans="1:9">
      <c r="A145" s="195"/>
      <c r="B145" s="196" t="s">
        <v>222</v>
      </c>
      <c r="C145"/>
      <c r="D145" s="197" t="s">
        <v>759</v>
      </c>
      <c r="E145" s="197" t="s">
        <v>266</v>
      </c>
      <c r="F145" s="197" t="s">
        <v>395</v>
      </c>
      <c r="G145" s="197"/>
      <c r="H145" s="197"/>
      <c r="I145" s="209"/>
    </row>
    <row r="146" spans="1:9">
      <c r="A146" s="195"/>
      <c r="B146" s="195" t="s">
        <v>205</v>
      </c>
      <c r="C146"/>
      <c r="D146" s="197" t="s">
        <v>759</v>
      </c>
      <c r="E146" s="197" t="s">
        <v>266</v>
      </c>
      <c r="F146" s="197" t="s">
        <v>395</v>
      </c>
      <c r="G146" s="197" t="s">
        <v>270</v>
      </c>
      <c r="H146" s="197" t="s">
        <v>856</v>
      </c>
      <c r="I146" s="209" t="s">
        <v>856</v>
      </c>
    </row>
    <row r="147" spans="1:9">
      <c r="A147" s="195"/>
      <c r="B147" s="195" t="s">
        <v>206</v>
      </c>
      <c r="C147"/>
      <c r="D147" s="197" t="s">
        <v>759</v>
      </c>
      <c r="E147" s="197" t="s">
        <v>266</v>
      </c>
      <c r="F147" s="197" t="s">
        <v>395</v>
      </c>
      <c r="G147" s="197" t="s">
        <v>270</v>
      </c>
      <c r="H147" s="197" t="s">
        <v>856</v>
      </c>
      <c r="I147" s="209" t="s">
        <v>856</v>
      </c>
    </row>
    <row r="148" spans="1:9">
      <c r="A148" s="195"/>
      <c r="B148" s="195" t="s">
        <v>207</v>
      </c>
      <c r="C148"/>
      <c r="D148" s="197" t="s">
        <v>759</v>
      </c>
      <c r="E148" s="197" t="s">
        <v>266</v>
      </c>
      <c r="F148" s="197" t="s">
        <v>395</v>
      </c>
      <c r="G148" s="197" t="s">
        <v>270</v>
      </c>
      <c r="H148" s="197" t="s">
        <v>856</v>
      </c>
      <c r="I148" s="209" t="s">
        <v>856</v>
      </c>
    </row>
    <row r="149" spans="1:9">
      <c r="A149" s="195"/>
      <c r="B149" s="196" t="s">
        <v>223</v>
      </c>
      <c r="C149"/>
      <c r="D149" s="197" t="s">
        <v>759</v>
      </c>
      <c r="E149" s="197" t="s">
        <v>252</v>
      </c>
      <c r="F149" s="197" t="s">
        <v>395</v>
      </c>
      <c r="G149" s="197" t="s">
        <v>270</v>
      </c>
      <c r="H149" s="197" t="s">
        <v>856</v>
      </c>
      <c r="I149" s="209" t="s">
        <v>856</v>
      </c>
    </row>
    <row r="150" spans="1:9">
      <c r="A150" s="195"/>
      <c r="B150" s="195" t="s">
        <v>205</v>
      </c>
      <c r="C150"/>
      <c r="D150" s="197" t="s">
        <v>88</v>
      </c>
      <c r="E150" s="197" t="s">
        <v>252</v>
      </c>
      <c r="F150" s="197" t="s">
        <v>395</v>
      </c>
      <c r="G150" s="197" t="s">
        <v>270</v>
      </c>
      <c r="H150" s="197" t="s">
        <v>856</v>
      </c>
      <c r="I150" s="209" t="s">
        <v>856</v>
      </c>
    </row>
    <row r="151" spans="1:9">
      <c r="A151" s="195"/>
      <c r="B151" s="195" t="s">
        <v>206</v>
      </c>
      <c r="C151"/>
      <c r="D151" s="197" t="s">
        <v>280</v>
      </c>
      <c r="E151" s="197" t="s">
        <v>252</v>
      </c>
      <c r="F151" s="197" t="s">
        <v>395</v>
      </c>
      <c r="G151" s="197" t="s">
        <v>270</v>
      </c>
      <c r="H151" s="197" t="s">
        <v>856</v>
      </c>
      <c r="I151" s="209" t="s">
        <v>856</v>
      </c>
    </row>
    <row r="152" spans="1:9">
      <c r="A152" s="195"/>
      <c r="B152" s="195" t="s">
        <v>207</v>
      </c>
      <c r="C152"/>
      <c r="D152" s="197" t="s">
        <v>160</v>
      </c>
      <c r="E152" s="197" t="s">
        <v>252</v>
      </c>
      <c r="F152" s="197" t="s">
        <v>395</v>
      </c>
      <c r="G152" s="197" t="s">
        <v>270</v>
      </c>
      <c r="H152" s="197" t="s">
        <v>856</v>
      </c>
      <c r="I152" s="209" t="s">
        <v>856</v>
      </c>
    </row>
    <row r="153" spans="1:9">
      <c r="A153" s="195"/>
      <c r="B153" s="196" t="s">
        <v>225</v>
      </c>
      <c r="C153"/>
      <c r="D153" s="197" t="s">
        <v>215</v>
      </c>
      <c r="E153" s="197" t="s">
        <v>252</v>
      </c>
      <c r="F153" s="197" t="s">
        <v>395</v>
      </c>
      <c r="G153" s="197" t="s">
        <v>270</v>
      </c>
      <c r="H153" s="197" t="s">
        <v>415</v>
      </c>
      <c r="I153" s="209" t="s">
        <v>415</v>
      </c>
    </row>
    <row r="154" spans="1:9">
      <c r="A154" s="195"/>
      <c r="B154" s="195" t="s">
        <v>205</v>
      </c>
      <c r="C154"/>
      <c r="D154" s="197" t="s">
        <v>423</v>
      </c>
      <c r="E154" s="197" t="s">
        <v>252</v>
      </c>
      <c r="F154" s="197" t="s">
        <v>395</v>
      </c>
      <c r="G154" s="197" t="s">
        <v>270</v>
      </c>
      <c r="H154" s="209" t="s">
        <v>415</v>
      </c>
      <c r="I154" s="209" t="s">
        <v>415</v>
      </c>
    </row>
    <row r="155" spans="1:9">
      <c r="A155" s="195"/>
      <c r="B155" s="195" t="s">
        <v>206</v>
      </c>
      <c r="C155"/>
      <c r="D155" s="197" t="s">
        <v>588</v>
      </c>
      <c r="E155" s="197" t="s">
        <v>252</v>
      </c>
      <c r="F155" s="197" t="s">
        <v>395</v>
      </c>
      <c r="G155" s="197" t="s">
        <v>270</v>
      </c>
      <c r="H155" s="209" t="s">
        <v>415</v>
      </c>
      <c r="I155" s="209" t="s">
        <v>415</v>
      </c>
    </row>
    <row r="156" spans="1:9">
      <c r="A156" s="195"/>
      <c r="B156" s="195" t="s">
        <v>207</v>
      </c>
      <c r="C156"/>
      <c r="D156" s="197" t="s">
        <v>127</v>
      </c>
      <c r="E156" s="197" t="s">
        <v>252</v>
      </c>
      <c r="F156" s="197" t="s">
        <v>395</v>
      </c>
      <c r="G156" s="197" t="s">
        <v>270</v>
      </c>
      <c r="H156" s="209" t="s">
        <v>415</v>
      </c>
      <c r="I156" s="209" t="s">
        <v>415</v>
      </c>
    </row>
    <row r="157" spans="1:9">
      <c r="A157" s="195"/>
      <c r="B157" s="196" t="s">
        <v>226</v>
      </c>
      <c r="C157"/>
      <c r="D157" s="197"/>
      <c r="E157" s="197"/>
      <c r="F157" s="197"/>
      <c r="G157" s="197" t="s">
        <v>270</v>
      </c>
      <c r="H157" s="209"/>
      <c r="I157" s="209"/>
    </row>
    <row r="158" spans="1:9">
      <c r="A158" s="195"/>
      <c r="B158" s="195" t="s">
        <v>205</v>
      </c>
      <c r="C158"/>
      <c r="D158" s="197"/>
      <c r="E158" s="197"/>
      <c r="F158" s="197"/>
      <c r="G158" s="197" t="s">
        <v>270</v>
      </c>
      <c r="H158" s="209"/>
      <c r="I158" s="209"/>
    </row>
    <row r="159" spans="1:9">
      <c r="A159" s="195"/>
      <c r="B159" s="195" t="s">
        <v>206</v>
      </c>
      <c r="C159"/>
      <c r="D159" s="197"/>
      <c r="E159" s="197"/>
      <c r="F159" s="197"/>
      <c r="G159" s="197" t="s">
        <v>270</v>
      </c>
      <c r="H159" s="209"/>
      <c r="I159" s="209"/>
    </row>
    <row r="160" spans="1:9">
      <c r="A160" s="195"/>
      <c r="B160" s="195" t="s">
        <v>207</v>
      </c>
      <c r="C160"/>
      <c r="D160" s="197"/>
      <c r="E160" s="197"/>
      <c r="F160" s="197"/>
      <c r="G160" s="197" t="s">
        <v>270</v>
      </c>
      <c r="H160" s="209"/>
      <c r="I160" s="209"/>
    </row>
    <row r="161" spans="1:12">
      <c r="A161" s="195"/>
      <c r="B161" s="196" t="s">
        <v>227</v>
      </c>
      <c r="C161"/>
      <c r="D161" s="197"/>
      <c r="E161" s="197"/>
      <c r="F161" s="197"/>
      <c r="G161" s="197"/>
      <c r="H161" s="209"/>
      <c r="I161" s="209"/>
      <c r="K161"/>
    </row>
    <row r="162" spans="1:12" ht="29.25" thickBot="1">
      <c r="A162" s="182" t="str">
        <f>"回収シフト  第"&amp;ROUNDUP(DAY(B165)/7,0)  &amp;"  "&amp;TEXT(B165,"aaaa")</f>
        <v>回収シフト  第1  土曜日</v>
      </c>
      <c r="B162" s="183"/>
      <c r="C162" s="183"/>
      <c r="D162" s="183"/>
      <c r="E162" s="183"/>
      <c r="F162" s="183"/>
      <c r="G162" s="184"/>
      <c r="H162" s="184"/>
      <c r="I162" s="184"/>
      <c r="K162" s="183"/>
      <c r="L162" s="183"/>
    </row>
    <row r="163" spans="1:12" ht="15.75" thickBot="1">
      <c r="A163"/>
      <c r="B163"/>
      <c r="C163"/>
      <c r="D163" s="186" t="s">
        <v>201</v>
      </c>
      <c r="E163" s="186" t="s">
        <v>202</v>
      </c>
      <c r="F163" s="186" t="s">
        <v>203</v>
      </c>
      <c r="G163" s="186" t="s">
        <v>204</v>
      </c>
      <c r="H163" s="186" t="s">
        <v>267</v>
      </c>
      <c r="I163" s="217" t="s">
        <v>267</v>
      </c>
      <c r="K163" s="230" t="s">
        <v>257</v>
      </c>
      <c r="L163" s="231"/>
    </row>
    <row r="164" spans="1:12">
      <c r="A164" s="187"/>
      <c r="B164" s="188">
        <v>46116</v>
      </c>
      <c r="C164" s="187"/>
      <c r="D164" s="189" t="s">
        <v>906</v>
      </c>
      <c r="E164" s="189" t="s">
        <v>720</v>
      </c>
      <c r="F164" s="189"/>
      <c r="G164" s="189"/>
      <c r="H164" s="189"/>
      <c r="I164" s="218"/>
      <c r="K164" s="232" t="s">
        <v>258</v>
      </c>
      <c r="L164" s="190" t="str">
        <f ca="1">_xlfn.XLOOKUP($B165,シフト抽出!$19:$19,シフト抽出!$20:$20,"該当なし",0,1)</f>
        <v/>
      </c>
    </row>
    <row r="165" spans="1:12" ht="19.5" thickBot="1">
      <c r="A165"/>
      <c r="B165" s="191">
        <f>B112+1</f>
        <v>46116</v>
      </c>
      <c r="C165" s="192"/>
      <c r="D165" s="193"/>
      <c r="E165" s="193"/>
      <c r="F165" s="193"/>
      <c r="G165" s="193"/>
      <c r="H165" s="193"/>
      <c r="I165" s="219"/>
      <c r="K165" s="233"/>
      <c r="L165" s="194" t="str">
        <f ca="1">_xlfn.XLOOKUP($B165,シフト抽出!$19:$19,シフト抽出!$21:$21,"該当なし",0,1)</f>
        <v/>
      </c>
    </row>
    <row r="166" spans="1:12">
      <c r="A166" s="195"/>
      <c r="B166" s="196">
        <v>0.25</v>
      </c>
      <c r="C166"/>
      <c r="D166" s="197"/>
      <c r="E166" s="196"/>
      <c r="F166" s="197"/>
      <c r="G166" s="197"/>
      <c r="H166" s="197"/>
      <c r="I166" s="209"/>
      <c r="K166" s="234" t="s">
        <v>259</v>
      </c>
      <c r="L166" s="198" t="str">
        <f ca="1">_xlfn.XLOOKUP($B165,シフト抽出!$19:$19,シフト抽出!$23:$23,"該当なし",0,1)</f>
        <v/>
      </c>
    </row>
    <row r="167" spans="1:12" ht="15.75" thickBot="1">
      <c r="A167" s="195"/>
      <c r="B167" s="195" t="s">
        <v>205</v>
      </c>
      <c r="C167"/>
      <c r="D167" s="197"/>
      <c r="E167" s="197"/>
      <c r="F167" s="197"/>
      <c r="G167" s="197"/>
      <c r="H167" s="197"/>
      <c r="I167" s="209"/>
      <c r="K167" s="235"/>
      <c r="L167" s="199" t="str">
        <f ca="1">_xlfn.XLOOKUP($B165,シフト抽出!$19:$19,シフト抽出!$24:$24,"該当なし",0,1)</f>
        <v/>
      </c>
    </row>
    <row r="168" spans="1:12">
      <c r="A168" s="195"/>
      <c r="B168" s="195" t="s">
        <v>206</v>
      </c>
      <c r="C168"/>
      <c r="D168" s="197"/>
      <c r="E168" s="197"/>
      <c r="F168" s="197"/>
      <c r="G168" s="197"/>
      <c r="H168" s="197"/>
      <c r="I168" s="209"/>
      <c r="K168" s="224" t="s">
        <v>260</v>
      </c>
      <c r="L168" s="200" t="str">
        <f ca="1">_xlfn.XLOOKUP($B165,シフト抽出!$19:$19,シフト抽出!$26:$26,"該当なし",0,1)</f>
        <v/>
      </c>
    </row>
    <row r="169" spans="1:12">
      <c r="A169" s="195"/>
      <c r="B169" s="195" t="s">
        <v>207</v>
      </c>
      <c r="C169"/>
      <c r="D169" s="197"/>
      <c r="E169" s="197"/>
      <c r="F169" s="197"/>
      <c r="G169" s="197"/>
      <c r="H169" s="197"/>
      <c r="I169" s="209"/>
      <c r="K169" s="225"/>
      <c r="L169" s="201" t="str">
        <f ca="1">_xlfn.XLOOKUP($B165,シフト抽出!$19:$19,シフト抽出!$27:$27,"該当なし",0,1)</f>
        <v/>
      </c>
    </row>
    <row r="170" spans="1:12">
      <c r="A170" s="195"/>
      <c r="B170" s="202" t="s">
        <v>208</v>
      </c>
      <c r="C170"/>
      <c r="D170" s="197"/>
      <c r="E170" s="197" t="s">
        <v>4</v>
      </c>
      <c r="F170" s="197"/>
      <c r="G170" s="197"/>
      <c r="H170" s="197"/>
      <c r="I170" s="209"/>
      <c r="J170" s="203"/>
      <c r="K170" s="225"/>
      <c r="L170" s="201" t="str">
        <f ca="1">_xlfn.XLOOKUP($B165,シフト抽出!$19:$19,シフト抽出!$28:$28,"該当なし",0,1)</f>
        <v/>
      </c>
    </row>
    <row r="171" spans="1:12" ht="15.75" thickBot="1">
      <c r="A171" s="195"/>
      <c r="B171" s="195" t="s">
        <v>205</v>
      </c>
      <c r="C171"/>
      <c r="D171" s="197"/>
      <c r="E171" s="197" t="s">
        <v>22</v>
      </c>
      <c r="F171" s="197"/>
      <c r="G171" s="197"/>
      <c r="H171" s="197"/>
      <c r="I171" s="209"/>
      <c r="J171" s="203"/>
      <c r="K171" s="226"/>
      <c r="L171" s="204" t="str">
        <f ca="1">_xlfn.XLOOKUP($B165,シフト抽出!$19:$19,シフト抽出!$29:$29,"該当なし",0,1)</f>
        <v/>
      </c>
    </row>
    <row r="172" spans="1:12" ht="15.75" thickBot="1">
      <c r="A172" s="195"/>
      <c r="B172" s="195" t="s">
        <v>206</v>
      </c>
      <c r="C172"/>
      <c r="D172" s="197"/>
      <c r="E172" s="197" t="s">
        <v>22</v>
      </c>
      <c r="F172" s="197"/>
      <c r="G172" s="197"/>
      <c r="H172" s="197"/>
      <c r="I172" s="209"/>
      <c r="K172" s="205" t="s">
        <v>261</v>
      </c>
      <c r="L172" s="205">
        <f>_xlfn.XLOOKUP($B165,予定表!B:B,予定表!R:R,"該当なし",0,1)</f>
        <v>0</v>
      </c>
    </row>
    <row r="173" spans="1:12">
      <c r="A173" s="195"/>
      <c r="B173" s="195" t="s">
        <v>207</v>
      </c>
      <c r="C173"/>
      <c r="D173" s="197"/>
      <c r="E173" s="197" t="s">
        <v>22</v>
      </c>
      <c r="F173" s="197"/>
      <c r="G173" s="197"/>
      <c r="H173" s="197"/>
      <c r="I173" s="209"/>
      <c r="K173" s="227" t="s">
        <v>262</v>
      </c>
      <c r="L173" s="206">
        <f>_xlfn.XLOOKUP($B165,予定表!$B:$B,予定表!E:E,"該当なし",0,1)</f>
        <v>0</v>
      </c>
    </row>
    <row r="174" spans="1:12">
      <c r="A174" s="195"/>
      <c r="B174" s="196" t="s">
        <v>209</v>
      </c>
      <c r="C174"/>
      <c r="D174" s="197" t="s">
        <v>4</v>
      </c>
      <c r="E174" s="197" t="s">
        <v>793</v>
      </c>
      <c r="F174" s="197"/>
      <c r="G174" s="197"/>
      <c r="H174" s="197"/>
      <c r="I174" s="209"/>
      <c r="K174" s="228"/>
      <c r="L174" s="207">
        <f>_xlfn.XLOOKUP($B165,予定表!$B:$B,予定表!F:F,"該当なし",0,1)</f>
        <v>0</v>
      </c>
    </row>
    <row r="175" spans="1:12">
      <c r="A175" s="195"/>
      <c r="B175" s="195" t="s">
        <v>205</v>
      </c>
      <c r="C175"/>
      <c r="D175" s="197" t="s">
        <v>268</v>
      </c>
      <c r="E175" s="197" t="s">
        <v>793</v>
      </c>
      <c r="F175" s="197"/>
      <c r="G175" s="197"/>
      <c r="H175" s="197"/>
      <c r="I175" s="209"/>
      <c r="K175" s="228"/>
      <c r="L175" s="207" t="str">
        <f>_xlfn.XLOOKUP($B165,予定表!$B:$B,予定表!G:G,"該当なし",0,1)</f>
        <v>資さんうどん</v>
      </c>
    </row>
    <row r="176" spans="1:12">
      <c r="A176" s="195"/>
      <c r="B176" s="195" t="s">
        <v>206</v>
      </c>
      <c r="C176"/>
      <c r="D176" s="197" t="s">
        <v>268</v>
      </c>
      <c r="E176" s="197" t="s">
        <v>241</v>
      </c>
      <c r="F176" s="197"/>
      <c r="G176" s="197"/>
      <c r="H176" s="197"/>
      <c r="I176" s="209"/>
      <c r="K176" s="228"/>
      <c r="L176" s="207">
        <f>_xlfn.XLOOKUP($B165,予定表!$B:$B,予定表!H:H,"該当なし",0,1)</f>
        <v>0</v>
      </c>
    </row>
    <row r="177" spans="1:12">
      <c r="A177" s="195"/>
      <c r="B177" s="195" t="s">
        <v>207</v>
      </c>
      <c r="C177"/>
      <c r="D177" s="197" t="s">
        <v>268</v>
      </c>
      <c r="E177" s="197" t="s">
        <v>241</v>
      </c>
      <c r="F177" s="197"/>
      <c r="G177" s="197"/>
      <c r="H177" s="197"/>
      <c r="I177" s="209"/>
      <c r="K177" s="228"/>
      <c r="L177" s="207" t="str">
        <f>_xlfn.XLOOKUP($B165,予定表!$B:$B,予定表!I:I,"該当なし",0,1)</f>
        <v/>
      </c>
    </row>
    <row r="178" spans="1:12">
      <c r="A178" s="195"/>
      <c r="B178" s="196" t="s">
        <v>212</v>
      </c>
      <c r="C178"/>
      <c r="D178" s="197" t="s">
        <v>268</v>
      </c>
      <c r="E178" s="197" t="s">
        <v>114</v>
      </c>
      <c r="F178" s="197"/>
      <c r="G178" s="197"/>
      <c r="H178" s="197"/>
      <c r="I178" s="209"/>
      <c r="K178" s="228"/>
      <c r="L178" s="207" t="str">
        <f>_xlfn.XLOOKUP($B165,予定表!$B:$B,予定表!J:J,"該当なし",0,1)</f>
        <v/>
      </c>
    </row>
    <row r="179" spans="1:12">
      <c r="A179" s="195"/>
      <c r="B179" s="195" t="s">
        <v>205</v>
      </c>
      <c r="C179"/>
      <c r="D179" s="197" t="s">
        <v>268</v>
      </c>
      <c r="E179" s="197" t="s">
        <v>114</v>
      </c>
      <c r="F179" s="197"/>
      <c r="G179" s="197"/>
      <c r="H179" s="197"/>
      <c r="I179" s="209"/>
      <c r="K179" s="228"/>
      <c r="L179" s="207" t="str">
        <f>_xlfn.XLOOKUP($B165,予定表!$B:$B,予定表!K:K,"該当なし",0,1)</f>
        <v/>
      </c>
    </row>
    <row r="180" spans="1:12">
      <c r="A180" s="195"/>
      <c r="B180" s="195" t="s">
        <v>206</v>
      </c>
      <c r="C180"/>
      <c r="D180" s="197" t="s">
        <v>515</v>
      </c>
      <c r="E180" s="197"/>
      <c r="F180" s="197"/>
      <c r="G180" s="197"/>
      <c r="H180" s="197"/>
      <c r="I180" s="209"/>
      <c r="K180" s="228"/>
      <c r="L180" s="207" t="str">
        <f>_xlfn.XLOOKUP($B165,予定表!$B:$B,予定表!L:L,"該当なし",0,1)</f>
        <v/>
      </c>
    </row>
    <row r="181" spans="1:12" ht="15.75" thickBot="1">
      <c r="A181" s="195"/>
      <c r="B181" s="195" t="s">
        <v>207</v>
      </c>
      <c r="C181"/>
      <c r="D181" s="197" t="s">
        <v>515</v>
      </c>
      <c r="E181" s="197" t="s">
        <v>214</v>
      </c>
      <c r="F181" s="197"/>
      <c r="G181" s="197"/>
      <c r="H181" s="197"/>
      <c r="I181" s="209"/>
      <c r="K181" s="229"/>
      <c r="L181" s="204" t="str">
        <f>_xlfn.XLOOKUP($A162,ﾘｽﾄマスタ!$U$8:$U$17,ﾘｽﾄマスタ!$V$8:$V$17,"",0)</f>
        <v/>
      </c>
    </row>
    <row r="182" spans="1:12" ht="15.75" thickBot="1">
      <c r="A182" s="195"/>
      <c r="B182" s="196" t="s">
        <v>251</v>
      </c>
      <c r="C182"/>
      <c r="D182" s="197" t="s">
        <v>515</v>
      </c>
      <c r="E182" s="197" t="s">
        <v>214</v>
      </c>
      <c r="F182" s="197"/>
      <c r="G182" s="197"/>
      <c r="H182" s="197"/>
      <c r="I182" s="209"/>
      <c r="K182" s="208" t="s">
        <v>277</v>
      </c>
      <c r="L182" s="208" t="str">
        <f ca="1">_xlfn.XLOOKUP($B165,シフト抽出!$19:$19,シフト抽出!$30:$30,"該当なし",0,1)</f>
        <v/>
      </c>
    </row>
    <row r="183" spans="1:12">
      <c r="A183" s="195"/>
      <c r="B183" s="195" t="s">
        <v>205</v>
      </c>
      <c r="C183"/>
      <c r="D183" s="197" t="s">
        <v>242</v>
      </c>
      <c r="E183" s="197" t="s">
        <v>214</v>
      </c>
      <c r="F183" s="197"/>
      <c r="G183" s="197"/>
      <c r="H183" s="197"/>
      <c r="I183" s="209"/>
    </row>
    <row r="184" spans="1:12">
      <c r="A184" s="195"/>
      <c r="B184" s="195" t="s">
        <v>206</v>
      </c>
      <c r="C184"/>
      <c r="D184" s="197" t="s">
        <v>242</v>
      </c>
      <c r="E184" s="197" t="s">
        <v>214</v>
      </c>
      <c r="F184" s="197"/>
      <c r="G184" s="197"/>
      <c r="H184" s="197"/>
      <c r="I184" s="209"/>
    </row>
    <row r="185" spans="1:12">
      <c r="A185" s="195"/>
      <c r="B185" s="195" t="s">
        <v>207</v>
      </c>
      <c r="C185"/>
      <c r="D185" s="197" t="s">
        <v>242</v>
      </c>
      <c r="E185" s="197" t="s">
        <v>851</v>
      </c>
      <c r="F185" s="197"/>
      <c r="G185" s="197"/>
      <c r="H185" s="197"/>
      <c r="I185" s="209"/>
    </row>
    <row r="186" spans="1:12">
      <c r="A186" s="195"/>
      <c r="B186" s="196" t="s">
        <v>217</v>
      </c>
      <c r="C186"/>
      <c r="D186" s="197" t="s">
        <v>242</v>
      </c>
      <c r="E186" s="197" t="s">
        <v>851</v>
      </c>
      <c r="F186" s="197"/>
      <c r="G186" s="197"/>
      <c r="H186" s="197"/>
      <c r="I186" s="209"/>
    </row>
    <row r="187" spans="1:12">
      <c r="A187" s="195"/>
      <c r="B187" s="195" t="s">
        <v>205</v>
      </c>
      <c r="C187"/>
      <c r="D187" s="197" t="s">
        <v>242</v>
      </c>
      <c r="E187" s="197" t="s">
        <v>851</v>
      </c>
      <c r="F187" s="197"/>
      <c r="G187" s="197"/>
      <c r="H187" s="197"/>
      <c r="I187" s="209"/>
    </row>
    <row r="188" spans="1:12">
      <c r="A188" s="195"/>
      <c r="B188" s="195" t="s">
        <v>206</v>
      </c>
      <c r="C188"/>
      <c r="D188" s="197" t="s">
        <v>242</v>
      </c>
      <c r="E188" s="197" t="s">
        <v>851</v>
      </c>
      <c r="F188" s="197"/>
      <c r="G188" s="197"/>
      <c r="H188" s="197"/>
      <c r="I188" s="209"/>
    </row>
    <row r="189" spans="1:12">
      <c r="A189" s="195"/>
      <c r="B189" s="195" t="s">
        <v>207</v>
      </c>
      <c r="C189"/>
      <c r="D189" s="197"/>
      <c r="E189" s="197"/>
      <c r="F189" s="197"/>
      <c r="G189" s="197"/>
      <c r="H189" s="197"/>
      <c r="I189" s="209"/>
    </row>
    <row r="190" spans="1:12">
      <c r="A190" s="195"/>
      <c r="B190" s="196" t="s">
        <v>219</v>
      </c>
      <c r="C190"/>
      <c r="D190" s="197"/>
      <c r="E190" s="197"/>
      <c r="F190" s="197"/>
      <c r="G190" s="197"/>
      <c r="H190" s="197"/>
      <c r="I190" s="209"/>
    </row>
    <row r="191" spans="1:12">
      <c r="A191" s="195"/>
      <c r="B191" s="195" t="s">
        <v>205</v>
      </c>
      <c r="C191"/>
      <c r="D191" s="197"/>
      <c r="E191" s="197"/>
      <c r="F191" s="197"/>
      <c r="G191" s="197"/>
      <c r="H191" s="197"/>
      <c r="I191" s="209"/>
    </row>
    <row r="192" spans="1:12">
      <c r="A192" s="195"/>
      <c r="B192" s="195" t="s">
        <v>206</v>
      </c>
      <c r="C192"/>
      <c r="D192" s="197"/>
      <c r="E192" s="197"/>
      <c r="F192" s="197"/>
      <c r="G192" s="197"/>
      <c r="H192" s="197"/>
      <c r="I192" s="209"/>
    </row>
    <row r="193" spans="1:9">
      <c r="A193" s="195"/>
      <c r="B193" s="195" t="s">
        <v>207</v>
      </c>
      <c r="C193"/>
      <c r="D193" s="189" t="s">
        <v>907</v>
      </c>
      <c r="E193" s="197"/>
      <c r="F193" s="189" t="s">
        <v>908</v>
      </c>
      <c r="G193" s="197"/>
      <c r="H193" s="197"/>
      <c r="I193" s="209"/>
    </row>
    <row r="194" spans="1:9">
      <c r="A194" s="195"/>
      <c r="B194" s="196" t="s">
        <v>220</v>
      </c>
      <c r="C194"/>
      <c r="D194" s="197" t="s">
        <v>7</v>
      </c>
      <c r="E194" s="197" t="s">
        <v>7</v>
      </c>
      <c r="F194" s="197"/>
      <c r="G194" s="197"/>
      <c r="H194" s="197"/>
      <c r="I194" s="209"/>
    </row>
    <row r="195" spans="1:9">
      <c r="A195" s="195"/>
      <c r="B195" s="195" t="s">
        <v>205</v>
      </c>
      <c r="C195"/>
      <c r="D195" s="197" t="s">
        <v>904</v>
      </c>
      <c r="E195" s="197" t="s">
        <v>214</v>
      </c>
      <c r="F195" s="197" t="s">
        <v>114</v>
      </c>
      <c r="G195" s="197"/>
      <c r="H195" s="197"/>
      <c r="I195" s="209"/>
    </row>
    <row r="196" spans="1:9">
      <c r="A196" s="195"/>
      <c r="B196" s="195" t="s">
        <v>206</v>
      </c>
      <c r="C196"/>
      <c r="D196" s="197" t="s">
        <v>905</v>
      </c>
      <c r="E196" s="197" t="s">
        <v>214</v>
      </c>
      <c r="F196" s="197" t="s">
        <v>114</v>
      </c>
      <c r="G196" s="197"/>
      <c r="H196" s="197"/>
      <c r="I196" s="209"/>
    </row>
    <row r="197" spans="1:9">
      <c r="A197" s="195"/>
      <c r="B197" s="195" t="s">
        <v>207</v>
      </c>
      <c r="C197"/>
      <c r="D197" s="197" t="s">
        <v>84</v>
      </c>
      <c r="E197" s="197" t="s">
        <v>214</v>
      </c>
      <c r="F197" s="197" t="s">
        <v>244</v>
      </c>
      <c r="G197" s="197"/>
      <c r="H197" s="197"/>
      <c r="I197" s="209"/>
    </row>
    <row r="198" spans="1:9">
      <c r="A198" s="195"/>
      <c r="B198" s="196" t="s">
        <v>222</v>
      </c>
      <c r="C198"/>
      <c r="D198" s="197" t="s">
        <v>84</v>
      </c>
      <c r="E198" s="197" t="s">
        <v>214</v>
      </c>
      <c r="F198" s="197" t="s">
        <v>244</v>
      </c>
      <c r="G198" s="197"/>
      <c r="H198" s="197"/>
      <c r="I198" s="209"/>
    </row>
    <row r="199" spans="1:9">
      <c r="A199" s="195"/>
      <c r="B199" s="195" t="s">
        <v>205</v>
      </c>
      <c r="C199"/>
      <c r="D199" s="189" t="s">
        <v>906</v>
      </c>
      <c r="E199" s="197" t="s">
        <v>228</v>
      </c>
      <c r="F199" s="197"/>
      <c r="G199" s="197"/>
      <c r="H199" s="197"/>
      <c r="I199" s="209"/>
    </row>
    <row r="200" spans="1:9">
      <c r="A200" s="195"/>
      <c r="B200" s="195" t="s">
        <v>206</v>
      </c>
      <c r="C200"/>
      <c r="D200" s="197" t="s">
        <v>270</v>
      </c>
      <c r="E200" s="197" t="s">
        <v>228</v>
      </c>
      <c r="F200" s="197"/>
      <c r="G200" s="197"/>
      <c r="H200" s="197"/>
      <c r="I200" s="209"/>
    </row>
    <row r="201" spans="1:9">
      <c r="A201" s="195"/>
      <c r="B201" s="195" t="s">
        <v>207</v>
      </c>
      <c r="C201"/>
      <c r="D201" s="197" t="s">
        <v>270</v>
      </c>
      <c r="E201" s="197" t="s">
        <v>228</v>
      </c>
      <c r="F201" s="197"/>
      <c r="G201" s="197"/>
      <c r="H201" s="197"/>
      <c r="I201" s="209"/>
    </row>
    <row r="202" spans="1:9">
      <c r="A202" s="195"/>
      <c r="B202" s="196" t="s">
        <v>223</v>
      </c>
      <c r="C202"/>
      <c r="D202" s="197" t="s">
        <v>270</v>
      </c>
      <c r="E202" s="197" t="s">
        <v>228</v>
      </c>
      <c r="F202" s="197"/>
      <c r="G202" s="197"/>
      <c r="H202" s="197"/>
      <c r="I202" s="209"/>
    </row>
    <row r="203" spans="1:9">
      <c r="A203" s="195"/>
      <c r="B203" s="195" t="s">
        <v>205</v>
      </c>
      <c r="C203"/>
      <c r="D203" s="197" t="s">
        <v>270</v>
      </c>
      <c r="E203" s="197" t="s">
        <v>273</v>
      </c>
      <c r="F203" s="197"/>
      <c r="G203" s="197"/>
      <c r="H203" s="197"/>
      <c r="I203" s="209"/>
    </row>
    <row r="204" spans="1:9">
      <c r="A204" s="195"/>
      <c r="B204" s="195" t="s">
        <v>206</v>
      </c>
      <c r="C204"/>
      <c r="D204" s="197" t="s">
        <v>270</v>
      </c>
      <c r="E204" s="197" t="s">
        <v>273</v>
      </c>
      <c r="F204" s="197"/>
      <c r="G204" s="197"/>
      <c r="H204" s="197"/>
      <c r="I204" s="209"/>
    </row>
    <row r="205" spans="1:9">
      <c r="A205" s="195"/>
      <c r="B205" s="195" t="s">
        <v>207</v>
      </c>
      <c r="C205"/>
      <c r="D205" s="197" t="s">
        <v>270</v>
      </c>
      <c r="E205" s="197" t="s">
        <v>273</v>
      </c>
      <c r="F205" s="197"/>
      <c r="G205" s="197"/>
      <c r="H205" s="197"/>
      <c r="I205" s="209"/>
    </row>
    <row r="206" spans="1:9">
      <c r="A206" s="195"/>
      <c r="B206" s="196" t="s">
        <v>225</v>
      </c>
      <c r="C206"/>
      <c r="D206" s="197" t="s">
        <v>270</v>
      </c>
      <c r="E206" s="197" t="s">
        <v>263</v>
      </c>
      <c r="F206" s="197"/>
      <c r="G206" s="197"/>
      <c r="H206" s="197"/>
      <c r="I206" s="209"/>
    </row>
    <row r="207" spans="1:9">
      <c r="A207" s="195"/>
      <c r="B207" s="195" t="s">
        <v>205</v>
      </c>
      <c r="C207"/>
      <c r="D207" s="197" t="s">
        <v>270</v>
      </c>
      <c r="E207" s="197" t="s">
        <v>263</v>
      </c>
      <c r="F207" s="197"/>
      <c r="G207" s="197"/>
      <c r="H207" s="209"/>
      <c r="I207" s="209"/>
    </row>
    <row r="208" spans="1:9">
      <c r="A208" s="195"/>
      <c r="B208" s="195" t="s">
        <v>206</v>
      </c>
      <c r="C208"/>
      <c r="D208" s="197" t="s">
        <v>270</v>
      </c>
      <c r="E208" s="197" t="s">
        <v>263</v>
      </c>
      <c r="F208" s="197"/>
      <c r="G208" s="197"/>
      <c r="H208" s="209"/>
      <c r="I208" s="209"/>
    </row>
    <row r="209" spans="1:12">
      <c r="A209" s="195"/>
      <c r="B209" s="195" t="s">
        <v>207</v>
      </c>
      <c r="C209"/>
      <c r="D209" s="197" t="s">
        <v>270</v>
      </c>
      <c r="E209" s="197" t="s">
        <v>263</v>
      </c>
      <c r="F209" s="197"/>
      <c r="G209" s="197"/>
      <c r="H209" s="209"/>
      <c r="I209" s="209"/>
    </row>
    <row r="210" spans="1:12">
      <c r="A210" s="195"/>
      <c r="B210" s="196" t="s">
        <v>226</v>
      </c>
      <c r="C210"/>
      <c r="D210" s="197" t="s">
        <v>270</v>
      </c>
      <c r="E210" s="197"/>
      <c r="F210" s="197"/>
      <c r="G210" s="197"/>
      <c r="H210" s="209"/>
      <c r="I210" s="209"/>
    </row>
    <row r="211" spans="1:12">
      <c r="A211" s="195"/>
      <c r="B211" s="195" t="s">
        <v>205</v>
      </c>
      <c r="C211"/>
      <c r="D211" s="197" t="s">
        <v>270</v>
      </c>
      <c r="E211" s="197"/>
      <c r="F211" s="197"/>
      <c r="G211" s="197"/>
      <c r="H211" s="209"/>
      <c r="I211" s="209"/>
    </row>
    <row r="212" spans="1:12">
      <c r="A212" s="195"/>
      <c r="B212" s="195" t="s">
        <v>206</v>
      </c>
      <c r="C212"/>
      <c r="D212" s="197" t="s">
        <v>270</v>
      </c>
      <c r="E212" s="197"/>
      <c r="F212" s="197"/>
      <c r="G212" s="197"/>
      <c r="H212" s="209"/>
      <c r="I212" s="209"/>
    </row>
    <row r="213" spans="1:12">
      <c r="A213" s="195"/>
      <c r="B213" s="195" t="s">
        <v>207</v>
      </c>
      <c r="C213"/>
      <c r="D213" s="197" t="s">
        <v>270</v>
      </c>
      <c r="E213" s="197"/>
      <c r="F213" s="197"/>
      <c r="G213" s="197"/>
      <c r="H213" s="209"/>
      <c r="I213" s="209"/>
    </row>
    <row r="214" spans="1:12">
      <c r="A214" s="195"/>
      <c r="B214" s="196" t="s">
        <v>227</v>
      </c>
      <c r="C214"/>
      <c r="D214" s="197"/>
      <c r="E214" s="197"/>
      <c r="F214" s="197"/>
      <c r="G214" s="197"/>
      <c r="H214" s="209"/>
      <c r="I214" s="209"/>
      <c r="K214"/>
    </row>
    <row r="215" spans="1:12" ht="29.25" thickBot="1">
      <c r="A215" s="182" t="str">
        <f>"回収シフト  第"&amp;ROUNDUP(DAY(B218)/7,0)  &amp;"  "&amp;TEXT(B218,"aaaa")</f>
        <v>回収シフト  第1  月曜日</v>
      </c>
      <c r="B215" s="183"/>
      <c r="C215" s="183"/>
      <c r="D215" s="183"/>
      <c r="E215" s="183"/>
      <c r="F215" s="183"/>
      <c r="G215" s="184"/>
      <c r="H215" s="184"/>
      <c r="I215" s="184"/>
      <c r="K215" s="183"/>
      <c r="L215" s="183"/>
    </row>
    <row r="216" spans="1:12" ht="15.75" thickBot="1">
      <c r="A216"/>
      <c r="B216"/>
      <c r="C216"/>
      <c r="D216" s="186" t="s">
        <v>201</v>
      </c>
      <c r="E216" s="186" t="s">
        <v>202</v>
      </c>
      <c r="F216" s="186" t="s">
        <v>203</v>
      </c>
      <c r="G216" s="186" t="s">
        <v>204</v>
      </c>
      <c r="H216" s="186" t="s">
        <v>267</v>
      </c>
      <c r="I216" s="217" t="s">
        <v>267</v>
      </c>
      <c r="K216" s="230" t="s">
        <v>257</v>
      </c>
      <c r="L216" s="231"/>
    </row>
    <row r="217" spans="1:12">
      <c r="A217" s="187"/>
      <c r="B217" s="188">
        <v>45495</v>
      </c>
      <c r="C217" s="187"/>
      <c r="D217" s="189" t="s">
        <v>857</v>
      </c>
      <c r="E217" s="189" t="s">
        <v>858</v>
      </c>
      <c r="F217" s="189" t="s">
        <v>360</v>
      </c>
      <c r="G217" s="189" t="s">
        <v>859</v>
      </c>
      <c r="H217" s="189" t="s">
        <v>852</v>
      </c>
      <c r="I217" s="218" t="s">
        <v>852</v>
      </c>
      <c r="K217" s="232" t="s">
        <v>258</v>
      </c>
      <c r="L217" s="190" t="str">
        <f ca="1">_xlfn.XLOOKUP($B218,シフト抽出!$19:$19,シフト抽出!$20:$20,"該当なし",0,1)</f>
        <v/>
      </c>
    </row>
    <row r="218" spans="1:12" ht="19.5" thickBot="1">
      <c r="A218"/>
      <c r="B218" s="191">
        <f>B165+2</f>
        <v>46118</v>
      </c>
      <c r="C218" s="192" t="e">
        <v>#REF!</v>
      </c>
      <c r="D218" s="193"/>
      <c r="E218" s="193"/>
      <c r="F218" s="193"/>
      <c r="G218" s="193"/>
      <c r="H218" s="193"/>
      <c r="I218" s="219"/>
      <c r="K218" s="233"/>
      <c r="L218" s="194" t="str">
        <f ca="1">_xlfn.XLOOKUP($B218,シフト抽出!$19:$19,シフト抽出!$21:$21,"該当なし",0,1)</f>
        <v/>
      </c>
    </row>
    <row r="219" spans="1:12">
      <c r="A219" s="195"/>
      <c r="B219" s="196">
        <v>0.25</v>
      </c>
      <c r="C219"/>
      <c r="D219" s="197"/>
      <c r="E219" s="196"/>
      <c r="F219" s="197"/>
      <c r="G219" s="197"/>
      <c r="H219" s="197"/>
      <c r="I219" s="209"/>
      <c r="K219" s="234" t="s">
        <v>259</v>
      </c>
      <c r="L219" s="198" t="str">
        <f ca="1">_xlfn.XLOOKUP($B218,シフト抽出!$19:$19,シフト抽出!$23:$23,"該当なし",0,1)</f>
        <v/>
      </c>
    </row>
    <row r="220" spans="1:12" ht="15.75" thickBot="1">
      <c r="A220" s="195"/>
      <c r="B220" s="195" t="s">
        <v>205</v>
      </c>
      <c r="C220"/>
      <c r="D220" s="197"/>
      <c r="E220" s="197"/>
      <c r="F220" s="197"/>
      <c r="G220" s="197"/>
      <c r="H220" s="197"/>
      <c r="I220" s="209"/>
      <c r="K220" s="235"/>
      <c r="L220" s="199" t="str">
        <f ca="1">_xlfn.XLOOKUP($B218,シフト抽出!$19:$19,シフト抽出!$24:$24,"該当なし",0,1)</f>
        <v/>
      </c>
    </row>
    <row r="221" spans="1:12">
      <c r="A221" s="195"/>
      <c r="B221" s="195" t="s">
        <v>206</v>
      </c>
      <c r="C221"/>
      <c r="D221" s="197"/>
      <c r="E221" s="197" t="s">
        <v>860</v>
      </c>
      <c r="F221" s="197"/>
      <c r="G221" s="197"/>
      <c r="H221" s="197"/>
      <c r="I221" s="209"/>
      <c r="K221" s="224" t="s">
        <v>260</v>
      </c>
      <c r="L221" s="200" t="str">
        <f ca="1">_xlfn.XLOOKUP($B218,シフト抽出!$19:$19,シフト抽出!$26:$26,"該当なし",0,1)</f>
        <v/>
      </c>
    </row>
    <row r="222" spans="1:12">
      <c r="A222" s="195"/>
      <c r="B222" s="195" t="s">
        <v>207</v>
      </c>
      <c r="C222"/>
      <c r="D222" s="197"/>
      <c r="E222" s="197"/>
      <c r="F222" s="197"/>
      <c r="G222" s="197"/>
      <c r="H222" s="197"/>
      <c r="I222" s="209"/>
      <c r="K222" s="225"/>
      <c r="L222" s="201" t="str">
        <f ca="1">_xlfn.XLOOKUP($B218,シフト抽出!$19:$19,シフト抽出!$27:$27,"該当なし",0,1)</f>
        <v/>
      </c>
    </row>
    <row r="223" spans="1:12">
      <c r="A223" s="195"/>
      <c r="B223" s="202" t="s">
        <v>208</v>
      </c>
      <c r="C223"/>
      <c r="D223" s="197"/>
      <c r="E223" s="197"/>
      <c r="F223" s="197" t="s">
        <v>861</v>
      </c>
      <c r="G223" s="197"/>
      <c r="H223" s="197"/>
      <c r="I223" s="209"/>
      <c r="J223" s="203"/>
      <c r="K223" s="225"/>
      <c r="L223" s="201" t="str">
        <f ca="1">_xlfn.XLOOKUP($B218,シフト抽出!$19:$19,シフト抽出!$28:$28,"該当なし",0,1)</f>
        <v/>
      </c>
    </row>
    <row r="224" spans="1:12" ht="15.75" thickBot="1">
      <c r="A224" s="195"/>
      <c r="B224" s="195" t="s">
        <v>205</v>
      </c>
      <c r="C224"/>
      <c r="D224" s="197"/>
      <c r="E224" s="197"/>
      <c r="F224" s="197"/>
      <c r="G224" s="197"/>
      <c r="H224" s="197"/>
      <c r="I224" s="209"/>
      <c r="J224" s="203"/>
      <c r="K224" s="226"/>
      <c r="L224" s="204" t="str">
        <f ca="1">_xlfn.XLOOKUP($B218,シフト抽出!$19:$19,シフト抽出!$29:$29,"該当なし",0,1)</f>
        <v/>
      </c>
    </row>
    <row r="225" spans="1:12" ht="15.75" thickBot="1">
      <c r="A225" s="195"/>
      <c r="B225" s="195" t="s">
        <v>206</v>
      </c>
      <c r="C225"/>
      <c r="D225" s="197"/>
      <c r="E225" s="197"/>
      <c r="F225" s="197"/>
      <c r="G225" s="197"/>
      <c r="H225" s="197"/>
      <c r="I225" s="209"/>
      <c r="K225" s="205" t="s">
        <v>261</v>
      </c>
      <c r="L225" s="205">
        <f>_xlfn.XLOOKUP($B218,予定表!B:B,予定表!R:R,"該当なし",0,1)</f>
        <v>0</v>
      </c>
    </row>
    <row r="226" spans="1:12">
      <c r="A226" s="195"/>
      <c r="B226" s="195" t="s">
        <v>207</v>
      </c>
      <c r="C226"/>
      <c r="D226" s="197"/>
      <c r="E226" s="197"/>
      <c r="F226" s="197"/>
      <c r="G226" s="197"/>
      <c r="H226" s="197"/>
      <c r="I226" s="209"/>
      <c r="K226" s="227" t="s">
        <v>262</v>
      </c>
      <c r="L226" s="206">
        <f>_xlfn.XLOOKUP($B218,予定表!$B:$B,予定表!E:E,"該当なし",0,1)</f>
        <v>0</v>
      </c>
    </row>
    <row r="227" spans="1:12">
      <c r="A227" s="195"/>
      <c r="B227" s="196" t="s">
        <v>209</v>
      </c>
      <c r="C227"/>
      <c r="D227" s="197" t="s">
        <v>793</v>
      </c>
      <c r="E227" s="197" t="s">
        <v>414</v>
      </c>
      <c r="F227" s="197" t="s">
        <v>264</v>
      </c>
      <c r="G227" s="197" t="s">
        <v>268</v>
      </c>
      <c r="H227" s="197" t="s">
        <v>848</v>
      </c>
      <c r="I227" s="209" t="s">
        <v>848</v>
      </c>
      <c r="K227" s="228"/>
      <c r="L227" s="207">
        <f>_xlfn.XLOOKUP($B218,予定表!$B:$B,予定表!F:F,"該当なし",0,1)</f>
        <v>0</v>
      </c>
    </row>
    <row r="228" spans="1:12">
      <c r="A228" s="195"/>
      <c r="B228" s="195" t="s">
        <v>205</v>
      </c>
      <c r="C228"/>
      <c r="D228" s="197" t="s">
        <v>793</v>
      </c>
      <c r="E228" s="197" t="s">
        <v>414</v>
      </c>
      <c r="F228" s="197" t="s">
        <v>264</v>
      </c>
      <c r="G228" s="197" t="s">
        <v>268</v>
      </c>
      <c r="H228" s="197" t="s">
        <v>848</v>
      </c>
      <c r="I228" s="209" t="s">
        <v>848</v>
      </c>
      <c r="K228" s="228"/>
      <c r="L228" s="207" t="str">
        <f>_xlfn.XLOOKUP($B218,予定表!$B:$B,予定表!G:G,"該当なし",0,1)</f>
        <v>資さんうどん</v>
      </c>
    </row>
    <row r="229" spans="1:12">
      <c r="A229" s="195"/>
      <c r="B229" s="195" t="s">
        <v>206</v>
      </c>
      <c r="C229"/>
      <c r="D229" s="197" t="s">
        <v>471</v>
      </c>
      <c r="E229" s="197" t="s">
        <v>414</v>
      </c>
      <c r="F229" s="197" t="s">
        <v>62</v>
      </c>
      <c r="G229" s="197" t="s">
        <v>268</v>
      </c>
      <c r="H229" s="197" t="s">
        <v>848</v>
      </c>
      <c r="I229" s="209" t="s">
        <v>848</v>
      </c>
      <c r="K229" s="228"/>
      <c r="L229" s="207">
        <f>_xlfn.XLOOKUP($B218,予定表!$B:$B,予定表!H:H,"該当なし",0,1)</f>
        <v>0</v>
      </c>
    </row>
    <row r="230" spans="1:12">
      <c r="A230" s="195"/>
      <c r="B230" s="195" t="s">
        <v>207</v>
      </c>
      <c r="C230"/>
      <c r="D230" s="197" t="s">
        <v>119</v>
      </c>
      <c r="E230" s="197" t="s">
        <v>414</v>
      </c>
      <c r="F230" s="197" t="s">
        <v>62</v>
      </c>
      <c r="G230" s="197" t="s">
        <v>268</v>
      </c>
      <c r="H230" s="197" t="s">
        <v>848</v>
      </c>
      <c r="I230" s="209" t="s">
        <v>848</v>
      </c>
      <c r="K230" s="228"/>
      <c r="L230" s="207" t="str">
        <f>_xlfn.XLOOKUP($B218,予定表!$B:$B,予定表!I:I,"該当なし",0,1)</f>
        <v/>
      </c>
    </row>
    <row r="231" spans="1:12">
      <c r="A231" s="195"/>
      <c r="B231" s="196" t="s">
        <v>212</v>
      </c>
      <c r="C231"/>
      <c r="D231" s="197" t="s">
        <v>119</v>
      </c>
      <c r="E231" s="197" t="s">
        <v>414</v>
      </c>
      <c r="F231" s="197" t="s">
        <v>62</v>
      </c>
      <c r="G231" s="197" t="s">
        <v>268</v>
      </c>
      <c r="H231" s="197" t="s">
        <v>848</v>
      </c>
      <c r="I231" s="209" t="s">
        <v>848</v>
      </c>
      <c r="K231" s="228"/>
      <c r="L231" s="207" t="str">
        <f>_xlfn.XLOOKUP($B218,予定表!$B:$B,予定表!J:J,"該当なし",0,1)</f>
        <v/>
      </c>
    </row>
    <row r="232" spans="1:12">
      <c r="A232" s="195"/>
      <c r="B232" s="195" t="s">
        <v>205</v>
      </c>
      <c r="C232"/>
      <c r="D232" s="197" t="s">
        <v>278</v>
      </c>
      <c r="E232" s="197" t="s">
        <v>414</v>
      </c>
      <c r="F232" s="197" t="s">
        <v>62</v>
      </c>
      <c r="G232" s="197" t="s">
        <v>268</v>
      </c>
      <c r="H232" s="197" t="s">
        <v>848</v>
      </c>
      <c r="I232" s="209" t="s">
        <v>848</v>
      </c>
      <c r="K232" s="228"/>
      <c r="L232" s="207" t="str">
        <f>_xlfn.XLOOKUP($B218,予定表!$B:$B,予定表!K:K,"該当なし",0,1)</f>
        <v/>
      </c>
    </row>
    <row r="233" spans="1:12">
      <c r="A233" s="195"/>
      <c r="B233" s="195" t="s">
        <v>206</v>
      </c>
      <c r="C233"/>
      <c r="D233" s="197" t="s">
        <v>213</v>
      </c>
      <c r="E233" s="197" t="s">
        <v>414</v>
      </c>
      <c r="F233" s="197" t="s">
        <v>62</v>
      </c>
      <c r="G233" s="197" t="s">
        <v>515</v>
      </c>
      <c r="H233" s="197" t="s">
        <v>848</v>
      </c>
      <c r="I233" s="209" t="s">
        <v>848</v>
      </c>
      <c r="K233" s="228"/>
      <c r="L233" s="207" t="str">
        <f>_xlfn.XLOOKUP($B218,予定表!$B:$B,予定表!L:L,"該当なし",0,1)</f>
        <v/>
      </c>
    </row>
    <row r="234" spans="1:12" ht="15.75" thickBot="1">
      <c r="A234" s="195"/>
      <c r="B234" s="195" t="s">
        <v>207</v>
      </c>
      <c r="C234"/>
      <c r="D234" s="197" t="s">
        <v>144</v>
      </c>
      <c r="E234" s="197" t="s">
        <v>414</v>
      </c>
      <c r="F234" s="197" t="s">
        <v>62</v>
      </c>
      <c r="G234" s="197" t="s">
        <v>515</v>
      </c>
      <c r="H234" s="197" t="s">
        <v>848</v>
      </c>
      <c r="I234" s="209" t="s">
        <v>848</v>
      </c>
      <c r="K234" s="229"/>
      <c r="L234" s="204" t="str">
        <f>_xlfn.XLOOKUP($A215,ﾘｽﾄマスタ!$U$8:$U$17,ﾘｽﾄマスタ!$V$8:$V$17,"",0)</f>
        <v>㈱ｱｸﾃｨｵ・春うららか</v>
      </c>
    </row>
    <row r="235" spans="1:12" ht="15.75" thickBot="1">
      <c r="A235" s="195"/>
      <c r="B235" s="196" t="s">
        <v>251</v>
      </c>
      <c r="C235"/>
      <c r="D235" s="197" t="s">
        <v>144</v>
      </c>
      <c r="E235" s="197" t="s">
        <v>862</v>
      </c>
      <c r="F235" s="197" t="s">
        <v>62</v>
      </c>
      <c r="G235" s="197" t="s">
        <v>269</v>
      </c>
      <c r="H235" s="197" t="s">
        <v>848</v>
      </c>
      <c r="I235" s="209" t="s">
        <v>848</v>
      </c>
      <c r="K235" s="208" t="s">
        <v>277</v>
      </c>
      <c r="L235" s="208" t="str">
        <f ca="1">_xlfn.XLOOKUP($B218,シフト抽出!$19:$19,シフト抽出!$30:$30,"該当なし",0,1)</f>
        <v/>
      </c>
    </row>
    <row r="236" spans="1:12">
      <c r="A236" s="195"/>
      <c r="B236" s="195" t="s">
        <v>205</v>
      </c>
      <c r="C236"/>
      <c r="D236" s="197" t="s">
        <v>218</v>
      </c>
      <c r="E236" s="197" t="s">
        <v>214</v>
      </c>
      <c r="F236" s="197" t="s">
        <v>62</v>
      </c>
      <c r="G236" s="197" t="s">
        <v>269</v>
      </c>
      <c r="H236" s="197" t="s">
        <v>229</v>
      </c>
      <c r="I236" s="209" t="s">
        <v>229</v>
      </c>
    </row>
    <row r="237" spans="1:12">
      <c r="A237" s="195"/>
      <c r="B237" s="195" t="s">
        <v>206</v>
      </c>
      <c r="C237"/>
      <c r="D237" s="197" t="s">
        <v>78</v>
      </c>
      <c r="E237" s="197" t="s">
        <v>214</v>
      </c>
      <c r="F237" s="197" t="s">
        <v>62</v>
      </c>
      <c r="G237" s="197" t="s">
        <v>269</v>
      </c>
      <c r="H237" s="197" t="s">
        <v>229</v>
      </c>
      <c r="I237" s="209" t="s">
        <v>229</v>
      </c>
    </row>
    <row r="238" spans="1:12">
      <c r="A238" s="195"/>
      <c r="B238" s="195" t="s">
        <v>207</v>
      </c>
      <c r="C238"/>
      <c r="D238" s="197" t="s">
        <v>78</v>
      </c>
      <c r="E238" s="197" t="s">
        <v>214</v>
      </c>
      <c r="F238" s="197" t="s">
        <v>62</v>
      </c>
      <c r="G238" s="197" t="s">
        <v>269</v>
      </c>
      <c r="H238" s="197" t="s">
        <v>229</v>
      </c>
      <c r="I238" s="209" t="s">
        <v>229</v>
      </c>
    </row>
    <row r="239" spans="1:12">
      <c r="A239" s="195"/>
      <c r="B239" s="196" t="s">
        <v>217</v>
      </c>
      <c r="C239"/>
      <c r="D239" s="197" t="s">
        <v>146</v>
      </c>
      <c r="E239" s="197" t="s">
        <v>214</v>
      </c>
      <c r="F239" s="197" t="s">
        <v>62</v>
      </c>
      <c r="G239" s="197" t="s">
        <v>446</v>
      </c>
      <c r="H239" s="197" t="s">
        <v>230</v>
      </c>
      <c r="I239" s="209" t="s">
        <v>230</v>
      </c>
    </row>
    <row r="240" spans="1:12">
      <c r="A240" s="195"/>
      <c r="B240" s="195" t="s">
        <v>205</v>
      </c>
      <c r="C240"/>
      <c r="D240" s="197" t="s">
        <v>146</v>
      </c>
      <c r="E240" s="197" t="s">
        <v>761</v>
      </c>
      <c r="F240" s="197" t="s">
        <v>62</v>
      </c>
      <c r="G240" s="197" t="s">
        <v>446</v>
      </c>
      <c r="H240" s="197" t="s">
        <v>230</v>
      </c>
      <c r="I240" s="209" t="s">
        <v>230</v>
      </c>
    </row>
    <row r="241" spans="1:9">
      <c r="A241" s="195"/>
      <c r="B241" s="195" t="s">
        <v>206</v>
      </c>
      <c r="C241"/>
      <c r="D241" s="197"/>
      <c r="E241" s="197" t="s">
        <v>761</v>
      </c>
      <c r="F241" s="197" t="s">
        <v>62</v>
      </c>
      <c r="G241" s="197" t="s">
        <v>114</v>
      </c>
      <c r="H241" s="197" t="s">
        <v>230</v>
      </c>
      <c r="I241" s="209" t="s">
        <v>230</v>
      </c>
    </row>
    <row r="242" spans="1:9">
      <c r="A242" s="195"/>
      <c r="B242" s="195" t="s">
        <v>207</v>
      </c>
      <c r="C242"/>
      <c r="D242" s="197"/>
      <c r="E242" s="197" t="s">
        <v>761</v>
      </c>
      <c r="F242" s="197" t="s">
        <v>62</v>
      </c>
      <c r="G242" s="197" t="s">
        <v>114</v>
      </c>
      <c r="H242" s="197" t="s">
        <v>230</v>
      </c>
      <c r="I242" s="209" t="s">
        <v>230</v>
      </c>
    </row>
    <row r="243" spans="1:9">
      <c r="A243" s="195"/>
      <c r="B243" s="196" t="s">
        <v>219</v>
      </c>
      <c r="C243"/>
      <c r="D243" s="197"/>
      <c r="E243" s="197"/>
      <c r="F243" s="197" t="s">
        <v>62</v>
      </c>
      <c r="G243" s="197" t="s">
        <v>51</v>
      </c>
      <c r="H243" s="197" t="s">
        <v>230</v>
      </c>
      <c r="I243" s="209" t="s">
        <v>230</v>
      </c>
    </row>
    <row r="244" spans="1:9">
      <c r="A244" s="195"/>
      <c r="B244" s="195" t="s">
        <v>205</v>
      </c>
      <c r="C244"/>
      <c r="D244" s="197"/>
      <c r="E244" s="197"/>
      <c r="F244" s="197" t="s">
        <v>62</v>
      </c>
      <c r="G244" s="197" t="s">
        <v>51</v>
      </c>
      <c r="H244" s="197" t="s">
        <v>230</v>
      </c>
      <c r="I244" s="209" t="s">
        <v>230</v>
      </c>
    </row>
    <row r="245" spans="1:9">
      <c r="A245" s="195"/>
      <c r="B245" s="195" t="s">
        <v>206</v>
      </c>
      <c r="C245"/>
      <c r="D245" s="197"/>
      <c r="E245" s="197"/>
      <c r="F245" s="197"/>
      <c r="G245" s="197"/>
      <c r="H245" s="197"/>
      <c r="I245" s="209"/>
    </row>
    <row r="246" spans="1:9">
      <c r="A246" s="195"/>
      <c r="B246" s="195" t="s">
        <v>207</v>
      </c>
      <c r="C246"/>
      <c r="D246" s="197"/>
      <c r="E246" s="197"/>
      <c r="F246" s="197"/>
      <c r="G246" s="197"/>
      <c r="H246" s="197"/>
      <c r="I246" s="209"/>
    </row>
    <row r="247" spans="1:9">
      <c r="A247" s="195"/>
      <c r="B247" s="196" t="s">
        <v>220</v>
      </c>
      <c r="C247"/>
      <c r="D247" s="197" t="s">
        <v>248</v>
      </c>
      <c r="E247" s="197" t="s">
        <v>863</v>
      </c>
      <c r="F247" s="197"/>
      <c r="G247" s="197" t="s">
        <v>864</v>
      </c>
      <c r="H247" s="197"/>
      <c r="I247" s="209"/>
    </row>
    <row r="248" spans="1:9">
      <c r="A248" s="195"/>
      <c r="B248" s="195" t="s">
        <v>205</v>
      </c>
      <c r="C248"/>
      <c r="D248" s="197" t="s">
        <v>759</v>
      </c>
      <c r="E248" s="197" t="s">
        <v>848</v>
      </c>
      <c r="F248" s="197" t="s">
        <v>224</v>
      </c>
      <c r="G248" s="197" t="s">
        <v>56</v>
      </c>
      <c r="H248" s="197" t="s">
        <v>415</v>
      </c>
      <c r="I248" s="209" t="s">
        <v>415</v>
      </c>
    </row>
    <row r="249" spans="1:9">
      <c r="A249" s="195"/>
      <c r="B249" s="195" t="s">
        <v>206</v>
      </c>
      <c r="C249"/>
      <c r="D249" s="197" t="s">
        <v>759</v>
      </c>
      <c r="E249" s="197" t="s">
        <v>848</v>
      </c>
      <c r="F249" s="197" t="s">
        <v>865</v>
      </c>
      <c r="G249" s="197" t="s">
        <v>56</v>
      </c>
      <c r="H249" s="197" t="s">
        <v>415</v>
      </c>
      <c r="I249" s="209" t="s">
        <v>415</v>
      </c>
    </row>
    <row r="250" spans="1:9">
      <c r="A250" s="195"/>
      <c r="B250" s="195" t="s">
        <v>207</v>
      </c>
      <c r="C250"/>
      <c r="D250" s="197" t="s">
        <v>759</v>
      </c>
      <c r="E250" s="197" t="s">
        <v>848</v>
      </c>
      <c r="F250" s="197" t="s">
        <v>866</v>
      </c>
      <c r="G250" s="197" t="s">
        <v>56</v>
      </c>
      <c r="H250" s="197" t="s">
        <v>415</v>
      </c>
      <c r="I250" s="209" t="s">
        <v>415</v>
      </c>
    </row>
    <row r="251" spans="1:9">
      <c r="A251" s="195"/>
      <c r="B251" s="196" t="s">
        <v>222</v>
      </c>
      <c r="C251"/>
      <c r="D251" s="197" t="s">
        <v>759</v>
      </c>
      <c r="E251" s="197" t="s">
        <v>273</v>
      </c>
      <c r="F251" s="197" t="s">
        <v>851</v>
      </c>
      <c r="G251" s="197"/>
      <c r="H251" s="197" t="s">
        <v>415</v>
      </c>
      <c r="I251" s="209" t="s">
        <v>415</v>
      </c>
    </row>
    <row r="252" spans="1:9">
      <c r="A252" s="195"/>
      <c r="B252" s="195" t="s">
        <v>205</v>
      </c>
      <c r="C252"/>
      <c r="D252" s="197" t="s">
        <v>759</v>
      </c>
      <c r="E252" s="197" t="s">
        <v>273</v>
      </c>
      <c r="F252" s="197" t="s">
        <v>851</v>
      </c>
      <c r="G252" s="197" t="s">
        <v>270</v>
      </c>
      <c r="H252" s="197" t="s">
        <v>415</v>
      </c>
      <c r="I252" s="209" t="s">
        <v>415</v>
      </c>
    </row>
    <row r="253" spans="1:9">
      <c r="A253" s="195"/>
      <c r="B253" s="195" t="s">
        <v>206</v>
      </c>
      <c r="C253"/>
      <c r="D253" s="197" t="s">
        <v>216</v>
      </c>
      <c r="E253" s="197" t="s">
        <v>273</v>
      </c>
      <c r="F253" s="197" t="s">
        <v>851</v>
      </c>
      <c r="G253" s="197" t="s">
        <v>270</v>
      </c>
      <c r="H253" s="197" t="s">
        <v>415</v>
      </c>
      <c r="I253" s="209" t="s">
        <v>415</v>
      </c>
    </row>
    <row r="254" spans="1:9">
      <c r="A254" s="195"/>
      <c r="B254" s="195" t="s">
        <v>207</v>
      </c>
      <c r="C254"/>
      <c r="D254" s="197" t="s">
        <v>216</v>
      </c>
      <c r="E254" s="197" t="s">
        <v>252</v>
      </c>
      <c r="F254" s="197" t="s">
        <v>851</v>
      </c>
      <c r="G254" s="197" t="s">
        <v>270</v>
      </c>
      <c r="H254" s="197" t="s">
        <v>415</v>
      </c>
      <c r="I254" s="209" t="s">
        <v>415</v>
      </c>
    </row>
    <row r="255" spans="1:9">
      <c r="A255" s="195"/>
      <c r="B255" s="196" t="s">
        <v>223</v>
      </c>
      <c r="C255"/>
      <c r="D255" s="197" t="s">
        <v>216</v>
      </c>
      <c r="E255" s="197" t="s">
        <v>252</v>
      </c>
      <c r="F255" s="197"/>
      <c r="G255" s="197" t="s">
        <v>270</v>
      </c>
      <c r="H255" s="197" t="s">
        <v>415</v>
      </c>
      <c r="I255" s="209" t="s">
        <v>415</v>
      </c>
    </row>
    <row r="256" spans="1:9">
      <c r="A256" s="195"/>
      <c r="B256" s="195" t="s">
        <v>205</v>
      </c>
      <c r="C256"/>
      <c r="D256" s="197" t="s">
        <v>216</v>
      </c>
      <c r="E256" s="197" t="s">
        <v>252</v>
      </c>
      <c r="F256" s="197"/>
      <c r="G256" s="197" t="s">
        <v>270</v>
      </c>
      <c r="H256" s="197" t="s">
        <v>415</v>
      </c>
      <c r="I256" s="209" t="s">
        <v>415</v>
      </c>
    </row>
    <row r="257" spans="1:12">
      <c r="A257" s="195"/>
      <c r="B257" s="195" t="s">
        <v>206</v>
      </c>
      <c r="C257"/>
      <c r="D257" s="197" t="s">
        <v>160</v>
      </c>
      <c r="E257" s="197" t="s">
        <v>252</v>
      </c>
      <c r="F257" s="197"/>
      <c r="G257" s="197" t="s">
        <v>270</v>
      </c>
      <c r="H257" s="197" t="s">
        <v>415</v>
      </c>
      <c r="I257" s="209" t="s">
        <v>415</v>
      </c>
    </row>
    <row r="258" spans="1:12">
      <c r="A258" s="195"/>
      <c r="B258" s="195" t="s">
        <v>207</v>
      </c>
      <c r="C258"/>
      <c r="D258" s="197" t="s">
        <v>215</v>
      </c>
      <c r="E258" s="197" t="s">
        <v>252</v>
      </c>
      <c r="F258" s="197"/>
      <c r="G258" s="197" t="s">
        <v>270</v>
      </c>
      <c r="H258" s="197" t="s">
        <v>415</v>
      </c>
      <c r="I258" s="209" t="s">
        <v>415</v>
      </c>
    </row>
    <row r="259" spans="1:12">
      <c r="A259" s="195"/>
      <c r="B259" s="196" t="s">
        <v>225</v>
      </c>
      <c r="C259"/>
      <c r="D259" s="197" t="s">
        <v>280</v>
      </c>
      <c r="E259" s="197" t="s">
        <v>252</v>
      </c>
      <c r="F259" s="197"/>
      <c r="G259" s="197" t="s">
        <v>270</v>
      </c>
      <c r="H259" s="197" t="s">
        <v>415</v>
      </c>
      <c r="I259" s="209" t="s">
        <v>415</v>
      </c>
    </row>
    <row r="260" spans="1:12">
      <c r="A260" s="195"/>
      <c r="B260" s="195" t="s">
        <v>205</v>
      </c>
      <c r="C260"/>
      <c r="D260" s="197" t="s">
        <v>127</v>
      </c>
      <c r="E260" s="197" t="s">
        <v>252</v>
      </c>
      <c r="F260" s="197"/>
      <c r="G260" s="197" t="s">
        <v>270</v>
      </c>
      <c r="H260" s="209" t="s">
        <v>415</v>
      </c>
      <c r="I260" s="209" t="s">
        <v>415</v>
      </c>
    </row>
    <row r="261" spans="1:12">
      <c r="A261" s="195"/>
      <c r="B261" s="195" t="s">
        <v>206</v>
      </c>
      <c r="C261"/>
      <c r="D261" s="197"/>
      <c r="E261" s="197" t="s">
        <v>252</v>
      </c>
      <c r="F261" s="197"/>
      <c r="G261" s="197" t="s">
        <v>270</v>
      </c>
      <c r="H261" s="209" t="s">
        <v>415</v>
      </c>
      <c r="I261" s="209" t="s">
        <v>415</v>
      </c>
    </row>
    <row r="262" spans="1:12">
      <c r="A262" s="195"/>
      <c r="B262" s="195" t="s">
        <v>207</v>
      </c>
      <c r="C262"/>
      <c r="D262" s="197"/>
      <c r="E262" s="197" t="s">
        <v>252</v>
      </c>
      <c r="F262" s="197"/>
      <c r="G262" s="197" t="s">
        <v>270</v>
      </c>
      <c r="H262" s="209" t="s">
        <v>415</v>
      </c>
      <c r="I262" s="209" t="s">
        <v>415</v>
      </c>
    </row>
    <row r="263" spans="1:12">
      <c r="A263" s="195"/>
      <c r="B263" s="196" t="s">
        <v>226</v>
      </c>
      <c r="C263"/>
      <c r="D263" s="197"/>
      <c r="E263" s="197"/>
      <c r="F263" s="197"/>
      <c r="G263" s="197" t="s">
        <v>270</v>
      </c>
      <c r="H263" s="209" t="s">
        <v>415</v>
      </c>
      <c r="I263" s="209" t="s">
        <v>415</v>
      </c>
    </row>
    <row r="264" spans="1:12">
      <c r="A264" s="195"/>
      <c r="B264" s="195" t="s">
        <v>205</v>
      </c>
      <c r="C264"/>
      <c r="D264" s="197"/>
      <c r="E264" s="197"/>
      <c r="F264" s="197"/>
      <c r="G264" s="197" t="s">
        <v>270</v>
      </c>
      <c r="H264" s="209"/>
      <c r="I264" s="209"/>
    </row>
    <row r="265" spans="1:12">
      <c r="A265" s="195"/>
      <c r="B265" s="195" t="s">
        <v>206</v>
      </c>
      <c r="C265"/>
      <c r="D265" s="197"/>
      <c r="E265" s="197"/>
      <c r="F265" s="197"/>
      <c r="G265" s="197" t="s">
        <v>270</v>
      </c>
      <c r="H265" s="209"/>
      <c r="I265" s="209"/>
    </row>
    <row r="266" spans="1:12">
      <c r="A266" s="195"/>
      <c r="B266" s="195" t="s">
        <v>207</v>
      </c>
      <c r="C266"/>
      <c r="D266" s="197"/>
      <c r="E266" s="197"/>
      <c r="F266" s="197"/>
      <c r="G266" s="197" t="s">
        <v>270</v>
      </c>
      <c r="H266" s="209"/>
      <c r="I266" s="209"/>
    </row>
    <row r="267" spans="1:12">
      <c r="A267" s="195"/>
      <c r="B267" s="196" t="s">
        <v>227</v>
      </c>
      <c r="C267"/>
      <c r="D267" s="197"/>
      <c r="E267" s="197"/>
      <c r="F267" s="197"/>
      <c r="G267" s="197"/>
      <c r="H267" s="209"/>
      <c r="I267" s="209"/>
      <c r="K267"/>
    </row>
    <row r="268" spans="1:12" ht="29.25" thickBot="1">
      <c r="A268" s="182" t="str">
        <f>"回収シフト  第"&amp;ROUNDUP(DAY(B271)/7,0)  &amp;"  "&amp;TEXT(B271,"aaaa")</f>
        <v>回収シフト  第1  火曜日</v>
      </c>
      <c r="B268" s="183"/>
      <c r="C268" s="183"/>
      <c r="D268" s="183"/>
      <c r="E268" s="183"/>
      <c r="F268" s="183"/>
      <c r="G268" s="184"/>
      <c r="H268" s="184"/>
      <c r="I268" s="184"/>
      <c r="K268" s="183"/>
      <c r="L268" s="183"/>
    </row>
    <row r="269" spans="1:12" ht="15.75" thickBot="1">
      <c r="A269"/>
      <c r="B269"/>
      <c r="C269"/>
      <c r="D269" s="186" t="s">
        <v>201</v>
      </c>
      <c r="E269" s="186" t="s">
        <v>202</v>
      </c>
      <c r="F269" s="186" t="s">
        <v>203</v>
      </c>
      <c r="G269" s="186" t="s">
        <v>204</v>
      </c>
      <c r="H269" s="186" t="s">
        <v>267</v>
      </c>
      <c r="I269" s="217" t="s">
        <v>267</v>
      </c>
      <c r="K269" s="230" t="s">
        <v>257</v>
      </c>
      <c r="L269" s="231"/>
    </row>
    <row r="270" spans="1:12">
      <c r="A270" s="187"/>
      <c r="B270" s="188">
        <v>46119</v>
      </c>
      <c r="C270" s="187"/>
      <c r="D270" s="189" t="s">
        <v>248</v>
      </c>
      <c r="E270" s="189" t="s">
        <v>863</v>
      </c>
      <c r="F270" s="189" t="s">
        <v>867</v>
      </c>
      <c r="G270" s="189" t="s">
        <v>864</v>
      </c>
      <c r="H270" s="189" t="s">
        <v>852</v>
      </c>
      <c r="I270" s="218" t="s">
        <v>852</v>
      </c>
      <c r="K270" s="232" t="s">
        <v>258</v>
      </c>
      <c r="L270" s="190" t="str">
        <f ca="1">_xlfn.XLOOKUP($B271,シフト抽出!$19:$19,シフト抽出!$20:$20,"該当なし",0,1)</f>
        <v/>
      </c>
    </row>
    <row r="271" spans="1:12" ht="19.5" thickBot="1">
      <c r="A271"/>
      <c r="B271" s="191">
        <f>B218+1</f>
        <v>46119</v>
      </c>
      <c r="C271" s="192"/>
      <c r="D271" s="193"/>
      <c r="E271" s="193"/>
      <c r="F271" s="193"/>
      <c r="G271" s="193"/>
      <c r="H271" s="193"/>
      <c r="I271" s="219"/>
      <c r="K271" s="233"/>
      <c r="L271" s="194" t="str">
        <f ca="1">_xlfn.XLOOKUP($B271,シフト抽出!$19:$19,シフト抽出!$21:$21,"該当なし",0,1)</f>
        <v/>
      </c>
    </row>
    <row r="272" spans="1:12">
      <c r="A272" s="195"/>
      <c r="B272" s="196">
        <v>0.25</v>
      </c>
      <c r="C272"/>
      <c r="D272" s="197"/>
      <c r="E272" s="196"/>
      <c r="F272" s="197"/>
      <c r="G272" s="197"/>
      <c r="H272" s="197"/>
      <c r="I272" s="209"/>
      <c r="K272" s="234" t="s">
        <v>259</v>
      </c>
      <c r="L272" s="198" t="str">
        <f ca="1">_xlfn.XLOOKUP($B271,シフト抽出!$19:$19,シフト抽出!$23:$23,"該当なし",0,1)</f>
        <v/>
      </c>
    </row>
    <row r="273" spans="1:12" ht="15.75" thickBot="1">
      <c r="A273" s="195"/>
      <c r="B273" s="195" t="s">
        <v>205</v>
      </c>
      <c r="C273"/>
      <c r="D273" s="197"/>
      <c r="E273" s="197"/>
      <c r="F273" s="197"/>
      <c r="G273" s="197"/>
      <c r="H273" s="197"/>
      <c r="I273" s="209"/>
      <c r="K273" s="235"/>
      <c r="L273" s="199" t="str">
        <f ca="1">_xlfn.XLOOKUP($B271,シフト抽出!$19:$19,シフト抽出!$24:$24,"該当なし",0,1)</f>
        <v/>
      </c>
    </row>
    <row r="274" spans="1:12">
      <c r="A274" s="195"/>
      <c r="B274" s="195" t="s">
        <v>206</v>
      </c>
      <c r="C274"/>
      <c r="D274" s="197"/>
      <c r="E274" s="197"/>
      <c r="F274" s="197"/>
      <c r="G274" s="197"/>
      <c r="H274" s="197"/>
      <c r="I274" s="209"/>
      <c r="K274" s="224" t="s">
        <v>260</v>
      </c>
      <c r="L274" s="200" t="str">
        <f ca="1">_xlfn.XLOOKUP($B271,シフト抽出!$19:$19,シフト抽出!$26:$26,"該当なし",0,1)</f>
        <v/>
      </c>
    </row>
    <row r="275" spans="1:12">
      <c r="A275" s="195"/>
      <c r="B275" s="195" t="s">
        <v>207</v>
      </c>
      <c r="C275"/>
      <c r="D275" s="197"/>
      <c r="E275" s="197"/>
      <c r="F275" s="197"/>
      <c r="G275" s="197"/>
      <c r="H275" s="197"/>
      <c r="I275" s="209"/>
      <c r="K275" s="225"/>
      <c r="L275" s="201" t="str">
        <f ca="1">_xlfn.XLOOKUP($B271,シフト抽出!$19:$19,シフト抽出!$27:$27,"該当なし",0,1)</f>
        <v/>
      </c>
    </row>
    <row r="276" spans="1:12">
      <c r="A276" s="195"/>
      <c r="B276" s="202" t="s">
        <v>208</v>
      </c>
      <c r="C276"/>
      <c r="D276" s="197" t="s">
        <v>4</v>
      </c>
      <c r="E276" s="197" t="s">
        <v>4</v>
      </c>
      <c r="F276" s="197"/>
      <c r="G276" s="197" t="s">
        <v>4</v>
      </c>
      <c r="H276" s="197"/>
      <c r="I276" s="209"/>
      <c r="J276" s="203"/>
      <c r="K276" s="225"/>
      <c r="L276" s="201" t="str">
        <f ca="1">_xlfn.XLOOKUP($B271,シフト抽出!$19:$19,シフト抽出!$28:$28,"該当なし",0,1)</f>
        <v/>
      </c>
    </row>
    <row r="277" spans="1:12" ht="15.75" thickBot="1">
      <c r="A277" s="195"/>
      <c r="B277" s="195" t="s">
        <v>205</v>
      </c>
      <c r="C277"/>
      <c r="D277" s="197" t="s">
        <v>414</v>
      </c>
      <c r="E277" s="197" t="s">
        <v>420</v>
      </c>
      <c r="F277" s="197" t="s">
        <v>395</v>
      </c>
      <c r="G277" s="197" t="s">
        <v>22</v>
      </c>
      <c r="H277" s="197"/>
      <c r="I277" s="209"/>
      <c r="J277" s="203"/>
      <c r="K277" s="226"/>
      <c r="L277" s="204" t="str">
        <f ca="1">_xlfn.XLOOKUP($B271,シフト抽出!$19:$19,シフト抽出!$29:$29,"該当なし",0,1)</f>
        <v/>
      </c>
    </row>
    <row r="278" spans="1:12" ht="15.75" thickBot="1">
      <c r="A278" s="195"/>
      <c r="B278" s="195" t="s">
        <v>206</v>
      </c>
      <c r="C278"/>
      <c r="D278" s="197" t="s">
        <v>414</v>
      </c>
      <c r="E278" s="197" t="s">
        <v>420</v>
      </c>
      <c r="F278" s="197" t="s">
        <v>395</v>
      </c>
      <c r="G278" s="197" t="s">
        <v>22</v>
      </c>
      <c r="H278" s="197"/>
      <c r="I278" s="209"/>
      <c r="K278" s="205" t="s">
        <v>261</v>
      </c>
      <c r="L278" s="205">
        <f>_xlfn.XLOOKUP($B271,予定表!B:B,予定表!R:R,"該当なし",0,1)</f>
        <v>0</v>
      </c>
    </row>
    <row r="279" spans="1:12">
      <c r="A279" s="195"/>
      <c r="B279" s="195" t="s">
        <v>207</v>
      </c>
      <c r="C279"/>
      <c r="D279" s="197" t="s">
        <v>414</v>
      </c>
      <c r="E279" s="197" t="s">
        <v>420</v>
      </c>
      <c r="F279" s="197" t="s">
        <v>395</v>
      </c>
      <c r="G279" s="197" t="s">
        <v>268</v>
      </c>
      <c r="H279" s="197"/>
      <c r="I279" s="209"/>
      <c r="K279" s="227" t="s">
        <v>262</v>
      </c>
      <c r="L279" s="206">
        <f>_xlfn.XLOOKUP($B271,予定表!$B:$B,予定表!E:E,"該当なし",0,1)</f>
        <v>0</v>
      </c>
    </row>
    <row r="280" spans="1:12">
      <c r="A280" s="195"/>
      <c r="B280" s="196" t="s">
        <v>209</v>
      </c>
      <c r="C280"/>
      <c r="D280" s="197" t="s">
        <v>414</v>
      </c>
      <c r="E280" s="197" t="s">
        <v>420</v>
      </c>
      <c r="F280" s="197" t="s">
        <v>395</v>
      </c>
      <c r="G280" s="197" t="s">
        <v>268</v>
      </c>
      <c r="H280" s="197" t="s">
        <v>4</v>
      </c>
      <c r="I280" s="209" t="s">
        <v>4</v>
      </c>
      <c r="K280" s="228"/>
      <c r="L280" s="207">
        <f>_xlfn.XLOOKUP($B271,予定表!$B:$B,予定表!F:F,"該当なし",0,1)</f>
        <v>0</v>
      </c>
    </row>
    <row r="281" spans="1:12">
      <c r="A281" s="195"/>
      <c r="B281" s="195" t="s">
        <v>205</v>
      </c>
      <c r="C281"/>
      <c r="D281" s="197" t="s">
        <v>414</v>
      </c>
      <c r="E281" s="197" t="s">
        <v>420</v>
      </c>
      <c r="F281" s="197" t="s">
        <v>395</v>
      </c>
      <c r="G281" s="197" t="s">
        <v>268</v>
      </c>
      <c r="H281" s="197" t="s">
        <v>60</v>
      </c>
      <c r="I281" s="209" t="s">
        <v>60</v>
      </c>
      <c r="K281" s="228"/>
      <c r="L281" s="207">
        <f>_xlfn.XLOOKUP($B271,予定表!$B:$B,予定表!G:G,"該当なし",0,1)</f>
        <v>0</v>
      </c>
    </row>
    <row r="282" spans="1:12">
      <c r="A282" s="195"/>
      <c r="B282" s="195" t="s">
        <v>206</v>
      </c>
      <c r="C282"/>
      <c r="D282" s="197" t="s">
        <v>214</v>
      </c>
      <c r="E282" s="197" t="s">
        <v>273</v>
      </c>
      <c r="F282" s="197" t="s">
        <v>395</v>
      </c>
      <c r="G282" s="197" t="s">
        <v>268</v>
      </c>
      <c r="H282" s="197" t="s">
        <v>60</v>
      </c>
      <c r="I282" s="209" t="s">
        <v>60</v>
      </c>
      <c r="K282" s="228"/>
      <c r="L282" s="207">
        <f>_xlfn.XLOOKUP($B271,予定表!$B:$B,予定表!H:H,"該当なし",0,1)</f>
        <v>0</v>
      </c>
    </row>
    <row r="283" spans="1:12">
      <c r="A283" s="195"/>
      <c r="B283" s="195" t="s">
        <v>207</v>
      </c>
      <c r="C283"/>
      <c r="D283" s="197" t="s">
        <v>214</v>
      </c>
      <c r="E283" s="197" t="s">
        <v>273</v>
      </c>
      <c r="F283" s="197" t="s">
        <v>395</v>
      </c>
      <c r="G283" s="197" t="s">
        <v>169</v>
      </c>
      <c r="H283" s="197" t="s">
        <v>60</v>
      </c>
      <c r="I283" s="209" t="s">
        <v>60</v>
      </c>
      <c r="K283" s="228"/>
      <c r="L283" s="207" t="str">
        <f>_xlfn.XLOOKUP($B271,予定表!$B:$B,予定表!I:I,"該当なし",0,1)</f>
        <v/>
      </c>
    </row>
    <row r="284" spans="1:12">
      <c r="A284" s="195"/>
      <c r="B284" s="196" t="s">
        <v>212</v>
      </c>
      <c r="C284"/>
      <c r="D284" s="197" t="s">
        <v>214</v>
      </c>
      <c r="E284" s="197" t="s">
        <v>273</v>
      </c>
      <c r="F284" s="197" t="s">
        <v>395</v>
      </c>
      <c r="G284" s="197" t="s">
        <v>169</v>
      </c>
      <c r="H284" s="197"/>
      <c r="I284" s="209"/>
      <c r="K284" s="228"/>
      <c r="L284" s="207" t="str">
        <f>_xlfn.XLOOKUP($B271,予定表!$B:$B,予定表!J:J,"該当なし",0,1)</f>
        <v/>
      </c>
    </row>
    <row r="285" spans="1:12">
      <c r="A285" s="195"/>
      <c r="B285" s="195" t="s">
        <v>205</v>
      </c>
      <c r="C285"/>
      <c r="D285" s="197" t="s">
        <v>214</v>
      </c>
      <c r="E285" s="197" t="s">
        <v>228</v>
      </c>
      <c r="F285" s="197" t="s">
        <v>395</v>
      </c>
      <c r="G285" s="197" t="s">
        <v>169</v>
      </c>
      <c r="H285" s="197" t="s">
        <v>848</v>
      </c>
      <c r="I285" s="209" t="s">
        <v>848</v>
      </c>
      <c r="K285" s="228"/>
      <c r="L285" s="207" t="str">
        <f>_xlfn.XLOOKUP($B271,予定表!$B:$B,予定表!K:K,"該当なし",0,1)</f>
        <v/>
      </c>
    </row>
    <row r="286" spans="1:12">
      <c r="A286" s="195"/>
      <c r="B286" s="195" t="s">
        <v>206</v>
      </c>
      <c r="C286"/>
      <c r="D286" s="197" t="s">
        <v>353</v>
      </c>
      <c r="E286" s="197" t="s">
        <v>228</v>
      </c>
      <c r="F286" s="197" t="s">
        <v>395</v>
      </c>
      <c r="G286" s="197" t="s">
        <v>169</v>
      </c>
      <c r="H286" s="197" t="s">
        <v>848</v>
      </c>
      <c r="I286" s="209" t="s">
        <v>848</v>
      </c>
      <c r="K286" s="228"/>
      <c r="L286" s="207" t="str">
        <f>_xlfn.XLOOKUP($B271,予定表!$B:$B,予定表!L:L,"該当なし",0,1)</f>
        <v/>
      </c>
    </row>
    <row r="287" spans="1:12" ht="15.75" thickBot="1">
      <c r="A287" s="195"/>
      <c r="B287" s="195" t="s">
        <v>207</v>
      </c>
      <c r="C287"/>
      <c r="D287" s="197" t="s">
        <v>353</v>
      </c>
      <c r="E287" s="197" t="s">
        <v>228</v>
      </c>
      <c r="F287" s="197" t="s">
        <v>395</v>
      </c>
      <c r="G287" s="197" t="s">
        <v>169</v>
      </c>
      <c r="H287" s="197" t="s">
        <v>848</v>
      </c>
      <c r="I287" s="209" t="s">
        <v>848</v>
      </c>
      <c r="K287" s="229"/>
      <c r="L287" s="204" t="str">
        <f>_xlfn.XLOOKUP($A268,ﾘｽﾄマスタ!$U$8:$U$17,ﾘｽﾄマスタ!$V$8:$V$17,"",0)</f>
        <v xml:space="preserve"> ﾃﾞｼﾞﾌﾟﾛ(偶数月)</v>
      </c>
    </row>
    <row r="288" spans="1:12" ht="15.75" thickBot="1">
      <c r="A288" s="195"/>
      <c r="B288" s="196" t="s">
        <v>251</v>
      </c>
      <c r="C288"/>
      <c r="D288" s="197" t="s">
        <v>88</v>
      </c>
      <c r="E288" s="197" t="s">
        <v>228</v>
      </c>
      <c r="F288" s="197" t="s">
        <v>395</v>
      </c>
      <c r="G288" s="197" t="s">
        <v>279</v>
      </c>
      <c r="H288" s="197" t="s">
        <v>848</v>
      </c>
      <c r="I288" s="209" t="s">
        <v>848</v>
      </c>
      <c r="K288" s="208" t="s">
        <v>277</v>
      </c>
      <c r="L288" s="208" t="str">
        <f ca="1">_xlfn.XLOOKUP($B271,シフト抽出!$19:$19,シフト抽出!$30:$30,"該当なし",0,1)</f>
        <v/>
      </c>
    </row>
    <row r="289" spans="1:9">
      <c r="A289" s="195"/>
      <c r="B289" s="195" t="s">
        <v>205</v>
      </c>
      <c r="C289"/>
      <c r="D289" s="197" t="s">
        <v>88</v>
      </c>
      <c r="E289" s="197" t="s">
        <v>228</v>
      </c>
      <c r="F289" s="197" t="s">
        <v>395</v>
      </c>
      <c r="G289" s="197" t="s">
        <v>279</v>
      </c>
      <c r="H289" s="197" t="s">
        <v>848</v>
      </c>
      <c r="I289" s="209" t="s">
        <v>848</v>
      </c>
    </row>
    <row r="290" spans="1:9">
      <c r="A290" s="195"/>
      <c r="B290" s="195" t="s">
        <v>206</v>
      </c>
      <c r="C290"/>
      <c r="D290" s="197" t="s">
        <v>160</v>
      </c>
      <c r="E290" s="197" t="s">
        <v>263</v>
      </c>
      <c r="F290" s="197" t="s">
        <v>395</v>
      </c>
      <c r="G290" s="197" t="s">
        <v>279</v>
      </c>
      <c r="H290" s="197" t="s">
        <v>229</v>
      </c>
      <c r="I290" s="209" t="s">
        <v>229</v>
      </c>
    </row>
    <row r="291" spans="1:9">
      <c r="A291" s="195"/>
      <c r="B291" s="195" t="s">
        <v>207</v>
      </c>
      <c r="C291"/>
      <c r="D291" s="197" t="s">
        <v>160</v>
      </c>
      <c r="E291" s="197" t="s">
        <v>263</v>
      </c>
      <c r="F291" s="197" t="s">
        <v>395</v>
      </c>
      <c r="G291" s="197" t="s">
        <v>279</v>
      </c>
      <c r="H291" s="197" t="s">
        <v>229</v>
      </c>
      <c r="I291" s="209" t="s">
        <v>229</v>
      </c>
    </row>
    <row r="292" spans="1:9">
      <c r="A292" s="195"/>
      <c r="B292" s="196" t="s">
        <v>217</v>
      </c>
      <c r="C292"/>
      <c r="D292" s="197" t="s">
        <v>51</v>
      </c>
      <c r="E292" s="197" t="s">
        <v>263</v>
      </c>
      <c r="F292" s="197" t="s">
        <v>395</v>
      </c>
      <c r="G292" s="197" t="s">
        <v>279</v>
      </c>
      <c r="H292" s="197" t="s">
        <v>230</v>
      </c>
      <c r="I292" s="209" t="s">
        <v>230</v>
      </c>
    </row>
    <row r="293" spans="1:9">
      <c r="A293" s="195"/>
      <c r="B293" s="195" t="s">
        <v>205</v>
      </c>
      <c r="C293"/>
      <c r="D293" s="197" t="s">
        <v>51</v>
      </c>
      <c r="E293" s="197" t="s">
        <v>263</v>
      </c>
      <c r="F293" s="197" t="s">
        <v>395</v>
      </c>
      <c r="G293" s="197" t="s">
        <v>279</v>
      </c>
      <c r="H293" s="197" t="s">
        <v>230</v>
      </c>
      <c r="I293" s="209" t="s">
        <v>230</v>
      </c>
    </row>
    <row r="294" spans="1:9">
      <c r="A294" s="195"/>
      <c r="B294" s="195" t="s">
        <v>206</v>
      </c>
      <c r="C294"/>
      <c r="D294" s="197" t="s">
        <v>51</v>
      </c>
      <c r="E294" s="197" t="s">
        <v>263</v>
      </c>
      <c r="F294" s="197" t="s">
        <v>395</v>
      </c>
      <c r="G294" s="197" t="s">
        <v>114</v>
      </c>
      <c r="H294" s="197" t="s">
        <v>230</v>
      </c>
      <c r="I294" s="209" t="s">
        <v>230</v>
      </c>
    </row>
    <row r="295" spans="1:9">
      <c r="A295" s="195"/>
      <c r="B295" s="195" t="s">
        <v>207</v>
      </c>
      <c r="C295"/>
      <c r="D295" s="197"/>
      <c r="E295" s="197"/>
      <c r="F295" s="197" t="s">
        <v>395</v>
      </c>
      <c r="G295" s="197" t="s">
        <v>114</v>
      </c>
      <c r="H295" s="197" t="s">
        <v>230</v>
      </c>
      <c r="I295" s="209" t="s">
        <v>230</v>
      </c>
    </row>
    <row r="296" spans="1:9">
      <c r="A296" s="195"/>
      <c r="B296" s="196" t="s">
        <v>219</v>
      </c>
      <c r="C296"/>
      <c r="D296" s="197"/>
      <c r="E296" s="197"/>
      <c r="F296" s="197" t="s">
        <v>395</v>
      </c>
      <c r="G296" s="197"/>
      <c r="H296" s="197" t="s">
        <v>230</v>
      </c>
      <c r="I296" s="209" t="s">
        <v>230</v>
      </c>
    </row>
    <row r="297" spans="1:9">
      <c r="A297" s="195"/>
      <c r="B297" s="195" t="s">
        <v>205</v>
      </c>
      <c r="C297"/>
      <c r="D297" s="197"/>
      <c r="E297" s="197"/>
      <c r="F297" s="197" t="s">
        <v>395</v>
      </c>
      <c r="G297" s="197"/>
      <c r="H297" s="197" t="s">
        <v>230</v>
      </c>
      <c r="I297" s="209" t="s">
        <v>230</v>
      </c>
    </row>
    <row r="298" spans="1:9">
      <c r="A298" s="195"/>
      <c r="B298" s="195" t="s">
        <v>206</v>
      </c>
      <c r="C298"/>
      <c r="D298" s="197"/>
      <c r="E298" s="197"/>
      <c r="F298" s="197"/>
      <c r="G298" s="197"/>
      <c r="H298" s="197"/>
      <c r="I298" s="209"/>
    </row>
    <row r="299" spans="1:9">
      <c r="A299" s="195"/>
      <c r="B299" s="195" t="s">
        <v>207</v>
      </c>
      <c r="C299"/>
      <c r="D299" s="197"/>
      <c r="E299" s="197"/>
      <c r="F299" s="197"/>
      <c r="G299" s="197"/>
      <c r="H299" s="197"/>
      <c r="I299" s="209"/>
    </row>
    <row r="300" spans="1:9">
      <c r="A300" s="195"/>
      <c r="B300" s="196" t="s">
        <v>220</v>
      </c>
      <c r="C300"/>
      <c r="D300" s="197"/>
      <c r="E300" s="197"/>
      <c r="F300" s="197"/>
      <c r="G300" s="197"/>
      <c r="H300" s="197"/>
      <c r="I300" s="209"/>
    </row>
    <row r="301" spans="1:9">
      <c r="A301" s="195"/>
      <c r="B301" s="195" t="s">
        <v>205</v>
      </c>
      <c r="C301"/>
      <c r="D301" s="197" t="s">
        <v>129</v>
      </c>
      <c r="E301" s="197" t="s">
        <v>252</v>
      </c>
      <c r="F301" s="197" t="s">
        <v>851</v>
      </c>
      <c r="G301" s="197" t="s">
        <v>56</v>
      </c>
      <c r="H301" s="197" t="s">
        <v>390</v>
      </c>
      <c r="I301" s="209" t="s">
        <v>390</v>
      </c>
    </row>
    <row r="302" spans="1:9">
      <c r="A302" s="195"/>
      <c r="B302" s="195" t="s">
        <v>206</v>
      </c>
      <c r="C302"/>
      <c r="D302" s="197" t="s">
        <v>129</v>
      </c>
      <c r="E302" s="197" t="s">
        <v>252</v>
      </c>
      <c r="F302" s="197" t="s">
        <v>851</v>
      </c>
      <c r="G302" s="197" t="s">
        <v>56</v>
      </c>
      <c r="H302" s="197" t="s">
        <v>390</v>
      </c>
      <c r="I302" s="209" t="s">
        <v>390</v>
      </c>
    </row>
    <row r="303" spans="1:9">
      <c r="A303" s="195"/>
      <c r="B303" s="195" t="s">
        <v>207</v>
      </c>
      <c r="C303"/>
      <c r="D303" s="197" t="s">
        <v>129</v>
      </c>
      <c r="E303" s="197" t="s">
        <v>252</v>
      </c>
      <c r="F303" s="197" t="s">
        <v>851</v>
      </c>
      <c r="G303" s="197" t="s">
        <v>56</v>
      </c>
      <c r="H303" s="197"/>
      <c r="I303" s="209"/>
    </row>
    <row r="304" spans="1:9">
      <c r="A304" s="195"/>
      <c r="B304" s="196" t="s">
        <v>222</v>
      </c>
      <c r="C304"/>
      <c r="D304" s="197" t="s">
        <v>129</v>
      </c>
      <c r="E304" s="197" t="s">
        <v>252</v>
      </c>
      <c r="F304" s="197" t="s">
        <v>851</v>
      </c>
      <c r="G304" s="197" t="s">
        <v>56</v>
      </c>
      <c r="H304" s="197" t="s">
        <v>231</v>
      </c>
      <c r="I304" s="209" t="s">
        <v>231</v>
      </c>
    </row>
    <row r="305" spans="1:11">
      <c r="A305" s="195"/>
      <c r="B305" s="195" t="s">
        <v>205</v>
      </c>
      <c r="C305"/>
      <c r="D305" s="197" t="s">
        <v>129</v>
      </c>
      <c r="E305" s="197" t="s">
        <v>252</v>
      </c>
      <c r="F305" s="197" t="s">
        <v>851</v>
      </c>
      <c r="G305" s="197"/>
      <c r="H305" s="197" t="s">
        <v>232</v>
      </c>
      <c r="I305" s="209" t="s">
        <v>232</v>
      </c>
    </row>
    <row r="306" spans="1:11">
      <c r="A306" s="195"/>
      <c r="B306" s="195" t="s">
        <v>206</v>
      </c>
      <c r="C306"/>
      <c r="D306" s="197"/>
      <c r="E306" s="197" t="s">
        <v>252</v>
      </c>
      <c r="F306" s="197" t="s">
        <v>851</v>
      </c>
      <c r="G306" s="197" t="s">
        <v>270</v>
      </c>
      <c r="H306" s="197" t="s">
        <v>211</v>
      </c>
      <c r="I306" s="209" t="s">
        <v>211</v>
      </c>
    </row>
    <row r="307" spans="1:11">
      <c r="A307" s="195"/>
      <c r="B307" s="195" t="s">
        <v>207</v>
      </c>
      <c r="C307"/>
      <c r="D307" s="197" t="s">
        <v>515</v>
      </c>
      <c r="E307" s="197" t="s">
        <v>252</v>
      </c>
      <c r="F307" s="197" t="s">
        <v>851</v>
      </c>
      <c r="G307" s="197" t="s">
        <v>270</v>
      </c>
      <c r="H307" s="197" t="s">
        <v>211</v>
      </c>
      <c r="I307" s="209" t="s">
        <v>211</v>
      </c>
    </row>
    <row r="308" spans="1:11">
      <c r="A308" s="195"/>
      <c r="B308" s="196" t="s">
        <v>223</v>
      </c>
      <c r="C308"/>
      <c r="D308" s="197" t="s">
        <v>515</v>
      </c>
      <c r="E308" s="197" t="s">
        <v>252</v>
      </c>
      <c r="F308" s="197" t="s">
        <v>851</v>
      </c>
      <c r="G308" s="197" t="s">
        <v>270</v>
      </c>
      <c r="H308" s="197"/>
      <c r="I308" s="209"/>
    </row>
    <row r="309" spans="1:11">
      <c r="A309" s="195"/>
      <c r="B309" s="195" t="s">
        <v>205</v>
      </c>
      <c r="C309"/>
      <c r="D309" s="197" t="s">
        <v>269</v>
      </c>
      <c r="E309" s="197" t="s">
        <v>252</v>
      </c>
      <c r="F309" s="197" t="s">
        <v>62</v>
      </c>
      <c r="G309" s="197" t="s">
        <v>270</v>
      </c>
      <c r="H309" s="197" t="s">
        <v>856</v>
      </c>
      <c r="I309" s="209" t="s">
        <v>856</v>
      </c>
    </row>
    <row r="310" spans="1:11">
      <c r="A310" s="195"/>
      <c r="B310" s="195" t="s">
        <v>206</v>
      </c>
      <c r="C310"/>
      <c r="D310" s="197" t="s">
        <v>269</v>
      </c>
      <c r="E310" s="197" t="s">
        <v>252</v>
      </c>
      <c r="F310" s="197" t="s">
        <v>62</v>
      </c>
      <c r="G310" s="197" t="s">
        <v>270</v>
      </c>
      <c r="H310" s="197" t="s">
        <v>856</v>
      </c>
      <c r="I310" s="209" t="s">
        <v>856</v>
      </c>
    </row>
    <row r="311" spans="1:11">
      <c r="A311" s="195"/>
      <c r="B311" s="195" t="s">
        <v>207</v>
      </c>
      <c r="C311"/>
      <c r="D311" s="197" t="s">
        <v>269</v>
      </c>
      <c r="E311" s="197" t="s">
        <v>252</v>
      </c>
      <c r="F311" s="197" t="s">
        <v>62</v>
      </c>
      <c r="G311" s="197" t="s">
        <v>270</v>
      </c>
      <c r="H311" s="197" t="s">
        <v>856</v>
      </c>
      <c r="I311" s="209" t="s">
        <v>856</v>
      </c>
    </row>
    <row r="312" spans="1:11">
      <c r="A312" s="195"/>
      <c r="B312" s="196" t="s">
        <v>225</v>
      </c>
      <c r="C312"/>
      <c r="D312" s="197" t="s">
        <v>269</v>
      </c>
      <c r="E312" s="197" t="s">
        <v>252</v>
      </c>
      <c r="F312" s="197" t="s">
        <v>62</v>
      </c>
      <c r="G312" s="197" t="s">
        <v>270</v>
      </c>
      <c r="H312" s="197" t="s">
        <v>856</v>
      </c>
      <c r="I312" s="209" t="s">
        <v>856</v>
      </c>
    </row>
    <row r="313" spans="1:11">
      <c r="A313" s="195"/>
      <c r="B313" s="195" t="s">
        <v>205</v>
      </c>
      <c r="C313"/>
      <c r="D313" s="197" t="s">
        <v>475</v>
      </c>
      <c r="E313" s="197" t="s">
        <v>252</v>
      </c>
      <c r="F313" s="197" t="s">
        <v>62</v>
      </c>
      <c r="G313" s="197" t="s">
        <v>270</v>
      </c>
      <c r="H313" s="209" t="s">
        <v>856</v>
      </c>
      <c r="I313" s="209" t="s">
        <v>856</v>
      </c>
    </row>
    <row r="314" spans="1:11">
      <c r="A314" s="195"/>
      <c r="B314" s="195" t="s">
        <v>206</v>
      </c>
      <c r="C314"/>
      <c r="D314" s="197" t="s">
        <v>361</v>
      </c>
      <c r="E314" s="197" t="s">
        <v>252</v>
      </c>
      <c r="F314" s="197" t="s">
        <v>62</v>
      </c>
      <c r="G314" s="197" t="s">
        <v>270</v>
      </c>
      <c r="H314" s="209" t="s">
        <v>856</v>
      </c>
      <c r="I314" s="209" t="s">
        <v>856</v>
      </c>
    </row>
    <row r="315" spans="1:11">
      <c r="A315" s="195"/>
      <c r="B315" s="195" t="s">
        <v>207</v>
      </c>
      <c r="C315"/>
      <c r="D315" s="197"/>
      <c r="E315" s="197"/>
      <c r="F315" s="197" t="s">
        <v>62</v>
      </c>
      <c r="G315" s="197"/>
      <c r="H315" s="209"/>
      <c r="I315" s="209"/>
    </row>
    <row r="316" spans="1:11">
      <c r="A316" s="195"/>
      <c r="B316" s="196" t="s">
        <v>226</v>
      </c>
      <c r="C316"/>
      <c r="D316" s="197"/>
      <c r="E316" s="197"/>
      <c r="F316" s="197"/>
      <c r="G316" s="197"/>
      <c r="H316" s="209"/>
      <c r="I316" s="209"/>
    </row>
    <row r="317" spans="1:11">
      <c r="A317" s="195"/>
      <c r="B317" s="195" t="s">
        <v>205</v>
      </c>
      <c r="C317"/>
      <c r="D317" s="197"/>
      <c r="E317" s="197"/>
      <c r="F317" s="197"/>
      <c r="G317" s="197"/>
      <c r="H317" s="209"/>
      <c r="I317" s="209"/>
    </row>
    <row r="318" spans="1:11">
      <c r="A318" s="195"/>
      <c r="B318" s="195" t="s">
        <v>206</v>
      </c>
      <c r="C318"/>
      <c r="D318" s="197"/>
      <c r="E318" s="197"/>
      <c r="F318" s="197"/>
      <c r="G318" s="197"/>
      <c r="H318" s="209"/>
      <c r="I318" s="209"/>
    </row>
    <row r="319" spans="1:11">
      <c r="A319" s="195"/>
      <c r="B319" s="195" t="s">
        <v>207</v>
      </c>
      <c r="C319"/>
      <c r="D319" s="197"/>
      <c r="E319" s="197"/>
      <c r="F319" s="197"/>
      <c r="G319" s="197"/>
      <c r="H319" s="209"/>
      <c r="I319" s="209"/>
    </row>
    <row r="320" spans="1:11">
      <c r="A320" s="195"/>
      <c r="B320" s="196" t="s">
        <v>227</v>
      </c>
      <c r="C320"/>
      <c r="D320" s="197"/>
      <c r="E320" s="197"/>
      <c r="F320" s="197"/>
      <c r="G320" s="197"/>
      <c r="H320" s="209"/>
      <c r="I320" s="209"/>
      <c r="K320"/>
    </row>
    <row r="321" spans="1:12" ht="29.25" thickBot="1">
      <c r="A321" s="182" t="str">
        <f>"回収シフト  第"&amp;ROUNDUP(DAY(B324)/7,0)  &amp;"  "&amp;TEXT(B324,"aaaa")</f>
        <v>回収シフト  第2  水曜日</v>
      </c>
      <c r="B321" s="183"/>
      <c r="C321" s="183"/>
      <c r="D321" s="183"/>
      <c r="E321" s="183"/>
      <c r="F321" s="183"/>
      <c r="G321" s="184"/>
      <c r="H321" s="184"/>
      <c r="I321" s="184"/>
      <c r="K321" s="183"/>
      <c r="L321" s="183"/>
    </row>
    <row r="322" spans="1:12" ht="15.75" thickBot="1">
      <c r="A322"/>
      <c r="B322"/>
      <c r="C322"/>
      <c r="D322" s="186" t="s">
        <v>201</v>
      </c>
      <c r="E322" s="186" t="s">
        <v>202</v>
      </c>
      <c r="F322" s="186" t="s">
        <v>203</v>
      </c>
      <c r="G322" s="186" t="s">
        <v>204</v>
      </c>
      <c r="H322" s="186" t="s">
        <v>267</v>
      </c>
      <c r="I322" s="217" t="s">
        <v>267</v>
      </c>
      <c r="K322" s="230" t="s">
        <v>257</v>
      </c>
      <c r="L322" s="231"/>
    </row>
    <row r="323" spans="1:12">
      <c r="A323" s="187"/>
      <c r="B323" s="188">
        <v>46119</v>
      </c>
      <c r="C323" s="187"/>
      <c r="D323" s="189" t="s">
        <v>868</v>
      </c>
      <c r="E323" s="189" t="s">
        <v>247</v>
      </c>
      <c r="F323" s="189" t="s">
        <v>867</v>
      </c>
      <c r="G323" s="189" t="s">
        <v>842</v>
      </c>
      <c r="H323" s="189" t="s">
        <v>705</v>
      </c>
      <c r="I323" s="218" t="s">
        <v>705</v>
      </c>
      <c r="K323" s="232" t="s">
        <v>258</v>
      </c>
      <c r="L323" s="190" t="str">
        <f ca="1">_xlfn.XLOOKUP($B324,シフト抽出!$19:$19,シフト抽出!$20:$20,"該当なし",0,1)</f>
        <v/>
      </c>
    </row>
    <row r="324" spans="1:12" ht="19.5" thickBot="1">
      <c r="A324"/>
      <c r="B324" s="191">
        <f>B271+1</f>
        <v>46120</v>
      </c>
      <c r="C324" s="192" t="e">
        <v>#REF!</v>
      </c>
      <c r="D324" s="193"/>
      <c r="E324" s="193"/>
      <c r="F324" s="193"/>
      <c r="G324" s="193"/>
      <c r="H324" s="193"/>
      <c r="I324" s="219"/>
      <c r="K324" s="233"/>
      <c r="L324" s="194" t="str">
        <f ca="1">_xlfn.XLOOKUP($B324,シフト抽出!$19:$19,シフト抽出!$21:$21,"該当なし",0,1)</f>
        <v/>
      </c>
    </row>
    <row r="325" spans="1:12">
      <c r="A325" s="195"/>
      <c r="B325" s="196">
        <v>0.25</v>
      </c>
      <c r="C325"/>
      <c r="D325" s="197"/>
      <c r="E325" s="196"/>
      <c r="F325" s="197"/>
      <c r="G325" s="197"/>
      <c r="H325" s="197"/>
      <c r="I325" s="209"/>
      <c r="K325" s="234" t="s">
        <v>259</v>
      </c>
      <c r="L325" s="198" t="str">
        <f ca="1">_xlfn.XLOOKUP($B324,シフト抽出!$19:$19,シフト抽出!$23:$23,"該当なし",0,1)</f>
        <v/>
      </c>
    </row>
    <row r="326" spans="1:12" ht="15.75" thickBot="1">
      <c r="A326" s="195"/>
      <c r="B326" s="195" t="s">
        <v>205</v>
      </c>
      <c r="C326"/>
      <c r="D326" s="197"/>
      <c r="E326" s="197"/>
      <c r="F326" s="197"/>
      <c r="G326" s="197"/>
      <c r="H326" s="197"/>
      <c r="I326" s="209"/>
      <c r="K326" s="235"/>
      <c r="L326" s="199" t="str">
        <f ca="1">_xlfn.XLOOKUP($B324,シフト抽出!$19:$19,シフト抽出!$24:$24,"該当なし",0,1)</f>
        <v/>
      </c>
    </row>
    <row r="327" spans="1:12">
      <c r="A327" s="195"/>
      <c r="B327" s="195" t="s">
        <v>206</v>
      </c>
      <c r="C327"/>
      <c r="D327" s="197"/>
      <c r="E327" s="197"/>
      <c r="F327" s="197"/>
      <c r="G327" s="197"/>
      <c r="H327" s="197"/>
      <c r="I327" s="209"/>
      <c r="K327" s="224" t="s">
        <v>260</v>
      </c>
      <c r="L327" s="200" t="str">
        <f ca="1">_xlfn.XLOOKUP($B324,シフト抽出!$19:$19,シフト抽出!$26:$26,"該当なし",0,1)</f>
        <v/>
      </c>
    </row>
    <row r="328" spans="1:12">
      <c r="A328" s="195"/>
      <c r="B328" s="195" t="s">
        <v>207</v>
      </c>
      <c r="C328"/>
      <c r="D328" s="197"/>
      <c r="E328" s="197"/>
      <c r="F328" s="197"/>
      <c r="G328" s="197"/>
      <c r="H328" s="197"/>
      <c r="I328" s="209"/>
      <c r="K328" s="225"/>
      <c r="L328" s="201" t="str">
        <f ca="1">_xlfn.XLOOKUP($B324,シフト抽出!$19:$19,シフト抽出!$27:$27,"該当なし",0,1)</f>
        <v/>
      </c>
    </row>
    <row r="329" spans="1:12">
      <c r="A329" s="195"/>
      <c r="B329" s="202" t="s">
        <v>208</v>
      </c>
      <c r="C329"/>
      <c r="D329" s="197" t="s">
        <v>414</v>
      </c>
      <c r="E329" s="197" t="s">
        <v>106</v>
      </c>
      <c r="F329" s="197"/>
      <c r="G329" s="197" t="s">
        <v>22</v>
      </c>
      <c r="H329" s="197" t="s">
        <v>106</v>
      </c>
      <c r="I329" s="209" t="s">
        <v>106</v>
      </c>
      <c r="J329" s="203"/>
      <c r="K329" s="225"/>
      <c r="L329" s="201" t="str">
        <f ca="1">_xlfn.XLOOKUP($B324,シフト抽出!$19:$19,シフト抽出!$28:$28,"該当なし",0,1)</f>
        <v/>
      </c>
    </row>
    <row r="330" spans="1:12" ht="15.75" thickBot="1">
      <c r="A330" s="195"/>
      <c r="B330" s="195" t="s">
        <v>205</v>
      </c>
      <c r="C330"/>
      <c r="D330" s="197" t="s">
        <v>414</v>
      </c>
      <c r="E330" s="197" t="s">
        <v>106</v>
      </c>
      <c r="F330" s="197"/>
      <c r="G330" s="197" t="s">
        <v>22</v>
      </c>
      <c r="H330" s="197" t="s">
        <v>106</v>
      </c>
      <c r="I330" s="209" t="s">
        <v>106</v>
      </c>
      <c r="J330" s="203"/>
      <c r="K330" s="226"/>
      <c r="L330" s="204" t="str">
        <f ca="1">_xlfn.XLOOKUP($B324,シフト抽出!$19:$19,シフト抽出!$29:$29,"該当なし",0,1)</f>
        <v/>
      </c>
    </row>
    <row r="331" spans="1:12" ht="15.75" thickBot="1">
      <c r="A331" s="195"/>
      <c r="B331" s="195" t="s">
        <v>206</v>
      </c>
      <c r="C331"/>
      <c r="D331" s="197" t="s">
        <v>414</v>
      </c>
      <c r="E331" s="197" t="s">
        <v>106</v>
      </c>
      <c r="F331" s="197"/>
      <c r="G331" s="197" t="s">
        <v>788</v>
      </c>
      <c r="H331" s="197" t="s">
        <v>106</v>
      </c>
      <c r="I331" s="209" t="s">
        <v>106</v>
      </c>
      <c r="K331" s="205" t="s">
        <v>261</v>
      </c>
      <c r="L331" s="205">
        <f>_xlfn.XLOOKUP($B324,予定表!B:B,予定表!R:R,"該当なし",0,1)</f>
        <v>0</v>
      </c>
    </row>
    <row r="332" spans="1:12">
      <c r="A332" s="195"/>
      <c r="B332" s="195" t="s">
        <v>207</v>
      </c>
      <c r="C332"/>
      <c r="D332" s="197" t="s">
        <v>414</v>
      </c>
      <c r="E332" s="197" t="s">
        <v>106</v>
      </c>
      <c r="F332" s="197"/>
      <c r="G332" s="197" t="s">
        <v>788</v>
      </c>
      <c r="H332" s="197" t="s">
        <v>106</v>
      </c>
      <c r="I332" s="209" t="s">
        <v>106</v>
      </c>
      <c r="K332" s="227" t="s">
        <v>262</v>
      </c>
      <c r="L332" s="206" t="str">
        <f>_xlfn.XLOOKUP($B324,予定表!$B:$B,予定表!E:E,"該当なし",0,1)</f>
        <v>ハーゼスト午後</v>
      </c>
    </row>
    <row r="333" spans="1:12">
      <c r="A333" s="195"/>
      <c r="B333" s="196" t="s">
        <v>209</v>
      </c>
      <c r="C333"/>
      <c r="D333" s="197" t="s">
        <v>414</v>
      </c>
      <c r="E333" s="197" t="s">
        <v>106</v>
      </c>
      <c r="F333" s="197"/>
      <c r="G333" s="197" t="s">
        <v>268</v>
      </c>
      <c r="H333" s="197" t="s">
        <v>106</v>
      </c>
      <c r="I333" s="209" t="s">
        <v>106</v>
      </c>
      <c r="K333" s="228"/>
      <c r="L333" s="207">
        <f>_xlfn.XLOOKUP($B324,予定表!$B:$B,予定表!F:F,"該当なし",0,1)</f>
        <v>0</v>
      </c>
    </row>
    <row r="334" spans="1:12">
      <c r="A334" s="195"/>
      <c r="B334" s="195" t="s">
        <v>205</v>
      </c>
      <c r="C334"/>
      <c r="D334" s="197" t="s">
        <v>414</v>
      </c>
      <c r="E334" s="197" t="s">
        <v>106</v>
      </c>
      <c r="F334" s="197" t="s">
        <v>264</v>
      </c>
      <c r="G334" s="197" t="s">
        <v>268</v>
      </c>
      <c r="H334" s="197" t="s">
        <v>106</v>
      </c>
      <c r="I334" s="209" t="s">
        <v>106</v>
      </c>
      <c r="K334" s="228"/>
      <c r="L334" s="207" t="str">
        <f>_xlfn.XLOOKUP($B324,予定表!$B:$B,予定表!G:G,"該当なし",0,1)</f>
        <v>資さんうどん</v>
      </c>
    </row>
    <row r="335" spans="1:12">
      <c r="A335" s="195"/>
      <c r="B335" s="195" t="s">
        <v>206</v>
      </c>
      <c r="C335"/>
      <c r="D335" s="197" t="s">
        <v>214</v>
      </c>
      <c r="E335" s="197" t="s">
        <v>106</v>
      </c>
      <c r="F335" s="197" t="s">
        <v>264</v>
      </c>
      <c r="G335" s="197" t="s">
        <v>268</v>
      </c>
      <c r="H335" s="197" t="s">
        <v>106</v>
      </c>
      <c r="I335" s="209" t="s">
        <v>106</v>
      </c>
      <c r="K335" s="228"/>
      <c r="L335" s="207">
        <f>_xlfn.XLOOKUP($B324,予定表!$B:$B,予定表!H:H,"該当なし",0,1)</f>
        <v>0</v>
      </c>
    </row>
    <row r="336" spans="1:12">
      <c r="A336" s="195"/>
      <c r="B336" s="195" t="s">
        <v>207</v>
      </c>
      <c r="C336"/>
      <c r="D336" s="197" t="s">
        <v>214</v>
      </c>
      <c r="E336" s="197" t="s">
        <v>106</v>
      </c>
      <c r="F336" s="197" t="s">
        <v>264</v>
      </c>
      <c r="G336" s="197" t="s">
        <v>268</v>
      </c>
      <c r="H336" s="197" t="s">
        <v>106</v>
      </c>
      <c r="I336" s="209" t="s">
        <v>106</v>
      </c>
      <c r="K336" s="228"/>
      <c r="L336" s="207" t="str">
        <f>_xlfn.XLOOKUP($B324,予定表!$B:$B,予定表!I:I,"該当なし",0,1)</f>
        <v/>
      </c>
    </row>
    <row r="337" spans="1:12">
      <c r="A337" s="195"/>
      <c r="B337" s="196" t="s">
        <v>212</v>
      </c>
      <c r="C337"/>
      <c r="D337" s="197" t="s">
        <v>214</v>
      </c>
      <c r="E337" s="197" t="s">
        <v>106</v>
      </c>
      <c r="F337" s="197"/>
      <c r="G337" s="197" t="s">
        <v>268</v>
      </c>
      <c r="H337" s="197" t="s">
        <v>106</v>
      </c>
      <c r="I337" s="209" t="s">
        <v>106</v>
      </c>
      <c r="K337" s="228"/>
      <c r="L337" s="207" t="str">
        <f>_xlfn.XLOOKUP($B324,予定表!$B:$B,予定表!J:J,"該当なし",0,1)</f>
        <v/>
      </c>
    </row>
    <row r="338" spans="1:12">
      <c r="A338" s="195"/>
      <c r="B338" s="195" t="s">
        <v>205</v>
      </c>
      <c r="C338"/>
      <c r="D338" s="197" t="s">
        <v>214</v>
      </c>
      <c r="E338" s="197" t="s">
        <v>106</v>
      </c>
      <c r="F338" s="197" t="s">
        <v>851</v>
      </c>
      <c r="G338" s="197" t="s">
        <v>268</v>
      </c>
      <c r="H338" s="197" t="s">
        <v>106</v>
      </c>
      <c r="I338" s="209" t="s">
        <v>106</v>
      </c>
      <c r="K338" s="228"/>
      <c r="L338" s="207" t="str">
        <f>_xlfn.XLOOKUP($B324,予定表!$B:$B,予定表!K:K,"該当なし",0,1)</f>
        <v/>
      </c>
    </row>
    <row r="339" spans="1:12">
      <c r="A339" s="195"/>
      <c r="B339" s="195" t="s">
        <v>206</v>
      </c>
      <c r="C339"/>
      <c r="D339" s="197" t="s">
        <v>761</v>
      </c>
      <c r="E339" s="197" t="s">
        <v>106</v>
      </c>
      <c r="F339" s="197" t="s">
        <v>851</v>
      </c>
      <c r="G339" s="197" t="s">
        <v>515</v>
      </c>
      <c r="H339" s="197" t="s">
        <v>106</v>
      </c>
      <c r="I339" s="209" t="s">
        <v>106</v>
      </c>
      <c r="K339" s="228"/>
      <c r="L339" s="207" t="str">
        <f>_xlfn.XLOOKUP($B324,予定表!$B:$B,予定表!L:L,"該当なし",0,1)</f>
        <v/>
      </c>
    </row>
    <row r="340" spans="1:12" ht="15.75" thickBot="1">
      <c r="A340" s="195"/>
      <c r="B340" s="195" t="s">
        <v>207</v>
      </c>
      <c r="C340"/>
      <c r="D340" s="197" t="s">
        <v>761</v>
      </c>
      <c r="E340" s="197" t="s">
        <v>106</v>
      </c>
      <c r="F340" s="197" t="s">
        <v>851</v>
      </c>
      <c r="G340" s="197" t="s">
        <v>515</v>
      </c>
      <c r="H340" s="197" t="s">
        <v>106</v>
      </c>
      <c r="I340" s="209" t="s">
        <v>106</v>
      </c>
      <c r="K340" s="229"/>
      <c r="L340" s="204" t="str">
        <f>_xlfn.XLOOKUP($A321,ﾘｽﾄマスタ!$U$8:$U$17,ﾘｽﾄマスタ!$V$8:$V$17,"",0)</f>
        <v>裕源・自衛隊</v>
      </c>
    </row>
    <row r="341" spans="1:12" ht="15.75" thickBot="1">
      <c r="A341" s="195"/>
      <c r="B341" s="196" t="s">
        <v>251</v>
      </c>
      <c r="C341"/>
      <c r="D341" s="197" t="s">
        <v>761</v>
      </c>
      <c r="E341" s="197" t="s">
        <v>106</v>
      </c>
      <c r="F341" s="197" t="s">
        <v>851</v>
      </c>
      <c r="G341" s="197" t="s">
        <v>269</v>
      </c>
      <c r="H341" s="197" t="s">
        <v>106</v>
      </c>
      <c r="I341" s="209" t="s">
        <v>106</v>
      </c>
      <c r="K341" s="208" t="s">
        <v>277</v>
      </c>
      <c r="L341" s="208" t="str">
        <f ca="1">_xlfn.XLOOKUP($B324,シフト抽出!$19:$19,シフト抽出!$30:$30,"該当なし",0,1)</f>
        <v/>
      </c>
    </row>
    <row r="342" spans="1:12">
      <c r="A342" s="195"/>
      <c r="B342" s="195" t="s">
        <v>205</v>
      </c>
      <c r="C342"/>
      <c r="D342" s="197" t="s">
        <v>280</v>
      </c>
      <c r="E342" s="197" t="s">
        <v>106</v>
      </c>
      <c r="F342" s="197" t="s">
        <v>851</v>
      </c>
      <c r="G342" s="197" t="s">
        <v>269</v>
      </c>
      <c r="H342" s="197" t="s">
        <v>106</v>
      </c>
      <c r="I342" s="209" t="s">
        <v>106</v>
      </c>
    </row>
    <row r="343" spans="1:12">
      <c r="A343" s="195"/>
      <c r="B343" s="195" t="s">
        <v>206</v>
      </c>
      <c r="C343"/>
      <c r="D343" s="197" t="s">
        <v>280</v>
      </c>
      <c r="E343" s="197" t="s">
        <v>106</v>
      </c>
      <c r="F343" s="197" t="s">
        <v>851</v>
      </c>
      <c r="G343" s="197" t="s">
        <v>269</v>
      </c>
      <c r="H343" s="197" t="s">
        <v>106</v>
      </c>
      <c r="I343" s="209" t="s">
        <v>106</v>
      </c>
    </row>
    <row r="344" spans="1:12">
      <c r="A344" s="195"/>
      <c r="B344" s="195" t="s">
        <v>207</v>
      </c>
      <c r="C344"/>
      <c r="D344" s="197" t="s">
        <v>215</v>
      </c>
      <c r="E344" s="197" t="s">
        <v>106</v>
      </c>
      <c r="F344" s="197"/>
      <c r="G344" s="197" t="s">
        <v>446</v>
      </c>
      <c r="H344" s="197" t="s">
        <v>106</v>
      </c>
      <c r="I344" s="209" t="s">
        <v>106</v>
      </c>
    </row>
    <row r="345" spans="1:12">
      <c r="A345" s="195"/>
      <c r="B345" s="196" t="s">
        <v>217</v>
      </c>
      <c r="C345"/>
      <c r="D345" s="197" t="s">
        <v>127</v>
      </c>
      <c r="E345" s="197" t="s">
        <v>106</v>
      </c>
      <c r="F345" s="197" t="s">
        <v>51</v>
      </c>
      <c r="G345" s="197" t="s">
        <v>114</v>
      </c>
      <c r="H345" s="197" t="s">
        <v>106</v>
      </c>
      <c r="I345" s="209" t="s">
        <v>106</v>
      </c>
    </row>
    <row r="346" spans="1:12">
      <c r="A346" s="195"/>
      <c r="B346" s="195" t="s">
        <v>205</v>
      </c>
      <c r="C346"/>
      <c r="D346" s="197" t="s">
        <v>160</v>
      </c>
      <c r="E346" s="197" t="s">
        <v>106</v>
      </c>
      <c r="F346" s="197" t="s">
        <v>51</v>
      </c>
      <c r="G346" s="197" t="s">
        <v>114</v>
      </c>
      <c r="H346" s="197" t="s">
        <v>106</v>
      </c>
      <c r="I346" s="209" t="s">
        <v>106</v>
      </c>
    </row>
    <row r="347" spans="1:12">
      <c r="A347" s="195"/>
      <c r="B347" s="195" t="s">
        <v>206</v>
      </c>
      <c r="C347"/>
      <c r="D347" s="197" t="s">
        <v>397</v>
      </c>
      <c r="E347" s="197" t="s">
        <v>106</v>
      </c>
      <c r="F347" s="197" t="s">
        <v>51</v>
      </c>
      <c r="G347" s="197" t="s">
        <v>114</v>
      </c>
      <c r="H347" s="197" t="s">
        <v>106</v>
      </c>
      <c r="I347" s="209" t="s">
        <v>106</v>
      </c>
    </row>
    <row r="348" spans="1:12">
      <c r="A348" s="195"/>
      <c r="B348" s="195" t="s">
        <v>207</v>
      </c>
      <c r="C348"/>
      <c r="D348" s="197" t="s">
        <v>397</v>
      </c>
      <c r="E348" s="197" t="s">
        <v>106</v>
      </c>
      <c r="F348" s="197" t="s">
        <v>51</v>
      </c>
      <c r="G348" s="197"/>
      <c r="H348" s="197" t="s">
        <v>106</v>
      </c>
      <c r="I348" s="209" t="s">
        <v>106</v>
      </c>
    </row>
    <row r="349" spans="1:12">
      <c r="A349" s="195"/>
      <c r="B349" s="196" t="s">
        <v>219</v>
      </c>
      <c r="C349"/>
      <c r="D349" s="197"/>
      <c r="E349" s="197"/>
      <c r="F349" s="197"/>
      <c r="G349" s="197"/>
      <c r="H349" s="197"/>
      <c r="I349" s="209"/>
    </row>
    <row r="350" spans="1:12">
      <c r="A350" s="195"/>
      <c r="B350" s="195" t="s">
        <v>205</v>
      </c>
      <c r="C350"/>
      <c r="D350" s="197"/>
      <c r="E350" s="197"/>
      <c r="F350" s="197"/>
      <c r="G350" s="197"/>
      <c r="H350" s="197"/>
      <c r="I350" s="209"/>
    </row>
    <row r="351" spans="1:12">
      <c r="A351" s="195"/>
      <c r="B351" s="195" t="s">
        <v>206</v>
      </c>
      <c r="C351"/>
      <c r="D351" s="197"/>
      <c r="E351" s="197"/>
      <c r="F351" s="197"/>
      <c r="G351" s="197"/>
      <c r="H351" s="197"/>
      <c r="I351" s="209"/>
    </row>
    <row r="352" spans="1:12">
      <c r="A352" s="195"/>
      <c r="B352" s="195" t="s">
        <v>207</v>
      </c>
      <c r="C352"/>
      <c r="D352" s="197"/>
      <c r="E352" s="197"/>
      <c r="F352" s="197"/>
      <c r="G352" s="197"/>
      <c r="H352" s="197"/>
      <c r="I352" s="209"/>
    </row>
    <row r="353" spans="1:9">
      <c r="A353" s="195"/>
      <c r="B353" s="196" t="s">
        <v>220</v>
      </c>
      <c r="C353"/>
      <c r="D353" s="197" t="s">
        <v>869</v>
      </c>
      <c r="E353" s="197" t="s">
        <v>859</v>
      </c>
      <c r="F353" s="197"/>
      <c r="G353" s="197"/>
      <c r="H353" s="197" t="s">
        <v>852</v>
      </c>
      <c r="I353" s="209" t="s">
        <v>852</v>
      </c>
    </row>
    <row r="354" spans="1:9">
      <c r="A354" s="195"/>
      <c r="B354" s="195" t="s">
        <v>205</v>
      </c>
      <c r="C354"/>
      <c r="D354" s="197" t="s">
        <v>759</v>
      </c>
      <c r="E354" s="197" t="s">
        <v>273</v>
      </c>
      <c r="F354" s="197" t="s">
        <v>405</v>
      </c>
      <c r="G354" s="197" t="s">
        <v>56</v>
      </c>
      <c r="H354" s="197" t="s">
        <v>848</v>
      </c>
      <c r="I354" s="209" t="s">
        <v>848</v>
      </c>
    </row>
    <row r="355" spans="1:9">
      <c r="A355" s="195"/>
      <c r="B355" s="195" t="s">
        <v>206</v>
      </c>
      <c r="C355"/>
      <c r="D355" s="197" t="s">
        <v>759</v>
      </c>
      <c r="E355" s="197" t="s">
        <v>273</v>
      </c>
      <c r="F355" s="197" t="s">
        <v>405</v>
      </c>
      <c r="G355" s="197" t="s">
        <v>56</v>
      </c>
      <c r="H355" s="197" t="s">
        <v>848</v>
      </c>
      <c r="I355" s="209" t="s">
        <v>848</v>
      </c>
    </row>
    <row r="356" spans="1:9">
      <c r="A356" s="195"/>
      <c r="B356" s="195" t="s">
        <v>207</v>
      </c>
      <c r="C356"/>
      <c r="D356" s="197" t="s">
        <v>759</v>
      </c>
      <c r="E356" s="197" t="s">
        <v>273</v>
      </c>
      <c r="F356" s="197" t="s">
        <v>405</v>
      </c>
      <c r="G356" s="197" t="s">
        <v>56</v>
      </c>
      <c r="H356" s="197" t="s">
        <v>848</v>
      </c>
      <c r="I356" s="209" t="s">
        <v>848</v>
      </c>
    </row>
    <row r="357" spans="1:9">
      <c r="A357" s="195"/>
      <c r="B357" s="196" t="s">
        <v>222</v>
      </c>
      <c r="C357"/>
      <c r="D357" s="197" t="s">
        <v>759</v>
      </c>
      <c r="E357" s="197" t="s">
        <v>273</v>
      </c>
      <c r="F357" s="197" t="s">
        <v>405</v>
      </c>
      <c r="G357" s="197" t="s">
        <v>56</v>
      </c>
      <c r="H357" s="197" t="s">
        <v>848</v>
      </c>
      <c r="I357" s="209" t="s">
        <v>848</v>
      </c>
    </row>
    <row r="358" spans="1:9">
      <c r="A358" s="195"/>
      <c r="B358" s="195" t="s">
        <v>205</v>
      </c>
      <c r="C358"/>
      <c r="D358" s="197" t="s">
        <v>216</v>
      </c>
      <c r="E358" s="197" t="s">
        <v>186</v>
      </c>
      <c r="F358" s="197" t="s">
        <v>405</v>
      </c>
      <c r="G358" s="197" t="s">
        <v>56</v>
      </c>
      <c r="H358" s="197" t="s">
        <v>848</v>
      </c>
      <c r="I358" s="209" t="s">
        <v>848</v>
      </c>
    </row>
    <row r="359" spans="1:9">
      <c r="A359" s="195"/>
      <c r="B359" s="195" t="s">
        <v>206</v>
      </c>
      <c r="C359"/>
      <c r="D359" s="197" t="s">
        <v>216</v>
      </c>
      <c r="E359" s="197" t="s">
        <v>186</v>
      </c>
      <c r="F359" s="197" t="s">
        <v>405</v>
      </c>
      <c r="G359" s="197" t="s">
        <v>56</v>
      </c>
      <c r="H359" s="197" t="s">
        <v>229</v>
      </c>
      <c r="I359" s="209" t="s">
        <v>229</v>
      </c>
    </row>
    <row r="360" spans="1:9">
      <c r="A360" s="195"/>
      <c r="B360" s="195" t="s">
        <v>207</v>
      </c>
      <c r="C360"/>
      <c r="D360" s="197" t="s">
        <v>216</v>
      </c>
      <c r="E360" s="197" t="s">
        <v>252</v>
      </c>
      <c r="F360" s="197" t="s">
        <v>405</v>
      </c>
      <c r="G360" s="197" t="s">
        <v>4</v>
      </c>
      <c r="H360" s="197" t="s">
        <v>229</v>
      </c>
      <c r="I360" s="209" t="s">
        <v>229</v>
      </c>
    </row>
    <row r="361" spans="1:9">
      <c r="A361" s="195"/>
      <c r="B361" s="196" t="s">
        <v>223</v>
      </c>
      <c r="C361"/>
      <c r="D361" s="197" t="s">
        <v>216</v>
      </c>
      <c r="E361" s="197" t="s">
        <v>252</v>
      </c>
      <c r="F361" s="197" t="s">
        <v>405</v>
      </c>
      <c r="G361" s="197" t="s">
        <v>270</v>
      </c>
      <c r="H361" s="197" t="s">
        <v>230</v>
      </c>
      <c r="I361" s="209" t="s">
        <v>230</v>
      </c>
    </row>
    <row r="362" spans="1:9">
      <c r="A362" s="195"/>
      <c r="B362" s="195" t="s">
        <v>205</v>
      </c>
      <c r="C362"/>
      <c r="D362" s="197" t="s">
        <v>216</v>
      </c>
      <c r="E362" s="197" t="s">
        <v>252</v>
      </c>
      <c r="F362" s="197" t="s">
        <v>405</v>
      </c>
      <c r="G362" s="197" t="s">
        <v>270</v>
      </c>
      <c r="H362" s="197" t="s">
        <v>230</v>
      </c>
      <c r="I362" s="209" t="s">
        <v>230</v>
      </c>
    </row>
    <row r="363" spans="1:9">
      <c r="A363" s="195"/>
      <c r="B363" s="195" t="s">
        <v>206</v>
      </c>
      <c r="C363"/>
      <c r="D363" s="197" t="s">
        <v>523</v>
      </c>
      <c r="E363" s="197" t="s">
        <v>252</v>
      </c>
      <c r="F363" s="197" t="s">
        <v>405</v>
      </c>
      <c r="G363" s="197" t="s">
        <v>270</v>
      </c>
      <c r="H363" s="197" t="s">
        <v>230</v>
      </c>
      <c r="I363" s="209" t="s">
        <v>230</v>
      </c>
    </row>
    <row r="364" spans="1:9">
      <c r="A364" s="195"/>
      <c r="B364" s="195" t="s">
        <v>207</v>
      </c>
      <c r="C364"/>
      <c r="D364" s="197" t="s">
        <v>523</v>
      </c>
      <c r="E364" s="197" t="s">
        <v>252</v>
      </c>
      <c r="F364" s="197" t="s">
        <v>405</v>
      </c>
      <c r="G364" s="197" t="s">
        <v>270</v>
      </c>
      <c r="H364" s="197" t="s">
        <v>230</v>
      </c>
      <c r="I364" s="209" t="s">
        <v>230</v>
      </c>
    </row>
    <row r="365" spans="1:9">
      <c r="A365" s="195"/>
      <c r="B365" s="196" t="s">
        <v>225</v>
      </c>
      <c r="C365"/>
      <c r="D365" s="197" t="s">
        <v>224</v>
      </c>
      <c r="E365" s="197" t="s">
        <v>252</v>
      </c>
      <c r="F365" s="197" t="s">
        <v>405</v>
      </c>
      <c r="G365" s="197" t="s">
        <v>270</v>
      </c>
      <c r="H365" s="197" t="s">
        <v>230</v>
      </c>
      <c r="I365" s="209" t="s">
        <v>230</v>
      </c>
    </row>
    <row r="366" spans="1:9">
      <c r="A366" s="195"/>
      <c r="B366" s="195" t="s">
        <v>205</v>
      </c>
      <c r="C366"/>
      <c r="D366" s="197" t="s">
        <v>224</v>
      </c>
      <c r="E366" s="197" t="s">
        <v>252</v>
      </c>
      <c r="F366" s="197" t="s">
        <v>405</v>
      </c>
      <c r="G366" s="197" t="s">
        <v>270</v>
      </c>
      <c r="H366" s="209" t="s">
        <v>416</v>
      </c>
      <c r="I366" s="209" t="s">
        <v>416</v>
      </c>
    </row>
    <row r="367" spans="1:9">
      <c r="A367" s="195"/>
      <c r="B367" s="195" t="s">
        <v>206</v>
      </c>
      <c r="C367"/>
      <c r="D367" s="197" t="s">
        <v>224</v>
      </c>
      <c r="E367" s="197" t="s">
        <v>252</v>
      </c>
      <c r="F367" s="197"/>
      <c r="G367" s="197" t="s">
        <v>270</v>
      </c>
      <c r="H367" s="209" t="s">
        <v>415</v>
      </c>
      <c r="I367" s="209" t="s">
        <v>415</v>
      </c>
    </row>
    <row r="368" spans="1:9">
      <c r="A368" s="195"/>
      <c r="B368" s="195" t="s">
        <v>207</v>
      </c>
      <c r="C368"/>
      <c r="D368" s="197" t="s">
        <v>224</v>
      </c>
      <c r="E368" s="197" t="s">
        <v>252</v>
      </c>
      <c r="F368" s="197"/>
      <c r="G368" s="197" t="s">
        <v>270</v>
      </c>
      <c r="H368" s="209" t="s">
        <v>415</v>
      </c>
      <c r="I368" s="209" t="s">
        <v>415</v>
      </c>
    </row>
    <row r="369" spans="1:12">
      <c r="A369" s="195"/>
      <c r="B369" s="196" t="s">
        <v>226</v>
      </c>
      <c r="C369"/>
      <c r="D369" s="197"/>
      <c r="E369" s="197"/>
      <c r="F369" s="197"/>
      <c r="G369" s="197" t="s">
        <v>270</v>
      </c>
      <c r="H369" s="209"/>
      <c r="I369" s="209"/>
    </row>
    <row r="370" spans="1:12">
      <c r="A370" s="195"/>
      <c r="B370" s="195" t="s">
        <v>205</v>
      </c>
      <c r="C370"/>
      <c r="D370" s="197"/>
      <c r="E370" s="197"/>
      <c r="F370" s="197"/>
      <c r="G370" s="197"/>
      <c r="H370" s="209"/>
      <c r="I370" s="209"/>
    </row>
    <row r="371" spans="1:12">
      <c r="A371" s="195"/>
      <c r="B371" s="195" t="s">
        <v>206</v>
      </c>
      <c r="C371"/>
      <c r="D371" s="197"/>
      <c r="E371" s="197"/>
      <c r="F371" s="197"/>
      <c r="G371" s="197"/>
      <c r="H371" s="209"/>
      <c r="I371" s="209"/>
    </row>
    <row r="372" spans="1:12">
      <c r="A372" s="195"/>
      <c r="B372" s="195" t="s">
        <v>207</v>
      </c>
      <c r="C372"/>
      <c r="D372" s="197"/>
      <c r="E372" s="197"/>
      <c r="F372" s="197"/>
      <c r="G372" s="197"/>
      <c r="H372" s="209"/>
      <c r="I372" s="209"/>
    </row>
    <row r="373" spans="1:12">
      <c r="A373" s="195"/>
      <c r="B373" s="196" t="s">
        <v>227</v>
      </c>
      <c r="C373"/>
      <c r="D373" s="197"/>
      <c r="E373" s="197"/>
      <c r="F373" s="197"/>
      <c r="G373" s="197"/>
      <c r="H373" s="209"/>
      <c r="I373" s="209"/>
      <c r="K373"/>
    </row>
    <row r="374" spans="1:12" ht="29.25" thickBot="1">
      <c r="A374" s="182" t="str">
        <f>"回収シフト  第"&amp;ROUNDUP(DAY(B377)/7,0)  &amp;"  "&amp;TEXT(B377,"aaaa")</f>
        <v>回収シフト  第2  木曜日</v>
      </c>
      <c r="B374" s="183"/>
      <c r="C374" s="183"/>
      <c r="D374" s="183"/>
      <c r="E374" s="183"/>
      <c r="F374" s="183"/>
      <c r="G374" s="184"/>
      <c r="H374" s="184"/>
      <c r="I374" s="184"/>
      <c r="K374" s="183"/>
      <c r="L374" s="183"/>
    </row>
    <row r="375" spans="1:12" ht="15.75" thickBot="1">
      <c r="A375"/>
      <c r="B375"/>
      <c r="C375"/>
      <c r="D375" s="186" t="s">
        <v>201</v>
      </c>
      <c r="E375" s="186" t="s">
        <v>202</v>
      </c>
      <c r="F375" s="186" t="s">
        <v>203</v>
      </c>
      <c r="G375" s="186" t="s">
        <v>204</v>
      </c>
      <c r="H375" s="186" t="s">
        <v>267</v>
      </c>
      <c r="I375" s="217" t="s">
        <v>267</v>
      </c>
      <c r="K375" s="230" t="s">
        <v>257</v>
      </c>
      <c r="L375" s="231"/>
    </row>
    <row r="376" spans="1:12">
      <c r="A376" s="187"/>
      <c r="B376" s="188">
        <v>46119</v>
      </c>
      <c r="C376" s="187"/>
      <c r="D376" s="189" t="s">
        <v>863</v>
      </c>
      <c r="E376" s="189" t="s">
        <v>358</v>
      </c>
      <c r="F376" s="189" t="s">
        <v>867</v>
      </c>
      <c r="G376" s="189" t="s">
        <v>864</v>
      </c>
      <c r="H376" s="189" t="s">
        <v>852</v>
      </c>
      <c r="I376" s="218" t="s">
        <v>852</v>
      </c>
      <c r="K376" s="232" t="s">
        <v>258</v>
      </c>
      <c r="L376" s="190" t="str">
        <f ca="1">_xlfn.XLOOKUP($B377,シフト抽出!$19:$19,シフト抽出!$20:$20,"該当なし",0,1)</f>
        <v/>
      </c>
    </row>
    <row r="377" spans="1:12" ht="19.5" thickBot="1">
      <c r="A377"/>
      <c r="B377" s="191">
        <f>B324+1</f>
        <v>46121</v>
      </c>
      <c r="C377" s="192"/>
      <c r="D377" s="193"/>
      <c r="E377" s="193"/>
      <c r="F377" s="193"/>
      <c r="G377" s="193"/>
      <c r="H377" s="193"/>
      <c r="I377" s="219"/>
      <c r="K377" s="233"/>
      <c r="L377" s="194" t="str">
        <f ca="1">_xlfn.XLOOKUP($B377,シフト抽出!$19:$19,シフト抽出!$21:$21,"該当なし",0,1)</f>
        <v/>
      </c>
    </row>
    <row r="378" spans="1:12">
      <c r="A378" s="195"/>
      <c r="B378" s="196">
        <v>0.25</v>
      </c>
      <c r="C378"/>
      <c r="D378" s="197"/>
      <c r="E378" s="196"/>
      <c r="F378" s="197"/>
      <c r="G378" s="197"/>
      <c r="H378" s="197"/>
      <c r="I378" s="209"/>
      <c r="K378" s="234" t="s">
        <v>259</v>
      </c>
      <c r="L378" s="198" t="str">
        <f ca="1">_xlfn.XLOOKUP($B377,シフト抽出!$19:$19,シフト抽出!$23:$23,"該当なし",0,1)</f>
        <v/>
      </c>
    </row>
    <row r="379" spans="1:12" ht="15.75" thickBot="1">
      <c r="A379" s="195"/>
      <c r="B379" s="195" t="s">
        <v>205</v>
      </c>
      <c r="C379"/>
      <c r="D379" s="197"/>
      <c r="E379" s="197"/>
      <c r="F379" s="197"/>
      <c r="G379" s="197"/>
      <c r="H379" s="197"/>
      <c r="I379" s="209"/>
      <c r="K379" s="235"/>
      <c r="L379" s="199" t="str">
        <f ca="1">_xlfn.XLOOKUP($B377,シフト抽出!$19:$19,シフト抽出!$24:$24,"該当なし",0,1)</f>
        <v/>
      </c>
    </row>
    <row r="380" spans="1:12">
      <c r="A380" s="195"/>
      <c r="B380" s="195" t="s">
        <v>206</v>
      </c>
      <c r="C380"/>
      <c r="D380" s="197"/>
      <c r="E380" s="197"/>
      <c r="F380" s="197"/>
      <c r="G380" s="197"/>
      <c r="H380" s="197"/>
      <c r="I380" s="209"/>
      <c r="K380" s="224" t="s">
        <v>260</v>
      </c>
      <c r="L380" s="200" t="str">
        <f ca="1">_xlfn.XLOOKUP($B377,シフト抽出!$19:$19,シフト抽出!$26:$26,"該当なし",0,1)</f>
        <v/>
      </c>
    </row>
    <row r="381" spans="1:12">
      <c r="A381" s="195"/>
      <c r="B381" s="195" t="s">
        <v>207</v>
      </c>
      <c r="C381"/>
      <c r="D381" s="197"/>
      <c r="E381" s="197"/>
      <c r="F381" s="197"/>
      <c r="G381" s="197"/>
      <c r="H381" s="197"/>
      <c r="I381" s="209"/>
      <c r="K381" s="225"/>
      <c r="L381" s="201" t="str">
        <f ca="1">_xlfn.XLOOKUP($B377,シフト抽出!$19:$19,シフト抽出!$27:$27,"該当なし",0,1)</f>
        <v/>
      </c>
    </row>
    <row r="382" spans="1:12">
      <c r="A382" s="195"/>
      <c r="B382" s="202" t="s">
        <v>208</v>
      </c>
      <c r="C382"/>
      <c r="D382" s="197" t="s">
        <v>4</v>
      </c>
      <c r="E382" s="197" t="s">
        <v>4</v>
      </c>
      <c r="F382" s="197"/>
      <c r="G382" s="197" t="s">
        <v>4</v>
      </c>
      <c r="H382" s="197"/>
      <c r="I382" s="209"/>
      <c r="J382" s="203"/>
      <c r="K382" s="225"/>
      <c r="L382" s="201" t="str">
        <f ca="1">_xlfn.XLOOKUP($B377,シフト抽出!$19:$19,シフト抽出!$28:$28,"該当なし",0,1)</f>
        <v/>
      </c>
    </row>
    <row r="383" spans="1:12" ht="15.75" thickBot="1">
      <c r="A383" s="195"/>
      <c r="B383" s="195" t="s">
        <v>205</v>
      </c>
      <c r="C383"/>
      <c r="D383" s="197" t="s">
        <v>414</v>
      </c>
      <c r="E383" s="197" t="s">
        <v>421</v>
      </c>
      <c r="F383" s="197" t="s">
        <v>405</v>
      </c>
      <c r="G383" s="197" t="s">
        <v>22</v>
      </c>
      <c r="H383" s="197"/>
      <c r="I383" s="209"/>
      <c r="J383" s="203"/>
      <c r="K383" s="226"/>
      <c r="L383" s="204" t="str">
        <f ca="1">_xlfn.XLOOKUP($B377,シフト抽出!$19:$19,シフト抽出!$29:$29,"該当なし",0,1)</f>
        <v/>
      </c>
    </row>
    <row r="384" spans="1:12" ht="15.75" thickBot="1">
      <c r="A384" s="195"/>
      <c r="B384" s="195" t="s">
        <v>206</v>
      </c>
      <c r="C384"/>
      <c r="D384" s="197" t="s">
        <v>414</v>
      </c>
      <c r="E384" s="197" t="s">
        <v>421</v>
      </c>
      <c r="F384" s="197" t="s">
        <v>405</v>
      </c>
      <c r="G384" s="197" t="s">
        <v>22</v>
      </c>
      <c r="H384" s="197"/>
      <c r="I384" s="209"/>
      <c r="K384" s="205" t="s">
        <v>261</v>
      </c>
      <c r="L384" s="205">
        <f>_xlfn.XLOOKUP($B377,予定表!B:B,予定表!R:R,"該当なし",0,1)</f>
        <v>0</v>
      </c>
    </row>
    <row r="385" spans="1:12">
      <c r="A385" s="195"/>
      <c r="B385" s="195" t="s">
        <v>207</v>
      </c>
      <c r="C385"/>
      <c r="D385" s="197" t="s">
        <v>414</v>
      </c>
      <c r="E385" s="197" t="s">
        <v>421</v>
      </c>
      <c r="F385" s="197" t="s">
        <v>405</v>
      </c>
      <c r="G385" s="197" t="s">
        <v>22</v>
      </c>
      <c r="H385" s="197"/>
      <c r="I385" s="209"/>
      <c r="K385" s="227" t="s">
        <v>262</v>
      </c>
      <c r="L385" s="206" t="str">
        <f>_xlfn.XLOOKUP($B377,予定表!$B:$B,予定表!E:E,"該当なし",0,1)</f>
        <v>宇都宮螺子</v>
      </c>
    </row>
    <row r="386" spans="1:12">
      <c r="A386" s="195"/>
      <c r="B386" s="196" t="s">
        <v>209</v>
      </c>
      <c r="C386"/>
      <c r="D386" s="197" t="s">
        <v>414</v>
      </c>
      <c r="E386" s="197" t="s">
        <v>421</v>
      </c>
      <c r="F386" s="197" t="s">
        <v>405</v>
      </c>
      <c r="G386" s="197" t="s">
        <v>268</v>
      </c>
      <c r="H386" s="197" t="s">
        <v>4</v>
      </c>
      <c r="I386" s="209" t="s">
        <v>4</v>
      </c>
      <c r="K386" s="228"/>
      <c r="L386" s="207" t="str">
        <f>_xlfn.XLOOKUP($B377,予定表!$B:$B,予定表!F:F,"該当なし",0,1)</f>
        <v>ハーゼスト午前</v>
      </c>
    </row>
    <row r="387" spans="1:12">
      <c r="A387" s="195"/>
      <c r="B387" s="195" t="s">
        <v>205</v>
      </c>
      <c r="C387"/>
      <c r="D387" s="197" t="s">
        <v>414</v>
      </c>
      <c r="E387" s="197" t="s">
        <v>421</v>
      </c>
      <c r="F387" s="197" t="s">
        <v>405</v>
      </c>
      <c r="G387" s="197" t="s">
        <v>268</v>
      </c>
      <c r="H387" s="197" t="s">
        <v>60</v>
      </c>
      <c r="I387" s="209" t="s">
        <v>60</v>
      </c>
      <c r="K387" s="228"/>
      <c r="L387" s="207">
        <f>_xlfn.XLOOKUP($B377,予定表!$B:$B,予定表!G:G,"該当なし",0,1)</f>
        <v>0</v>
      </c>
    </row>
    <row r="388" spans="1:12">
      <c r="A388" s="195"/>
      <c r="B388" s="195" t="s">
        <v>206</v>
      </c>
      <c r="C388"/>
      <c r="D388" s="197" t="s">
        <v>214</v>
      </c>
      <c r="E388" s="197" t="s">
        <v>273</v>
      </c>
      <c r="F388" s="197" t="s">
        <v>405</v>
      </c>
      <c r="G388" s="197" t="s">
        <v>268</v>
      </c>
      <c r="H388" s="197" t="s">
        <v>60</v>
      </c>
      <c r="I388" s="209" t="s">
        <v>60</v>
      </c>
      <c r="K388" s="228"/>
      <c r="L388" s="207">
        <f>_xlfn.XLOOKUP($B377,予定表!$B:$B,予定表!H:H,"該当なし",0,1)</f>
        <v>0</v>
      </c>
    </row>
    <row r="389" spans="1:12">
      <c r="A389" s="195"/>
      <c r="B389" s="195" t="s">
        <v>207</v>
      </c>
      <c r="C389"/>
      <c r="D389" s="197" t="s">
        <v>214</v>
      </c>
      <c r="E389" s="197" t="s">
        <v>273</v>
      </c>
      <c r="F389" s="197" t="s">
        <v>405</v>
      </c>
      <c r="G389" s="197" t="s">
        <v>268</v>
      </c>
      <c r="H389" s="197" t="s">
        <v>60</v>
      </c>
      <c r="I389" s="209" t="s">
        <v>60</v>
      </c>
      <c r="K389" s="228"/>
      <c r="L389" s="207" t="str">
        <f>_xlfn.XLOOKUP($B377,予定表!$B:$B,予定表!I:I,"該当なし",0,1)</f>
        <v/>
      </c>
    </row>
    <row r="390" spans="1:12">
      <c r="A390" s="195"/>
      <c r="B390" s="196" t="s">
        <v>212</v>
      </c>
      <c r="C390"/>
      <c r="D390" s="197" t="s">
        <v>214</v>
      </c>
      <c r="E390" s="197" t="s">
        <v>273</v>
      </c>
      <c r="F390" s="197" t="s">
        <v>405</v>
      </c>
      <c r="G390" s="197" t="s">
        <v>268</v>
      </c>
      <c r="H390" s="197"/>
      <c r="I390" s="209"/>
      <c r="K390" s="228"/>
      <c r="L390" s="207" t="str">
        <f>_xlfn.XLOOKUP($B377,予定表!$B:$B,予定表!J:J,"該当なし",0,1)</f>
        <v/>
      </c>
    </row>
    <row r="391" spans="1:12">
      <c r="A391" s="195"/>
      <c r="B391" s="195" t="s">
        <v>205</v>
      </c>
      <c r="C391"/>
      <c r="D391" s="197" t="s">
        <v>214</v>
      </c>
      <c r="E391" s="197" t="s">
        <v>228</v>
      </c>
      <c r="F391" s="197" t="s">
        <v>405</v>
      </c>
      <c r="G391" s="197" t="s">
        <v>268</v>
      </c>
      <c r="H391" s="197" t="s">
        <v>230</v>
      </c>
      <c r="I391" s="209" t="s">
        <v>230</v>
      </c>
      <c r="K391" s="228"/>
      <c r="L391" s="207" t="str">
        <f>_xlfn.XLOOKUP($B377,予定表!$B:$B,予定表!K:K,"該当なし",0,1)</f>
        <v/>
      </c>
    </row>
    <row r="392" spans="1:12">
      <c r="A392" s="195"/>
      <c r="B392" s="195" t="s">
        <v>206</v>
      </c>
      <c r="C392"/>
      <c r="D392" s="197" t="s">
        <v>851</v>
      </c>
      <c r="E392" s="197" t="s">
        <v>228</v>
      </c>
      <c r="F392" s="197" t="s">
        <v>405</v>
      </c>
      <c r="G392" s="197" t="s">
        <v>169</v>
      </c>
      <c r="H392" s="197" t="s">
        <v>230</v>
      </c>
      <c r="I392" s="209" t="s">
        <v>230</v>
      </c>
      <c r="K392" s="228"/>
      <c r="L392" s="207" t="str">
        <f>_xlfn.XLOOKUP($B377,予定表!$B:$B,予定表!L:L,"該当なし",0,1)</f>
        <v/>
      </c>
    </row>
    <row r="393" spans="1:12" ht="15.75" thickBot="1">
      <c r="A393" s="195"/>
      <c r="B393" s="195" t="s">
        <v>207</v>
      </c>
      <c r="C393"/>
      <c r="D393" s="197" t="s">
        <v>851</v>
      </c>
      <c r="E393" s="197" t="s">
        <v>228</v>
      </c>
      <c r="F393" s="197" t="s">
        <v>405</v>
      </c>
      <c r="G393" s="197" t="s">
        <v>169</v>
      </c>
      <c r="H393" s="197" t="s">
        <v>230</v>
      </c>
      <c r="I393" s="209" t="s">
        <v>230</v>
      </c>
      <c r="K393" s="229"/>
      <c r="L393" s="204" t="str">
        <f>_xlfn.XLOOKUP($A374,ﾘｽﾄマスタ!$U$8:$U$17,ﾘｽﾄマスタ!$V$8:$V$17,"",0)</f>
        <v>BS+1ヵ所</v>
      </c>
    </row>
    <row r="394" spans="1:12" ht="15.75" thickBot="1">
      <c r="A394" s="195"/>
      <c r="B394" s="196" t="s">
        <v>251</v>
      </c>
      <c r="C394"/>
      <c r="D394" s="197" t="s">
        <v>851</v>
      </c>
      <c r="E394" s="197" t="s">
        <v>228</v>
      </c>
      <c r="F394" s="197" t="s">
        <v>405</v>
      </c>
      <c r="G394" s="197" t="s">
        <v>75</v>
      </c>
      <c r="H394" s="197" t="s">
        <v>229</v>
      </c>
      <c r="I394" s="209" t="s">
        <v>229</v>
      </c>
      <c r="K394" s="208" t="s">
        <v>277</v>
      </c>
      <c r="L394" s="208" t="str">
        <f ca="1">_xlfn.XLOOKUP($B377,シフト抽出!$19:$19,シフト抽出!$30:$30,"該当なし",0,1)</f>
        <v/>
      </c>
    </row>
    <row r="395" spans="1:12">
      <c r="A395" s="195"/>
      <c r="B395" s="195" t="s">
        <v>205</v>
      </c>
      <c r="C395"/>
      <c r="D395" s="197" t="s">
        <v>851</v>
      </c>
      <c r="E395" s="197" t="s">
        <v>263</v>
      </c>
      <c r="F395" s="197" t="s">
        <v>405</v>
      </c>
      <c r="G395" s="197" t="s">
        <v>169</v>
      </c>
      <c r="H395" s="197" t="s">
        <v>229</v>
      </c>
      <c r="I395" s="209" t="s">
        <v>229</v>
      </c>
    </row>
    <row r="396" spans="1:12">
      <c r="A396" s="195"/>
      <c r="B396" s="195" t="s">
        <v>206</v>
      </c>
      <c r="C396"/>
      <c r="D396" s="197"/>
      <c r="E396" s="197" t="s">
        <v>263</v>
      </c>
      <c r="F396" s="197" t="s">
        <v>405</v>
      </c>
      <c r="G396" s="197" t="s">
        <v>169</v>
      </c>
      <c r="H396" s="197" t="s">
        <v>848</v>
      </c>
      <c r="I396" s="209" t="s">
        <v>848</v>
      </c>
    </row>
    <row r="397" spans="1:12">
      <c r="A397" s="195"/>
      <c r="B397" s="195" t="s">
        <v>207</v>
      </c>
      <c r="C397"/>
      <c r="D397" s="197" t="s">
        <v>129</v>
      </c>
      <c r="E397" s="197" t="s">
        <v>263</v>
      </c>
      <c r="F397" s="197" t="s">
        <v>405</v>
      </c>
      <c r="G397" s="197" t="s">
        <v>278</v>
      </c>
      <c r="H397" s="197" t="s">
        <v>848</v>
      </c>
      <c r="I397" s="209" t="s">
        <v>848</v>
      </c>
    </row>
    <row r="398" spans="1:12">
      <c r="A398" s="195"/>
      <c r="B398" s="196" t="s">
        <v>217</v>
      </c>
      <c r="C398"/>
      <c r="D398" s="197" t="s">
        <v>129</v>
      </c>
      <c r="E398" s="197" t="s">
        <v>848</v>
      </c>
      <c r="F398" s="197"/>
      <c r="G398" s="197" t="s">
        <v>278</v>
      </c>
      <c r="H398" s="197" t="s">
        <v>848</v>
      </c>
      <c r="I398" s="209" t="s">
        <v>848</v>
      </c>
    </row>
    <row r="399" spans="1:12">
      <c r="A399" s="195"/>
      <c r="B399" s="195" t="s">
        <v>205</v>
      </c>
      <c r="C399"/>
      <c r="D399" s="197" t="s">
        <v>129</v>
      </c>
      <c r="E399" s="197" t="s">
        <v>848</v>
      </c>
      <c r="F399" s="197" t="s">
        <v>51</v>
      </c>
      <c r="G399" s="197" t="s">
        <v>278</v>
      </c>
      <c r="H399" s="197" t="s">
        <v>848</v>
      </c>
      <c r="I399" s="209" t="s">
        <v>848</v>
      </c>
    </row>
    <row r="400" spans="1:12">
      <c r="A400" s="195"/>
      <c r="B400" s="195" t="s">
        <v>206</v>
      </c>
      <c r="C400"/>
      <c r="D400" s="197" t="s">
        <v>129</v>
      </c>
      <c r="E400" s="197" t="s">
        <v>848</v>
      </c>
      <c r="F400" s="197" t="s">
        <v>51</v>
      </c>
      <c r="G400" s="197" t="s">
        <v>278</v>
      </c>
      <c r="H400" s="197" t="s">
        <v>848</v>
      </c>
      <c r="I400" s="209" t="s">
        <v>848</v>
      </c>
    </row>
    <row r="401" spans="1:9">
      <c r="A401" s="195"/>
      <c r="B401" s="195" t="s">
        <v>207</v>
      </c>
      <c r="C401"/>
      <c r="D401" s="197" t="s">
        <v>129</v>
      </c>
      <c r="E401" s="197" t="s">
        <v>848</v>
      </c>
      <c r="F401" s="197" t="s">
        <v>51</v>
      </c>
      <c r="G401" s="197"/>
      <c r="H401" s="197"/>
      <c r="I401" s="209"/>
    </row>
    <row r="402" spans="1:9">
      <c r="A402" s="195"/>
      <c r="B402" s="196" t="s">
        <v>219</v>
      </c>
      <c r="C402"/>
      <c r="D402" s="197"/>
      <c r="E402" s="197" t="s">
        <v>848</v>
      </c>
      <c r="F402" s="197" t="s">
        <v>51</v>
      </c>
      <c r="G402" s="197"/>
      <c r="H402" s="197"/>
      <c r="I402" s="209"/>
    </row>
    <row r="403" spans="1:9">
      <c r="A403" s="195"/>
      <c r="B403" s="195" t="s">
        <v>205</v>
      </c>
      <c r="C403"/>
      <c r="D403" s="197"/>
      <c r="E403" s="197" t="s">
        <v>848</v>
      </c>
      <c r="F403" s="197" t="s">
        <v>51</v>
      </c>
      <c r="G403" s="197"/>
      <c r="H403" s="197"/>
      <c r="I403" s="209"/>
    </row>
    <row r="404" spans="1:9">
      <c r="A404" s="195"/>
      <c r="B404" s="195" t="s">
        <v>206</v>
      </c>
      <c r="C404"/>
      <c r="D404" s="197"/>
      <c r="E404" s="197"/>
      <c r="F404" s="197"/>
      <c r="G404" s="197"/>
      <c r="H404" s="197"/>
      <c r="I404" s="209"/>
    </row>
    <row r="405" spans="1:9">
      <c r="A405" s="195"/>
      <c r="B405" s="195" t="s">
        <v>207</v>
      </c>
      <c r="C405"/>
      <c r="D405" s="197"/>
      <c r="E405" s="197"/>
      <c r="F405" s="197"/>
      <c r="G405" s="197"/>
      <c r="H405" s="197"/>
      <c r="I405" s="209"/>
    </row>
    <row r="406" spans="1:9">
      <c r="A406" s="195"/>
      <c r="B406" s="196" t="s">
        <v>220</v>
      </c>
      <c r="C406"/>
      <c r="D406" s="197"/>
      <c r="E406" s="197"/>
      <c r="F406" s="197"/>
      <c r="G406" s="197"/>
      <c r="H406" s="197"/>
      <c r="I406" s="209"/>
    </row>
    <row r="407" spans="1:9">
      <c r="A407" s="195"/>
      <c r="B407" s="195" t="s">
        <v>205</v>
      </c>
      <c r="C407"/>
      <c r="D407" s="197" t="s">
        <v>56</v>
      </c>
      <c r="E407" s="197" t="s">
        <v>95</v>
      </c>
      <c r="F407" s="197" t="s">
        <v>160</v>
      </c>
      <c r="G407" s="197" t="s">
        <v>253</v>
      </c>
      <c r="H407" s="197" t="s">
        <v>415</v>
      </c>
      <c r="I407" s="209" t="s">
        <v>415</v>
      </c>
    </row>
    <row r="408" spans="1:9">
      <c r="A408" s="195"/>
      <c r="B408" s="195" t="s">
        <v>206</v>
      </c>
      <c r="C408"/>
      <c r="D408" s="197" t="s">
        <v>56</v>
      </c>
      <c r="E408" s="197" t="s">
        <v>95</v>
      </c>
      <c r="F408" s="197" t="s">
        <v>160</v>
      </c>
      <c r="G408" s="197" t="s">
        <v>253</v>
      </c>
      <c r="H408" s="197" t="s">
        <v>415</v>
      </c>
      <c r="I408" s="209" t="s">
        <v>415</v>
      </c>
    </row>
    <row r="409" spans="1:9">
      <c r="A409" s="195"/>
      <c r="B409" s="195" t="s">
        <v>207</v>
      </c>
      <c r="C409"/>
      <c r="D409" s="197" t="s">
        <v>56</v>
      </c>
      <c r="E409" s="197" t="s">
        <v>95</v>
      </c>
      <c r="F409" s="197" t="s">
        <v>252</v>
      </c>
      <c r="G409" s="197" t="s">
        <v>114</v>
      </c>
      <c r="H409" s="197" t="s">
        <v>415</v>
      </c>
      <c r="I409" s="209" t="s">
        <v>415</v>
      </c>
    </row>
    <row r="410" spans="1:9">
      <c r="A410" s="195"/>
      <c r="B410" s="196" t="s">
        <v>222</v>
      </c>
      <c r="C410"/>
      <c r="D410" s="197" t="s">
        <v>56</v>
      </c>
      <c r="E410" s="197" t="s">
        <v>95</v>
      </c>
      <c r="F410" s="197" t="s">
        <v>252</v>
      </c>
      <c r="G410" s="197" t="s">
        <v>114</v>
      </c>
      <c r="H410" s="197" t="s">
        <v>415</v>
      </c>
      <c r="I410" s="209" t="s">
        <v>415</v>
      </c>
    </row>
    <row r="411" spans="1:9">
      <c r="A411" s="195"/>
      <c r="B411" s="195" t="s">
        <v>205</v>
      </c>
      <c r="C411"/>
      <c r="D411" s="197" t="s">
        <v>515</v>
      </c>
      <c r="E411" s="197" t="s">
        <v>95</v>
      </c>
      <c r="F411" s="197" t="s">
        <v>252</v>
      </c>
      <c r="G411" s="197"/>
      <c r="H411" s="197" t="s">
        <v>415</v>
      </c>
      <c r="I411" s="209" t="s">
        <v>415</v>
      </c>
    </row>
    <row r="412" spans="1:9">
      <c r="A412" s="195"/>
      <c r="B412" s="195" t="s">
        <v>206</v>
      </c>
      <c r="C412"/>
      <c r="D412" s="197" t="s">
        <v>515</v>
      </c>
      <c r="E412" s="197" t="s">
        <v>95</v>
      </c>
      <c r="F412" s="197" t="s">
        <v>252</v>
      </c>
      <c r="G412" s="197" t="s">
        <v>270</v>
      </c>
      <c r="H412" s="197" t="s">
        <v>415</v>
      </c>
      <c r="I412" s="209" t="s">
        <v>415</v>
      </c>
    </row>
    <row r="413" spans="1:9">
      <c r="A413" s="195"/>
      <c r="B413" s="195" t="s">
        <v>207</v>
      </c>
      <c r="C413"/>
      <c r="D413" s="197" t="s">
        <v>515</v>
      </c>
      <c r="E413" s="197" t="s">
        <v>95</v>
      </c>
      <c r="F413" s="197" t="s">
        <v>252</v>
      </c>
      <c r="G413" s="197" t="s">
        <v>270</v>
      </c>
      <c r="H413" s="197" t="s">
        <v>415</v>
      </c>
      <c r="I413" s="209" t="s">
        <v>415</v>
      </c>
    </row>
    <row r="414" spans="1:9">
      <c r="A414" s="195"/>
      <c r="B414" s="196" t="s">
        <v>223</v>
      </c>
      <c r="C414"/>
      <c r="D414" s="197" t="s">
        <v>515</v>
      </c>
      <c r="E414" s="197" t="s">
        <v>95</v>
      </c>
      <c r="F414" s="197" t="s">
        <v>252</v>
      </c>
      <c r="G414" s="197" t="s">
        <v>270</v>
      </c>
      <c r="H414" s="197" t="s">
        <v>415</v>
      </c>
      <c r="I414" s="209" t="s">
        <v>415</v>
      </c>
    </row>
    <row r="415" spans="1:9">
      <c r="A415" s="195"/>
      <c r="B415" s="195" t="s">
        <v>205</v>
      </c>
      <c r="C415"/>
      <c r="D415" s="197" t="s">
        <v>269</v>
      </c>
      <c r="E415" s="197" t="s">
        <v>95</v>
      </c>
      <c r="F415" s="197" t="s">
        <v>252</v>
      </c>
      <c r="G415" s="197" t="s">
        <v>270</v>
      </c>
      <c r="H415" s="197" t="s">
        <v>415</v>
      </c>
      <c r="I415" s="209" t="s">
        <v>415</v>
      </c>
    </row>
    <row r="416" spans="1:9">
      <c r="A416" s="195"/>
      <c r="B416" s="195" t="s">
        <v>206</v>
      </c>
      <c r="C416"/>
      <c r="D416" s="197" t="s">
        <v>269</v>
      </c>
      <c r="E416" s="197" t="s">
        <v>395</v>
      </c>
      <c r="F416" s="197" t="s">
        <v>252</v>
      </c>
      <c r="G416" s="197" t="s">
        <v>270</v>
      </c>
      <c r="H416" s="197" t="s">
        <v>415</v>
      </c>
      <c r="I416" s="209" t="s">
        <v>415</v>
      </c>
    </row>
    <row r="417" spans="1:12">
      <c r="A417" s="195"/>
      <c r="B417" s="195" t="s">
        <v>207</v>
      </c>
      <c r="C417"/>
      <c r="D417" s="197" t="s">
        <v>269</v>
      </c>
      <c r="E417" s="197" t="s">
        <v>395</v>
      </c>
      <c r="F417" s="197" t="s">
        <v>252</v>
      </c>
      <c r="G417" s="197" t="s">
        <v>270</v>
      </c>
      <c r="H417" s="197" t="s">
        <v>415</v>
      </c>
      <c r="I417" s="209" t="s">
        <v>415</v>
      </c>
    </row>
    <row r="418" spans="1:12">
      <c r="A418" s="195"/>
      <c r="B418" s="196" t="s">
        <v>225</v>
      </c>
      <c r="C418"/>
      <c r="D418" s="197" t="s">
        <v>237</v>
      </c>
      <c r="E418" s="197" t="s">
        <v>395</v>
      </c>
      <c r="F418" s="197" t="s">
        <v>252</v>
      </c>
      <c r="G418" s="197" t="s">
        <v>270</v>
      </c>
      <c r="H418" s="197" t="s">
        <v>415</v>
      </c>
      <c r="I418" s="209" t="s">
        <v>415</v>
      </c>
    </row>
    <row r="419" spans="1:12">
      <c r="A419" s="195"/>
      <c r="B419" s="195" t="s">
        <v>205</v>
      </c>
      <c r="C419"/>
      <c r="D419" s="197" t="s">
        <v>236</v>
      </c>
      <c r="E419" s="197" t="s">
        <v>395</v>
      </c>
      <c r="F419" s="197" t="s">
        <v>252</v>
      </c>
      <c r="G419" s="197" t="s">
        <v>270</v>
      </c>
      <c r="H419" s="209" t="s">
        <v>415</v>
      </c>
      <c r="I419" s="209" t="s">
        <v>415</v>
      </c>
    </row>
    <row r="420" spans="1:12">
      <c r="A420" s="195"/>
      <c r="B420" s="195" t="s">
        <v>206</v>
      </c>
      <c r="C420"/>
      <c r="D420" s="197" t="s">
        <v>193</v>
      </c>
      <c r="E420" s="197" t="s">
        <v>395</v>
      </c>
      <c r="F420" s="197" t="s">
        <v>252</v>
      </c>
      <c r="G420" s="197" t="s">
        <v>270</v>
      </c>
      <c r="H420" s="209" t="s">
        <v>415</v>
      </c>
      <c r="I420" s="209" t="s">
        <v>415</v>
      </c>
    </row>
    <row r="421" spans="1:12">
      <c r="A421" s="195"/>
      <c r="B421" s="195" t="s">
        <v>207</v>
      </c>
      <c r="C421"/>
      <c r="D421" s="197"/>
      <c r="E421" s="197"/>
      <c r="F421" s="197"/>
      <c r="G421" s="197" t="s">
        <v>270</v>
      </c>
      <c r="H421" s="209" t="s">
        <v>415</v>
      </c>
      <c r="I421" s="209" t="s">
        <v>415</v>
      </c>
    </row>
    <row r="422" spans="1:12">
      <c r="A422" s="195"/>
      <c r="B422" s="196" t="s">
        <v>226</v>
      </c>
      <c r="C422"/>
      <c r="D422" s="197"/>
      <c r="E422" s="197"/>
      <c r="F422" s="197"/>
      <c r="G422" s="197" t="s">
        <v>270</v>
      </c>
      <c r="H422" s="209"/>
      <c r="I422" s="209"/>
    </row>
    <row r="423" spans="1:12">
      <c r="A423" s="195"/>
      <c r="B423" s="195" t="s">
        <v>205</v>
      </c>
      <c r="C423"/>
      <c r="D423" s="197"/>
      <c r="E423" s="197"/>
      <c r="F423" s="197"/>
      <c r="G423" s="197" t="s">
        <v>270</v>
      </c>
      <c r="H423" s="209"/>
      <c r="I423" s="209"/>
    </row>
    <row r="424" spans="1:12">
      <c r="A424" s="195"/>
      <c r="B424" s="195" t="s">
        <v>206</v>
      </c>
      <c r="C424"/>
      <c r="D424" s="197"/>
      <c r="E424" s="197"/>
      <c r="F424" s="197"/>
      <c r="G424" s="197"/>
      <c r="H424" s="209"/>
      <c r="I424" s="209"/>
    </row>
    <row r="425" spans="1:12">
      <c r="A425" s="195"/>
      <c r="B425" s="195" t="s">
        <v>207</v>
      </c>
      <c r="C425"/>
      <c r="D425" s="197"/>
      <c r="E425" s="197"/>
      <c r="F425" s="197"/>
      <c r="G425" s="197"/>
      <c r="H425" s="209"/>
      <c r="I425" s="209"/>
    </row>
    <row r="426" spans="1:12">
      <c r="A426" s="195"/>
      <c r="B426" s="196" t="s">
        <v>227</v>
      </c>
      <c r="C426"/>
      <c r="D426" s="197"/>
      <c r="E426" s="197"/>
      <c r="F426" s="197"/>
      <c r="G426" s="197"/>
      <c r="H426" s="209"/>
      <c r="I426" s="209"/>
      <c r="K426"/>
    </row>
    <row r="427" spans="1:12" ht="29.25" thickBot="1">
      <c r="A427" s="182" t="str">
        <f>"回収シフト  第"&amp;ROUNDUP(DAY(B430)/7,0)  &amp;"  "&amp;TEXT(B430,"aaaa")</f>
        <v>回収シフト  第2  金曜日</v>
      </c>
      <c r="B427" s="183"/>
      <c r="C427" s="183"/>
      <c r="D427" s="183"/>
      <c r="E427" s="183"/>
      <c r="F427" s="183"/>
      <c r="G427" s="184"/>
      <c r="H427" s="184"/>
      <c r="I427" s="184"/>
      <c r="K427" s="183"/>
      <c r="L427" s="183"/>
    </row>
    <row r="428" spans="1:12" ht="15.75" thickBot="1">
      <c r="A428"/>
      <c r="B428"/>
      <c r="C428"/>
      <c r="D428" s="186" t="s">
        <v>201</v>
      </c>
      <c r="E428" s="186" t="s">
        <v>202</v>
      </c>
      <c r="F428" s="186" t="s">
        <v>203</v>
      </c>
      <c r="G428" s="186" t="s">
        <v>204</v>
      </c>
      <c r="H428" s="186" t="s">
        <v>267</v>
      </c>
      <c r="I428" s="217" t="s">
        <v>267</v>
      </c>
      <c r="K428" s="230" t="s">
        <v>257</v>
      </c>
      <c r="L428" s="231"/>
    </row>
    <row r="429" spans="1:12">
      <c r="A429" s="187"/>
      <c r="B429" s="188">
        <v>46119</v>
      </c>
      <c r="C429" s="187"/>
      <c r="D429" s="189" t="s">
        <v>869</v>
      </c>
      <c r="E429" s="189" t="s">
        <v>418</v>
      </c>
      <c r="F429" s="189" t="s">
        <v>867</v>
      </c>
      <c r="G429" s="189" t="s">
        <v>864</v>
      </c>
      <c r="H429" s="189" t="s">
        <v>852</v>
      </c>
      <c r="I429" s="218" t="s">
        <v>852</v>
      </c>
      <c r="K429" s="232" t="s">
        <v>258</v>
      </c>
      <c r="L429" s="190" t="str">
        <f ca="1">_xlfn.XLOOKUP($B430,シフト抽出!$19:$19,シフト抽出!$20:$20,"該当なし",0,1)</f>
        <v/>
      </c>
    </row>
    <row r="430" spans="1:12" ht="19.5" thickBot="1">
      <c r="A430"/>
      <c r="B430" s="191">
        <f>B377+1</f>
        <v>46122</v>
      </c>
      <c r="C430" s="192"/>
      <c r="D430" s="193"/>
      <c r="E430" s="193"/>
      <c r="F430" s="193"/>
      <c r="G430" s="193"/>
      <c r="H430" s="193"/>
      <c r="I430" s="219"/>
      <c r="K430" s="233"/>
      <c r="L430" s="194" t="str">
        <f ca="1">_xlfn.XLOOKUP($B430,シフト抽出!$19:$19,シフト抽出!$21:$21,"該当なし",0,1)</f>
        <v/>
      </c>
    </row>
    <row r="431" spans="1:12">
      <c r="A431" s="195"/>
      <c r="B431" s="196">
        <v>0.25</v>
      </c>
      <c r="C431"/>
      <c r="D431" s="197"/>
      <c r="E431" s="196"/>
      <c r="F431" s="197"/>
      <c r="G431" s="197"/>
      <c r="H431" s="197"/>
      <c r="I431" s="209"/>
      <c r="K431" s="234" t="s">
        <v>259</v>
      </c>
      <c r="L431" s="198" t="str">
        <f ca="1">_xlfn.XLOOKUP($B430,シフト抽出!$19:$19,シフト抽出!$23:$23,"該当なし",0,1)</f>
        <v/>
      </c>
    </row>
    <row r="432" spans="1:12" ht="15.75" thickBot="1">
      <c r="A432" s="195"/>
      <c r="B432" s="195" t="s">
        <v>205</v>
      </c>
      <c r="C432"/>
      <c r="D432" s="197"/>
      <c r="E432" s="197"/>
      <c r="F432" s="197"/>
      <c r="G432" s="197"/>
      <c r="H432" s="197"/>
      <c r="I432" s="209"/>
      <c r="K432" s="235"/>
      <c r="L432" s="199" t="str">
        <f ca="1">_xlfn.XLOOKUP($B430,シフト抽出!$19:$19,シフト抽出!$24:$24,"該当なし",0,1)</f>
        <v/>
      </c>
    </row>
    <row r="433" spans="1:12">
      <c r="A433" s="195"/>
      <c r="B433" s="195" t="s">
        <v>206</v>
      </c>
      <c r="C433"/>
      <c r="D433" s="197" t="s">
        <v>238</v>
      </c>
      <c r="E433" s="197"/>
      <c r="F433" s="197"/>
      <c r="G433" s="197"/>
      <c r="H433" s="197"/>
      <c r="I433" s="209"/>
      <c r="K433" s="224" t="s">
        <v>260</v>
      </c>
      <c r="L433" s="200" t="str">
        <f ca="1">_xlfn.XLOOKUP($B430,シフト抽出!$19:$19,シフト抽出!$26:$26,"該当なし",0,1)</f>
        <v/>
      </c>
    </row>
    <row r="434" spans="1:12">
      <c r="A434" s="195"/>
      <c r="B434" s="195" t="s">
        <v>207</v>
      </c>
      <c r="C434"/>
      <c r="D434" s="197" t="s">
        <v>238</v>
      </c>
      <c r="E434" s="197"/>
      <c r="F434" s="197"/>
      <c r="G434" s="197"/>
      <c r="H434" s="197"/>
      <c r="I434" s="209"/>
      <c r="K434" s="225"/>
      <c r="L434" s="201" t="str">
        <f ca="1">_xlfn.XLOOKUP($B430,シフト抽出!$19:$19,シフト抽出!$27:$27,"該当なし",0,1)</f>
        <v/>
      </c>
    </row>
    <row r="435" spans="1:12">
      <c r="A435" s="195"/>
      <c r="B435" s="202" t="s">
        <v>208</v>
      </c>
      <c r="C435"/>
      <c r="D435" s="197" t="s">
        <v>238</v>
      </c>
      <c r="E435" s="197" t="s">
        <v>420</v>
      </c>
      <c r="F435" s="197" t="s">
        <v>851</v>
      </c>
      <c r="G435" s="197" t="s">
        <v>22</v>
      </c>
      <c r="H435" s="197"/>
      <c r="I435" s="209"/>
      <c r="J435" s="203"/>
      <c r="K435" s="225"/>
      <c r="L435" s="201" t="str">
        <f ca="1">_xlfn.XLOOKUP($B430,シフト抽出!$19:$19,シフト抽出!$28:$28,"該当なし",0,1)</f>
        <v/>
      </c>
    </row>
    <row r="436" spans="1:12" ht="15.75" thickBot="1">
      <c r="A436" s="195"/>
      <c r="B436" s="195" t="s">
        <v>205</v>
      </c>
      <c r="C436"/>
      <c r="D436" s="197" t="s">
        <v>238</v>
      </c>
      <c r="E436" s="197" t="s">
        <v>420</v>
      </c>
      <c r="F436" s="197" t="s">
        <v>851</v>
      </c>
      <c r="G436" s="197" t="s">
        <v>22</v>
      </c>
      <c r="H436" s="197"/>
      <c r="I436" s="209"/>
      <c r="J436" s="203"/>
      <c r="K436" s="226"/>
      <c r="L436" s="204" t="str">
        <f ca="1">_xlfn.XLOOKUP($B430,シフト抽出!$19:$19,シフト抽出!$29:$29,"該当なし",0,1)</f>
        <v/>
      </c>
    </row>
    <row r="437" spans="1:12" ht="15.75" thickBot="1">
      <c r="A437" s="195"/>
      <c r="B437" s="195" t="s">
        <v>206</v>
      </c>
      <c r="C437"/>
      <c r="D437" s="197" t="s">
        <v>238</v>
      </c>
      <c r="E437" s="197" t="s">
        <v>420</v>
      </c>
      <c r="F437" s="197" t="s">
        <v>851</v>
      </c>
      <c r="G437" s="197" t="s">
        <v>793</v>
      </c>
      <c r="H437" s="197"/>
      <c r="I437" s="209"/>
      <c r="K437" s="205" t="s">
        <v>261</v>
      </c>
      <c r="L437" s="205">
        <f>_xlfn.XLOOKUP($B430,予定表!B:B,予定表!R:R,"該当なし",0,1)</f>
        <v>0</v>
      </c>
    </row>
    <row r="438" spans="1:12">
      <c r="A438" s="195"/>
      <c r="B438" s="195" t="s">
        <v>207</v>
      </c>
      <c r="C438"/>
      <c r="D438" s="197" t="s">
        <v>238</v>
      </c>
      <c r="E438" s="197" t="s">
        <v>420</v>
      </c>
      <c r="F438" s="197" t="s">
        <v>851</v>
      </c>
      <c r="G438" s="197" t="s">
        <v>793</v>
      </c>
      <c r="H438" s="197"/>
      <c r="I438" s="209"/>
      <c r="K438" s="227" t="s">
        <v>262</v>
      </c>
      <c r="L438" s="206" t="str">
        <f>_xlfn.XLOOKUP($B430,予定表!$B:$B,予定表!E:E,"該当なし",0,1)</f>
        <v>不二家なし</v>
      </c>
    </row>
    <row r="439" spans="1:12">
      <c r="A439" s="195"/>
      <c r="B439" s="196" t="s">
        <v>209</v>
      </c>
      <c r="C439"/>
      <c r="D439" s="197"/>
      <c r="E439" s="197" t="s">
        <v>420</v>
      </c>
      <c r="F439" s="197" t="s">
        <v>851</v>
      </c>
      <c r="G439" s="197" t="s">
        <v>268</v>
      </c>
      <c r="H439" s="197" t="s">
        <v>4</v>
      </c>
      <c r="I439" s="209" t="s">
        <v>4</v>
      </c>
      <c r="K439" s="228"/>
      <c r="L439" s="207" t="str">
        <f>_xlfn.XLOOKUP($B430,予定表!$B:$B,予定表!F:F,"該当なし",0,1)</f>
        <v>IWDAM</v>
      </c>
    </row>
    <row r="440" spans="1:12">
      <c r="A440" s="195"/>
      <c r="B440" s="195" t="s">
        <v>205</v>
      </c>
      <c r="C440"/>
      <c r="D440" s="197" t="s">
        <v>264</v>
      </c>
      <c r="E440" s="197" t="s">
        <v>420</v>
      </c>
      <c r="F440" s="197" t="s">
        <v>851</v>
      </c>
      <c r="G440" s="197" t="s">
        <v>268</v>
      </c>
      <c r="H440" s="197" t="s">
        <v>60</v>
      </c>
      <c r="I440" s="209" t="s">
        <v>60</v>
      </c>
      <c r="K440" s="228"/>
      <c r="L440" s="207" t="str">
        <f>_xlfn.XLOOKUP($B430,予定表!$B:$B,予定表!G:G,"該当なし",0,1)</f>
        <v>資さんうどん</v>
      </c>
    </row>
    <row r="441" spans="1:12">
      <c r="A441" s="195"/>
      <c r="B441" s="195" t="s">
        <v>206</v>
      </c>
      <c r="C441"/>
      <c r="D441" s="197" t="s">
        <v>239</v>
      </c>
      <c r="E441" s="197" t="s">
        <v>414</v>
      </c>
      <c r="F441" s="197" t="s">
        <v>851</v>
      </c>
      <c r="G441" s="197" t="s">
        <v>268</v>
      </c>
      <c r="H441" s="197" t="s">
        <v>60</v>
      </c>
      <c r="I441" s="209" t="s">
        <v>60</v>
      </c>
      <c r="K441" s="228"/>
      <c r="L441" s="207">
        <f>_xlfn.XLOOKUP($B430,予定表!$B:$B,予定表!H:H,"該当なし",0,1)</f>
        <v>0</v>
      </c>
    </row>
    <row r="442" spans="1:12">
      <c r="A442" s="195"/>
      <c r="B442" s="195" t="s">
        <v>207</v>
      </c>
      <c r="C442"/>
      <c r="D442" s="197" t="s">
        <v>239</v>
      </c>
      <c r="E442" s="197" t="s">
        <v>414</v>
      </c>
      <c r="F442" s="197" t="s">
        <v>851</v>
      </c>
      <c r="G442" s="197" t="s">
        <v>268</v>
      </c>
      <c r="H442" s="197" t="s">
        <v>60</v>
      </c>
      <c r="I442" s="209" t="s">
        <v>60</v>
      </c>
      <c r="K442" s="228"/>
      <c r="L442" s="207" t="str">
        <f>_xlfn.XLOOKUP($B430,予定表!$B:$B,予定表!I:I,"該当なし",0,1)</f>
        <v/>
      </c>
    </row>
    <row r="443" spans="1:12">
      <c r="A443" s="195"/>
      <c r="B443" s="196" t="s">
        <v>212</v>
      </c>
      <c r="C443"/>
      <c r="D443" s="197" t="s">
        <v>240</v>
      </c>
      <c r="E443" s="197" t="s">
        <v>414</v>
      </c>
      <c r="F443" s="197" t="s">
        <v>851</v>
      </c>
      <c r="G443" s="197" t="s">
        <v>268</v>
      </c>
      <c r="H443" s="197"/>
      <c r="I443" s="209"/>
      <c r="K443" s="228"/>
      <c r="L443" s="207" t="str">
        <f>_xlfn.XLOOKUP($B430,予定表!$B:$B,予定表!J:J,"該当なし",0,1)</f>
        <v/>
      </c>
    </row>
    <row r="444" spans="1:12">
      <c r="A444" s="195"/>
      <c r="B444" s="195" t="s">
        <v>205</v>
      </c>
      <c r="C444"/>
      <c r="D444" s="197" t="s">
        <v>240</v>
      </c>
      <c r="E444" s="197" t="s">
        <v>414</v>
      </c>
      <c r="F444" s="197" t="s">
        <v>851</v>
      </c>
      <c r="G444" s="197" t="s">
        <v>268</v>
      </c>
      <c r="H444" s="197" t="s">
        <v>848</v>
      </c>
      <c r="I444" s="209" t="s">
        <v>848</v>
      </c>
      <c r="K444" s="228"/>
      <c r="L444" s="207" t="str">
        <f>_xlfn.XLOOKUP($B430,予定表!$B:$B,予定表!K:K,"該当なし",0,1)</f>
        <v/>
      </c>
    </row>
    <row r="445" spans="1:12">
      <c r="A445" s="195"/>
      <c r="B445" s="195" t="s">
        <v>206</v>
      </c>
      <c r="C445"/>
      <c r="D445" s="197" t="s">
        <v>214</v>
      </c>
      <c r="E445" s="197" t="s">
        <v>854</v>
      </c>
      <c r="F445" s="197" t="s">
        <v>51</v>
      </c>
      <c r="G445" s="197" t="s">
        <v>515</v>
      </c>
      <c r="H445" s="197" t="s">
        <v>848</v>
      </c>
      <c r="I445" s="209" t="s">
        <v>848</v>
      </c>
      <c r="K445" s="228"/>
      <c r="L445" s="207" t="str">
        <f>_xlfn.XLOOKUP($B430,予定表!$B:$B,予定表!L:L,"該当なし",0,1)</f>
        <v/>
      </c>
    </row>
    <row r="446" spans="1:12" ht="15.75" thickBot="1">
      <c r="A446" s="195"/>
      <c r="B446" s="195" t="s">
        <v>207</v>
      </c>
      <c r="C446"/>
      <c r="D446" s="197" t="s">
        <v>214</v>
      </c>
      <c r="E446" s="197" t="s">
        <v>854</v>
      </c>
      <c r="F446" s="197" t="s">
        <v>51</v>
      </c>
      <c r="G446" s="197" t="s">
        <v>515</v>
      </c>
      <c r="H446" s="197" t="s">
        <v>848</v>
      </c>
      <c r="I446" s="209" t="s">
        <v>848</v>
      </c>
      <c r="K446" s="229"/>
      <c r="L446" s="204" t="str">
        <f>_xlfn.XLOOKUP($A427,ﾘｽﾄマスタ!$U$8:$U$17,ﾘｽﾄマスタ!$V$8:$V$17,"",0)</f>
        <v/>
      </c>
    </row>
    <row r="447" spans="1:12" ht="15.75" thickBot="1">
      <c r="A447" s="195"/>
      <c r="B447" s="196" t="s">
        <v>251</v>
      </c>
      <c r="C447"/>
      <c r="D447" s="197" t="s">
        <v>214</v>
      </c>
      <c r="E447" s="197" t="s">
        <v>854</v>
      </c>
      <c r="F447" s="197" t="s">
        <v>51</v>
      </c>
      <c r="G447" s="197" t="s">
        <v>515</v>
      </c>
      <c r="H447" s="197" t="s">
        <v>848</v>
      </c>
      <c r="I447" s="209" t="s">
        <v>848</v>
      </c>
      <c r="K447" s="208" t="s">
        <v>277</v>
      </c>
      <c r="L447" s="208" t="str">
        <f ca="1">_xlfn.XLOOKUP($B430,シフト抽出!$19:$19,シフト抽出!$30:$30,"該当なし",0,1)</f>
        <v/>
      </c>
    </row>
    <row r="448" spans="1:12">
      <c r="A448" s="195"/>
      <c r="B448" s="195" t="s">
        <v>205</v>
      </c>
      <c r="C448"/>
      <c r="D448" s="197" t="s">
        <v>214</v>
      </c>
      <c r="E448" s="197" t="s">
        <v>854</v>
      </c>
      <c r="F448" s="197"/>
      <c r="G448" s="197" t="s">
        <v>888</v>
      </c>
      <c r="H448" s="197" t="s">
        <v>848</v>
      </c>
      <c r="I448" s="209" t="s">
        <v>848</v>
      </c>
    </row>
    <row r="449" spans="1:9">
      <c r="A449" s="195"/>
      <c r="B449" s="195" t="s">
        <v>206</v>
      </c>
      <c r="C449"/>
      <c r="D449" s="197" t="s">
        <v>353</v>
      </c>
      <c r="E449" s="197" t="s">
        <v>216</v>
      </c>
      <c r="F449" s="197" t="s">
        <v>846</v>
      </c>
      <c r="G449" s="197" t="s">
        <v>446</v>
      </c>
      <c r="H449" s="197" t="s">
        <v>848</v>
      </c>
      <c r="I449" s="209" t="s">
        <v>848</v>
      </c>
    </row>
    <row r="450" spans="1:9">
      <c r="A450" s="195"/>
      <c r="B450" s="195" t="s">
        <v>207</v>
      </c>
      <c r="C450"/>
      <c r="D450" s="197" t="s">
        <v>353</v>
      </c>
      <c r="E450" s="197" t="s">
        <v>216</v>
      </c>
      <c r="F450" s="197" t="s">
        <v>847</v>
      </c>
      <c r="G450" s="197" t="s">
        <v>446</v>
      </c>
      <c r="H450" s="197" t="s">
        <v>848</v>
      </c>
      <c r="I450" s="209" t="s">
        <v>848</v>
      </c>
    </row>
    <row r="451" spans="1:9">
      <c r="A451" s="195"/>
      <c r="B451" s="196" t="s">
        <v>217</v>
      </c>
      <c r="C451"/>
      <c r="D451" s="197" t="s">
        <v>353</v>
      </c>
      <c r="E451" s="197" t="s">
        <v>216</v>
      </c>
      <c r="F451" s="197" t="s">
        <v>846</v>
      </c>
      <c r="G451" s="197" t="s">
        <v>446</v>
      </c>
      <c r="H451" s="197" t="s">
        <v>848</v>
      </c>
      <c r="I451" s="209" t="s">
        <v>848</v>
      </c>
    </row>
    <row r="452" spans="1:9">
      <c r="A452" s="195"/>
      <c r="B452" s="195" t="s">
        <v>205</v>
      </c>
      <c r="C452"/>
      <c r="D452" s="197" t="s">
        <v>353</v>
      </c>
      <c r="E452" s="197" t="s">
        <v>216</v>
      </c>
      <c r="F452" s="197" t="s">
        <v>846</v>
      </c>
      <c r="G452" s="197" t="s">
        <v>114</v>
      </c>
      <c r="H452" s="197" t="s">
        <v>848</v>
      </c>
      <c r="I452" s="209" t="s">
        <v>848</v>
      </c>
    </row>
    <row r="453" spans="1:9">
      <c r="A453" s="195"/>
      <c r="B453" s="195" t="s">
        <v>206</v>
      </c>
      <c r="C453"/>
      <c r="D453" s="197" t="s">
        <v>761</v>
      </c>
      <c r="E453" s="197" t="s">
        <v>216</v>
      </c>
      <c r="F453" s="197" t="s">
        <v>846</v>
      </c>
      <c r="G453" s="197" t="s">
        <v>114</v>
      </c>
      <c r="H453" s="197" t="s">
        <v>848</v>
      </c>
      <c r="I453" s="209" t="s">
        <v>848</v>
      </c>
    </row>
    <row r="454" spans="1:9">
      <c r="A454" s="195"/>
      <c r="B454" s="195" t="s">
        <v>207</v>
      </c>
      <c r="C454"/>
      <c r="D454" s="197" t="s">
        <v>761</v>
      </c>
      <c r="E454" s="197" t="s">
        <v>216</v>
      </c>
      <c r="F454" s="197" t="s">
        <v>846</v>
      </c>
      <c r="G454" s="197" t="s">
        <v>114</v>
      </c>
      <c r="H454" s="197"/>
      <c r="I454" s="209"/>
    </row>
    <row r="455" spans="1:9">
      <c r="A455" s="195"/>
      <c r="B455" s="196" t="s">
        <v>219</v>
      </c>
      <c r="C455"/>
      <c r="D455" s="197" t="s">
        <v>761</v>
      </c>
      <c r="E455" s="197" t="s">
        <v>216</v>
      </c>
      <c r="F455" s="197"/>
      <c r="G455" s="197"/>
      <c r="H455" s="197"/>
      <c r="I455" s="209"/>
    </row>
    <row r="456" spans="1:9">
      <c r="A456" s="195"/>
      <c r="B456" s="195" t="s">
        <v>205</v>
      </c>
      <c r="C456"/>
      <c r="D456" s="197" t="s">
        <v>761</v>
      </c>
      <c r="E456" s="197" t="s">
        <v>216</v>
      </c>
      <c r="F456" s="197"/>
      <c r="G456" s="197"/>
      <c r="H456" s="197"/>
      <c r="I456" s="209"/>
    </row>
    <row r="457" spans="1:9">
      <c r="A457" s="195"/>
      <c r="B457" s="195" t="s">
        <v>206</v>
      </c>
      <c r="C457"/>
      <c r="D457" s="197"/>
      <c r="E457" s="197"/>
      <c r="F457" s="197"/>
      <c r="G457" s="197"/>
      <c r="H457" s="197" t="s">
        <v>415</v>
      </c>
      <c r="I457" s="209" t="s">
        <v>415</v>
      </c>
    </row>
    <row r="458" spans="1:9">
      <c r="A458" s="195"/>
      <c r="B458" s="195" t="s">
        <v>207</v>
      </c>
      <c r="C458"/>
      <c r="D458" s="197"/>
      <c r="E458" s="197"/>
      <c r="F458" s="197"/>
      <c r="G458" s="197"/>
      <c r="H458" s="197" t="s">
        <v>415</v>
      </c>
      <c r="I458" s="209" t="s">
        <v>415</v>
      </c>
    </row>
    <row r="459" spans="1:9">
      <c r="A459" s="195"/>
      <c r="B459" s="196" t="s">
        <v>220</v>
      </c>
      <c r="C459"/>
      <c r="D459" s="197" t="s">
        <v>871</v>
      </c>
      <c r="E459" s="197" t="s">
        <v>358</v>
      </c>
      <c r="F459" s="197"/>
      <c r="G459" s="197" t="s">
        <v>859</v>
      </c>
      <c r="H459" s="197" t="s">
        <v>231</v>
      </c>
      <c r="I459" s="209" t="s">
        <v>231</v>
      </c>
    </row>
    <row r="460" spans="1:9">
      <c r="A460" s="195"/>
      <c r="B460" s="195" t="s">
        <v>205</v>
      </c>
      <c r="C460"/>
      <c r="D460" s="197" t="s">
        <v>224</v>
      </c>
      <c r="E460" s="197" t="s">
        <v>273</v>
      </c>
      <c r="F460" s="197" t="s">
        <v>759</v>
      </c>
      <c r="G460" s="197" t="s">
        <v>56</v>
      </c>
      <c r="H460" s="197" t="s">
        <v>231</v>
      </c>
      <c r="I460" s="209" t="s">
        <v>231</v>
      </c>
    </row>
    <row r="461" spans="1:9">
      <c r="A461" s="195"/>
      <c r="B461" s="195" t="s">
        <v>206</v>
      </c>
      <c r="C461"/>
      <c r="D461" s="197" t="s">
        <v>224</v>
      </c>
      <c r="E461" s="197" t="s">
        <v>273</v>
      </c>
      <c r="F461" s="197" t="s">
        <v>759</v>
      </c>
      <c r="G461" s="197" t="s">
        <v>56</v>
      </c>
      <c r="H461" s="197" t="s">
        <v>211</v>
      </c>
      <c r="I461" s="209" t="s">
        <v>211</v>
      </c>
    </row>
    <row r="462" spans="1:9">
      <c r="A462" s="195"/>
      <c r="B462" s="195" t="s">
        <v>207</v>
      </c>
      <c r="C462"/>
      <c r="D462" s="197" t="s">
        <v>224</v>
      </c>
      <c r="E462" s="197" t="s">
        <v>273</v>
      </c>
      <c r="F462" s="197" t="s">
        <v>759</v>
      </c>
      <c r="G462" s="197" t="s">
        <v>56</v>
      </c>
      <c r="H462" s="197" t="s">
        <v>211</v>
      </c>
      <c r="I462" s="209" t="s">
        <v>211</v>
      </c>
    </row>
    <row r="463" spans="1:9">
      <c r="A463" s="195"/>
      <c r="B463" s="196" t="s">
        <v>222</v>
      </c>
      <c r="C463"/>
      <c r="D463" s="197" t="s">
        <v>88</v>
      </c>
      <c r="E463" s="197" t="s">
        <v>266</v>
      </c>
      <c r="F463" s="197" t="s">
        <v>395</v>
      </c>
      <c r="G463" s="197"/>
      <c r="H463" s="197"/>
      <c r="I463" s="209"/>
    </row>
    <row r="464" spans="1:9">
      <c r="A464" s="195"/>
      <c r="B464" s="195" t="s">
        <v>205</v>
      </c>
      <c r="C464"/>
      <c r="D464" s="197" t="s">
        <v>280</v>
      </c>
      <c r="E464" s="197" t="s">
        <v>266</v>
      </c>
      <c r="F464" s="197" t="s">
        <v>395</v>
      </c>
      <c r="G464" s="197" t="s">
        <v>270</v>
      </c>
      <c r="H464" s="197" t="s">
        <v>856</v>
      </c>
      <c r="I464" s="209" t="s">
        <v>856</v>
      </c>
    </row>
    <row r="465" spans="1:12">
      <c r="A465" s="195"/>
      <c r="B465" s="195" t="s">
        <v>206</v>
      </c>
      <c r="C465"/>
      <c r="D465" s="197" t="s">
        <v>160</v>
      </c>
      <c r="E465" s="197" t="s">
        <v>266</v>
      </c>
      <c r="F465" s="197" t="s">
        <v>395</v>
      </c>
      <c r="G465" s="197" t="s">
        <v>270</v>
      </c>
      <c r="H465" s="197" t="s">
        <v>856</v>
      </c>
      <c r="I465" s="209" t="s">
        <v>856</v>
      </c>
    </row>
    <row r="466" spans="1:12">
      <c r="A466" s="195"/>
      <c r="B466" s="195" t="s">
        <v>207</v>
      </c>
      <c r="C466"/>
      <c r="D466" s="197" t="s">
        <v>215</v>
      </c>
      <c r="E466" s="197" t="s">
        <v>266</v>
      </c>
      <c r="F466" s="197" t="s">
        <v>395</v>
      </c>
      <c r="G466" s="197" t="s">
        <v>270</v>
      </c>
      <c r="H466" s="197" t="s">
        <v>856</v>
      </c>
      <c r="I466" s="209" t="s">
        <v>856</v>
      </c>
    </row>
    <row r="467" spans="1:12">
      <c r="A467" s="195"/>
      <c r="B467" s="196" t="s">
        <v>223</v>
      </c>
      <c r="C467"/>
      <c r="D467" s="197" t="s">
        <v>423</v>
      </c>
      <c r="E467" s="197" t="s">
        <v>252</v>
      </c>
      <c r="F467" s="197" t="s">
        <v>395</v>
      </c>
      <c r="G467" s="197" t="s">
        <v>270</v>
      </c>
      <c r="H467" s="197" t="s">
        <v>856</v>
      </c>
      <c r="I467" s="209" t="s">
        <v>856</v>
      </c>
    </row>
    <row r="468" spans="1:12">
      <c r="A468" s="195"/>
      <c r="B468" s="195" t="s">
        <v>205</v>
      </c>
      <c r="C468"/>
      <c r="D468" s="197" t="s">
        <v>588</v>
      </c>
      <c r="E468" s="197" t="s">
        <v>252</v>
      </c>
      <c r="F468" s="197" t="s">
        <v>395</v>
      </c>
      <c r="G468" s="197" t="s">
        <v>270</v>
      </c>
      <c r="H468" s="197" t="s">
        <v>856</v>
      </c>
      <c r="I468" s="209" t="s">
        <v>856</v>
      </c>
    </row>
    <row r="469" spans="1:12">
      <c r="A469" s="195"/>
      <c r="B469" s="195" t="s">
        <v>206</v>
      </c>
      <c r="C469"/>
      <c r="D469" s="197" t="s">
        <v>127</v>
      </c>
      <c r="E469" s="197" t="s">
        <v>252</v>
      </c>
      <c r="F469" s="197" t="s">
        <v>395</v>
      </c>
      <c r="G469" s="197" t="s">
        <v>270</v>
      </c>
      <c r="H469" s="197" t="s">
        <v>856</v>
      </c>
      <c r="I469" s="209" t="s">
        <v>856</v>
      </c>
    </row>
    <row r="470" spans="1:12">
      <c r="A470" s="195"/>
      <c r="B470" s="195" t="s">
        <v>207</v>
      </c>
      <c r="C470"/>
      <c r="D470" s="197"/>
      <c r="E470" s="197" t="s">
        <v>252</v>
      </c>
      <c r="F470" s="197" t="s">
        <v>395</v>
      </c>
      <c r="G470" s="197" t="s">
        <v>270</v>
      </c>
      <c r="H470" s="197" t="s">
        <v>856</v>
      </c>
      <c r="I470" s="209" t="s">
        <v>856</v>
      </c>
    </row>
    <row r="471" spans="1:12">
      <c r="A471" s="195"/>
      <c r="B471" s="196" t="s">
        <v>225</v>
      </c>
      <c r="C471"/>
      <c r="D471" s="197"/>
      <c r="E471" s="197" t="s">
        <v>252</v>
      </c>
      <c r="F471" s="197" t="s">
        <v>395</v>
      </c>
      <c r="G471" s="197" t="s">
        <v>270</v>
      </c>
      <c r="H471" s="197" t="s">
        <v>415</v>
      </c>
      <c r="I471" s="209" t="s">
        <v>415</v>
      </c>
    </row>
    <row r="472" spans="1:12">
      <c r="A472" s="195"/>
      <c r="B472" s="195" t="s">
        <v>205</v>
      </c>
      <c r="C472"/>
      <c r="D472" s="197"/>
      <c r="E472" s="197" t="s">
        <v>252</v>
      </c>
      <c r="F472" s="197" t="s">
        <v>395</v>
      </c>
      <c r="G472" s="197" t="s">
        <v>270</v>
      </c>
      <c r="H472" s="209" t="s">
        <v>415</v>
      </c>
      <c r="I472" s="209" t="s">
        <v>415</v>
      </c>
    </row>
    <row r="473" spans="1:12">
      <c r="A473" s="195"/>
      <c r="B473" s="195" t="s">
        <v>206</v>
      </c>
      <c r="C473"/>
      <c r="D473" s="197"/>
      <c r="E473" s="197" t="s">
        <v>252</v>
      </c>
      <c r="F473" s="197" t="s">
        <v>395</v>
      </c>
      <c r="G473" s="197" t="s">
        <v>270</v>
      </c>
      <c r="H473" s="209" t="s">
        <v>415</v>
      </c>
      <c r="I473" s="209" t="s">
        <v>415</v>
      </c>
    </row>
    <row r="474" spans="1:12">
      <c r="A474" s="195"/>
      <c r="B474" s="195" t="s">
        <v>207</v>
      </c>
      <c r="C474"/>
      <c r="D474" s="197"/>
      <c r="E474" s="197" t="s">
        <v>252</v>
      </c>
      <c r="F474" s="197" t="s">
        <v>395</v>
      </c>
      <c r="G474" s="197" t="s">
        <v>270</v>
      </c>
      <c r="H474" s="209" t="s">
        <v>415</v>
      </c>
      <c r="I474" s="209" t="s">
        <v>415</v>
      </c>
    </row>
    <row r="475" spans="1:12">
      <c r="A475" s="195"/>
      <c r="B475" s="196" t="s">
        <v>226</v>
      </c>
      <c r="C475"/>
      <c r="D475" s="197"/>
      <c r="E475" s="197"/>
      <c r="F475" s="197"/>
      <c r="G475" s="197" t="s">
        <v>270</v>
      </c>
      <c r="H475" s="209"/>
      <c r="I475" s="209"/>
    </row>
    <row r="476" spans="1:12">
      <c r="A476" s="195"/>
      <c r="B476" s="195" t="s">
        <v>205</v>
      </c>
      <c r="C476"/>
      <c r="D476" s="197"/>
      <c r="E476" s="197"/>
      <c r="F476" s="197"/>
      <c r="G476" s="197" t="s">
        <v>270</v>
      </c>
      <c r="H476" s="209"/>
      <c r="I476" s="209"/>
    </row>
    <row r="477" spans="1:12">
      <c r="A477" s="195"/>
      <c r="B477" s="195" t="s">
        <v>206</v>
      </c>
      <c r="C477"/>
      <c r="D477" s="197"/>
      <c r="E477" s="197"/>
      <c r="F477" s="197"/>
      <c r="G477" s="197" t="s">
        <v>270</v>
      </c>
      <c r="H477" s="209"/>
      <c r="I477" s="209"/>
    </row>
    <row r="478" spans="1:12">
      <c r="A478" s="195"/>
      <c r="B478" s="195" t="s">
        <v>207</v>
      </c>
      <c r="C478"/>
      <c r="D478" s="197"/>
      <c r="E478" s="197"/>
      <c r="F478" s="197"/>
      <c r="G478" s="197" t="s">
        <v>270</v>
      </c>
      <c r="H478" s="209"/>
      <c r="I478" s="209"/>
    </row>
    <row r="479" spans="1:12">
      <c r="A479" s="195"/>
      <c r="B479" s="196" t="s">
        <v>227</v>
      </c>
      <c r="C479"/>
      <c r="D479" s="197"/>
      <c r="E479" s="197"/>
      <c r="F479" s="197"/>
      <c r="G479" s="197"/>
      <c r="H479" s="209"/>
      <c r="I479" s="209"/>
      <c r="K479"/>
    </row>
    <row r="480" spans="1:12" ht="29.25" thickBot="1">
      <c r="A480" s="182" t="str">
        <f>"回収シフト  第"&amp;ROUNDUP(DAY(B483)/7,0)  &amp;"  "&amp;TEXT(B483,"aaaa")</f>
        <v>回収シフト  第2  土曜日</v>
      </c>
      <c r="B480" s="183"/>
      <c r="C480" s="183"/>
      <c r="D480" s="183"/>
      <c r="E480" s="183"/>
      <c r="F480" s="183"/>
      <c r="G480" s="184"/>
      <c r="H480" s="184"/>
      <c r="I480" s="184"/>
      <c r="K480" s="183"/>
      <c r="L480" s="183"/>
    </row>
    <row r="481" spans="1:12" ht="15.75" thickBot="1">
      <c r="A481"/>
      <c r="B481"/>
      <c r="C481"/>
      <c r="D481" s="186" t="s">
        <v>201</v>
      </c>
      <c r="E481" s="186" t="s">
        <v>202</v>
      </c>
      <c r="F481" s="186" t="s">
        <v>203</v>
      </c>
      <c r="G481" s="186" t="s">
        <v>204</v>
      </c>
      <c r="H481" s="186" t="s">
        <v>267</v>
      </c>
      <c r="I481" s="217" t="s">
        <v>267</v>
      </c>
      <c r="K481" s="230" t="s">
        <v>257</v>
      </c>
      <c r="L481" s="231"/>
    </row>
    <row r="482" spans="1:12">
      <c r="A482" s="187"/>
      <c r="B482" s="188">
        <v>46119</v>
      </c>
      <c r="C482" s="187"/>
      <c r="D482" s="189"/>
      <c r="E482" s="189"/>
      <c r="F482" s="189"/>
      <c r="G482" s="189"/>
      <c r="H482" s="189"/>
      <c r="I482" s="218"/>
      <c r="K482" s="232" t="s">
        <v>258</v>
      </c>
      <c r="L482" s="190" t="str">
        <f ca="1">_xlfn.XLOOKUP($B483,シフト抽出!$19:$19,シフト抽出!$20:$20,"該当なし",0,1)</f>
        <v/>
      </c>
    </row>
    <row r="483" spans="1:12" ht="19.5" thickBot="1">
      <c r="A483"/>
      <c r="B483" s="191">
        <f>B430+1</f>
        <v>46123</v>
      </c>
      <c r="C483" s="192"/>
      <c r="D483" s="193"/>
      <c r="E483" s="193"/>
      <c r="F483" s="193"/>
      <c r="G483" s="193"/>
      <c r="H483" s="193"/>
      <c r="I483" s="219"/>
      <c r="K483" s="233"/>
      <c r="L483" s="194" t="str">
        <f ca="1">_xlfn.XLOOKUP($B483,シフト抽出!$19:$19,シフト抽出!$21:$21,"該当なし",0,1)</f>
        <v/>
      </c>
    </row>
    <row r="484" spans="1:12">
      <c r="A484" s="195"/>
      <c r="B484" s="196">
        <v>0.25</v>
      </c>
      <c r="C484"/>
      <c r="D484" s="197"/>
      <c r="E484" s="196"/>
      <c r="F484" s="197"/>
      <c r="G484" s="197"/>
      <c r="H484" s="197"/>
      <c r="I484" s="209"/>
      <c r="K484" s="234" t="s">
        <v>259</v>
      </c>
      <c r="L484" s="198" t="str">
        <f ca="1">_xlfn.XLOOKUP($B483,シフト抽出!$19:$19,シフト抽出!$23:$23,"該当なし",0,1)</f>
        <v/>
      </c>
    </row>
    <row r="485" spans="1:12" ht="15.75" thickBot="1">
      <c r="A485" s="195"/>
      <c r="B485" s="195" t="s">
        <v>205</v>
      </c>
      <c r="C485"/>
      <c r="D485" s="197"/>
      <c r="E485" s="197"/>
      <c r="F485" s="197"/>
      <c r="G485" s="197"/>
      <c r="H485" s="197"/>
      <c r="I485" s="209"/>
      <c r="K485" s="235"/>
      <c r="L485" s="199" t="str">
        <f ca="1">_xlfn.XLOOKUP($B483,シフト抽出!$19:$19,シフト抽出!$24:$24,"該当なし",0,1)</f>
        <v/>
      </c>
    </row>
    <row r="486" spans="1:12">
      <c r="A486" s="195"/>
      <c r="B486" s="195" t="s">
        <v>206</v>
      </c>
      <c r="C486"/>
      <c r="D486" s="197"/>
      <c r="E486" s="197"/>
      <c r="F486" s="197"/>
      <c r="G486" s="197"/>
      <c r="H486" s="197"/>
      <c r="I486" s="209"/>
      <c r="K486" s="224" t="s">
        <v>260</v>
      </c>
      <c r="L486" s="200" t="str">
        <f ca="1">_xlfn.XLOOKUP($B483,シフト抽出!$19:$19,シフト抽出!$26:$26,"該当なし",0,1)</f>
        <v/>
      </c>
    </row>
    <row r="487" spans="1:12">
      <c r="A487" s="195"/>
      <c r="B487" s="195" t="s">
        <v>207</v>
      </c>
      <c r="C487"/>
      <c r="D487" s="197"/>
      <c r="E487" s="197"/>
      <c r="F487" s="197"/>
      <c r="G487" s="197"/>
      <c r="H487" s="197"/>
      <c r="I487" s="209"/>
      <c r="K487" s="225"/>
      <c r="L487" s="201" t="str">
        <f ca="1">_xlfn.XLOOKUP($B483,シフト抽出!$19:$19,シフト抽出!$27:$27,"該当なし",0,1)</f>
        <v/>
      </c>
    </row>
    <row r="488" spans="1:12">
      <c r="A488" s="195"/>
      <c r="B488" s="202" t="s">
        <v>208</v>
      </c>
      <c r="C488"/>
      <c r="D488" s="197"/>
      <c r="E488" s="197"/>
      <c r="F488" s="197"/>
      <c r="G488" s="197"/>
      <c r="H488" s="197"/>
      <c r="I488" s="209"/>
      <c r="J488" s="203"/>
      <c r="K488" s="225"/>
      <c r="L488" s="201" t="str">
        <f ca="1">_xlfn.XLOOKUP($B483,シフト抽出!$19:$19,シフト抽出!$28:$28,"該当なし",0,1)</f>
        <v/>
      </c>
    </row>
    <row r="489" spans="1:12" ht="15.75" thickBot="1">
      <c r="A489" s="195"/>
      <c r="B489" s="195" t="s">
        <v>205</v>
      </c>
      <c r="C489"/>
      <c r="D489" s="197"/>
      <c r="E489" s="197"/>
      <c r="F489" s="197"/>
      <c r="G489" s="197"/>
      <c r="H489" s="197"/>
      <c r="I489" s="209"/>
      <c r="J489" s="203"/>
      <c r="K489" s="226"/>
      <c r="L489" s="204" t="str">
        <f ca="1">_xlfn.XLOOKUP($B483,シフト抽出!$19:$19,シフト抽出!$29:$29,"該当なし",0,1)</f>
        <v/>
      </c>
    </row>
    <row r="490" spans="1:12" ht="15.75" thickBot="1">
      <c r="A490" s="195"/>
      <c r="B490" s="195" t="s">
        <v>206</v>
      </c>
      <c r="C490"/>
      <c r="D490" s="197"/>
      <c r="E490" s="197"/>
      <c r="F490" s="197"/>
      <c r="G490" s="197"/>
      <c r="H490" s="197"/>
      <c r="I490" s="209"/>
      <c r="K490" s="205" t="s">
        <v>261</v>
      </c>
      <c r="L490" s="205">
        <f>_xlfn.XLOOKUP($B483,予定表!B:B,予定表!R:R,"該当なし",0,1)</f>
        <v>0</v>
      </c>
    </row>
    <row r="491" spans="1:12">
      <c r="A491" s="195"/>
      <c r="B491" s="195" t="s">
        <v>207</v>
      </c>
      <c r="C491"/>
      <c r="D491" s="197"/>
      <c r="E491" s="197"/>
      <c r="F491" s="197"/>
      <c r="G491" s="197"/>
      <c r="H491" s="197"/>
      <c r="I491" s="209"/>
      <c r="K491" s="227" t="s">
        <v>262</v>
      </c>
      <c r="L491" s="206">
        <f>_xlfn.XLOOKUP($B483,予定表!$B:$B,予定表!E:E,"該当なし",0,1)</f>
        <v>0</v>
      </c>
    </row>
    <row r="492" spans="1:12">
      <c r="A492" s="195"/>
      <c r="B492" s="196" t="s">
        <v>209</v>
      </c>
      <c r="C492"/>
      <c r="D492" s="197" t="s">
        <v>4</v>
      </c>
      <c r="E492" s="197" t="s">
        <v>4</v>
      </c>
      <c r="F492" s="197"/>
      <c r="G492" s="197"/>
      <c r="H492" s="197"/>
      <c r="I492" s="209"/>
      <c r="K492" s="228"/>
      <c r="L492" s="207" t="str">
        <f>_xlfn.XLOOKUP($B483,予定表!$B:$B,予定表!F:F,"該当なし",0,1)</f>
        <v>岡崎ファミマ</v>
      </c>
    </row>
    <row r="493" spans="1:12">
      <c r="A493" s="195"/>
      <c r="B493" s="195" t="s">
        <v>205</v>
      </c>
      <c r="C493"/>
      <c r="D493" s="197" t="s">
        <v>268</v>
      </c>
      <c r="E493" s="197" t="s">
        <v>22</v>
      </c>
      <c r="F493" s="197"/>
      <c r="G493" s="197"/>
      <c r="H493" s="197"/>
      <c r="I493" s="209"/>
      <c r="K493" s="228"/>
      <c r="L493" s="207" t="str">
        <f>_xlfn.XLOOKUP($B483,予定表!$B:$B,予定表!G:G,"該当なし",0,1)</f>
        <v>資さんうどん</v>
      </c>
    </row>
    <row r="494" spans="1:12">
      <c r="A494" s="195"/>
      <c r="B494" s="195" t="s">
        <v>206</v>
      </c>
      <c r="C494"/>
      <c r="D494" s="197" t="s">
        <v>268</v>
      </c>
      <c r="E494" s="197" t="s">
        <v>416</v>
      </c>
      <c r="F494" s="197"/>
      <c r="G494" s="197"/>
      <c r="H494" s="197"/>
      <c r="I494" s="209"/>
      <c r="K494" s="228"/>
      <c r="L494" s="207">
        <f>_xlfn.XLOOKUP($B483,予定表!$B:$B,予定表!H:H,"該当なし",0,1)</f>
        <v>0</v>
      </c>
    </row>
    <row r="495" spans="1:12">
      <c r="A495" s="195"/>
      <c r="B495" s="195" t="s">
        <v>207</v>
      </c>
      <c r="C495"/>
      <c r="D495" s="197" t="s">
        <v>268</v>
      </c>
      <c r="E495" s="197" t="s">
        <v>788</v>
      </c>
      <c r="F495" s="197"/>
      <c r="G495" s="197"/>
      <c r="H495" s="197"/>
      <c r="I495" s="209"/>
      <c r="K495" s="228"/>
      <c r="L495" s="207" t="str">
        <f>_xlfn.XLOOKUP($B483,予定表!$B:$B,予定表!I:I,"該当なし",0,1)</f>
        <v/>
      </c>
    </row>
    <row r="496" spans="1:12">
      <c r="A496" s="195"/>
      <c r="B496" s="196" t="s">
        <v>212</v>
      </c>
      <c r="C496"/>
      <c r="D496" s="197" t="s">
        <v>268</v>
      </c>
      <c r="E496" s="197" t="s">
        <v>241</v>
      </c>
      <c r="F496" s="197"/>
      <c r="G496" s="197"/>
      <c r="H496" s="197"/>
      <c r="I496" s="209"/>
      <c r="K496" s="228"/>
      <c r="L496" s="207" t="str">
        <f>_xlfn.XLOOKUP($B483,予定表!$B:$B,予定表!J:J,"該当なし",0,1)</f>
        <v/>
      </c>
    </row>
    <row r="497" spans="1:12">
      <c r="A497" s="195"/>
      <c r="B497" s="195" t="s">
        <v>205</v>
      </c>
      <c r="C497"/>
      <c r="D497" s="197" t="s">
        <v>268</v>
      </c>
      <c r="E497" s="197" t="s">
        <v>241</v>
      </c>
      <c r="F497" s="197"/>
      <c r="G497" s="197"/>
      <c r="H497" s="197"/>
      <c r="I497" s="209"/>
      <c r="K497" s="228"/>
      <c r="L497" s="207" t="str">
        <f>_xlfn.XLOOKUP($B483,予定表!$B:$B,予定表!K:K,"該当なし",0,1)</f>
        <v/>
      </c>
    </row>
    <row r="498" spans="1:12">
      <c r="A498" s="195"/>
      <c r="B498" s="195" t="s">
        <v>206</v>
      </c>
      <c r="C498"/>
      <c r="D498" s="197" t="s">
        <v>515</v>
      </c>
      <c r="E498" s="197" t="s">
        <v>244</v>
      </c>
      <c r="F498" s="197"/>
      <c r="G498" s="197"/>
      <c r="H498" s="197"/>
      <c r="I498" s="209"/>
      <c r="K498" s="228"/>
      <c r="L498" s="207" t="str">
        <f>_xlfn.XLOOKUP($B483,予定表!$B:$B,予定表!L:L,"該当なし",0,1)</f>
        <v/>
      </c>
    </row>
    <row r="499" spans="1:12" ht="15.75" thickBot="1">
      <c r="A499" s="195"/>
      <c r="B499" s="195" t="s">
        <v>207</v>
      </c>
      <c r="C499"/>
      <c r="D499" s="197" t="s">
        <v>515</v>
      </c>
      <c r="E499" s="197" t="s">
        <v>244</v>
      </c>
      <c r="F499" s="197"/>
      <c r="G499" s="197"/>
      <c r="H499" s="197"/>
      <c r="I499" s="209"/>
      <c r="K499" s="229"/>
      <c r="L499" s="204" t="str">
        <f>_xlfn.XLOOKUP($A480,ﾘｽﾄマスタ!$U$8:$U$17,ﾘｽﾄマスタ!$V$8:$V$17,"",0)</f>
        <v/>
      </c>
    </row>
    <row r="500" spans="1:12" ht="15.75" thickBot="1">
      <c r="A500" s="195"/>
      <c r="B500" s="196" t="s">
        <v>251</v>
      </c>
      <c r="C500"/>
      <c r="D500" s="197" t="s">
        <v>242</v>
      </c>
      <c r="E500" s="197" t="s">
        <v>114</v>
      </c>
      <c r="F500" s="197"/>
      <c r="G500" s="197"/>
      <c r="H500" s="197"/>
      <c r="I500" s="209"/>
      <c r="K500" s="208" t="s">
        <v>277</v>
      </c>
      <c r="L500" s="208" t="str">
        <f ca="1">_xlfn.XLOOKUP($B483,シフト抽出!$19:$19,シフト抽出!$30:$30,"該当なし",0,1)</f>
        <v/>
      </c>
    </row>
    <row r="501" spans="1:12">
      <c r="A501" s="195"/>
      <c r="B501" s="195" t="s">
        <v>205</v>
      </c>
      <c r="C501"/>
      <c r="D501" s="197" t="s">
        <v>242</v>
      </c>
      <c r="E501" s="197" t="s">
        <v>114</v>
      </c>
      <c r="F501" s="197"/>
      <c r="G501" s="197"/>
      <c r="H501" s="197"/>
      <c r="I501" s="209"/>
    </row>
    <row r="502" spans="1:12">
      <c r="A502" s="195"/>
      <c r="B502" s="195" t="s">
        <v>206</v>
      </c>
      <c r="C502"/>
      <c r="D502" s="197" t="s">
        <v>242</v>
      </c>
      <c r="E502" s="197" t="s">
        <v>114</v>
      </c>
      <c r="F502" s="197"/>
      <c r="G502" s="197"/>
      <c r="H502" s="197"/>
      <c r="I502" s="209"/>
    </row>
    <row r="503" spans="1:12">
      <c r="A503" s="195"/>
      <c r="B503" s="195" t="s">
        <v>207</v>
      </c>
      <c r="C503"/>
      <c r="D503" s="197" t="s">
        <v>242</v>
      </c>
      <c r="E503" s="197" t="s">
        <v>114</v>
      </c>
      <c r="F503" s="197"/>
      <c r="G503" s="197"/>
      <c r="H503" s="197"/>
      <c r="I503" s="209"/>
    </row>
    <row r="504" spans="1:12">
      <c r="A504" s="195"/>
      <c r="B504" s="196" t="s">
        <v>217</v>
      </c>
      <c r="C504"/>
      <c r="D504" s="197" t="s">
        <v>242</v>
      </c>
      <c r="E504" s="197" t="s">
        <v>114</v>
      </c>
      <c r="F504" s="197"/>
      <c r="G504" s="197"/>
      <c r="H504" s="197"/>
      <c r="I504" s="209"/>
    </row>
    <row r="505" spans="1:12">
      <c r="A505" s="195"/>
      <c r="B505" s="195" t="s">
        <v>205</v>
      </c>
      <c r="C505"/>
      <c r="D505" s="197" t="s">
        <v>242</v>
      </c>
      <c r="E505" s="197" t="s">
        <v>114</v>
      </c>
      <c r="F505" s="197"/>
      <c r="G505" s="197"/>
      <c r="H505" s="197"/>
      <c r="I505" s="209"/>
    </row>
    <row r="506" spans="1:12">
      <c r="A506" s="195"/>
      <c r="B506" s="195" t="s">
        <v>206</v>
      </c>
      <c r="C506"/>
      <c r="D506" s="197"/>
      <c r="E506" s="197"/>
      <c r="F506" s="197"/>
      <c r="G506" s="197"/>
      <c r="H506" s="197"/>
      <c r="I506" s="209"/>
    </row>
    <row r="507" spans="1:12">
      <c r="A507" s="195"/>
      <c r="B507" s="195" t="s">
        <v>207</v>
      </c>
      <c r="C507"/>
      <c r="D507" s="197"/>
      <c r="E507" s="197"/>
      <c r="F507" s="197"/>
      <c r="G507" s="197"/>
      <c r="H507" s="197"/>
      <c r="I507" s="209"/>
    </row>
    <row r="508" spans="1:12">
      <c r="A508" s="195"/>
      <c r="B508" s="196" t="s">
        <v>219</v>
      </c>
      <c r="C508"/>
      <c r="D508" s="197"/>
      <c r="E508" s="197"/>
      <c r="F508" s="197"/>
      <c r="G508" s="197"/>
      <c r="H508" s="197"/>
      <c r="I508" s="209"/>
    </row>
    <row r="509" spans="1:12">
      <c r="A509" s="195"/>
      <c r="B509" s="195" t="s">
        <v>205</v>
      </c>
      <c r="C509"/>
      <c r="D509" s="197"/>
      <c r="E509" s="197"/>
      <c r="F509" s="197"/>
      <c r="G509" s="197"/>
      <c r="H509" s="197"/>
      <c r="I509" s="209"/>
    </row>
    <row r="510" spans="1:12">
      <c r="A510" s="195"/>
      <c r="B510" s="195" t="s">
        <v>206</v>
      </c>
      <c r="C510"/>
      <c r="D510" s="197"/>
      <c r="E510" s="197"/>
      <c r="F510" s="197"/>
      <c r="G510" s="197"/>
      <c r="H510" s="197"/>
      <c r="I510" s="209"/>
    </row>
    <row r="511" spans="1:12">
      <c r="A511" s="195"/>
      <c r="B511" s="195" t="s">
        <v>207</v>
      </c>
      <c r="C511"/>
      <c r="D511" s="197"/>
      <c r="E511" s="197"/>
      <c r="F511" s="197"/>
      <c r="G511" s="197"/>
      <c r="H511" s="197"/>
      <c r="I511" s="209"/>
    </row>
    <row r="512" spans="1:12">
      <c r="A512" s="195"/>
      <c r="B512" s="196" t="s">
        <v>220</v>
      </c>
      <c r="C512"/>
      <c r="D512" s="197" t="s">
        <v>7</v>
      </c>
      <c r="E512" s="197" t="s">
        <v>8</v>
      </c>
      <c r="F512" s="197"/>
      <c r="G512" s="197"/>
      <c r="H512" s="197"/>
      <c r="I512" s="209"/>
    </row>
    <row r="513" spans="1:9">
      <c r="A513" s="195"/>
      <c r="B513" s="195" t="s">
        <v>205</v>
      </c>
      <c r="C513"/>
      <c r="D513" s="197" t="s">
        <v>416</v>
      </c>
      <c r="E513" s="197" t="s">
        <v>851</v>
      </c>
      <c r="F513" s="197"/>
      <c r="G513" s="197"/>
      <c r="H513" s="197"/>
      <c r="I513" s="209"/>
    </row>
    <row r="514" spans="1:9">
      <c r="A514" s="195"/>
      <c r="B514" s="195" t="s">
        <v>206</v>
      </c>
      <c r="C514"/>
      <c r="D514" s="197" t="s">
        <v>872</v>
      </c>
      <c r="E514" s="197" t="s">
        <v>851</v>
      </c>
      <c r="F514" s="197"/>
      <c r="G514" s="197"/>
      <c r="H514" s="197"/>
      <c r="I514" s="209"/>
    </row>
    <row r="515" spans="1:9">
      <c r="A515" s="195"/>
      <c r="B515" s="195" t="s">
        <v>207</v>
      </c>
      <c r="C515"/>
      <c r="D515" s="197" t="s">
        <v>416</v>
      </c>
      <c r="E515" s="197" t="s">
        <v>851</v>
      </c>
      <c r="F515" s="197"/>
      <c r="G515" s="197"/>
      <c r="H515" s="197"/>
      <c r="I515" s="209"/>
    </row>
    <row r="516" spans="1:9">
      <c r="A516" s="195"/>
      <c r="B516" s="196" t="s">
        <v>222</v>
      </c>
      <c r="C516"/>
      <c r="D516" s="197" t="s">
        <v>416</v>
      </c>
      <c r="E516" s="197" t="s">
        <v>228</v>
      </c>
      <c r="F516" s="197"/>
      <c r="G516" s="197"/>
      <c r="H516" s="197"/>
      <c r="I516" s="209"/>
    </row>
    <row r="517" spans="1:9">
      <c r="A517" s="195"/>
      <c r="B517" s="195" t="s">
        <v>205</v>
      </c>
      <c r="C517"/>
      <c r="D517" s="197" t="s">
        <v>416</v>
      </c>
      <c r="E517" s="197" t="s">
        <v>228</v>
      </c>
      <c r="F517" s="197"/>
      <c r="G517" s="197"/>
      <c r="H517" s="197"/>
      <c r="I517" s="209"/>
    </row>
    <row r="518" spans="1:9">
      <c r="A518" s="195"/>
      <c r="B518" s="195" t="s">
        <v>206</v>
      </c>
      <c r="C518"/>
      <c r="D518" s="197" t="s">
        <v>270</v>
      </c>
      <c r="E518" s="197" t="s">
        <v>228</v>
      </c>
      <c r="F518" s="197"/>
      <c r="G518" s="197"/>
      <c r="H518" s="197"/>
      <c r="I518" s="209"/>
    </row>
    <row r="519" spans="1:9">
      <c r="A519" s="195"/>
      <c r="B519" s="195" t="s">
        <v>207</v>
      </c>
      <c r="C519"/>
      <c r="D519" s="197" t="s">
        <v>270</v>
      </c>
      <c r="E519" s="197" t="s">
        <v>228</v>
      </c>
      <c r="F519" s="197"/>
      <c r="G519" s="197"/>
      <c r="H519" s="197"/>
      <c r="I519" s="209"/>
    </row>
    <row r="520" spans="1:9">
      <c r="A520" s="195"/>
      <c r="B520" s="196" t="s">
        <v>223</v>
      </c>
      <c r="C520"/>
      <c r="D520" s="197" t="s">
        <v>270</v>
      </c>
      <c r="E520" s="197" t="s">
        <v>228</v>
      </c>
      <c r="F520" s="197"/>
      <c r="G520" s="197"/>
      <c r="H520" s="197"/>
      <c r="I520" s="209"/>
    </row>
    <row r="521" spans="1:9">
      <c r="A521" s="195"/>
      <c r="B521" s="195" t="s">
        <v>205</v>
      </c>
      <c r="C521"/>
      <c r="D521" s="197" t="s">
        <v>270</v>
      </c>
      <c r="E521" s="197" t="s">
        <v>273</v>
      </c>
      <c r="F521" s="197"/>
      <c r="G521" s="197"/>
      <c r="H521" s="197"/>
      <c r="I521" s="209"/>
    </row>
    <row r="522" spans="1:9">
      <c r="A522" s="195"/>
      <c r="B522" s="195" t="s">
        <v>206</v>
      </c>
      <c r="C522"/>
      <c r="D522" s="197" t="s">
        <v>270</v>
      </c>
      <c r="E522" s="197" t="s">
        <v>273</v>
      </c>
      <c r="F522" s="197"/>
      <c r="G522" s="197"/>
      <c r="H522" s="197"/>
      <c r="I522" s="209"/>
    </row>
    <row r="523" spans="1:9">
      <c r="A523" s="195"/>
      <c r="B523" s="195" t="s">
        <v>207</v>
      </c>
      <c r="C523"/>
      <c r="D523" s="197" t="s">
        <v>270</v>
      </c>
      <c r="E523" s="197" t="s">
        <v>273</v>
      </c>
      <c r="F523" s="197"/>
      <c r="G523" s="197"/>
      <c r="H523" s="197"/>
      <c r="I523" s="209"/>
    </row>
    <row r="524" spans="1:9">
      <c r="A524" s="195"/>
      <c r="B524" s="196" t="s">
        <v>225</v>
      </c>
      <c r="C524"/>
      <c r="D524" s="197" t="s">
        <v>270</v>
      </c>
      <c r="E524" s="197" t="s">
        <v>263</v>
      </c>
      <c r="F524" s="197"/>
      <c r="G524" s="197"/>
      <c r="H524" s="197"/>
      <c r="I524" s="209"/>
    </row>
    <row r="525" spans="1:9">
      <c r="A525" s="195"/>
      <c r="B525" s="195" t="s">
        <v>205</v>
      </c>
      <c r="C525"/>
      <c r="D525" s="197" t="s">
        <v>270</v>
      </c>
      <c r="E525" s="197" t="s">
        <v>263</v>
      </c>
      <c r="F525" s="197"/>
      <c r="G525" s="197"/>
      <c r="H525" s="209"/>
      <c r="I525" s="209"/>
    </row>
    <row r="526" spans="1:9">
      <c r="A526" s="195"/>
      <c r="B526" s="195" t="s">
        <v>206</v>
      </c>
      <c r="C526"/>
      <c r="D526" s="197" t="s">
        <v>270</v>
      </c>
      <c r="E526" s="197" t="s">
        <v>263</v>
      </c>
      <c r="F526" s="197"/>
      <c r="G526" s="197"/>
      <c r="H526" s="209"/>
      <c r="I526" s="209"/>
    </row>
    <row r="527" spans="1:9">
      <c r="A527" s="195"/>
      <c r="B527" s="195" t="s">
        <v>207</v>
      </c>
      <c r="C527"/>
      <c r="D527" s="197" t="s">
        <v>270</v>
      </c>
      <c r="E527" s="197" t="s">
        <v>263</v>
      </c>
      <c r="F527" s="197"/>
      <c r="G527" s="197"/>
      <c r="H527" s="209"/>
      <c r="I527" s="209"/>
    </row>
    <row r="528" spans="1:9">
      <c r="A528" s="195"/>
      <c r="B528" s="196" t="s">
        <v>226</v>
      </c>
      <c r="C528"/>
      <c r="D528" s="197" t="s">
        <v>270</v>
      </c>
      <c r="E528" s="197"/>
      <c r="F528" s="197"/>
      <c r="G528" s="197"/>
      <c r="H528" s="209"/>
      <c r="I528" s="209"/>
    </row>
    <row r="529" spans="1:12">
      <c r="A529" s="195"/>
      <c r="B529" s="195" t="s">
        <v>205</v>
      </c>
      <c r="C529"/>
      <c r="D529" s="197" t="s">
        <v>270</v>
      </c>
      <c r="E529" s="197"/>
      <c r="F529" s="197"/>
      <c r="G529" s="197"/>
      <c r="H529" s="209"/>
      <c r="I529" s="209"/>
    </row>
    <row r="530" spans="1:12">
      <c r="A530" s="195"/>
      <c r="B530" s="195" t="s">
        <v>206</v>
      </c>
      <c r="C530"/>
      <c r="D530" s="197" t="s">
        <v>270</v>
      </c>
      <c r="E530" s="197"/>
      <c r="F530" s="197"/>
      <c r="G530" s="197"/>
      <c r="H530" s="209"/>
      <c r="I530" s="209"/>
    </row>
    <row r="531" spans="1:12">
      <c r="A531" s="195"/>
      <c r="B531" s="195" t="s">
        <v>207</v>
      </c>
      <c r="C531"/>
      <c r="D531" s="197" t="s">
        <v>270</v>
      </c>
      <c r="E531" s="197"/>
      <c r="F531" s="197"/>
      <c r="G531" s="197"/>
      <c r="H531" s="209"/>
      <c r="I531" s="209"/>
    </row>
    <row r="532" spans="1:12">
      <c r="A532" s="195"/>
      <c r="B532" s="196" t="s">
        <v>227</v>
      </c>
      <c r="C532"/>
      <c r="D532" s="197"/>
      <c r="E532" s="197"/>
      <c r="F532" s="197"/>
      <c r="G532" s="197"/>
      <c r="H532" s="209"/>
      <c r="I532" s="209"/>
      <c r="K532"/>
    </row>
    <row r="533" spans="1:12" ht="29.25" thickBot="1">
      <c r="A533" s="182" t="str">
        <f>"回収シフト  第"&amp;ROUNDUP(DAY(B536)/7,0)  &amp;"  "&amp;TEXT(B536,"aaaa")</f>
        <v>回収シフト  第2  月曜日</v>
      </c>
      <c r="B533" s="183"/>
      <c r="C533" s="183"/>
      <c r="D533" s="183"/>
      <c r="E533" s="183"/>
      <c r="F533" s="183"/>
      <c r="G533" s="184"/>
      <c r="H533" s="184"/>
      <c r="I533" s="184"/>
      <c r="K533" s="183"/>
      <c r="L533" s="183"/>
    </row>
    <row r="534" spans="1:12" ht="15.75" thickBot="1">
      <c r="A534"/>
      <c r="B534"/>
      <c r="C534"/>
      <c r="D534" s="186" t="s">
        <v>201</v>
      </c>
      <c r="E534" s="186" t="s">
        <v>202</v>
      </c>
      <c r="F534" s="186" t="s">
        <v>203</v>
      </c>
      <c r="G534" s="186" t="s">
        <v>204</v>
      </c>
      <c r="H534" s="186" t="s">
        <v>267</v>
      </c>
      <c r="I534" s="217" t="s">
        <v>267</v>
      </c>
      <c r="K534" s="230" t="s">
        <v>257</v>
      </c>
      <c r="L534" s="231"/>
    </row>
    <row r="535" spans="1:12">
      <c r="A535" s="187"/>
      <c r="B535" s="188">
        <v>45495</v>
      </c>
      <c r="C535" s="187"/>
      <c r="D535" s="189" t="s">
        <v>873</v>
      </c>
      <c r="E535" s="189" t="s">
        <v>248</v>
      </c>
      <c r="F535" s="189" t="s">
        <v>360</v>
      </c>
      <c r="G535" s="189" t="s">
        <v>874</v>
      </c>
      <c r="H535" s="189" t="s">
        <v>852</v>
      </c>
      <c r="I535" s="218" t="s">
        <v>852</v>
      </c>
      <c r="K535" s="232" t="s">
        <v>258</v>
      </c>
      <c r="L535" s="190" t="str">
        <f ca="1">_xlfn.XLOOKUP($B536,シフト抽出!$19:$19,シフト抽出!$20:$20,"該当なし",0,1)</f>
        <v/>
      </c>
    </row>
    <row r="536" spans="1:12" ht="19.5" thickBot="1">
      <c r="A536"/>
      <c r="B536" s="191">
        <f>B483+2</f>
        <v>46125</v>
      </c>
      <c r="C536" s="192" t="e">
        <v>#REF!</v>
      </c>
      <c r="D536" s="193"/>
      <c r="E536" s="193"/>
      <c r="F536" s="193"/>
      <c r="G536" s="193"/>
      <c r="H536" s="193"/>
      <c r="I536" s="219"/>
      <c r="K536" s="233"/>
      <c r="L536" s="194" t="str">
        <f ca="1">_xlfn.XLOOKUP($B536,シフト抽出!$19:$19,シフト抽出!$21:$21,"該当なし",0,1)</f>
        <v/>
      </c>
    </row>
    <row r="537" spans="1:12">
      <c r="A537" s="195"/>
      <c r="B537" s="196">
        <v>0.25</v>
      </c>
      <c r="C537"/>
      <c r="D537" s="197"/>
      <c r="E537" s="196"/>
      <c r="F537" s="197"/>
      <c r="G537" s="197"/>
      <c r="H537" s="197"/>
      <c r="I537" s="209"/>
      <c r="K537" s="234" t="s">
        <v>259</v>
      </c>
      <c r="L537" s="198" t="str">
        <f ca="1">_xlfn.XLOOKUP($B536,シフト抽出!$19:$19,シフト抽出!$23:$23,"該当なし",0,1)</f>
        <v/>
      </c>
    </row>
    <row r="538" spans="1:12" ht="15.75" thickBot="1">
      <c r="A538" s="195"/>
      <c r="B538" s="195" t="s">
        <v>205</v>
      </c>
      <c r="C538"/>
      <c r="D538" s="197"/>
      <c r="E538" s="197"/>
      <c r="F538" s="197"/>
      <c r="G538" s="197"/>
      <c r="H538" s="197"/>
      <c r="I538" s="209"/>
      <c r="K538" s="235"/>
      <c r="L538" s="199" t="str">
        <f ca="1">_xlfn.XLOOKUP($B536,シフト抽出!$19:$19,シフト抽出!$24:$24,"該当なし",0,1)</f>
        <v/>
      </c>
    </row>
    <row r="539" spans="1:12">
      <c r="A539" s="195"/>
      <c r="B539" s="195" t="s">
        <v>206</v>
      </c>
      <c r="C539"/>
      <c r="D539" s="197"/>
      <c r="E539" s="197"/>
      <c r="F539" s="197"/>
      <c r="G539" s="197"/>
      <c r="H539" s="197"/>
      <c r="I539" s="209"/>
      <c r="K539" s="224" t="s">
        <v>260</v>
      </c>
      <c r="L539" s="200" t="str">
        <f ca="1">_xlfn.XLOOKUP($B536,シフト抽出!$19:$19,シフト抽出!$26:$26,"該当なし",0,1)</f>
        <v/>
      </c>
    </row>
    <row r="540" spans="1:12">
      <c r="A540" s="195"/>
      <c r="B540" s="195" t="s">
        <v>207</v>
      </c>
      <c r="C540"/>
      <c r="D540" s="197"/>
      <c r="E540" s="197"/>
      <c r="F540" s="197"/>
      <c r="G540" s="197"/>
      <c r="H540" s="197"/>
      <c r="I540" s="209"/>
      <c r="K540" s="225"/>
      <c r="L540" s="201" t="str">
        <f ca="1">_xlfn.XLOOKUP($B536,シフト抽出!$19:$19,シフト抽出!$27:$27,"該当なし",0,1)</f>
        <v/>
      </c>
    </row>
    <row r="541" spans="1:12">
      <c r="A541" s="195"/>
      <c r="B541" s="202" t="s">
        <v>208</v>
      </c>
      <c r="C541"/>
      <c r="D541" s="197"/>
      <c r="E541" s="197"/>
      <c r="F541" s="197"/>
      <c r="G541" s="197"/>
      <c r="H541" s="197"/>
      <c r="I541" s="209"/>
      <c r="J541" s="203"/>
      <c r="K541" s="225"/>
      <c r="L541" s="201" t="str">
        <f ca="1">_xlfn.XLOOKUP($B536,シフト抽出!$19:$19,シフト抽出!$28:$28,"該当なし",0,1)</f>
        <v/>
      </c>
    </row>
    <row r="542" spans="1:12" ht="15.75" thickBot="1">
      <c r="A542" s="195"/>
      <c r="B542" s="195" t="s">
        <v>205</v>
      </c>
      <c r="C542"/>
      <c r="D542" s="197"/>
      <c r="E542" s="197"/>
      <c r="F542" s="197"/>
      <c r="G542" s="197"/>
      <c r="H542" s="197"/>
      <c r="I542" s="209"/>
      <c r="J542" s="203"/>
      <c r="K542" s="226"/>
      <c r="L542" s="204" t="str">
        <f ca="1">_xlfn.XLOOKUP($B536,シフト抽出!$19:$19,シフト抽出!$29:$29,"該当なし",0,1)</f>
        <v/>
      </c>
    </row>
    <row r="543" spans="1:12" ht="15.75" thickBot="1">
      <c r="A543" s="195"/>
      <c r="B543" s="195" t="s">
        <v>206</v>
      </c>
      <c r="C543"/>
      <c r="D543" s="197"/>
      <c r="E543" s="197"/>
      <c r="F543" s="197"/>
      <c r="G543" s="197"/>
      <c r="H543" s="197"/>
      <c r="I543" s="209"/>
      <c r="K543" s="205" t="s">
        <v>261</v>
      </c>
      <c r="L543" s="205">
        <f>_xlfn.XLOOKUP($B536,予定表!B:B,予定表!R:R,"該当なし",0,1)</f>
        <v>0</v>
      </c>
    </row>
    <row r="544" spans="1:12">
      <c r="A544" s="195"/>
      <c r="B544" s="195" t="s">
        <v>207</v>
      </c>
      <c r="C544"/>
      <c r="D544" s="197"/>
      <c r="E544" s="197"/>
      <c r="F544" s="197"/>
      <c r="G544" s="197"/>
      <c r="H544" s="197"/>
      <c r="I544" s="209"/>
      <c r="K544" s="227" t="s">
        <v>262</v>
      </c>
      <c r="L544" s="206" t="str">
        <f>_xlfn.XLOOKUP($B536,予定表!$B:$B,予定表!E:E,"該当なし",0,1)</f>
        <v>ハーゼスト午前</v>
      </c>
    </row>
    <row r="545" spans="1:12">
      <c r="A545" s="195"/>
      <c r="B545" s="196" t="s">
        <v>209</v>
      </c>
      <c r="C545"/>
      <c r="D545" s="197"/>
      <c r="E545" s="197"/>
      <c r="F545" s="197"/>
      <c r="G545" s="197"/>
      <c r="H545" s="197"/>
      <c r="I545" s="209"/>
      <c r="K545" s="228"/>
      <c r="L545" s="207" t="str">
        <f>_xlfn.XLOOKUP($B536,予定表!$B:$B,予定表!F:F,"該当なし",0,1)</f>
        <v>キョクレイストレッチ</v>
      </c>
    </row>
    <row r="546" spans="1:12">
      <c r="A546" s="195"/>
      <c r="B546" s="195" t="s">
        <v>205</v>
      </c>
      <c r="C546"/>
      <c r="D546" s="197" t="s">
        <v>264</v>
      </c>
      <c r="E546" s="197" t="s">
        <v>414</v>
      </c>
      <c r="F546" s="197" t="s">
        <v>851</v>
      </c>
      <c r="G546" s="197" t="s">
        <v>268</v>
      </c>
      <c r="H546" s="197" t="s">
        <v>848</v>
      </c>
      <c r="I546" s="209" t="s">
        <v>848</v>
      </c>
      <c r="K546" s="228"/>
      <c r="L546" s="207" t="str">
        <f>_xlfn.XLOOKUP($B536,予定表!$B:$B,予定表!G:G,"該当なし",0,1)</f>
        <v>富士ロジ三田</v>
      </c>
    </row>
    <row r="547" spans="1:12">
      <c r="A547" s="195"/>
      <c r="B547" s="195" t="s">
        <v>206</v>
      </c>
      <c r="C547"/>
      <c r="D547" s="197" t="s">
        <v>788</v>
      </c>
      <c r="E547" s="197" t="s">
        <v>414</v>
      </c>
      <c r="F547" s="197" t="s">
        <v>851</v>
      </c>
      <c r="G547" s="197" t="s">
        <v>268</v>
      </c>
      <c r="H547" s="197" t="s">
        <v>848</v>
      </c>
      <c r="I547" s="209" t="s">
        <v>848</v>
      </c>
      <c r="K547" s="228"/>
      <c r="L547" s="207">
        <f>_xlfn.XLOOKUP($B536,予定表!$B:$B,予定表!H:H,"該当なし",0,1)</f>
        <v>0</v>
      </c>
    </row>
    <row r="548" spans="1:12">
      <c r="A548" s="195"/>
      <c r="B548" s="195" t="s">
        <v>207</v>
      </c>
      <c r="C548"/>
      <c r="D548" s="197" t="s">
        <v>119</v>
      </c>
      <c r="E548" s="197" t="s">
        <v>414</v>
      </c>
      <c r="F548" s="197" t="s">
        <v>851</v>
      </c>
      <c r="G548" s="197" t="s">
        <v>268</v>
      </c>
      <c r="H548" s="197" t="s">
        <v>848</v>
      </c>
      <c r="I548" s="209" t="s">
        <v>848</v>
      </c>
      <c r="K548" s="228"/>
      <c r="L548" s="207" t="str">
        <f>_xlfn.XLOOKUP($B536,予定表!$B:$B,予定表!I:I,"該当なし",0,1)</f>
        <v/>
      </c>
    </row>
    <row r="549" spans="1:12">
      <c r="A549" s="195"/>
      <c r="B549" s="196" t="s">
        <v>212</v>
      </c>
      <c r="C549"/>
      <c r="D549" s="197" t="s">
        <v>376</v>
      </c>
      <c r="E549" s="197" t="s">
        <v>414</v>
      </c>
      <c r="F549" s="197" t="s">
        <v>851</v>
      </c>
      <c r="G549" s="197" t="s">
        <v>268</v>
      </c>
      <c r="H549" s="197" t="s">
        <v>848</v>
      </c>
      <c r="I549" s="209" t="s">
        <v>848</v>
      </c>
      <c r="K549" s="228"/>
      <c r="L549" s="207" t="str">
        <f>_xlfn.XLOOKUP($B536,予定表!$B:$B,予定表!J:J,"該当なし",0,1)</f>
        <v/>
      </c>
    </row>
    <row r="550" spans="1:12">
      <c r="A550" s="195"/>
      <c r="B550" s="195" t="s">
        <v>205</v>
      </c>
      <c r="C550"/>
      <c r="D550" s="197" t="s">
        <v>278</v>
      </c>
      <c r="E550" s="197" t="s">
        <v>414</v>
      </c>
      <c r="F550" s="197" t="s">
        <v>851</v>
      </c>
      <c r="G550" s="197" t="s">
        <v>268</v>
      </c>
      <c r="H550" s="197" t="s">
        <v>848</v>
      </c>
      <c r="I550" s="209" t="s">
        <v>848</v>
      </c>
      <c r="K550" s="228"/>
      <c r="L550" s="207" t="str">
        <f>_xlfn.XLOOKUP($B536,予定表!$B:$B,予定表!K:K,"該当なし",0,1)</f>
        <v/>
      </c>
    </row>
    <row r="551" spans="1:12">
      <c r="A551" s="195"/>
      <c r="B551" s="195" t="s">
        <v>206</v>
      </c>
      <c r="C551"/>
      <c r="D551" s="197" t="s">
        <v>213</v>
      </c>
      <c r="E551" s="197" t="s">
        <v>414</v>
      </c>
      <c r="F551" s="197" t="s">
        <v>851</v>
      </c>
      <c r="G551" s="197" t="s">
        <v>515</v>
      </c>
      <c r="H551" s="197" t="s">
        <v>848</v>
      </c>
      <c r="I551" s="209" t="s">
        <v>848</v>
      </c>
      <c r="K551" s="228"/>
      <c r="L551" s="207" t="str">
        <f>_xlfn.XLOOKUP($B536,予定表!$B:$B,予定表!L:L,"該当なし",0,1)</f>
        <v/>
      </c>
    </row>
    <row r="552" spans="1:12" ht="15.75" thickBot="1">
      <c r="A552" s="195"/>
      <c r="B552" s="195" t="s">
        <v>207</v>
      </c>
      <c r="C552"/>
      <c r="D552" s="197" t="s">
        <v>144</v>
      </c>
      <c r="E552" s="197" t="s">
        <v>414</v>
      </c>
      <c r="F552" s="197" t="s">
        <v>851</v>
      </c>
      <c r="G552" s="197" t="s">
        <v>515</v>
      </c>
      <c r="H552" s="197" t="s">
        <v>848</v>
      </c>
      <c r="I552" s="209" t="s">
        <v>848</v>
      </c>
      <c r="K552" s="229"/>
      <c r="L552" s="204" t="str">
        <f>_xlfn.XLOOKUP($A533,ﾘｽﾄマスタ!$U$8:$U$17,ﾘｽﾄマスタ!$V$8:$V$17,"",0)</f>
        <v>広陽</v>
      </c>
    </row>
    <row r="553" spans="1:12" ht="15.75" thickBot="1">
      <c r="A553" s="195"/>
      <c r="B553" s="196" t="s">
        <v>251</v>
      </c>
      <c r="C553"/>
      <c r="D553" s="197" t="s">
        <v>144</v>
      </c>
      <c r="E553" s="197" t="s">
        <v>862</v>
      </c>
      <c r="F553" s="197" t="s">
        <v>405</v>
      </c>
      <c r="G553" s="197" t="s">
        <v>269</v>
      </c>
      <c r="H553" s="197" t="s">
        <v>848</v>
      </c>
      <c r="I553" s="209" t="s">
        <v>848</v>
      </c>
      <c r="K553" s="208" t="s">
        <v>277</v>
      </c>
      <c r="L553" s="208" t="str">
        <f ca="1">_xlfn.XLOOKUP($B536,シフト抽出!$19:$19,シフト抽出!$30:$30,"該当なし",0,1)</f>
        <v/>
      </c>
    </row>
    <row r="554" spans="1:12">
      <c r="A554" s="195"/>
      <c r="B554" s="195" t="s">
        <v>205</v>
      </c>
      <c r="C554"/>
      <c r="D554" s="197" t="s">
        <v>218</v>
      </c>
      <c r="E554" s="197" t="s">
        <v>214</v>
      </c>
      <c r="F554" s="197" t="s">
        <v>405</v>
      </c>
      <c r="G554" s="197" t="s">
        <v>269</v>
      </c>
      <c r="H554" s="197" t="s">
        <v>229</v>
      </c>
      <c r="I554" s="209" t="s">
        <v>229</v>
      </c>
    </row>
    <row r="555" spans="1:12">
      <c r="A555" s="195"/>
      <c r="B555" s="195" t="s">
        <v>206</v>
      </c>
      <c r="C555"/>
      <c r="D555" s="197" t="s">
        <v>78</v>
      </c>
      <c r="E555" s="197" t="s">
        <v>214</v>
      </c>
      <c r="F555" s="197" t="s">
        <v>405</v>
      </c>
      <c r="G555" s="197" t="s">
        <v>269</v>
      </c>
      <c r="H555" s="197" t="s">
        <v>229</v>
      </c>
      <c r="I555" s="209" t="s">
        <v>229</v>
      </c>
    </row>
    <row r="556" spans="1:12">
      <c r="A556" s="195"/>
      <c r="B556" s="195" t="s">
        <v>207</v>
      </c>
      <c r="C556"/>
      <c r="D556" s="197" t="s">
        <v>78</v>
      </c>
      <c r="E556" s="197" t="s">
        <v>214</v>
      </c>
      <c r="F556" s="197" t="s">
        <v>405</v>
      </c>
      <c r="G556" s="197" t="s">
        <v>269</v>
      </c>
      <c r="H556" s="197" t="s">
        <v>229</v>
      </c>
      <c r="I556" s="209" t="s">
        <v>229</v>
      </c>
    </row>
    <row r="557" spans="1:12">
      <c r="A557" s="195"/>
      <c r="B557" s="196" t="s">
        <v>217</v>
      </c>
      <c r="C557"/>
      <c r="D557" s="197" t="s">
        <v>146</v>
      </c>
      <c r="E557" s="197" t="s">
        <v>761</v>
      </c>
      <c r="F557" s="197" t="s">
        <v>405</v>
      </c>
      <c r="G557" s="197" t="s">
        <v>269</v>
      </c>
      <c r="H557" s="197" t="s">
        <v>230</v>
      </c>
      <c r="I557" s="209" t="s">
        <v>230</v>
      </c>
    </row>
    <row r="558" spans="1:12">
      <c r="A558" s="195"/>
      <c r="B558" s="195" t="s">
        <v>205</v>
      </c>
      <c r="C558"/>
      <c r="D558" s="197" t="s">
        <v>146</v>
      </c>
      <c r="E558" s="197" t="s">
        <v>761</v>
      </c>
      <c r="F558" s="197" t="s">
        <v>405</v>
      </c>
      <c r="G558" s="197" t="s">
        <v>446</v>
      </c>
      <c r="H558" s="197" t="s">
        <v>230</v>
      </c>
      <c r="I558" s="209" t="s">
        <v>230</v>
      </c>
    </row>
    <row r="559" spans="1:12">
      <c r="A559" s="195"/>
      <c r="B559" s="195" t="s">
        <v>206</v>
      </c>
      <c r="C559"/>
      <c r="D559" s="197"/>
      <c r="E559" s="197" t="s">
        <v>761</v>
      </c>
      <c r="F559" s="197" t="s">
        <v>405</v>
      </c>
      <c r="G559" s="197" t="s">
        <v>114</v>
      </c>
      <c r="H559" s="197" t="s">
        <v>230</v>
      </c>
      <c r="I559" s="209" t="s">
        <v>230</v>
      </c>
    </row>
    <row r="560" spans="1:12">
      <c r="A560" s="195"/>
      <c r="B560" s="195" t="s">
        <v>207</v>
      </c>
      <c r="C560"/>
      <c r="D560" s="197"/>
      <c r="E560" s="197" t="s">
        <v>761</v>
      </c>
      <c r="F560" s="197" t="s">
        <v>405</v>
      </c>
      <c r="G560" s="197" t="s">
        <v>114</v>
      </c>
      <c r="H560" s="197" t="s">
        <v>230</v>
      </c>
      <c r="I560" s="209" t="s">
        <v>230</v>
      </c>
    </row>
    <row r="561" spans="1:9">
      <c r="A561" s="195"/>
      <c r="B561" s="196" t="s">
        <v>219</v>
      </c>
      <c r="C561"/>
      <c r="D561" s="197"/>
      <c r="E561" s="197"/>
      <c r="F561" s="197" t="s">
        <v>405</v>
      </c>
      <c r="G561" s="197" t="s">
        <v>51</v>
      </c>
      <c r="H561" s="197" t="s">
        <v>230</v>
      </c>
      <c r="I561" s="209" t="s">
        <v>230</v>
      </c>
    </row>
    <row r="562" spans="1:9">
      <c r="A562" s="195"/>
      <c r="B562" s="195" t="s">
        <v>205</v>
      </c>
      <c r="C562"/>
      <c r="D562" s="197"/>
      <c r="E562" s="197"/>
      <c r="F562" s="197" t="s">
        <v>405</v>
      </c>
      <c r="G562" s="197" t="s">
        <v>51</v>
      </c>
      <c r="H562" s="197" t="s">
        <v>230</v>
      </c>
      <c r="I562" s="209" t="s">
        <v>230</v>
      </c>
    </row>
    <row r="563" spans="1:9">
      <c r="A563" s="195"/>
      <c r="B563" s="195" t="s">
        <v>206</v>
      </c>
      <c r="C563"/>
      <c r="D563" s="197"/>
      <c r="E563" s="197"/>
      <c r="F563" s="197"/>
      <c r="G563" s="197"/>
      <c r="H563" s="197"/>
      <c r="I563" s="209"/>
    </row>
    <row r="564" spans="1:9">
      <c r="A564" s="195"/>
      <c r="B564" s="195" t="s">
        <v>207</v>
      </c>
      <c r="C564"/>
      <c r="D564" s="197"/>
      <c r="E564" s="197"/>
      <c r="F564" s="197"/>
      <c r="G564" s="197"/>
      <c r="H564" s="197"/>
      <c r="I564" s="209"/>
    </row>
    <row r="565" spans="1:9">
      <c r="A565" s="195"/>
      <c r="B565" s="196" t="s">
        <v>220</v>
      </c>
      <c r="C565"/>
      <c r="D565" s="197" t="s">
        <v>875</v>
      </c>
      <c r="E565" s="197" t="s">
        <v>418</v>
      </c>
      <c r="F565" s="197" t="s">
        <v>867</v>
      </c>
      <c r="G565" s="197" t="s">
        <v>728</v>
      </c>
      <c r="H565" s="197"/>
      <c r="I565" s="209"/>
    </row>
    <row r="566" spans="1:9">
      <c r="A566" s="195"/>
      <c r="B566" s="195" t="s">
        <v>205</v>
      </c>
      <c r="C566"/>
      <c r="D566" s="197" t="s">
        <v>759</v>
      </c>
      <c r="E566" s="197" t="s">
        <v>848</v>
      </c>
      <c r="F566" s="197" t="s">
        <v>224</v>
      </c>
      <c r="G566" s="197" t="s">
        <v>56</v>
      </c>
      <c r="H566" s="197" t="s">
        <v>415</v>
      </c>
      <c r="I566" s="209" t="s">
        <v>415</v>
      </c>
    </row>
    <row r="567" spans="1:9">
      <c r="A567" s="195"/>
      <c r="B567" s="195" t="s">
        <v>206</v>
      </c>
      <c r="C567"/>
      <c r="D567" s="197" t="s">
        <v>759</v>
      </c>
      <c r="E567" s="197" t="s">
        <v>848</v>
      </c>
      <c r="F567" s="197" t="s">
        <v>865</v>
      </c>
      <c r="G567" s="197" t="s">
        <v>56</v>
      </c>
      <c r="H567" s="197" t="s">
        <v>415</v>
      </c>
      <c r="I567" s="209" t="s">
        <v>415</v>
      </c>
    </row>
    <row r="568" spans="1:9">
      <c r="A568" s="195"/>
      <c r="B568" s="195" t="s">
        <v>207</v>
      </c>
      <c r="C568"/>
      <c r="D568" s="197" t="s">
        <v>759</v>
      </c>
      <c r="E568" s="197" t="s">
        <v>848</v>
      </c>
      <c r="F568" s="197" t="s">
        <v>866</v>
      </c>
      <c r="G568" s="197" t="s">
        <v>56</v>
      </c>
      <c r="H568" s="197" t="s">
        <v>415</v>
      </c>
      <c r="I568" s="209" t="s">
        <v>415</v>
      </c>
    </row>
    <row r="569" spans="1:9">
      <c r="A569" s="195"/>
      <c r="B569" s="196" t="s">
        <v>222</v>
      </c>
      <c r="C569"/>
      <c r="D569" s="197" t="s">
        <v>759</v>
      </c>
      <c r="E569" s="197" t="s">
        <v>273</v>
      </c>
      <c r="F569" s="197" t="s">
        <v>416</v>
      </c>
      <c r="G569" s="197" t="s">
        <v>56</v>
      </c>
      <c r="H569" s="197" t="s">
        <v>415</v>
      </c>
      <c r="I569" s="209" t="s">
        <v>415</v>
      </c>
    </row>
    <row r="570" spans="1:9">
      <c r="A570" s="195"/>
      <c r="B570" s="195" t="s">
        <v>205</v>
      </c>
      <c r="C570"/>
      <c r="D570" s="197" t="s">
        <v>759</v>
      </c>
      <c r="E570" s="197" t="s">
        <v>273</v>
      </c>
      <c r="F570" s="197" t="s">
        <v>889</v>
      </c>
      <c r="G570" s="197" t="s">
        <v>424</v>
      </c>
      <c r="H570" s="197" t="s">
        <v>415</v>
      </c>
      <c r="I570" s="209" t="s">
        <v>415</v>
      </c>
    </row>
    <row r="571" spans="1:9">
      <c r="A571" s="195"/>
      <c r="B571" s="195" t="s">
        <v>206</v>
      </c>
      <c r="C571"/>
      <c r="D571" s="197" t="s">
        <v>759</v>
      </c>
      <c r="E571" s="197" t="s">
        <v>273</v>
      </c>
      <c r="F571" s="197" t="s">
        <v>416</v>
      </c>
      <c r="G571" s="197" t="s">
        <v>270</v>
      </c>
      <c r="H571" s="197" t="s">
        <v>415</v>
      </c>
      <c r="I571" s="209" t="s">
        <v>415</v>
      </c>
    </row>
    <row r="572" spans="1:9">
      <c r="A572" s="195"/>
      <c r="B572" s="195" t="s">
        <v>207</v>
      </c>
      <c r="C572"/>
      <c r="D572" s="197" t="s">
        <v>216</v>
      </c>
      <c r="E572" s="197" t="s">
        <v>252</v>
      </c>
      <c r="F572" s="197" t="s">
        <v>416</v>
      </c>
      <c r="G572" s="197" t="s">
        <v>270</v>
      </c>
      <c r="H572" s="197" t="s">
        <v>415</v>
      </c>
      <c r="I572" s="209" t="s">
        <v>415</v>
      </c>
    </row>
    <row r="573" spans="1:9">
      <c r="A573" s="195"/>
      <c r="B573" s="196" t="s">
        <v>223</v>
      </c>
      <c r="C573"/>
      <c r="D573" s="197" t="s">
        <v>216</v>
      </c>
      <c r="E573" s="197" t="s">
        <v>252</v>
      </c>
      <c r="F573" s="197" t="s">
        <v>416</v>
      </c>
      <c r="G573" s="197" t="s">
        <v>270</v>
      </c>
      <c r="H573" s="197" t="s">
        <v>415</v>
      </c>
      <c r="I573" s="209" t="s">
        <v>415</v>
      </c>
    </row>
    <row r="574" spans="1:9">
      <c r="A574" s="195"/>
      <c r="B574" s="195" t="s">
        <v>205</v>
      </c>
      <c r="C574"/>
      <c r="D574" s="197" t="s">
        <v>216</v>
      </c>
      <c r="E574" s="197" t="s">
        <v>252</v>
      </c>
      <c r="F574" s="197" t="s">
        <v>416</v>
      </c>
      <c r="G574" s="197" t="s">
        <v>270</v>
      </c>
      <c r="H574" s="197" t="s">
        <v>415</v>
      </c>
      <c r="I574" s="209" t="s">
        <v>415</v>
      </c>
    </row>
    <row r="575" spans="1:9">
      <c r="A575" s="195"/>
      <c r="B575" s="195" t="s">
        <v>206</v>
      </c>
      <c r="C575"/>
      <c r="D575" s="197" t="s">
        <v>160</v>
      </c>
      <c r="E575" s="197" t="s">
        <v>252</v>
      </c>
      <c r="F575" s="197"/>
      <c r="G575" s="197" t="s">
        <v>270</v>
      </c>
      <c r="H575" s="197" t="s">
        <v>415</v>
      </c>
      <c r="I575" s="209" t="s">
        <v>415</v>
      </c>
    </row>
    <row r="576" spans="1:9">
      <c r="A576" s="195"/>
      <c r="B576" s="195" t="s">
        <v>207</v>
      </c>
      <c r="C576"/>
      <c r="D576" s="197" t="s">
        <v>215</v>
      </c>
      <c r="E576" s="197" t="s">
        <v>252</v>
      </c>
      <c r="F576" s="197"/>
      <c r="G576" s="197" t="s">
        <v>270</v>
      </c>
      <c r="H576" s="197" t="s">
        <v>415</v>
      </c>
      <c r="I576" s="209" t="s">
        <v>415</v>
      </c>
    </row>
    <row r="577" spans="1:12">
      <c r="A577" s="195"/>
      <c r="B577" s="196" t="s">
        <v>225</v>
      </c>
      <c r="C577"/>
      <c r="D577" s="197" t="s">
        <v>280</v>
      </c>
      <c r="E577" s="197" t="s">
        <v>252</v>
      </c>
      <c r="F577" s="197"/>
      <c r="G577" s="197" t="s">
        <v>270</v>
      </c>
      <c r="H577" s="197" t="s">
        <v>415</v>
      </c>
      <c r="I577" s="209" t="s">
        <v>415</v>
      </c>
    </row>
    <row r="578" spans="1:12">
      <c r="A578" s="195"/>
      <c r="B578" s="195" t="s">
        <v>205</v>
      </c>
      <c r="C578"/>
      <c r="D578" s="197" t="s">
        <v>127</v>
      </c>
      <c r="E578" s="197" t="s">
        <v>252</v>
      </c>
      <c r="F578" s="197"/>
      <c r="G578" s="197" t="s">
        <v>270</v>
      </c>
      <c r="H578" s="209" t="s">
        <v>415</v>
      </c>
      <c r="I578" s="209" t="s">
        <v>415</v>
      </c>
    </row>
    <row r="579" spans="1:12">
      <c r="A579" s="195"/>
      <c r="B579" s="195" t="s">
        <v>206</v>
      </c>
      <c r="C579"/>
      <c r="D579" s="197"/>
      <c r="E579" s="197"/>
      <c r="F579" s="197"/>
      <c r="G579" s="197" t="s">
        <v>270</v>
      </c>
      <c r="H579" s="209" t="s">
        <v>415</v>
      </c>
      <c r="I579" s="209" t="s">
        <v>415</v>
      </c>
    </row>
    <row r="580" spans="1:12">
      <c r="A580" s="195"/>
      <c r="B580" s="195" t="s">
        <v>207</v>
      </c>
      <c r="C580"/>
      <c r="D580" s="197"/>
      <c r="E580" s="197"/>
      <c r="F580" s="197"/>
      <c r="G580" s="197" t="s">
        <v>270</v>
      </c>
      <c r="H580" s="209" t="s">
        <v>415</v>
      </c>
      <c r="I580" s="209" t="s">
        <v>415</v>
      </c>
    </row>
    <row r="581" spans="1:12">
      <c r="A581" s="195"/>
      <c r="B581" s="196" t="s">
        <v>226</v>
      </c>
      <c r="C581"/>
      <c r="D581" s="197"/>
      <c r="E581" s="197"/>
      <c r="F581" s="197"/>
      <c r="G581" s="197" t="s">
        <v>270</v>
      </c>
      <c r="H581" s="209" t="s">
        <v>415</v>
      </c>
      <c r="I581" s="209" t="s">
        <v>415</v>
      </c>
    </row>
    <row r="582" spans="1:12">
      <c r="A582" s="195"/>
      <c r="B582" s="195" t="s">
        <v>205</v>
      </c>
      <c r="C582"/>
      <c r="D582" s="197"/>
      <c r="E582" s="197"/>
      <c r="F582" s="197"/>
      <c r="G582" s="197" t="s">
        <v>270</v>
      </c>
      <c r="H582" s="209"/>
      <c r="I582" s="209"/>
    </row>
    <row r="583" spans="1:12">
      <c r="A583" s="195"/>
      <c r="B583" s="195" t="s">
        <v>206</v>
      </c>
      <c r="C583"/>
      <c r="D583" s="197"/>
      <c r="E583" s="197"/>
      <c r="F583" s="197"/>
      <c r="G583" s="197" t="s">
        <v>270</v>
      </c>
      <c r="H583" s="209"/>
      <c r="I583" s="209"/>
    </row>
    <row r="584" spans="1:12">
      <c r="A584" s="195"/>
      <c r="B584" s="195" t="s">
        <v>207</v>
      </c>
      <c r="C584"/>
      <c r="D584" s="197"/>
      <c r="E584" s="197"/>
      <c r="F584" s="197"/>
      <c r="G584" s="197" t="s">
        <v>270</v>
      </c>
      <c r="H584" s="209"/>
      <c r="I584" s="209"/>
    </row>
    <row r="585" spans="1:12">
      <c r="A585" s="195"/>
      <c r="B585" s="196" t="s">
        <v>227</v>
      </c>
      <c r="C585"/>
      <c r="D585" s="197"/>
      <c r="E585" s="197"/>
      <c r="F585" s="197"/>
      <c r="G585" s="197"/>
      <c r="H585" s="209"/>
      <c r="I585" s="209"/>
      <c r="K585"/>
    </row>
    <row r="586" spans="1:12" ht="29.25" thickBot="1">
      <c r="A586" s="182" t="str">
        <f>"回収シフト  第"&amp;ROUNDUP(DAY(B589)/7,0)  &amp;"  "&amp;TEXT(B589,"aaaa")</f>
        <v>回収シフト  第2  火曜日</v>
      </c>
      <c r="B586" s="183"/>
      <c r="C586" s="183"/>
      <c r="D586" s="183"/>
      <c r="E586" s="183"/>
      <c r="F586" s="183"/>
      <c r="G586" s="184"/>
      <c r="H586" s="184"/>
      <c r="I586" s="184"/>
      <c r="K586" s="183"/>
      <c r="L586" s="183"/>
    </row>
    <row r="587" spans="1:12" ht="15.75" thickBot="1">
      <c r="A587"/>
      <c r="B587"/>
      <c r="C587"/>
      <c r="D587" s="186" t="s">
        <v>201</v>
      </c>
      <c r="E587" s="186" t="s">
        <v>202</v>
      </c>
      <c r="F587" s="186" t="s">
        <v>203</v>
      </c>
      <c r="G587" s="186" t="s">
        <v>204</v>
      </c>
      <c r="H587" s="186" t="s">
        <v>267</v>
      </c>
      <c r="I587" s="217" t="s">
        <v>267</v>
      </c>
      <c r="K587" s="230" t="s">
        <v>257</v>
      </c>
      <c r="L587" s="231"/>
    </row>
    <row r="588" spans="1:12">
      <c r="A588" s="187"/>
      <c r="B588" s="188">
        <v>46119</v>
      </c>
      <c r="C588" s="187"/>
      <c r="D588" s="189" t="s">
        <v>876</v>
      </c>
      <c r="E588" s="189" t="s">
        <v>248</v>
      </c>
      <c r="F588" s="189" t="s">
        <v>360</v>
      </c>
      <c r="G588" s="189" t="s">
        <v>728</v>
      </c>
      <c r="H588" s="189" t="s">
        <v>852</v>
      </c>
      <c r="I588" s="218" t="s">
        <v>852</v>
      </c>
      <c r="K588" s="232" t="s">
        <v>258</v>
      </c>
      <c r="L588" s="190" t="str">
        <f ca="1">_xlfn.XLOOKUP($B589,シフト抽出!$19:$19,シフト抽出!$20:$20,"該当なし",0,1)</f>
        <v/>
      </c>
    </row>
    <row r="589" spans="1:12" ht="19.5" thickBot="1">
      <c r="A589"/>
      <c r="B589" s="191">
        <f>B536+1</f>
        <v>46126</v>
      </c>
      <c r="C589" s="192"/>
      <c r="D589" s="193"/>
      <c r="E589" s="193"/>
      <c r="F589" s="193"/>
      <c r="G589" s="193"/>
      <c r="H589" s="193"/>
      <c r="I589" s="219"/>
      <c r="K589" s="233"/>
      <c r="L589" s="194" t="str">
        <f ca="1">_xlfn.XLOOKUP($B589,シフト抽出!$19:$19,シフト抽出!$21:$21,"該当なし",0,1)</f>
        <v/>
      </c>
    </row>
    <row r="590" spans="1:12">
      <c r="A590" s="195"/>
      <c r="B590" s="196">
        <v>0.25</v>
      </c>
      <c r="C590"/>
      <c r="D590" s="197"/>
      <c r="E590" s="196"/>
      <c r="F590" s="197"/>
      <c r="G590" s="197"/>
      <c r="H590" s="197"/>
      <c r="I590" s="209"/>
      <c r="K590" s="234" t="s">
        <v>259</v>
      </c>
      <c r="L590" s="198" t="str">
        <f ca="1">_xlfn.XLOOKUP($B589,シフト抽出!$19:$19,シフト抽出!$23:$23,"該当なし",0,1)</f>
        <v/>
      </c>
    </row>
    <row r="591" spans="1:12" ht="15.75" thickBot="1">
      <c r="A591" s="195"/>
      <c r="B591" s="195" t="s">
        <v>205</v>
      </c>
      <c r="C591"/>
      <c r="D591" s="197"/>
      <c r="E591" s="197"/>
      <c r="F591" s="197"/>
      <c r="G591" s="197"/>
      <c r="H591" s="197"/>
      <c r="I591" s="209"/>
      <c r="K591" s="235"/>
      <c r="L591" s="199" t="str">
        <f ca="1">_xlfn.XLOOKUP($B589,シフト抽出!$19:$19,シフト抽出!$24:$24,"該当なし",0,1)</f>
        <v/>
      </c>
    </row>
    <row r="592" spans="1:12">
      <c r="A592" s="195"/>
      <c r="B592" s="195" t="s">
        <v>206</v>
      </c>
      <c r="C592"/>
      <c r="D592" s="197"/>
      <c r="E592" s="197"/>
      <c r="F592" s="197"/>
      <c r="G592" s="197"/>
      <c r="H592" s="197"/>
      <c r="I592" s="209"/>
      <c r="K592" s="224" t="s">
        <v>260</v>
      </c>
      <c r="L592" s="200" t="str">
        <f ca="1">_xlfn.XLOOKUP($B589,シフト抽出!$19:$19,シフト抽出!$26:$26,"該当なし",0,1)</f>
        <v/>
      </c>
    </row>
    <row r="593" spans="1:12">
      <c r="A593" s="195"/>
      <c r="B593" s="195" t="s">
        <v>207</v>
      </c>
      <c r="C593"/>
      <c r="D593" s="197"/>
      <c r="E593" s="197"/>
      <c r="F593" s="197"/>
      <c r="G593" s="197"/>
      <c r="H593" s="197"/>
      <c r="I593" s="209"/>
      <c r="K593" s="225"/>
      <c r="L593" s="201" t="str">
        <f ca="1">_xlfn.XLOOKUP($B589,シフト抽出!$19:$19,シフト抽出!$27:$27,"該当なし",0,1)</f>
        <v/>
      </c>
    </row>
    <row r="594" spans="1:12">
      <c r="A594" s="195"/>
      <c r="B594" s="202" t="s">
        <v>208</v>
      </c>
      <c r="C594"/>
      <c r="D594" s="197" t="s">
        <v>4</v>
      </c>
      <c r="E594" s="197" t="s">
        <v>4</v>
      </c>
      <c r="F594" s="197"/>
      <c r="G594" s="197" t="s">
        <v>4</v>
      </c>
      <c r="H594" s="197"/>
      <c r="I594" s="209"/>
      <c r="J594" s="203"/>
      <c r="K594" s="225"/>
      <c r="L594" s="201" t="str">
        <f ca="1">_xlfn.XLOOKUP($B589,シフト抽出!$19:$19,シフト抽出!$28:$28,"該当なし",0,1)</f>
        <v/>
      </c>
    </row>
    <row r="595" spans="1:12" ht="15.75" thickBot="1">
      <c r="A595" s="195"/>
      <c r="B595" s="195" t="s">
        <v>205</v>
      </c>
      <c r="C595"/>
      <c r="D595" s="197" t="s">
        <v>414</v>
      </c>
      <c r="E595" s="197" t="s">
        <v>420</v>
      </c>
      <c r="F595" s="197"/>
      <c r="G595" s="197" t="s">
        <v>22</v>
      </c>
      <c r="H595" s="197"/>
      <c r="I595" s="209"/>
      <c r="J595" s="203"/>
      <c r="K595" s="226"/>
      <c r="L595" s="204" t="str">
        <f ca="1">_xlfn.XLOOKUP($B589,シフト抽出!$19:$19,シフト抽出!$29:$29,"該当なし",0,1)</f>
        <v/>
      </c>
    </row>
    <row r="596" spans="1:12" ht="15.75" thickBot="1">
      <c r="A596" s="195"/>
      <c r="B596" s="195" t="s">
        <v>206</v>
      </c>
      <c r="C596"/>
      <c r="D596" s="197" t="s">
        <v>414</v>
      </c>
      <c r="E596" s="197" t="s">
        <v>420</v>
      </c>
      <c r="F596" s="197"/>
      <c r="G596" s="197" t="s">
        <v>22</v>
      </c>
      <c r="H596" s="197"/>
      <c r="I596" s="209"/>
      <c r="K596" s="205" t="s">
        <v>261</v>
      </c>
      <c r="L596" s="205">
        <f>_xlfn.XLOOKUP($B589,予定表!B:B,予定表!R:R,"該当なし",0,1)</f>
        <v>0</v>
      </c>
    </row>
    <row r="597" spans="1:12">
      <c r="A597" s="195"/>
      <c r="B597" s="195" t="s">
        <v>207</v>
      </c>
      <c r="C597"/>
      <c r="D597" s="197" t="s">
        <v>414</v>
      </c>
      <c r="E597" s="197" t="s">
        <v>420</v>
      </c>
      <c r="F597" s="197"/>
      <c r="G597" s="197" t="s">
        <v>22</v>
      </c>
      <c r="H597" s="197"/>
      <c r="I597" s="209"/>
      <c r="K597" s="227" t="s">
        <v>262</v>
      </c>
      <c r="L597" s="206">
        <f>_xlfn.XLOOKUP($B589,予定表!$B:$B,予定表!E:E,"該当なし",0,1)</f>
        <v>0</v>
      </c>
    </row>
    <row r="598" spans="1:12">
      <c r="A598" s="195"/>
      <c r="B598" s="196" t="s">
        <v>209</v>
      </c>
      <c r="C598"/>
      <c r="D598" s="197" t="s">
        <v>414</v>
      </c>
      <c r="E598" s="197" t="s">
        <v>420</v>
      </c>
      <c r="F598" s="197" t="s">
        <v>851</v>
      </c>
      <c r="G598" s="197" t="s">
        <v>268</v>
      </c>
      <c r="H598" s="197" t="s">
        <v>4</v>
      </c>
      <c r="I598" s="209" t="s">
        <v>4</v>
      </c>
      <c r="K598" s="228"/>
      <c r="L598" s="207">
        <f>_xlfn.XLOOKUP($B589,予定表!$B:$B,予定表!F:F,"該当なし",0,1)</f>
        <v>0</v>
      </c>
    </row>
    <row r="599" spans="1:12">
      <c r="A599" s="195"/>
      <c r="B599" s="195" t="s">
        <v>205</v>
      </c>
      <c r="C599"/>
      <c r="D599" s="197" t="s">
        <v>414</v>
      </c>
      <c r="E599" s="197" t="s">
        <v>420</v>
      </c>
      <c r="F599" s="197" t="s">
        <v>851</v>
      </c>
      <c r="G599" s="197" t="s">
        <v>268</v>
      </c>
      <c r="H599" s="197" t="s">
        <v>60</v>
      </c>
      <c r="I599" s="209" t="s">
        <v>60</v>
      </c>
      <c r="K599" s="228"/>
      <c r="L599" s="207" t="str">
        <f>_xlfn.XLOOKUP($B589,予定表!$B:$B,予定表!G:G,"該当なし",0,1)</f>
        <v>富士ロジ三田</v>
      </c>
    </row>
    <row r="600" spans="1:12">
      <c r="A600" s="195"/>
      <c r="B600" s="195" t="s">
        <v>206</v>
      </c>
      <c r="C600"/>
      <c r="D600" s="197" t="s">
        <v>214</v>
      </c>
      <c r="E600" s="197" t="s">
        <v>273</v>
      </c>
      <c r="F600" s="197" t="s">
        <v>851</v>
      </c>
      <c r="G600" s="197" t="s">
        <v>268</v>
      </c>
      <c r="H600" s="197" t="s">
        <v>60</v>
      </c>
      <c r="I600" s="209" t="s">
        <v>60</v>
      </c>
      <c r="K600" s="228"/>
      <c r="L600" s="207">
        <f>_xlfn.XLOOKUP($B589,予定表!$B:$B,予定表!H:H,"該当なし",0,1)</f>
        <v>0</v>
      </c>
    </row>
    <row r="601" spans="1:12">
      <c r="A601" s="195"/>
      <c r="B601" s="195" t="s">
        <v>207</v>
      </c>
      <c r="C601"/>
      <c r="D601" s="197" t="s">
        <v>214</v>
      </c>
      <c r="E601" s="197" t="s">
        <v>273</v>
      </c>
      <c r="F601" s="197" t="s">
        <v>851</v>
      </c>
      <c r="G601" s="197" t="s">
        <v>268</v>
      </c>
      <c r="H601" s="197" t="s">
        <v>60</v>
      </c>
      <c r="I601" s="209" t="s">
        <v>60</v>
      </c>
      <c r="K601" s="228"/>
      <c r="L601" s="207" t="str">
        <f>_xlfn.XLOOKUP($B589,予定表!$B:$B,予定表!I:I,"該当なし",0,1)</f>
        <v/>
      </c>
    </row>
    <row r="602" spans="1:12">
      <c r="A602" s="195"/>
      <c r="B602" s="196" t="s">
        <v>212</v>
      </c>
      <c r="C602"/>
      <c r="D602" s="197" t="s">
        <v>214</v>
      </c>
      <c r="E602" s="197" t="s">
        <v>273</v>
      </c>
      <c r="F602" s="197" t="s">
        <v>851</v>
      </c>
      <c r="G602" s="197" t="s">
        <v>169</v>
      </c>
      <c r="H602" s="197"/>
      <c r="I602" s="209"/>
      <c r="K602" s="228"/>
      <c r="L602" s="207" t="str">
        <f>_xlfn.XLOOKUP($B589,予定表!$B:$B,予定表!J:J,"該当なし",0,1)</f>
        <v/>
      </c>
    </row>
    <row r="603" spans="1:12">
      <c r="A603" s="195"/>
      <c r="B603" s="195" t="s">
        <v>205</v>
      </c>
      <c r="C603"/>
      <c r="D603" s="197" t="s">
        <v>214</v>
      </c>
      <c r="E603" s="197" t="s">
        <v>228</v>
      </c>
      <c r="F603" s="197" t="s">
        <v>851</v>
      </c>
      <c r="G603" s="197" t="s">
        <v>169</v>
      </c>
      <c r="H603" s="197" t="s">
        <v>848</v>
      </c>
      <c r="I603" s="209" t="s">
        <v>848</v>
      </c>
      <c r="K603" s="228"/>
      <c r="L603" s="207" t="str">
        <f>_xlfn.XLOOKUP($B589,予定表!$B:$B,予定表!K:K,"該当なし",0,1)</f>
        <v/>
      </c>
    </row>
    <row r="604" spans="1:12">
      <c r="A604" s="195"/>
      <c r="B604" s="195" t="s">
        <v>206</v>
      </c>
      <c r="C604"/>
      <c r="D604" s="197" t="s">
        <v>353</v>
      </c>
      <c r="E604" s="197" t="s">
        <v>228</v>
      </c>
      <c r="F604" s="197" t="s">
        <v>836</v>
      </c>
      <c r="G604" s="197" t="s">
        <v>169</v>
      </c>
      <c r="H604" s="197" t="s">
        <v>848</v>
      </c>
      <c r="I604" s="209" t="s">
        <v>848</v>
      </c>
      <c r="K604" s="228"/>
      <c r="L604" s="207" t="str">
        <f>_xlfn.XLOOKUP($B589,予定表!$B:$B,予定表!L:L,"該当なし",0,1)</f>
        <v/>
      </c>
    </row>
    <row r="605" spans="1:12" ht="15.75" thickBot="1">
      <c r="A605" s="195"/>
      <c r="B605" s="195" t="s">
        <v>207</v>
      </c>
      <c r="C605"/>
      <c r="D605" s="197" t="s">
        <v>353</v>
      </c>
      <c r="E605" s="197" t="s">
        <v>228</v>
      </c>
      <c r="F605" s="197" t="s">
        <v>51</v>
      </c>
      <c r="G605" s="197" t="s">
        <v>169</v>
      </c>
      <c r="H605" s="197" t="s">
        <v>848</v>
      </c>
      <c r="I605" s="209" t="s">
        <v>848</v>
      </c>
      <c r="K605" s="229"/>
      <c r="L605" s="204" t="str">
        <f>_xlfn.XLOOKUP($A586,ﾘｽﾄマスタ!$U$8:$U$17,ﾘｽﾄマスタ!$V$8:$V$17,"",0)</f>
        <v>東冷厚木,ﾏﾙﾅｶ</v>
      </c>
    </row>
    <row r="606" spans="1:12" ht="15.75" thickBot="1">
      <c r="A606" s="195"/>
      <c r="B606" s="196" t="s">
        <v>251</v>
      </c>
      <c r="C606"/>
      <c r="D606" s="197" t="s">
        <v>353</v>
      </c>
      <c r="E606" s="197" t="s">
        <v>228</v>
      </c>
      <c r="F606" s="197" t="s">
        <v>51</v>
      </c>
      <c r="G606" s="197" t="s">
        <v>279</v>
      </c>
      <c r="H606" s="197" t="s">
        <v>848</v>
      </c>
      <c r="I606" s="209" t="s">
        <v>848</v>
      </c>
      <c r="K606" s="208" t="s">
        <v>277</v>
      </c>
      <c r="L606" s="208" t="str">
        <f ca="1">_xlfn.XLOOKUP($B589,シフト抽出!$19:$19,シフト抽出!$30:$30,"該当なし",0,1)</f>
        <v/>
      </c>
    </row>
    <row r="607" spans="1:12">
      <c r="A607" s="195"/>
      <c r="B607" s="195" t="s">
        <v>205</v>
      </c>
      <c r="C607"/>
      <c r="D607" s="197" t="s">
        <v>761</v>
      </c>
      <c r="E607" s="197" t="s">
        <v>228</v>
      </c>
      <c r="F607" s="197" t="s">
        <v>51</v>
      </c>
      <c r="G607" s="197" t="s">
        <v>279</v>
      </c>
      <c r="H607" s="197" t="s">
        <v>848</v>
      </c>
      <c r="I607" s="209" t="s">
        <v>848</v>
      </c>
    </row>
    <row r="608" spans="1:12">
      <c r="A608" s="195"/>
      <c r="B608" s="195" t="s">
        <v>206</v>
      </c>
      <c r="C608"/>
      <c r="D608" s="197" t="s">
        <v>761</v>
      </c>
      <c r="E608" s="197" t="s">
        <v>263</v>
      </c>
      <c r="F608" s="197" t="s">
        <v>51</v>
      </c>
      <c r="G608" s="197" t="s">
        <v>279</v>
      </c>
      <c r="H608" s="197" t="s">
        <v>229</v>
      </c>
      <c r="I608" s="209" t="s">
        <v>229</v>
      </c>
    </row>
    <row r="609" spans="1:9">
      <c r="A609" s="195"/>
      <c r="B609" s="195" t="s">
        <v>207</v>
      </c>
      <c r="C609"/>
      <c r="D609" s="197" t="s">
        <v>761</v>
      </c>
      <c r="E609" s="197" t="s">
        <v>263</v>
      </c>
      <c r="F609" s="197" t="s">
        <v>51</v>
      </c>
      <c r="G609" s="197" t="s">
        <v>279</v>
      </c>
      <c r="H609" s="197" t="s">
        <v>229</v>
      </c>
      <c r="I609" s="209" t="s">
        <v>229</v>
      </c>
    </row>
    <row r="610" spans="1:9">
      <c r="A610" s="195"/>
      <c r="B610" s="196" t="s">
        <v>217</v>
      </c>
      <c r="C610"/>
      <c r="D610" s="197" t="s">
        <v>761</v>
      </c>
      <c r="E610" s="197" t="s">
        <v>263</v>
      </c>
      <c r="F610" s="197" t="s">
        <v>51</v>
      </c>
      <c r="G610" s="197" t="s">
        <v>279</v>
      </c>
      <c r="H610" s="197" t="s">
        <v>230</v>
      </c>
      <c r="I610" s="209" t="s">
        <v>230</v>
      </c>
    </row>
    <row r="611" spans="1:9">
      <c r="A611" s="195"/>
      <c r="B611" s="195" t="s">
        <v>205</v>
      </c>
      <c r="C611"/>
      <c r="D611" s="197" t="s">
        <v>426</v>
      </c>
      <c r="E611" s="197" t="s">
        <v>263</v>
      </c>
      <c r="F611" s="197" t="s">
        <v>51</v>
      </c>
      <c r="G611" s="197" t="s">
        <v>279</v>
      </c>
      <c r="H611" s="197" t="s">
        <v>230</v>
      </c>
      <c r="I611" s="209" t="s">
        <v>230</v>
      </c>
    </row>
    <row r="612" spans="1:9">
      <c r="A612" s="195"/>
      <c r="B612" s="195" t="s">
        <v>206</v>
      </c>
      <c r="C612"/>
      <c r="D612" s="197" t="s">
        <v>426</v>
      </c>
      <c r="E612" s="197"/>
      <c r="F612" s="197" t="s">
        <v>62</v>
      </c>
      <c r="G612" s="197" t="s">
        <v>114</v>
      </c>
      <c r="H612" s="197" t="s">
        <v>230</v>
      </c>
      <c r="I612" s="209" t="s">
        <v>230</v>
      </c>
    </row>
    <row r="613" spans="1:9">
      <c r="A613" s="195"/>
      <c r="B613" s="195" t="s">
        <v>207</v>
      </c>
      <c r="C613"/>
      <c r="D613" s="197" t="s">
        <v>88</v>
      </c>
      <c r="E613" s="197"/>
      <c r="F613" s="197" t="s">
        <v>62</v>
      </c>
      <c r="G613" s="197" t="s">
        <v>114</v>
      </c>
      <c r="H613" s="197" t="s">
        <v>230</v>
      </c>
      <c r="I613" s="209" t="s">
        <v>230</v>
      </c>
    </row>
    <row r="614" spans="1:9">
      <c r="A614" s="195"/>
      <c r="B614" s="196" t="s">
        <v>219</v>
      </c>
      <c r="C614"/>
      <c r="D614" s="197" t="s">
        <v>160</v>
      </c>
      <c r="E614" s="197"/>
      <c r="F614" s="197" t="s">
        <v>62</v>
      </c>
      <c r="G614" s="197" t="s">
        <v>114</v>
      </c>
      <c r="H614" s="197" t="s">
        <v>230</v>
      </c>
      <c r="I614" s="209" t="s">
        <v>230</v>
      </c>
    </row>
    <row r="615" spans="1:9">
      <c r="A615" s="195"/>
      <c r="B615" s="195" t="s">
        <v>205</v>
      </c>
      <c r="C615"/>
      <c r="D615" s="197"/>
      <c r="E615" s="197"/>
      <c r="F615" s="197" t="s">
        <v>62</v>
      </c>
      <c r="G615" s="197" t="s">
        <v>114</v>
      </c>
      <c r="H615" s="197" t="s">
        <v>230</v>
      </c>
      <c r="I615" s="209" t="s">
        <v>230</v>
      </c>
    </row>
    <row r="616" spans="1:9">
      <c r="A616" s="195"/>
      <c r="B616" s="195" t="s">
        <v>206</v>
      </c>
      <c r="C616"/>
      <c r="D616" s="197"/>
      <c r="E616" s="197"/>
      <c r="F616" s="197"/>
      <c r="G616" s="197"/>
      <c r="H616" s="197"/>
      <c r="I616" s="209"/>
    </row>
    <row r="617" spans="1:9">
      <c r="A617" s="195"/>
      <c r="B617" s="195" t="s">
        <v>207</v>
      </c>
      <c r="C617"/>
      <c r="D617" s="197"/>
      <c r="E617" s="197"/>
      <c r="F617" s="197"/>
      <c r="G617" s="197"/>
      <c r="H617" s="197"/>
      <c r="I617" s="209"/>
    </row>
    <row r="618" spans="1:9">
      <c r="A618" s="195"/>
      <c r="B618" s="196" t="s">
        <v>220</v>
      </c>
      <c r="C618"/>
      <c r="D618" s="197"/>
      <c r="E618" s="197"/>
      <c r="F618" s="197"/>
      <c r="G618" s="197"/>
      <c r="H618" s="197"/>
      <c r="I618" s="209"/>
    </row>
    <row r="619" spans="1:9">
      <c r="A619" s="195"/>
      <c r="B619" s="195" t="s">
        <v>205</v>
      </c>
      <c r="C619"/>
      <c r="D619" s="197" t="s">
        <v>129</v>
      </c>
      <c r="E619" s="197" t="s">
        <v>393</v>
      </c>
      <c r="F619" s="197" t="s">
        <v>193</v>
      </c>
      <c r="G619" s="197" t="s">
        <v>56</v>
      </c>
      <c r="H619" s="197" t="s">
        <v>390</v>
      </c>
      <c r="I619" s="209" t="s">
        <v>390</v>
      </c>
    </row>
    <row r="620" spans="1:9">
      <c r="A620" s="195"/>
      <c r="B620" s="195" t="s">
        <v>206</v>
      </c>
      <c r="C620"/>
      <c r="D620" s="197" t="s">
        <v>129</v>
      </c>
      <c r="E620" s="197" t="s">
        <v>393</v>
      </c>
      <c r="F620" s="197" t="s">
        <v>122</v>
      </c>
      <c r="G620" s="197" t="s">
        <v>56</v>
      </c>
      <c r="H620" s="197" t="s">
        <v>390</v>
      </c>
      <c r="I620" s="209" t="s">
        <v>390</v>
      </c>
    </row>
    <row r="621" spans="1:9">
      <c r="A621" s="195"/>
      <c r="B621" s="195" t="s">
        <v>207</v>
      </c>
      <c r="C621"/>
      <c r="D621" s="197" t="s">
        <v>129</v>
      </c>
      <c r="E621" s="197" t="s">
        <v>393</v>
      </c>
      <c r="F621" s="197" t="s">
        <v>62</v>
      </c>
      <c r="G621" s="197" t="s">
        <v>56</v>
      </c>
      <c r="H621" s="197"/>
      <c r="I621" s="209"/>
    </row>
    <row r="622" spans="1:9">
      <c r="A622" s="195"/>
      <c r="B622" s="196" t="s">
        <v>222</v>
      </c>
      <c r="C622"/>
      <c r="D622" s="197" t="s">
        <v>129</v>
      </c>
      <c r="E622" s="197" t="s">
        <v>393</v>
      </c>
      <c r="F622" s="197" t="s">
        <v>62</v>
      </c>
      <c r="G622" s="197" t="s">
        <v>56</v>
      </c>
      <c r="H622" s="197" t="s">
        <v>231</v>
      </c>
      <c r="I622" s="209" t="s">
        <v>231</v>
      </c>
    </row>
    <row r="623" spans="1:9">
      <c r="A623" s="195"/>
      <c r="B623" s="195" t="s">
        <v>205</v>
      </c>
      <c r="C623"/>
      <c r="D623" s="197" t="s">
        <v>129</v>
      </c>
      <c r="E623" s="197" t="s">
        <v>393</v>
      </c>
      <c r="F623" s="197" t="s">
        <v>62</v>
      </c>
      <c r="G623" s="197"/>
      <c r="H623" s="197" t="s">
        <v>232</v>
      </c>
      <c r="I623" s="209" t="s">
        <v>232</v>
      </c>
    </row>
    <row r="624" spans="1:9">
      <c r="A624" s="195"/>
      <c r="B624" s="195" t="s">
        <v>206</v>
      </c>
      <c r="C624"/>
      <c r="D624" s="197"/>
      <c r="E624" s="197" t="s">
        <v>252</v>
      </c>
      <c r="F624" s="197" t="s">
        <v>62</v>
      </c>
      <c r="G624" s="197" t="s">
        <v>270</v>
      </c>
      <c r="H624" s="197" t="s">
        <v>211</v>
      </c>
      <c r="I624" s="209" t="s">
        <v>211</v>
      </c>
    </row>
    <row r="625" spans="1:12">
      <c r="A625" s="195"/>
      <c r="B625" s="195" t="s">
        <v>207</v>
      </c>
      <c r="C625"/>
      <c r="D625" s="197" t="s">
        <v>515</v>
      </c>
      <c r="E625" s="197" t="s">
        <v>252</v>
      </c>
      <c r="F625" s="197" t="s">
        <v>62</v>
      </c>
      <c r="G625" s="197" t="s">
        <v>270</v>
      </c>
      <c r="H625" s="197" t="s">
        <v>211</v>
      </c>
      <c r="I625" s="209" t="s">
        <v>211</v>
      </c>
    </row>
    <row r="626" spans="1:12">
      <c r="A626" s="195"/>
      <c r="B626" s="196" t="s">
        <v>223</v>
      </c>
      <c r="C626"/>
      <c r="D626" s="197" t="s">
        <v>515</v>
      </c>
      <c r="E626" s="197" t="s">
        <v>252</v>
      </c>
      <c r="F626" s="197" t="s">
        <v>62</v>
      </c>
      <c r="G626" s="197" t="s">
        <v>270</v>
      </c>
      <c r="H626" s="197"/>
      <c r="I626" s="209"/>
    </row>
    <row r="627" spans="1:12">
      <c r="A627" s="195"/>
      <c r="B627" s="195" t="s">
        <v>205</v>
      </c>
      <c r="C627"/>
      <c r="D627" s="197" t="s">
        <v>269</v>
      </c>
      <c r="E627" s="197" t="s">
        <v>252</v>
      </c>
      <c r="F627" s="197" t="s">
        <v>62</v>
      </c>
      <c r="G627" s="197" t="s">
        <v>270</v>
      </c>
      <c r="H627" s="197" t="s">
        <v>856</v>
      </c>
      <c r="I627" s="209" t="s">
        <v>856</v>
      </c>
    </row>
    <row r="628" spans="1:12">
      <c r="A628" s="195"/>
      <c r="B628" s="195" t="s">
        <v>206</v>
      </c>
      <c r="C628"/>
      <c r="D628" s="197" t="s">
        <v>269</v>
      </c>
      <c r="E628" s="197" t="s">
        <v>252</v>
      </c>
      <c r="F628" s="197" t="s">
        <v>62</v>
      </c>
      <c r="G628" s="197" t="s">
        <v>270</v>
      </c>
      <c r="H628" s="197" t="s">
        <v>856</v>
      </c>
      <c r="I628" s="209" t="s">
        <v>856</v>
      </c>
    </row>
    <row r="629" spans="1:12">
      <c r="A629" s="195"/>
      <c r="B629" s="195" t="s">
        <v>207</v>
      </c>
      <c r="C629"/>
      <c r="D629" s="197" t="s">
        <v>269</v>
      </c>
      <c r="E629" s="197" t="s">
        <v>252</v>
      </c>
      <c r="F629" s="197" t="s">
        <v>62</v>
      </c>
      <c r="G629" s="197" t="s">
        <v>270</v>
      </c>
      <c r="H629" s="197" t="s">
        <v>856</v>
      </c>
      <c r="I629" s="209" t="s">
        <v>856</v>
      </c>
    </row>
    <row r="630" spans="1:12">
      <c r="A630" s="195"/>
      <c r="B630" s="196" t="s">
        <v>225</v>
      </c>
      <c r="C630"/>
      <c r="D630" s="197" t="s">
        <v>269</v>
      </c>
      <c r="E630" s="197" t="s">
        <v>252</v>
      </c>
      <c r="F630" s="197" t="s">
        <v>62</v>
      </c>
      <c r="G630" s="197" t="s">
        <v>270</v>
      </c>
      <c r="H630" s="197" t="s">
        <v>856</v>
      </c>
      <c r="I630" s="209" t="s">
        <v>856</v>
      </c>
    </row>
    <row r="631" spans="1:12">
      <c r="A631" s="195"/>
      <c r="B631" s="195" t="s">
        <v>205</v>
      </c>
      <c r="C631"/>
      <c r="D631" s="197" t="s">
        <v>475</v>
      </c>
      <c r="E631" s="197" t="s">
        <v>252</v>
      </c>
      <c r="F631" s="197" t="s">
        <v>62</v>
      </c>
      <c r="G631" s="197" t="s">
        <v>270</v>
      </c>
      <c r="H631" s="209" t="s">
        <v>856</v>
      </c>
      <c r="I631" s="209" t="s">
        <v>856</v>
      </c>
    </row>
    <row r="632" spans="1:12">
      <c r="A632" s="195"/>
      <c r="B632" s="195" t="s">
        <v>206</v>
      </c>
      <c r="C632"/>
      <c r="D632" s="197" t="s">
        <v>361</v>
      </c>
      <c r="E632" s="197" t="s">
        <v>252</v>
      </c>
      <c r="F632" s="197" t="s">
        <v>62</v>
      </c>
      <c r="G632" s="197" t="s">
        <v>270</v>
      </c>
      <c r="H632" s="209" t="s">
        <v>856</v>
      </c>
      <c r="I632" s="209" t="s">
        <v>856</v>
      </c>
    </row>
    <row r="633" spans="1:12">
      <c r="A633" s="195"/>
      <c r="B633" s="195" t="s">
        <v>207</v>
      </c>
      <c r="C633"/>
      <c r="D633" s="197"/>
      <c r="E633" s="197"/>
      <c r="F633" s="197"/>
      <c r="G633" s="197" t="s">
        <v>270</v>
      </c>
      <c r="H633" s="209"/>
      <c r="I633" s="209"/>
    </row>
    <row r="634" spans="1:12">
      <c r="A634" s="195"/>
      <c r="B634" s="196" t="s">
        <v>226</v>
      </c>
      <c r="C634"/>
      <c r="D634" s="197"/>
      <c r="E634" s="197"/>
      <c r="F634" s="197"/>
      <c r="G634" s="197" t="s">
        <v>270</v>
      </c>
      <c r="H634" s="209"/>
      <c r="I634" s="209"/>
    </row>
    <row r="635" spans="1:12">
      <c r="A635" s="195"/>
      <c r="B635" s="195" t="s">
        <v>205</v>
      </c>
      <c r="C635"/>
      <c r="D635" s="197"/>
      <c r="E635" s="197"/>
      <c r="F635" s="197"/>
      <c r="G635" s="197" t="s">
        <v>270</v>
      </c>
      <c r="H635" s="209"/>
      <c r="I635" s="209"/>
    </row>
    <row r="636" spans="1:12">
      <c r="A636" s="195"/>
      <c r="B636" s="195" t="s">
        <v>206</v>
      </c>
      <c r="C636"/>
      <c r="D636" s="197"/>
      <c r="E636" s="197"/>
      <c r="F636" s="197"/>
      <c r="G636" s="197" t="s">
        <v>270</v>
      </c>
      <c r="H636" s="209"/>
      <c r="I636" s="209"/>
    </row>
    <row r="637" spans="1:12">
      <c r="A637" s="195"/>
      <c r="B637" s="195" t="s">
        <v>207</v>
      </c>
      <c r="C637"/>
      <c r="D637" s="197"/>
      <c r="E637" s="197"/>
      <c r="F637" s="197"/>
      <c r="G637" s="197" t="s">
        <v>270</v>
      </c>
      <c r="H637" s="209"/>
      <c r="I637" s="209"/>
    </row>
    <row r="638" spans="1:12">
      <c r="A638" s="195"/>
      <c r="B638" s="196" t="s">
        <v>227</v>
      </c>
      <c r="C638"/>
      <c r="D638" s="197"/>
      <c r="E638" s="197"/>
      <c r="F638" s="197"/>
      <c r="G638" s="197"/>
      <c r="H638" s="209"/>
      <c r="I638" s="209"/>
      <c r="K638"/>
    </row>
    <row r="639" spans="1:12" ht="29.25" thickBot="1">
      <c r="A639" s="182" t="str">
        <f>"回収シフト  第"&amp;ROUNDUP(DAY(B642)/7,0)  &amp;"  "&amp;TEXT(B642,"aaaa")</f>
        <v>回収シフト  第3  水曜日</v>
      </c>
      <c r="B639" s="183"/>
      <c r="C639" s="183"/>
      <c r="D639" s="183"/>
      <c r="E639" s="183"/>
      <c r="F639" s="183"/>
      <c r="G639" s="184"/>
      <c r="H639" s="184"/>
      <c r="I639" s="184"/>
      <c r="K639" s="183"/>
      <c r="L639" s="183"/>
    </row>
    <row r="640" spans="1:12" ht="15.75" thickBot="1">
      <c r="A640"/>
      <c r="B640"/>
      <c r="C640"/>
      <c r="D640" s="186" t="s">
        <v>201</v>
      </c>
      <c r="E640" s="186" t="s">
        <v>202</v>
      </c>
      <c r="F640" s="186" t="s">
        <v>203</v>
      </c>
      <c r="G640" s="186" t="s">
        <v>204</v>
      </c>
      <c r="H640" s="186" t="s">
        <v>267</v>
      </c>
      <c r="I640" s="217" t="s">
        <v>267</v>
      </c>
      <c r="K640" s="230" t="s">
        <v>257</v>
      </c>
      <c r="L640" s="231"/>
    </row>
    <row r="641" spans="1:12">
      <c r="A641" s="187"/>
      <c r="B641" s="188">
        <v>46119</v>
      </c>
      <c r="C641" s="187"/>
      <c r="D641" s="189" t="s">
        <v>859</v>
      </c>
      <c r="E641" s="189" t="s">
        <v>248</v>
      </c>
      <c r="F641" s="189" t="s">
        <v>850</v>
      </c>
      <c r="G641" s="189" t="s">
        <v>728</v>
      </c>
      <c r="H641" s="189" t="s">
        <v>852</v>
      </c>
      <c r="I641" s="218" t="s">
        <v>852</v>
      </c>
      <c r="K641" s="232" t="s">
        <v>258</v>
      </c>
      <c r="L641" s="190" t="str">
        <f ca="1">_xlfn.XLOOKUP($B642,シフト抽出!$19:$19,シフト抽出!$20:$20,"該当なし",0,1)</f>
        <v/>
      </c>
    </row>
    <row r="642" spans="1:12" ht="19.5" thickBot="1">
      <c r="A642"/>
      <c r="B642" s="191">
        <f>B589+1</f>
        <v>46127</v>
      </c>
      <c r="C642" s="192" t="e">
        <v>#REF!</v>
      </c>
      <c r="D642" s="193"/>
      <c r="E642" s="193"/>
      <c r="F642" s="193"/>
      <c r="G642" s="193"/>
      <c r="H642" s="193"/>
      <c r="I642" s="219"/>
      <c r="K642" s="233"/>
      <c r="L642" s="194" t="str">
        <f ca="1">_xlfn.XLOOKUP($B642,シフト抽出!$19:$19,シフト抽出!$21:$21,"該当なし",0,1)</f>
        <v/>
      </c>
    </row>
    <row r="643" spans="1:12">
      <c r="A643" s="195"/>
      <c r="B643" s="196">
        <v>0.25</v>
      </c>
      <c r="C643"/>
      <c r="D643" s="197"/>
      <c r="E643" s="196"/>
      <c r="F643" s="197"/>
      <c r="G643" s="197"/>
      <c r="H643" s="197"/>
      <c r="I643" s="209"/>
      <c r="K643" s="234" t="s">
        <v>259</v>
      </c>
      <c r="L643" s="198" t="str">
        <f ca="1">_xlfn.XLOOKUP($B642,シフト抽出!$19:$19,シフト抽出!$23:$23,"該当なし",0,1)</f>
        <v/>
      </c>
    </row>
    <row r="644" spans="1:12" ht="15.75" thickBot="1">
      <c r="A644" s="195"/>
      <c r="B644" s="195" t="s">
        <v>205</v>
      </c>
      <c r="C644"/>
      <c r="D644" s="197"/>
      <c r="E644" s="197"/>
      <c r="F644" s="197"/>
      <c r="G644" s="197"/>
      <c r="H644" s="197"/>
      <c r="I644" s="209"/>
      <c r="K644" s="235"/>
      <c r="L644" s="199" t="str">
        <f ca="1">_xlfn.XLOOKUP($B642,シフト抽出!$19:$19,シフト抽出!$24:$24,"該当なし",0,1)</f>
        <v/>
      </c>
    </row>
    <row r="645" spans="1:12">
      <c r="A645" s="195"/>
      <c r="B645" s="195" t="s">
        <v>206</v>
      </c>
      <c r="C645"/>
      <c r="D645" s="197"/>
      <c r="E645" s="197"/>
      <c r="F645" s="197"/>
      <c r="G645" s="197"/>
      <c r="H645" s="197"/>
      <c r="I645" s="209"/>
      <c r="K645" s="224" t="s">
        <v>260</v>
      </c>
      <c r="L645" s="200" t="str">
        <f ca="1">_xlfn.XLOOKUP($B642,シフト抽出!$19:$19,シフト抽出!$26:$26,"該当なし",0,1)</f>
        <v/>
      </c>
    </row>
    <row r="646" spans="1:12">
      <c r="A646" s="195"/>
      <c r="B646" s="195" t="s">
        <v>207</v>
      </c>
      <c r="C646"/>
      <c r="D646" s="197"/>
      <c r="E646" s="197"/>
      <c r="F646" s="197"/>
      <c r="G646" s="197"/>
      <c r="H646" s="197"/>
      <c r="I646" s="209"/>
      <c r="K646" s="225"/>
      <c r="L646" s="201" t="str">
        <f ca="1">_xlfn.XLOOKUP($B642,シフト抽出!$19:$19,シフト抽出!$27:$27,"該当なし",0,1)</f>
        <v/>
      </c>
    </row>
    <row r="647" spans="1:12">
      <c r="A647" s="195"/>
      <c r="B647" s="202" t="s">
        <v>208</v>
      </c>
      <c r="C647"/>
      <c r="D647" s="197"/>
      <c r="E647" s="197" t="s">
        <v>109</v>
      </c>
      <c r="F647" s="197"/>
      <c r="G647" s="197"/>
      <c r="H647" s="197"/>
      <c r="I647" s="209"/>
      <c r="J647" s="203"/>
      <c r="K647" s="225"/>
      <c r="L647" s="201" t="str">
        <f ca="1">_xlfn.XLOOKUP($B642,シフト抽出!$19:$19,シフト抽出!$28:$28,"該当なし",0,1)</f>
        <v/>
      </c>
    </row>
    <row r="648" spans="1:12" ht="15.75" thickBot="1">
      <c r="A648" s="195"/>
      <c r="B648" s="195" t="s">
        <v>205</v>
      </c>
      <c r="C648"/>
      <c r="D648" s="197"/>
      <c r="E648" s="197"/>
      <c r="F648" s="197"/>
      <c r="G648" s="197"/>
      <c r="H648" s="197"/>
      <c r="I648" s="209"/>
      <c r="J648" s="203"/>
      <c r="K648" s="226"/>
      <c r="L648" s="204" t="str">
        <f ca="1">_xlfn.XLOOKUP($B642,シフト抽出!$19:$19,シフト抽出!$29:$29,"該当なし",0,1)</f>
        <v/>
      </c>
    </row>
    <row r="649" spans="1:12" ht="15.75" thickBot="1">
      <c r="A649" s="195"/>
      <c r="B649" s="195" t="s">
        <v>206</v>
      </c>
      <c r="C649"/>
      <c r="D649" s="197"/>
      <c r="E649" s="197"/>
      <c r="F649" s="197"/>
      <c r="G649" s="197"/>
      <c r="H649" s="197"/>
      <c r="I649" s="209"/>
      <c r="K649" s="205" t="s">
        <v>261</v>
      </c>
      <c r="L649" s="205">
        <f>_xlfn.XLOOKUP($B642,予定表!B:B,予定表!R:R,"該当なし",0,1)</f>
        <v>0</v>
      </c>
    </row>
    <row r="650" spans="1:12">
      <c r="A650" s="195"/>
      <c r="B650" s="195" t="s">
        <v>207</v>
      </c>
      <c r="C650"/>
      <c r="D650" s="197"/>
      <c r="E650" s="197"/>
      <c r="F650" s="197"/>
      <c r="G650" s="197"/>
      <c r="H650" s="197"/>
      <c r="I650" s="209"/>
      <c r="K650" s="227" t="s">
        <v>262</v>
      </c>
      <c r="L650" s="206">
        <f>_xlfn.XLOOKUP($B642,予定表!$B:$B,予定表!E:E,"該当なし",0,1)</f>
        <v>0</v>
      </c>
    </row>
    <row r="651" spans="1:12">
      <c r="A651" s="195"/>
      <c r="B651" s="196" t="s">
        <v>209</v>
      </c>
      <c r="C651"/>
      <c r="D651" s="197" t="s">
        <v>22</v>
      </c>
      <c r="E651" s="197" t="s">
        <v>414</v>
      </c>
      <c r="F651" s="197" t="s">
        <v>264</v>
      </c>
      <c r="G651" s="197" t="s">
        <v>268</v>
      </c>
      <c r="H651" s="197" t="s">
        <v>60</v>
      </c>
      <c r="I651" s="209" t="s">
        <v>60</v>
      </c>
      <c r="K651" s="228"/>
      <c r="L651" s="207">
        <f>_xlfn.XLOOKUP($B642,予定表!$B:$B,予定表!F:F,"該当なし",0,1)</f>
        <v>0</v>
      </c>
    </row>
    <row r="652" spans="1:12">
      <c r="A652" s="195"/>
      <c r="B652" s="195" t="s">
        <v>205</v>
      </c>
      <c r="C652"/>
      <c r="D652" s="197" t="s">
        <v>22</v>
      </c>
      <c r="E652" s="197" t="s">
        <v>414</v>
      </c>
      <c r="F652" s="197" t="s">
        <v>280</v>
      </c>
      <c r="G652" s="197" t="s">
        <v>268</v>
      </c>
      <c r="H652" s="197" t="s">
        <v>60</v>
      </c>
      <c r="I652" s="209" t="s">
        <v>60</v>
      </c>
      <c r="K652" s="228"/>
      <c r="L652" s="207" t="str">
        <f>_xlfn.XLOOKUP($B642,予定表!$B:$B,予定表!G:G,"該当なし",0,1)</f>
        <v>富士ロジ三田</v>
      </c>
    </row>
    <row r="653" spans="1:12">
      <c r="A653" s="195"/>
      <c r="B653" s="195" t="s">
        <v>206</v>
      </c>
      <c r="C653"/>
      <c r="D653" s="197" t="s">
        <v>793</v>
      </c>
      <c r="E653" s="197" t="s">
        <v>414</v>
      </c>
      <c r="F653" s="197" t="s">
        <v>280</v>
      </c>
      <c r="G653" s="197" t="s">
        <v>268</v>
      </c>
      <c r="H653" s="197" t="s">
        <v>60</v>
      </c>
      <c r="I653" s="209" t="s">
        <v>60</v>
      </c>
      <c r="K653" s="228"/>
      <c r="L653" s="207">
        <f>_xlfn.XLOOKUP($B642,予定表!$B:$B,予定表!H:H,"該当なし",0,1)</f>
        <v>0</v>
      </c>
    </row>
    <row r="654" spans="1:12">
      <c r="A654" s="195"/>
      <c r="B654" s="195" t="s">
        <v>207</v>
      </c>
      <c r="C654"/>
      <c r="D654" s="197" t="s">
        <v>793</v>
      </c>
      <c r="E654" s="197" t="s">
        <v>414</v>
      </c>
      <c r="F654" s="197" t="s">
        <v>215</v>
      </c>
      <c r="G654" s="197" t="s">
        <v>268</v>
      </c>
      <c r="H654" s="197"/>
      <c r="I654" s="209"/>
      <c r="K654" s="228"/>
      <c r="L654" s="207" t="str">
        <f>_xlfn.XLOOKUP($B642,予定表!$B:$B,予定表!I:I,"該当なし",0,1)</f>
        <v/>
      </c>
    </row>
    <row r="655" spans="1:12">
      <c r="A655" s="195"/>
      <c r="B655" s="196" t="s">
        <v>212</v>
      </c>
      <c r="C655"/>
      <c r="D655" s="197" t="s">
        <v>851</v>
      </c>
      <c r="E655" s="197" t="s">
        <v>414</v>
      </c>
      <c r="F655" s="197" t="s">
        <v>127</v>
      </c>
      <c r="G655" s="197" t="s">
        <v>268</v>
      </c>
      <c r="H655" s="197" t="s">
        <v>416</v>
      </c>
      <c r="I655" s="209" t="s">
        <v>416</v>
      </c>
      <c r="K655" s="228"/>
      <c r="L655" s="207" t="str">
        <f>_xlfn.XLOOKUP($B642,予定表!$B:$B,予定表!J:J,"該当なし",0,1)</f>
        <v/>
      </c>
    </row>
    <row r="656" spans="1:12">
      <c r="A656" s="195"/>
      <c r="B656" s="195" t="s">
        <v>205</v>
      </c>
      <c r="C656"/>
      <c r="D656" s="197" t="s">
        <v>851</v>
      </c>
      <c r="E656" s="197" t="s">
        <v>414</v>
      </c>
      <c r="F656" s="197" t="s">
        <v>127</v>
      </c>
      <c r="G656" s="197" t="s">
        <v>268</v>
      </c>
      <c r="H656" s="197" t="s">
        <v>877</v>
      </c>
      <c r="I656" s="209" t="s">
        <v>877</v>
      </c>
      <c r="K656" s="228"/>
      <c r="L656" s="207" t="str">
        <f>_xlfn.XLOOKUP($B642,予定表!$B:$B,予定表!K:K,"該当なし",0,1)</f>
        <v/>
      </c>
    </row>
    <row r="657" spans="1:12">
      <c r="A657" s="195"/>
      <c r="B657" s="195" t="s">
        <v>206</v>
      </c>
      <c r="C657"/>
      <c r="D657" s="197" t="s">
        <v>851</v>
      </c>
      <c r="E657" s="197" t="s">
        <v>214</v>
      </c>
      <c r="F657" s="197" t="s">
        <v>397</v>
      </c>
      <c r="G657" s="197" t="s">
        <v>268</v>
      </c>
      <c r="H657" s="197" t="s">
        <v>416</v>
      </c>
      <c r="I657" s="209" t="s">
        <v>416</v>
      </c>
      <c r="K657" s="228"/>
      <c r="L657" s="207" t="str">
        <f>_xlfn.XLOOKUP($B642,予定表!$B:$B,予定表!L:L,"該当なし",0,1)</f>
        <v/>
      </c>
    </row>
    <row r="658" spans="1:12" ht="15.75" thickBot="1">
      <c r="A658" s="195"/>
      <c r="B658" s="195" t="s">
        <v>207</v>
      </c>
      <c r="C658"/>
      <c r="D658" s="197" t="s">
        <v>851</v>
      </c>
      <c r="E658" s="197" t="s">
        <v>214</v>
      </c>
      <c r="F658" s="197" t="s">
        <v>51</v>
      </c>
      <c r="G658" s="197" t="s">
        <v>515</v>
      </c>
      <c r="H658" s="197" t="s">
        <v>416</v>
      </c>
      <c r="I658" s="209" t="s">
        <v>416</v>
      </c>
      <c r="K658" s="229"/>
      <c r="L658" s="204" t="str">
        <f>_xlfn.XLOOKUP($A639,ﾘｽﾄマスタ!$U$8:$U$17,ﾘｽﾄマスタ!$V$8:$V$17,"",0)</f>
        <v/>
      </c>
    </row>
    <row r="659" spans="1:12" ht="15.75" thickBot="1">
      <c r="A659" s="195"/>
      <c r="B659" s="196" t="s">
        <v>251</v>
      </c>
      <c r="C659"/>
      <c r="D659" s="197" t="s">
        <v>851</v>
      </c>
      <c r="E659" s="197" t="s">
        <v>214</v>
      </c>
      <c r="F659" s="197" t="s">
        <v>51</v>
      </c>
      <c r="G659" s="197" t="s">
        <v>515</v>
      </c>
      <c r="H659" s="197" t="s">
        <v>416</v>
      </c>
      <c r="I659" s="209" t="s">
        <v>416</v>
      </c>
      <c r="K659" s="208" t="s">
        <v>277</v>
      </c>
      <c r="L659" s="208" t="str">
        <f ca="1">_xlfn.XLOOKUP($B642,シフト抽出!$19:$19,シフト抽出!$30:$30,"該当なし",0,1)</f>
        <v/>
      </c>
    </row>
    <row r="660" spans="1:12">
      <c r="A660" s="195"/>
      <c r="B660" s="195" t="s">
        <v>205</v>
      </c>
      <c r="C660"/>
      <c r="D660" s="197" t="s">
        <v>224</v>
      </c>
      <c r="E660" s="197" t="s">
        <v>214</v>
      </c>
      <c r="F660" s="197" t="s">
        <v>51</v>
      </c>
      <c r="G660" s="197" t="s">
        <v>515</v>
      </c>
      <c r="H660" s="197" t="s">
        <v>416</v>
      </c>
      <c r="I660" s="209" t="s">
        <v>416</v>
      </c>
    </row>
    <row r="661" spans="1:12">
      <c r="A661" s="195"/>
      <c r="B661" s="195" t="s">
        <v>206</v>
      </c>
      <c r="C661"/>
      <c r="D661" s="197" t="s">
        <v>224</v>
      </c>
      <c r="E661" s="197" t="s">
        <v>214</v>
      </c>
      <c r="F661" s="197" t="s">
        <v>51</v>
      </c>
      <c r="G661" s="197" t="s">
        <v>269</v>
      </c>
      <c r="H661" s="197" t="s">
        <v>416</v>
      </c>
      <c r="I661" s="209" t="s">
        <v>416</v>
      </c>
    </row>
    <row r="662" spans="1:12">
      <c r="A662" s="195"/>
      <c r="B662" s="195" t="s">
        <v>207</v>
      </c>
      <c r="C662"/>
      <c r="D662" s="197" t="s">
        <v>224</v>
      </c>
      <c r="E662" s="197" t="s">
        <v>761</v>
      </c>
      <c r="F662" s="197"/>
      <c r="G662" s="197" t="s">
        <v>269</v>
      </c>
      <c r="H662" s="197" t="s">
        <v>416</v>
      </c>
      <c r="I662" s="209" t="s">
        <v>416</v>
      </c>
    </row>
    <row r="663" spans="1:12">
      <c r="A663" s="195"/>
      <c r="B663" s="196" t="s">
        <v>217</v>
      </c>
      <c r="C663"/>
      <c r="D663" s="197" t="s">
        <v>224</v>
      </c>
      <c r="E663" s="197" t="s">
        <v>761</v>
      </c>
      <c r="F663" s="197"/>
      <c r="G663" s="197" t="s">
        <v>269</v>
      </c>
      <c r="H663" s="197" t="s">
        <v>416</v>
      </c>
      <c r="I663" s="209" t="s">
        <v>416</v>
      </c>
    </row>
    <row r="664" spans="1:12">
      <c r="A664" s="195"/>
      <c r="B664" s="195" t="s">
        <v>205</v>
      </c>
      <c r="C664"/>
      <c r="D664" s="197" t="s">
        <v>224</v>
      </c>
      <c r="E664" s="197" t="s">
        <v>761</v>
      </c>
      <c r="F664" s="197"/>
      <c r="G664" s="197" t="s">
        <v>446</v>
      </c>
      <c r="H664" s="197" t="s">
        <v>416</v>
      </c>
      <c r="I664" s="209" t="s">
        <v>416</v>
      </c>
    </row>
    <row r="665" spans="1:12">
      <c r="A665" s="195"/>
      <c r="B665" s="195" t="s">
        <v>206</v>
      </c>
      <c r="C665"/>
      <c r="D665" s="197"/>
      <c r="E665" s="197"/>
      <c r="F665" s="197"/>
      <c r="G665" s="197" t="s">
        <v>446</v>
      </c>
      <c r="H665" s="197" t="s">
        <v>416</v>
      </c>
      <c r="I665" s="209" t="s">
        <v>416</v>
      </c>
    </row>
    <row r="666" spans="1:12">
      <c r="A666" s="195"/>
      <c r="B666" s="195" t="s">
        <v>207</v>
      </c>
      <c r="C666"/>
      <c r="D666" s="197"/>
      <c r="E666" s="197"/>
      <c r="F666" s="197"/>
      <c r="G666" s="197" t="s">
        <v>114</v>
      </c>
      <c r="H666" s="197" t="s">
        <v>416</v>
      </c>
      <c r="I666" s="209" t="s">
        <v>416</v>
      </c>
    </row>
    <row r="667" spans="1:12">
      <c r="A667" s="195"/>
      <c r="B667" s="196" t="s">
        <v>219</v>
      </c>
      <c r="C667"/>
      <c r="D667" s="197"/>
      <c r="E667" s="197"/>
      <c r="F667" s="197"/>
      <c r="G667" s="197" t="s">
        <v>114</v>
      </c>
      <c r="H667" s="197" t="s">
        <v>416</v>
      </c>
      <c r="I667" s="209" t="s">
        <v>416</v>
      </c>
    </row>
    <row r="668" spans="1:12">
      <c r="A668" s="195"/>
      <c r="B668" s="195" t="s">
        <v>205</v>
      </c>
      <c r="C668"/>
      <c r="D668" s="197"/>
      <c r="E668" s="197"/>
      <c r="F668" s="197"/>
      <c r="G668" s="197" t="s">
        <v>114</v>
      </c>
      <c r="H668" s="197" t="s">
        <v>416</v>
      </c>
      <c r="I668" s="209" t="s">
        <v>416</v>
      </c>
    </row>
    <row r="669" spans="1:12">
      <c r="A669" s="195"/>
      <c r="B669" s="195" t="s">
        <v>206</v>
      </c>
      <c r="C669"/>
      <c r="D669" s="197"/>
      <c r="E669" s="197"/>
      <c r="F669" s="197"/>
      <c r="G669" s="197"/>
      <c r="H669" s="197"/>
      <c r="I669" s="209"/>
    </row>
    <row r="670" spans="1:12">
      <c r="A670" s="195"/>
      <c r="B670" s="195" t="s">
        <v>207</v>
      </c>
      <c r="C670"/>
      <c r="D670" s="197"/>
      <c r="E670" s="197"/>
      <c r="F670" s="197"/>
      <c r="G670" s="197"/>
      <c r="H670" s="197"/>
      <c r="I670" s="209"/>
    </row>
    <row r="671" spans="1:12">
      <c r="A671" s="195"/>
      <c r="B671" s="196" t="s">
        <v>220</v>
      </c>
      <c r="C671"/>
      <c r="D671" s="197"/>
      <c r="E671" s="197"/>
      <c r="F671" s="197"/>
      <c r="G671" s="197"/>
      <c r="H671" s="197"/>
      <c r="I671" s="209"/>
    </row>
    <row r="672" spans="1:12">
      <c r="A672" s="195"/>
      <c r="B672" s="195" t="s">
        <v>205</v>
      </c>
      <c r="C672"/>
      <c r="D672" s="197" t="s">
        <v>878</v>
      </c>
      <c r="E672" s="197" t="s">
        <v>273</v>
      </c>
      <c r="F672" s="197" t="s">
        <v>62</v>
      </c>
      <c r="G672" s="197" t="s">
        <v>56</v>
      </c>
      <c r="H672" s="197" t="s">
        <v>848</v>
      </c>
      <c r="I672" s="209" t="s">
        <v>848</v>
      </c>
    </row>
    <row r="673" spans="1:9">
      <c r="A673" s="195"/>
      <c r="B673" s="195" t="s">
        <v>206</v>
      </c>
      <c r="C673"/>
      <c r="D673" s="197" t="s">
        <v>878</v>
      </c>
      <c r="E673" s="197" t="s">
        <v>273</v>
      </c>
      <c r="F673" s="197" t="s">
        <v>62</v>
      </c>
      <c r="G673" s="197" t="s">
        <v>56</v>
      </c>
      <c r="H673" s="197" t="s">
        <v>848</v>
      </c>
      <c r="I673" s="209" t="s">
        <v>848</v>
      </c>
    </row>
    <row r="674" spans="1:9">
      <c r="A674" s="195"/>
      <c r="B674" s="195" t="s">
        <v>207</v>
      </c>
      <c r="C674"/>
      <c r="D674" s="197" t="s">
        <v>878</v>
      </c>
      <c r="E674" s="197" t="s">
        <v>273</v>
      </c>
      <c r="F674" s="197" t="s">
        <v>62</v>
      </c>
      <c r="G674" s="197" t="s">
        <v>56</v>
      </c>
      <c r="H674" s="197" t="s">
        <v>848</v>
      </c>
      <c r="I674" s="209" t="s">
        <v>848</v>
      </c>
    </row>
    <row r="675" spans="1:9">
      <c r="A675" s="195"/>
      <c r="B675" s="196" t="s">
        <v>222</v>
      </c>
      <c r="C675"/>
      <c r="D675" s="197" t="s">
        <v>523</v>
      </c>
      <c r="E675" s="197" t="s">
        <v>273</v>
      </c>
      <c r="F675" s="197" t="s">
        <v>62</v>
      </c>
      <c r="G675" s="197"/>
      <c r="H675" s="197" t="s">
        <v>848</v>
      </c>
      <c r="I675" s="209" t="s">
        <v>848</v>
      </c>
    </row>
    <row r="676" spans="1:9">
      <c r="A676" s="195"/>
      <c r="B676" s="195" t="s">
        <v>205</v>
      </c>
      <c r="C676"/>
      <c r="D676" s="197" t="s">
        <v>523</v>
      </c>
      <c r="E676" s="197" t="s">
        <v>273</v>
      </c>
      <c r="F676" s="197" t="s">
        <v>62</v>
      </c>
      <c r="G676" s="197" t="s">
        <v>270</v>
      </c>
      <c r="H676" s="197" t="s">
        <v>848</v>
      </c>
      <c r="I676" s="209" t="s">
        <v>848</v>
      </c>
    </row>
    <row r="677" spans="1:9">
      <c r="A677" s="195"/>
      <c r="B677" s="195" t="s">
        <v>206</v>
      </c>
      <c r="C677"/>
      <c r="D677" s="197" t="s">
        <v>759</v>
      </c>
      <c r="E677" s="197" t="s">
        <v>186</v>
      </c>
      <c r="F677" s="197" t="s">
        <v>62</v>
      </c>
      <c r="G677" s="197" t="s">
        <v>270</v>
      </c>
      <c r="H677" s="197" t="s">
        <v>848</v>
      </c>
      <c r="I677" s="209" t="s">
        <v>848</v>
      </c>
    </row>
    <row r="678" spans="1:9">
      <c r="A678" s="195"/>
      <c r="B678" s="195" t="s">
        <v>207</v>
      </c>
      <c r="C678"/>
      <c r="D678" s="197" t="s">
        <v>759</v>
      </c>
      <c r="E678" s="197" t="s">
        <v>186</v>
      </c>
      <c r="F678" s="197" t="s">
        <v>62</v>
      </c>
      <c r="G678" s="197" t="s">
        <v>270</v>
      </c>
      <c r="H678" s="197" t="s">
        <v>229</v>
      </c>
      <c r="I678" s="209" t="s">
        <v>229</v>
      </c>
    </row>
    <row r="679" spans="1:9">
      <c r="A679" s="195"/>
      <c r="B679" s="196" t="s">
        <v>223</v>
      </c>
      <c r="C679"/>
      <c r="D679" s="197" t="s">
        <v>366</v>
      </c>
      <c r="E679" s="197" t="s">
        <v>252</v>
      </c>
      <c r="F679" s="197" t="s">
        <v>62</v>
      </c>
      <c r="G679" s="197" t="s">
        <v>270</v>
      </c>
      <c r="H679" s="197" t="s">
        <v>229</v>
      </c>
      <c r="I679" s="209" t="s">
        <v>229</v>
      </c>
    </row>
    <row r="680" spans="1:9">
      <c r="A680" s="195"/>
      <c r="B680" s="195" t="s">
        <v>205</v>
      </c>
      <c r="C680"/>
      <c r="D680" s="197" t="s">
        <v>366</v>
      </c>
      <c r="E680" s="197" t="s">
        <v>252</v>
      </c>
      <c r="F680" s="197" t="s">
        <v>62</v>
      </c>
      <c r="G680" s="197" t="s">
        <v>270</v>
      </c>
      <c r="H680" s="197" t="s">
        <v>230</v>
      </c>
      <c r="I680" s="209" t="s">
        <v>230</v>
      </c>
    </row>
    <row r="681" spans="1:9">
      <c r="A681" s="195"/>
      <c r="B681" s="195" t="s">
        <v>206</v>
      </c>
      <c r="C681"/>
      <c r="D681" s="197" t="s">
        <v>366</v>
      </c>
      <c r="E681" s="197" t="s">
        <v>252</v>
      </c>
      <c r="F681" s="197" t="s">
        <v>62</v>
      </c>
      <c r="G681" s="197" t="s">
        <v>270</v>
      </c>
      <c r="H681" s="197" t="s">
        <v>230</v>
      </c>
      <c r="I681" s="209" t="s">
        <v>230</v>
      </c>
    </row>
    <row r="682" spans="1:9">
      <c r="A682" s="195"/>
      <c r="B682" s="195" t="s">
        <v>207</v>
      </c>
      <c r="C682"/>
      <c r="D682" s="197" t="s">
        <v>216</v>
      </c>
      <c r="E682" s="197" t="s">
        <v>252</v>
      </c>
      <c r="F682" s="197" t="s">
        <v>62</v>
      </c>
      <c r="G682" s="197" t="s">
        <v>270</v>
      </c>
      <c r="H682" s="197" t="s">
        <v>230</v>
      </c>
      <c r="I682" s="209" t="s">
        <v>230</v>
      </c>
    </row>
    <row r="683" spans="1:9">
      <c r="A683" s="195"/>
      <c r="B683" s="196" t="s">
        <v>225</v>
      </c>
      <c r="C683"/>
      <c r="D683" s="197" t="s">
        <v>216</v>
      </c>
      <c r="E683" s="197" t="s">
        <v>252</v>
      </c>
      <c r="F683" s="197" t="s">
        <v>62</v>
      </c>
      <c r="G683" s="197" t="s">
        <v>270</v>
      </c>
      <c r="H683" s="197" t="s">
        <v>230</v>
      </c>
      <c r="I683" s="209" t="s">
        <v>230</v>
      </c>
    </row>
    <row r="684" spans="1:9">
      <c r="A684" s="195"/>
      <c r="B684" s="195" t="s">
        <v>205</v>
      </c>
      <c r="C684"/>
      <c r="D684" s="197" t="s">
        <v>216</v>
      </c>
      <c r="E684" s="197" t="s">
        <v>252</v>
      </c>
      <c r="F684" s="197" t="s">
        <v>62</v>
      </c>
      <c r="G684" s="197" t="s">
        <v>270</v>
      </c>
      <c r="H684" s="209" t="s">
        <v>230</v>
      </c>
      <c r="I684" s="209" t="s">
        <v>230</v>
      </c>
    </row>
    <row r="685" spans="1:9">
      <c r="A685" s="195"/>
      <c r="B685" s="195" t="s">
        <v>206</v>
      </c>
      <c r="C685"/>
      <c r="D685" s="197" t="s">
        <v>216</v>
      </c>
      <c r="E685" s="197" t="s">
        <v>252</v>
      </c>
      <c r="F685" s="197" t="s">
        <v>62</v>
      </c>
      <c r="G685" s="197" t="s">
        <v>270</v>
      </c>
      <c r="H685" s="209" t="s">
        <v>230</v>
      </c>
      <c r="I685" s="209" t="s">
        <v>230</v>
      </c>
    </row>
    <row r="686" spans="1:9">
      <c r="A686" s="195"/>
      <c r="B686" s="195" t="s">
        <v>207</v>
      </c>
      <c r="C686"/>
      <c r="D686" s="197"/>
      <c r="E686" s="197"/>
      <c r="F686" s="197"/>
      <c r="G686" s="197"/>
      <c r="H686" s="209"/>
      <c r="I686" s="209"/>
    </row>
    <row r="687" spans="1:9">
      <c r="A687" s="195"/>
      <c r="B687" s="196" t="s">
        <v>226</v>
      </c>
      <c r="C687"/>
      <c r="D687" s="197"/>
      <c r="E687" s="197"/>
      <c r="F687" s="197"/>
      <c r="G687" s="197"/>
      <c r="H687" s="209"/>
      <c r="I687" s="209"/>
    </row>
    <row r="688" spans="1:9">
      <c r="A688" s="195"/>
      <c r="B688" s="195" t="s">
        <v>205</v>
      </c>
      <c r="C688"/>
      <c r="D688" s="197"/>
      <c r="E688" s="197"/>
      <c r="F688" s="197"/>
      <c r="G688" s="197"/>
      <c r="H688" s="209"/>
      <c r="I688" s="209"/>
    </row>
    <row r="689" spans="1:12">
      <c r="A689" s="195"/>
      <c r="B689" s="195" t="s">
        <v>206</v>
      </c>
      <c r="C689"/>
      <c r="D689" s="197"/>
      <c r="E689" s="197"/>
      <c r="F689" s="197"/>
      <c r="G689" s="197"/>
      <c r="H689" s="209"/>
      <c r="I689" s="209"/>
    </row>
    <row r="690" spans="1:12">
      <c r="A690" s="195"/>
      <c r="B690" s="195" t="s">
        <v>207</v>
      </c>
      <c r="C690"/>
      <c r="D690" s="197"/>
      <c r="E690" s="197"/>
      <c r="F690" s="197"/>
      <c r="G690" s="197"/>
      <c r="H690" s="209"/>
      <c r="I690" s="209"/>
    </row>
    <row r="691" spans="1:12">
      <c r="A691" s="195"/>
      <c r="B691" s="196" t="s">
        <v>227</v>
      </c>
      <c r="C691"/>
      <c r="D691" s="197"/>
      <c r="E691" s="197"/>
      <c r="F691" s="197"/>
      <c r="G691" s="197"/>
      <c r="H691" s="209"/>
      <c r="I691" s="209"/>
      <c r="K691"/>
    </row>
    <row r="692" spans="1:12" ht="29.25" thickBot="1">
      <c r="A692" s="182" t="str">
        <f>"回収シフト  第"&amp;ROUNDUP(DAY(B695)/7,0)  &amp;"  "&amp;TEXT(B695,"aaaa")</f>
        <v>回収シフト  第3  木曜日</v>
      </c>
      <c r="B692" s="183"/>
      <c r="C692" s="183"/>
      <c r="D692" s="183"/>
      <c r="E692" s="183"/>
      <c r="F692" s="183"/>
      <c r="G692" s="184"/>
      <c r="H692" s="184"/>
      <c r="I692" s="184"/>
      <c r="K692" s="183"/>
      <c r="L692" s="183"/>
    </row>
    <row r="693" spans="1:12" ht="15.75" thickBot="1">
      <c r="A693"/>
      <c r="B693"/>
      <c r="C693"/>
      <c r="D693" s="186" t="s">
        <v>201</v>
      </c>
      <c r="E693" s="186" t="s">
        <v>202</v>
      </c>
      <c r="F693" s="186" t="s">
        <v>203</v>
      </c>
      <c r="G693" s="186" t="s">
        <v>204</v>
      </c>
      <c r="H693" s="186" t="s">
        <v>267</v>
      </c>
      <c r="I693" s="217" t="s">
        <v>267</v>
      </c>
      <c r="K693" s="230" t="s">
        <v>257</v>
      </c>
      <c r="L693" s="231"/>
    </row>
    <row r="694" spans="1:12">
      <c r="A694" s="187"/>
      <c r="B694" s="188">
        <v>46119</v>
      </c>
      <c r="C694" s="187"/>
      <c r="D694" s="189" t="s">
        <v>859</v>
      </c>
      <c r="E694" s="189" t="s">
        <v>248</v>
      </c>
      <c r="F694" s="189" t="s">
        <v>360</v>
      </c>
      <c r="G694" s="189" t="s">
        <v>728</v>
      </c>
      <c r="H694" s="189" t="s">
        <v>843</v>
      </c>
      <c r="I694" s="218" t="s">
        <v>843</v>
      </c>
      <c r="K694" s="232" t="s">
        <v>258</v>
      </c>
      <c r="L694" s="190" t="str">
        <f ca="1">_xlfn.XLOOKUP($B695,シフト抽出!$19:$19,シフト抽出!$20:$20,"該当なし",0,1)</f>
        <v/>
      </c>
    </row>
    <row r="695" spans="1:12" ht="19.5" thickBot="1">
      <c r="A695"/>
      <c r="B695" s="191">
        <f>B642+1</f>
        <v>46128</v>
      </c>
      <c r="C695" s="192"/>
      <c r="D695" s="193"/>
      <c r="E695" s="193"/>
      <c r="F695" s="193"/>
      <c r="G695" s="193"/>
      <c r="H695" s="193"/>
      <c r="I695" s="219"/>
      <c r="K695" s="233"/>
      <c r="L695" s="194" t="str">
        <f ca="1">_xlfn.XLOOKUP($B695,シフト抽出!$19:$19,シフト抽出!$21:$21,"該当なし",0,1)</f>
        <v/>
      </c>
    </row>
    <row r="696" spans="1:12">
      <c r="A696" s="195"/>
      <c r="B696" s="196">
        <v>0.25</v>
      </c>
      <c r="C696"/>
      <c r="D696" s="197"/>
      <c r="E696" s="196"/>
      <c r="F696" s="197"/>
      <c r="G696" s="197"/>
      <c r="H696" s="197"/>
      <c r="I696" s="209"/>
      <c r="K696" s="234" t="s">
        <v>259</v>
      </c>
      <c r="L696" s="198" t="str">
        <f ca="1">_xlfn.XLOOKUP($B695,シフト抽出!$19:$19,シフト抽出!$23:$23,"該当なし",0,1)</f>
        <v/>
      </c>
    </row>
    <row r="697" spans="1:12" ht="15.75" thickBot="1">
      <c r="A697" s="195"/>
      <c r="B697" s="195" t="s">
        <v>205</v>
      </c>
      <c r="C697"/>
      <c r="D697" s="197"/>
      <c r="E697" s="197"/>
      <c r="F697" s="197"/>
      <c r="G697" s="197"/>
      <c r="H697" s="197"/>
      <c r="I697" s="209"/>
      <c r="K697" s="235"/>
      <c r="L697" s="199" t="str">
        <f ca="1">_xlfn.XLOOKUP($B695,シフト抽出!$19:$19,シフト抽出!$24:$24,"該当なし",0,1)</f>
        <v/>
      </c>
    </row>
    <row r="698" spans="1:12">
      <c r="A698" s="195"/>
      <c r="B698" s="195" t="s">
        <v>206</v>
      </c>
      <c r="C698"/>
      <c r="D698" s="197"/>
      <c r="E698" s="197" t="s">
        <v>879</v>
      </c>
      <c r="F698" s="197"/>
      <c r="G698" s="197" t="s">
        <v>880</v>
      </c>
      <c r="H698" s="197"/>
      <c r="I698" s="209"/>
      <c r="K698" s="224" t="s">
        <v>260</v>
      </c>
      <c r="L698" s="200" t="str">
        <f ca="1">_xlfn.XLOOKUP($B695,シフト抽出!$19:$19,シフト抽出!$26:$26,"該当なし",0,1)</f>
        <v/>
      </c>
    </row>
    <row r="699" spans="1:12">
      <c r="A699" s="195"/>
      <c r="B699" s="195" t="s">
        <v>207</v>
      </c>
      <c r="C699"/>
      <c r="D699" s="197"/>
      <c r="E699" s="197"/>
      <c r="F699" s="197"/>
      <c r="G699" s="197"/>
      <c r="H699" s="197"/>
      <c r="I699" s="209"/>
      <c r="K699" s="225"/>
      <c r="L699" s="201" t="str">
        <f ca="1">_xlfn.XLOOKUP($B695,シフト抽出!$19:$19,シフト抽出!$27:$27,"該当なし",0,1)</f>
        <v/>
      </c>
    </row>
    <row r="700" spans="1:12">
      <c r="A700" s="195"/>
      <c r="B700" s="202" t="s">
        <v>208</v>
      </c>
      <c r="C700"/>
      <c r="D700" s="197" t="s">
        <v>4</v>
      </c>
      <c r="E700" s="197" t="s">
        <v>4</v>
      </c>
      <c r="F700" s="197"/>
      <c r="G700" s="197" t="s">
        <v>4</v>
      </c>
      <c r="H700" s="197"/>
      <c r="I700" s="209"/>
      <c r="J700" s="203"/>
      <c r="K700" s="225"/>
      <c r="L700" s="201" t="str">
        <f ca="1">_xlfn.XLOOKUP($B695,シフト抽出!$19:$19,シフト抽出!$28:$28,"該当なし",0,1)</f>
        <v/>
      </c>
    </row>
    <row r="701" spans="1:12" ht="15.75" thickBot="1">
      <c r="A701" s="195"/>
      <c r="B701" s="195" t="s">
        <v>205</v>
      </c>
      <c r="C701"/>
      <c r="D701" s="197" t="s">
        <v>414</v>
      </c>
      <c r="E701" s="197" t="s">
        <v>421</v>
      </c>
      <c r="F701" s="197" t="s">
        <v>851</v>
      </c>
      <c r="G701" s="197" t="s">
        <v>22</v>
      </c>
      <c r="H701" s="197"/>
      <c r="I701" s="209"/>
      <c r="J701" s="203"/>
      <c r="K701" s="226"/>
      <c r="L701" s="204" t="str">
        <f ca="1">_xlfn.XLOOKUP($B695,シフト抽出!$19:$19,シフト抽出!$29:$29,"該当なし",0,1)</f>
        <v/>
      </c>
    </row>
    <row r="702" spans="1:12" ht="15.75" thickBot="1">
      <c r="A702" s="195"/>
      <c r="B702" s="195" t="s">
        <v>206</v>
      </c>
      <c r="C702"/>
      <c r="D702" s="197" t="s">
        <v>414</v>
      </c>
      <c r="E702" s="197" t="s">
        <v>421</v>
      </c>
      <c r="F702" s="197" t="s">
        <v>851</v>
      </c>
      <c r="G702" s="197" t="s">
        <v>22</v>
      </c>
      <c r="H702" s="197"/>
      <c r="I702" s="209"/>
      <c r="K702" s="205" t="s">
        <v>261</v>
      </c>
      <c r="L702" s="205">
        <f>_xlfn.XLOOKUP($B695,予定表!B:B,予定表!R:R,"該当なし",0,1)</f>
        <v>0</v>
      </c>
    </row>
    <row r="703" spans="1:12">
      <c r="A703" s="195"/>
      <c r="B703" s="195" t="s">
        <v>207</v>
      </c>
      <c r="C703"/>
      <c r="D703" s="197" t="s">
        <v>414</v>
      </c>
      <c r="E703" s="197" t="s">
        <v>421</v>
      </c>
      <c r="F703" s="197" t="s">
        <v>851</v>
      </c>
      <c r="G703" s="197" t="s">
        <v>22</v>
      </c>
      <c r="H703" s="197"/>
      <c r="I703" s="209"/>
      <c r="K703" s="227" t="s">
        <v>262</v>
      </c>
      <c r="L703" s="206">
        <f>_xlfn.XLOOKUP($B695,予定表!$B:$B,予定表!E:E,"該当なし",0,1)</f>
        <v>0</v>
      </c>
    </row>
    <row r="704" spans="1:12">
      <c r="A704" s="195"/>
      <c r="B704" s="196" t="s">
        <v>209</v>
      </c>
      <c r="C704"/>
      <c r="D704" s="197" t="s">
        <v>414</v>
      </c>
      <c r="E704" s="197" t="s">
        <v>421</v>
      </c>
      <c r="F704" s="197" t="s">
        <v>851</v>
      </c>
      <c r="G704" s="197" t="s">
        <v>268</v>
      </c>
      <c r="H704" s="197" t="s">
        <v>4</v>
      </c>
      <c r="I704" s="209" t="s">
        <v>4</v>
      </c>
      <c r="K704" s="228"/>
      <c r="L704" s="207">
        <f>_xlfn.XLOOKUP($B695,予定表!$B:$B,予定表!F:F,"該当なし",0,1)</f>
        <v>0</v>
      </c>
    </row>
    <row r="705" spans="1:12">
      <c r="A705" s="195"/>
      <c r="B705" s="195" t="s">
        <v>205</v>
      </c>
      <c r="C705"/>
      <c r="D705" s="197" t="s">
        <v>414</v>
      </c>
      <c r="E705" s="197" t="s">
        <v>421</v>
      </c>
      <c r="F705" s="197"/>
      <c r="G705" s="197" t="s">
        <v>268</v>
      </c>
      <c r="H705" s="197" t="s">
        <v>60</v>
      </c>
      <c r="I705" s="209" t="s">
        <v>60</v>
      </c>
      <c r="K705" s="228"/>
      <c r="L705" s="207" t="str">
        <f>_xlfn.XLOOKUP($B695,予定表!$B:$B,予定表!G:G,"該当なし",0,1)</f>
        <v>富士ロジ三田</v>
      </c>
    </row>
    <row r="706" spans="1:12">
      <c r="A706" s="195"/>
      <c r="B706" s="195" t="s">
        <v>206</v>
      </c>
      <c r="C706"/>
      <c r="D706" s="197" t="s">
        <v>214</v>
      </c>
      <c r="E706" s="197" t="s">
        <v>273</v>
      </c>
      <c r="F706" s="197" t="s">
        <v>252</v>
      </c>
      <c r="G706" s="197" t="s">
        <v>268</v>
      </c>
      <c r="H706" s="197" t="s">
        <v>60</v>
      </c>
      <c r="I706" s="209" t="s">
        <v>60</v>
      </c>
      <c r="K706" s="228"/>
      <c r="L706" s="207">
        <f>_xlfn.XLOOKUP($B695,予定表!$B:$B,予定表!H:H,"該当なし",0,1)</f>
        <v>0</v>
      </c>
    </row>
    <row r="707" spans="1:12">
      <c r="A707" s="195"/>
      <c r="B707" s="195" t="s">
        <v>207</v>
      </c>
      <c r="C707"/>
      <c r="D707" s="197" t="s">
        <v>214</v>
      </c>
      <c r="E707" s="197" t="s">
        <v>273</v>
      </c>
      <c r="F707" s="197" t="s">
        <v>252</v>
      </c>
      <c r="G707" s="197" t="s">
        <v>268</v>
      </c>
      <c r="H707" s="197" t="s">
        <v>60</v>
      </c>
      <c r="I707" s="209" t="s">
        <v>60</v>
      </c>
      <c r="K707" s="228"/>
      <c r="L707" s="207" t="str">
        <f>_xlfn.XLOOKUP($B695,予定表!$B:$B,予定表!I:I,"該当なし",0,1)</f>
        <v/>
      </c>
    </row>
    <row r="708" spans="1:12">
      <c r="A708" s="195"/>
      <c r="B708" s="196" t="s">
        <v>212</v>
      </c>
      <c r="C708"/>
      <c r="D708" s="197" t="s">
        <v>214</v>
      </c>
      <c r="E708" s="197" t="s">
        <v>273</v>
      </c>
      <c r="F708" s="197" t="s">
        <v>252</v>
      </c>
      <c r="G708" s="197" t="s">
        <v>268</v>
      </c>
      <c r="H708" s="197"/>
      <c r="I708" s="209"/>
      <c r="K708" s="228"/>
      <c r="L708" s="207" t="str">
        <f>_xlfn.XLOOKUP($B695,予定表!$B:$B,予定表!J:J,"該当なし",0,1)</f>
        <v/>
      </c>
    </row>
    <row r="709" spans="1:12">
      <c r="A709" s="195"/>
      <c r="B709" s="195" t="s">
        <v>205</v>
      </c>
      <c r="C709"/>
      <c r="D709" s="197" t="s">
        <v>761</v>
      </c>
      <c r="E709" s="197" t="s">
        <v>228</v>
      </c>
      <c r="F709" s="197" t="s">
        <v>252</v>
      </c>
      <c r="G709" s="197" t="s">
        <v>268</v>
      </c>
      <c r="H709" s="197" t="s">
        <v>230</v>
      </c>
      <c r="I709" s="209" t="s">
        <v>230</v>
      </c>
      <c r="K709" s="228"/>
      <c r="L709" s="207" t="str">
        <f>_xlfn.XLOOKUP($B695,予定表!$B:$B,予定表!K:K,"該当なし",0,1)</f>
        <v/>
      </c>
    </row>
    <row r="710" spans="1:12">
      <c r="A710" s="195"/>
      <c r="B710" s="195" t="s">
        <v>206</v>
      </c>
      <c r="C710"/>
      <c r="D710" s="197" t="s">
        <v>761</v>
      </c>
      <c r="E710" s="197" t="s">
        <v>228</v>
      </c>
      <c r="F710" s="197" t="s">
        <v>252</v>
      </c>
      <c r="G710" s="197" t="s">
        <v>268</v>
      </c>
      <c r="H710" s="197" t="s">
        <v>230</v>
      </c>
      <c r="I710" s="209" t="s">
        <v>230</v>
      </c>
      <c r="K710" s="228"/>
      <c r="L710" s="207" t="str">
        <f>_xlfn.XLOOKUP($B695,予定表!$B:$B,予定表!L:L,"該当なし",0,1)</f>
        <v/>
      </c>
    </row>
    <row r="711" spans="1:12" ht="15.75" thickBot="1">
      <c r="A711" s="195"/>
      <c r="B711" s="195" t="s">
        <v>207</v>
      </c>
      <c r="C711"/>
      <c r="D711" s="197" t="s">
        <v>761</v>
      </c>
      <c r="E711" s="197" t="s">
        <v>228</v>
      </c>
      <c r="F711" s="197" t="s">
        <v>252</v>
      </c>
      <c r="G711" s="197" t="s">
        <v>268</v>
      </c>
      <c r="H711" s="197" t="s">
        <v>230</v>
      </c>
      <c r="I711" s="209" t="s">
        <v>230</v>
      </c>
      <c r="K711" s="229"/>
      <c r="L711" s="204" t="str">
        <f>_xlfn.XLOOKUP($A692,ﾘｽﾄマスタ!$U$8:$U$17,ﾘｽﾄマスタ!$V$8:$V$17,"",0)</f>
        <v>宇都宮螺子</v>
      </c>
    </row>
    <row r="712" spans="1:12" ht="15.75" thickBot="1">
      <c r="A712" s="195"/>
      <c r="B712" s="196" t="s">
        <v>251</v>
      </c>
      <c r="C712"/>
      <c r="D712" s="197" t="s">
        <v>114</v>
      </c>
      <c r="E712" s="197" t="s">
        <v>228</v>
      </c>
      <c r="F712" s="197" t="s">
        <v>252</v>
      </c>
      <c r="G712" s="197" t="s">
        <v>268</v>
      </c>
      <c r="H712" s="197" t="s">
        <v>229</v>
      </c>
      <c r="I712" s="209" t="s">
        <v>229</v>
      </c>
      <c r="K712" s="208" t="s">
        <v>277</v>
      </c>
      <c r="L712" s="208" t="str">
        <f ca="1">_xlfn.XLOOKUP($B695,シフト抽出!$19:$19,シフト抽出!$30:$30,"該当なし",0,1)</f>
        <v/>
      </c>
    </row>
    <row r="713" spans="1:12">
      <c r="A713" s="195"/>
      <c r="B713" s="195" t="s">
        <v>205</v>
      </c>
      <c r="C713"/>
      <c r="D713" s="197" t="s">
        <v>114</v>
      </c>
      <c r="E713" s="197" t="s">
        <v>228</v>
      </c>
      <c r="F713" s="197" t="s">
        <v>252</v>
      </c>
      <c r="G713" s="197" t="s">
        <v>169</v>
      </c>
      <c r="H713" s="197" t="s">
        <v>229</v>
      </c>
      <c r="I713" s="209" t="s">
        <v>229</v>
      </c>
    </row>
    <row r="714" spans="1:12">
      <c r="A714" s="195"/>
      <c r="B714" s="195" t="s">
        <v>206</v>
      </c>
      <c r="C714"/>
      <c r="D714" s="197" t="s">
        <v>253</v>
      </c>
      <c r="E714" s="197" t="s">
        <v>263</v>
      </c>
      <c r="F714" s="197" t="s">
        <v>252</v>
      </c>
      <c r="G714" s="197" t="s">
        <v>169</v>
      </c>
      <c r="H714" s="197" t="s">
        <v>848</v>
      </c>
      <c r="I714" s="209" t="s">
        <v>848</v>
      </c>
    </row>
    <row r="715" spans="1:12">
      <c r="A715" s="195"/>
      <c r="B715" s="195" t="s">
        <v>207</v>
      </c>
      <c r="C715"/>
      <c r="D715" s="197" t="s">
        <v>51</v>
      </c>
      <c r="E715" s="197" t="s">
        <v>263</v>
      </c>
      <c r="F715" s="197" t="s">
        <v>252</v>
      </c>
      <c r="G715" s="197" t="s">
        <v>169</v>
      </c>
      <c r="H715" s="197" t="s">
        <v>848</v>
      </c>
      <c r="I715" s="209" t="s">
        <v>848</v>
      </c>
    </row>
    <row r="716" spans="1:12">
      <c r="A716" s="195"/>
      <c r="B716" s="196" t="s">
        <v>217</v>
      </c>
      <c r="C716"/>
      <c r="D716" s="197" t="s">
        <v>51</v>
      </c>
      <c r="E716" s="197" t="s">
        <v>263</v>
      </c>
      <c r="F716" s="197" t="s">
        <v>252</v>
      </c>
      <c r="G716" s="197" t="s">
        <v>169</v>
      </c>
      <c r="H716" s="197" t="s">
        <v>848</v>
      </c>
      <c r="I716" s="209" t="s">
        <v>848</v>
      </c>
    </row>
    <row r="717" spans="1:12">
      <c r="A717" s="195"/>
      <c r="B717" s="195" t="s">
        <v>205</v>
      </c>
      <c r="C717"/>
      <c r="D717" s="197" t="s">
        <v>51</v>
      </c>
      <c r="E717" s="197" t="s">
        <v>848</v>
      </c>
      <c r="F717" s="197" t="s">
        <v>252</v>
      </c>
      <c r="G717" s="197" t="s">
        <v>169</v>
      </c>
      <c r="H717" s="197" t="s">
        <v>848</v>
      </c>
      <c r="I717" s="209" t="s">
        <v>848</v>
      </c>
    </row>
    <row r="718" spans="1:12">
      <c r="A718" s="195"/>
      <c r="B718" s="195" t="s">
        <v>206</v>
      </c>
      <c r="C718"/>
      <c r="D718" s="197" t="s">
        <v>51</v>
      </c>
      <c r="E718" s="197" t="s">
        <v>848</v>
      </c>
      <c r="F718" s="197"/>
      <c r="G718" s="197" t="s">
        <v>278</v>
      </c>
      <c r="H718" s="197" t="s">
        <v>848</v>
      </c>
      <c r="I718" s="209" t="s">
        <v>848</v>
      </c>
    </row>
    <row r="719" spans="1:12">
      <c r="A719" s="195"/>
      <c r="B719" s="195" t="s">
        <v>207</v>
      </c>
      <c r="C719"/>
      <c r="D719" s="197"/>
      <c r="E719" s="197" t="s">
        <v>848</v>
      </c>
      <c r="F719" s="197"/>
      <c r="G719" s="197" t="s">
        <v>278</v>
      </c>
      <c r="H719" s="197" t="s">
        <v>848</v>
      </c>
      <c r="I719" s="209" t="s">
        <v>848</v>
      </c>
    </row>
    <row r="720" spans="1:12">
      <c r="A720" s="195"/>
      <c r="B720" s="196" t="s">
        <v>219</v>
      </c>
      <c r="C720"/>
      <c r="D720" s="197"/>
      <c r="E720" s="197" t="s">
        <v>848</v>
      </c>
      <c r="F720" s="197"/>
      <c r="G720" s="197"/>
      <c r="H720" s="197"/>
      <c r="I720" s="209"/>
    </row>
    <row r="721" spans="1:9">
      <c r="A721" s="195"/>
      <c r="B721" s="195" t="s">
        <v>205</v>
      </c>
      <c r="C721"/>
      <c r="D721" s="197"/>
      <c r="E721" s="197" t="s">
        <v>848</v>
      </c>
      <c r="F721" s="197"/>
      <c r="G721" s="197"/>
      <c r="H721" s="197"/>
      <c r="I721" s="209"/>
    </row>
    <row r="722" spans="1:9">
      <c r="A722" s="195"/>
      <c r="B722" s="195" t="s">
        <v>206</v>
      </c>
      <c r="C722"/>
      <c r="D722" s="197"/>
      <c r="E722" s="197"/>
      <c r="F722" s="197"/>
      <c r="G722" s="197"/>
      <c r="H722" s="197"/>
      <c r="I722" s="209"/>
    </row>
    <row r="723" spans="1:9">
      <c r="A723" s="195"/>
      <c r="B723" s="195" t="s">
        <v>207</v>
      </c>
      <c r="C723"/>
      <c r="D723" s="197"/>
      <c r="E723" s="197"/>
      <c r="F723" s="197"/>
      <c r="G723" s="197"/>
      <c r="H723" s="197"/>
      <c r="I723" s="209"/>
    </row>
    <row r="724" spans="1:9">
      <c r="A724" s="195"/>
      <c r="B724" s="196" t="s">
        <v>220</v>
      </c>
      <c r="C724"/>
      <c r="D724" s="197"/>
      <c r="E724" s="197" t="s">
        <v>869</v>
      </c>
      <c r="F724" s="197"/>
      <c r="G724" s="197" t="s">
        <v>881</v>
      </c>
      <c r="H724" s="197"/>
      <c r="I724" s="209"/>
    </row>
    <row r="725" spans="1:9">
      <c r="A725" s="195"/>
      <c r="B725" s="195" t="s">
        <v>205</v>
      </c>
      <c r="C725"/>
      <c r="D725" s="197" t="s">
        <v>129</v>
      </c>
      <c r="E725" s="197" t="s">
        <v>95</v>
      </c>
      <c r="F725" s="197" t="s">
        <v>160</v>
      </c>
      <c r="G725" s="197" t="s">
        <v>56</v>
      </c>
      <c r="H725" s="197" t="s">
        <v>415</v>
      </c>
      <c r="I725" s="209" t="s">
        <v>415</v>
      </c>
    </row>
    <row r="726" spans="1:9">
      <c r="A726" s="195"/>
      <c r="B726" s="195" t="s">
        <v>206</v>
      </c>
      <c r="C726"/>
      <c r="D726" s="197" t="s">
        <v>129</v>
      </c>
      <c r="E726" s="197" t="s">
        <v>95</v>
      </c>
      <c r="F726" s="197" t="s">
        <v>160</v>
      </c>
      <c r="G726" s="197" t="s">
        <v>56</v>
      </c>
      <c r="H726" s="197" t="s">
        <v>415</v>
      </c>
      <c r="I726" s="209" t="s">
        <v>415</v>
      </c>
    </row>
    <row r="727" spans="1:9">
      <c r="A727" s="195"/>
      <c r="B727" s="195" t="s">
        <v>207</v>
      </c>
      <c r="C727"/>
      <c r="D727" s="197" t="s">
        <v>129</v>
      </c>
      <c r="E727" s="197" t="s">
        <v>95</v>
      </c>
      <c r="F727" s="197" t="s">
        <v>160</v>
      </c>
      <c r="G727" s="197" t="s">
        <v>56</v>
      </c>
      <c r="H727" s="197" t="s">
        <v>415</v>
      </c>
      <c r="I727" s="209" t="s">
        <v>415</v>
      </c>
    </row>
    <row r="728" spans="1:9">
      <c r="A728" s="195"/>
      <c r="B728" s="196" t="s">
        <v>222</v>
      </c>
      <c r="C728"/>
      <c r="D728" s="197" t="s">
        <v>129</v>
      </c>
      <c r="E728" s="197" t="s">
        <v>95</v>
      </c>
      <c r="F728" s="197" t="s">
        <v>252</v>
      </c>
      <c r="G728" s="197" t="s">
        <v>56</v>
      </c>
      <c r="H728" s="197" t="s">
        <v>415</v>
      </c>
      <c r="I728" s="209" t="s">
        <v>415</v>
      </c>
    </row>
    <row r="729" spans="1:9">
      <c r="A729" s="195"/>
      <c r="B729" s="195" t="s">
        <v>205</v>
      </c>
      <c r="C729"/>
      <c r="D729" s="197" t="s">
        <v>129</v>
      </c>
      <c r="E729" s="197" t="s">
        <v>95</v>
      </c>
      <c r="F729" s="197" t="s">
        <v>252</v>
      </c>
      <c r="G729" s="197"/>
      <c r="H729" s="197" t="s">
        <v>415</v>
      </c>
      <c r="I729" s="209" t="s">
        <v>415</v>
      </c>
    </row>
    <row r="730" spans="1:9">
      <c r="A730" s="195"/>
      <c r="B730" s="195" t="s">
        <v>206</v>
      </c>
      <c r="C730"/>
      <c r="D730" s="197"/>
      <c r="E730" s="197" t="s">
        <v>95</v>
      </c>
      <c r="F730" s="197" t="s">
        <v>252</v>
      </c>
      <c r="G730" s="197" t="s">
        <v>270</v>
      </c>
      <c r="H730" s="197" t="s">
        <v>415</v>
      </c>
      <c r="I730" s="209" t="s">
        <v>415</v>
      </c>
    </row>
    <row r="731" spans="1:9">
      <c r="A731" s="195"/>
      <c r="B731" s="195" t="s">
        <v>207</v>
      </c>
      <c r="C731"/>
      <c r="D731" s="197" t="s">
        <v>515</v>
      </c>
      <c r="E731" s="197" t="s">
        <v>95</v>
      </c>
      <c r="F731" s="197" t="s">
        <v>252</v>
      </c>
      <c r="G731" s="197" t="s">
        <v>270</v>
      </c>
      <c r="H731" s="197" t="s">
        <v>415</v>
      </c>
      <c r="I731" s="209" t="s">
        <v>415</v>
      </c>
    </row>
    <row r="732" spans="1:9">
      <c r="A732" s="195"/>
      <c r="B732" s="196" t="s">
        <v>223</v>
      </c>
      <c r="C732"/>
      <c r="D732" s="197" t="s">
        <v>515</v>
      </c>
      <c r="E732" s="197" t="s">
        <v>95</v>
      </c>
      <c r="F732" s="197" t="s">
        <v>252</v>
      </c>
      <c r="G732" s="197" t="s">
        <v>270</v>
      </c>
      <c r="H732" s="197" t="s">
        <v>415</v>
      </c>
      <c r="I732" s="209" t="s">
        <v>415</v>
      </c>
    </row>
    <row r="733" spans="1:9">
      <c r="A733" s="195"/>
      <c r="B733" s="195" t="s">
        <v>205</v>
      </c>
      <c r="C733"/>
      <c r="D733" s="197" t="s">
        <v>515</v>
      </c>
      <c r="E733" s="197" t="s">
        <v>95</v>
      </c>
      <c r="F733" s="197" t="s">
        <v>252</v>
      </c>
      <c r="G733" s="197" t="s">
        <v>270</v>
      </c>
      <c r="H733" s="197" t="s">
        <v>415</v>
      </c>
      <c r="I733" s="209" t="s">
        <v>415</v>
      </c>
    </row>
    <row r="734" spans="1:9">
      <c r="A734" s="195"/>
      <c r="B734" s="195" t="s">
        <v>206</v>
      </c>
      <c r="C734"/>
      <c r="D734" s="197" t="s">
        <v>269</v>
      </c>
      <c r="E734" s="197" t="s">
        <v>95</v>
      </c>
      <c r="F734" s="197" t="s">
        <v>395</v>
      </c>
      <c r="G734" s="197" t="s">
        <v>270</v>
      </c>
      <c r="H734" s="197" t="s">
        <v>415</v>
      </c>
      <c r="I734" s="209" t="s">
        <v>415</v>
      </c>
    </row>
    <row r="735" spans="1:9">
      <c r="A735" s="195"/>
      <c r="B735" s="195" t="s">
        <v>207</v>
      </c>
      <c r="C735"/>
      <c r="D735" s="197" t="s">
        <v>269</v>
      </c>
      <c r="E735" s="197" t="s">
        <v>95</v>
      </c>
      <c r="F735" s="197" t="s">
        <v>395</v>
      </c>
      <c r="G735" s="197" t="s">
        <v>270</v>
      </c>
      <c r="H735" s="197" t="s">
        <v>415</v>
      </c>
      <c r="I735" s="209" t="s">
        <v>415</v>
      </c>
    </row>
    <row r="736" spans="1:9">
      <c r="A736" s="195"/>
      <c r="B736" s="196" t="s">
        <v>225</v>
      </c>
      <c r="C736"/>
      <c r="D736" s="197" t="s">
        <v>237</v>
      </c>
      <c r="E736" s="197" t="s">
        <v>95</v>
      </c>
      <c r="F736" s="197" t="s">
        <v>395</v>
      </c>
      <c r="G736" s="197" t="s">
        <v>270</v>
      </c>
      <c r="H736" s="197" t="s">
        <v>415</v>
      </c>
      <c r="I736" s="209" t="s">
        <v>415</v>
      </c>
    </row>
    <row r="737" spans="1:12">
      <c r="A737" s="195"/>
      <c r="B737" s="195" t="s">
        <v>205</v>
      </c>
      <c r="C737"/>
      <c r="D737" s="197" t="s">
        <v>237</v>
      </c>
      <c r="E737" s="197" t="s">
        <v>95</v>
      </c>
      <c r="F737" s="197" t="s">
        <v>395</v>
      </c>
      <c r="G737" s="197" t="s">
        <v>270</v>
      </c>
      <c r="H737" s="197" t="s">
        <v>415</v>
      </c>
      <c r="I737" s="209" t="s">
        <v>415</v>
      </c>
    </row>
    <row r="738" spans="1:12">
      <c r="A738" s="195"/>
      <c r="B738" s="195" t="s">
        <v>206</v>
      </c>
      <c r="C738"/>
      <c r="D738" s="197" t="s">
        <v>236</v>
      </c>
      <c r="E738" s="197"/>
      <c r="F738" s="197"/>
      <c r="G738" s="197" t="s">
        <v>270</v>
      </c>
      <c r="H738" s="197" t="s">
        <v>415</v>
      </c>
      <c r="I738" s="209" t="s">
        <v>415</v>
      </c>
    </row>
    <row r="739" spans="1:12">
      <c r="A739" s="195"/>
      <c r="B739" s="195" t="s">
        <v>207</v>
      </c>
      <c r="C739"/>
      <c r="D739" s="197" t="s">
        <v>193</v>
      </c>
      <c r="E739" s="197"/>
      <c r="F739" s="197"/>
      <c r="G739" s="197" t="s">
        <v>270</v>
      </c>
      <c r="H739" s="197" t="s">
        <v>415</v>
      </c>
      <c r="I739" s="209" t="s">
        <v>415</v>
      </c>
    </row>
    <row r="740" spans="1:12">
      <c r="A740" s="195"/>
      <c r="B740" s="196" t="s">
        <v>226</v>
      </c>
      <c r="C740"/>
      <c r="D740" s="197"/>
      <c r="E740" s="197"/>
      <c r="F740" s="197"/>
      <c r="G740" s="197"/>
      <c r="H740" s="209"/>
      <c r="I740" s="209"/>
    </row>
    <row r="741" spans="1:12">
      <c r="A741" s="195"/>
      <c r="B741" s="195" t="s">
        <v>205</v>
      </c>
      <c r="C741"/>
      <c r="D741" s="197"/>
      <c r="E741" s="197"/>
      <c r="F741" s="197"/>
      <c r="G741" s="197"/>
      <c r="H741" s="209"/>
      <c r="I741" s="209"/>
    </row>
    <row r="742" spans="1:12">
      <c r="A742" s="195"/>
      <c r="B742" s="195" t="s">
        <v>206</v>
      </c>
      <c r="C742"/>
      <c r="D742" s="197"/>
      <c r="E742" s="197"/>
      <c r="F742" s="197"/>
      <c r="G742" s="197"/>
      <c r="H742" s="209"/>
      <c r="I742" s="209"/>
    </row>
    <row r="743" spans="1:12">
      <c r="A743" s="195"/>
      <c r="B743" s="195" t="s">
        <v>207</v>
      </c>
      <c r="C743"/>
      <c r="D743" s="197"/>
      <c r="E743" s="197"/>
      <c r="F743" s="197"/>
      <c r="G743" s="197"/>
      <c r="H743" s="209"/>
      <c r="I743" s="209"/>
    </row>
    <row r="744" spans="1:12">
      <c r="A744" s="195"/>
      <c r="B744" s="196" t="s">
        <v>227</v>
      </c>
      <c r="C744"/>
      <c r="D744" s="197"/>
      <c r="E744" s="197"/>
      <c r="F744" s="197"/>
      <c r="G744" s="197"/>
      <c r="H744" s="209"/>
      <c r="I744" s="209"/>
      <c r="K744"/>
    </row>
    <row r="745" spans="1:12" ht="29.25" thickBot="1">
      <c r="A745" s="182" t="str">
        <f>"回収シフト  第"&amp;ROUNDUP(DAY(B748)/7,0)  &amp;"  "&amp;TEXT(B748,"aaaa")</f>
        <v>回収シフト  第3  金曜日</v>
      </c>
      <c r="B745" s="183"/>
      <c r="C745" s="183"/>
      <c r="D745" s="183"/>
      <c r="E745" s="183"/>
      <c r="F745" s="183"/>
      <c r="G745" s="184"/>
      <c r="H745" s="184"/>
      <c r="I745" s="184"/>
      <c r="K745" s="183"/>
      <c r="L745" s="183"/>
    </row>
    <row r="746" spans="1:12" ht="15.75" thickBot="1">
      <c r="A746"/>
      <c r="B746"/>
      <c r="C746"/>
      <c r="D746" s="186" t="s">
        <v>201</v>
      </c>
      <c r="E746" s="186" t="s">
        <v>202</v>
      </c>
      <c r="F746" s="186" t="s">
        <v>203</v>
      </c>
      <c r="G746" s="186" t="s">
        <v>204</v>
      </c>
      <c r="H746" s="186" t="s">
        <v>267</v>
      </c>
      <c r="I746" s="217" t="s">
        <v>267</v>
      </c>
      <c r="K746" s="230" t="s">
        <v>257</v>
      </c>
      <c r="L746" s="231"/>
    </row>
    <row r="747" spans="1:12">
      <c r="A747" s="187"/>
      <c r="B747" s="188">
        <v>46119</v>
      </c>
      <c r="C747" s="187"/>
      <c r="D747" s="189" t="s">
        <v>859</v>
      </c>
      <c r="E747" s="189" t="s">
        <v>248</v>
      </c>
      <c r="F747" s="189" t="s">
        <v>882</v>
      </c>
      <c r="G747" s="189" t="s">
        <v>883</v>
      </c>
      <c r="H747" s="189" t="s">
        <v>852</v>
      </c>
      <c r="I747" s="218" t="s">
        <v>852</v>
      </c>
      <c r="K747" s="232" t="s">
        <v>258</v>
      </c>
      <c r="L747" s="190" t="str">
        <f ca="1">_xlfn.XLOOKUP($B748,シフト抽出!$19:$19,シフト抽出!$20:$20,"該当なし",0,1)</f>
        <v/>
      </c>
    </row>
    <row r="748" spans="1:12" ht="19.5" thickBot="1">
      <c r="A748"/>
      <c r="B748" s="191">
        <f>B695+1</f>
        <v>46129</v>
      </c>
      <c r="C748" s="192"/>
      <c r="D748" s="193"/>
      <c r="E748" s="193"/>
      <c r="F748" s="193"/>
      <c r="G748" s="193"/>
      <c r="H748" s="193"/>
      <c r="I748" s="219"/>
      <c r="K748" s="233"/>
      <c r="L748" s="194" t="str">
        <f ca="1">_xlfn.XLOOKUP($B748,シフト抽出!$19:$19,シフト抽出!$21:$21,"該当なし",0,1)</f>
        <v/>
      </c>
    </row>
    <row r="749" spans="1:12">
      <c r="A749" s="195"/>
      <c r="B749" s="196">
        <v>0.25</v>
      </c>
      <c r="C749"/>
      <c r="D749" s="197"/>
      <c r="E749" s="196"/>
      <c r="F749" s="197"/>
      <c r="G749" s="197"/>
      <c r="H749" s="197"/>
      <c r="I749" s="209"/>
      <c r="K749" s="234" t="s">
        <v>259</v>
      </c>
      <c r="L749" s="198" t="str">
        <f ca="1">_xlfn.XLOOKUP($B748,シフト抽出!$19:$19,シフト抽出!$23:$23,"該当なし",0,1)</f>
        <v/>
      </c>
    </row>
    <row r="750" spans="1:12" ht="15.75" thickBot="1">
      <c r="A750" s="195"/>
      <c r="B750" s="195" t="s">
        <v>205</v>
      </c>
      <c r="C750"/>
      <c r="D750" s="197"/>
      <c r="E750" s="197"/>
      <c r="F750" s="197"/>
      <c r="G750" s="197"/>
      <c r="H750" s="197"/>
      <c r="I750" s="209"/>
      <c r="K750" s="235"/>
      <c r="L750" s="199" t="str">
        <f ca="1">_xlfn.XLOOKUP($B748,シフト抽出!$19:$19,シフト抽出!$24:$24,"該当なし",0,1)</f>
        <v/>
      </c>
    </row>
    <row r="751" spans="1:12">
      <c r="A751" s="195"/>
      <c r="B751" s="195" t="s">
        <v>206</v>
      </c>
      <c r="C751"/>
      <c r="D751" s="197" t="s">
        <v>238</v>
      </c>
      <c r="E751" s="197"/>
      <c r="F751" s="197"/>
      <c r="G751" s="197"/>
      <c r="H751" s="197"/>
      <c r="I751" s="209"/>
      <c r="K751" s="224" t="s">
        <v>260</v>
      </c>
      <c r="L751" s="200" t="str">
        <f ca="1">_xlfn.XLOOKUP($B748,シフト抽出!$19:$19,シフト抽出!$26:$26,"該当なし",0,1)</f>
        <v/>
      </c>
    </row>
    <row r="752" spans="1:12">
      <c r="A752" s="195"/>
      <c r="B752" s="195" t="s">
        <v>207</v>
      </c>
      <c r="C752"/>
      <c r="D752" s="197" t="s">
        <v>238</v>
      </c>
      <c r="E752" s="197"/>
      <c r="F752" s="197"/>
      <c r="G752" s="197"/>
      <c r="H752" s="197"/>
      <c r="I752" s="209"/>
      <c r="K752" s="225"/>
      <c r="L752" s="201" t="str">
        <f ca="1">_xlfn.XLOOKUP($B748,シフト抽出!$19:$19,シフト抽出!$27:$27,"該当なし",0,1)</f>
        <v/>
      </c>
    </row>
    <row r="753" spans="1:12">
      <c r="A753" s="195"/>
      <c r="B753" s="202" t="s">
        <v>208</v>
      </c>
      <c r="C753"/>
      <c r="D753" s="197" t="s">
        <v>238</v>
      </c>
      <c r="E753" s="197" t="s">
        <v>4</v>
      </c>
      <c r="F753" s="197" t="s">
        <v>851</v>
      </c>
      <c r="G753" s="197" t="s">
        <v>22</v>
      </c>
      <c r="H753" s="197"/>
      <c r="I753" s="209"/>
      <c r="J753" s="203"/>
      <c r="K753" s="225"/>
      <c r="L753" s="201" t="str">
        <f ca="1">_xlfn.XLOOKUP($B748,シフト抽出!$19:$19,シフト抽出!$28:$28,"該当なし",0,1)</f>
        <v/>
      </c>
    </row>
    <row r="754" spans="1:12" ht="15.75" thickBot="1">
      <c r="A754" s="195"/>
      <c r="B754" s="195" t="s">
        <v>205</v>
      </c>
      <c r="C754"/>
      <c r="D754" s="197" t="s">
        <v>238</v>
      </c>
      <c r="E754" s="197" t="s">
        <v>420</v>
      </c>
      <c r="F754" s="197" t="s">
        <v>851</v>
      </c>
      <c r="G754" s="197" t="s">
        <v>22</v>
      </c>
      <c r="H754" s="197"/>
      <c r="I754" s="209"/>
      <c r="J754" s="203"/>
      <c r="K754" s="226"/>
      <c r="L754" s="204" t="str">
        <f ca="1">_xlfn.XLOOKUP($B748,シフト抽出!$19:$19,シフト抽出!$29:$29,"該当なし",0,1)</f>
        <v/>
      </c>
    </row>
    <row r="755" spans="1:12" ht="15.75" thickBot="1">
      <c r="A755" s="195"/>
      <c r="B755" s="195" t="s">
        <v>206</v>
      </c>
      <c r="C755"/>
      <c r="D755" s="197" t="s">
        <v>238</v>
      </c>
      <c r="E755" s="197" t="s">
        <v>420</v>
      </c>
      <c r="F755" s="197" t="s">
        <v>851</v>
      </c>
      <c r="G755" s="197" t="s">
        <v>788</v>
      </c>
      <c r="H755" s="197"/>
      <c r="I755" s="209"/>
      <c r="K755" s="205" t="s">
        <v>261</v>
      </c>
      <c r="L755" s="205">
        <f>_xlfn.XLOOKUP($B748,予定表!B:B,予定表!R:R,"該当なし",0,1)</f>
        <v>0</v>
      </c>
    </row>
    <row r="756" spans="1:12">
      <c r="A756" s="195"/>
      <c r="B756" s="195" t="s">
        <v>207</v>
      </c>
      <c r="C756"/>
      <c r="D756" s="197" t="s">
        <v>238</v>
      </c>
      <c r="E756" s="197" t="s">
        <v>420</v>
      </c>
      <c r="F756" s="197" t="s">
        <v>851</v>
      </c>
      <c r="G756" s="197" t="s">
        <v>788</v>
      </c>
      <c r="H756" s="197"/>
      <c r="I756" s="209"/>
      <c r="K756" s="227" t="s">
        <v>262</v>
      </c>
      <c r="L756" s="206" t="str">
        <f>_xlfn.XLOOKUP($B748,予定表!$B:$B,予定表!E:E,"該当なし",0,1)</f>
        <v>ジャクソン</v>
      </c>
    </row>
    <row r="757" spans="1:12">
      <c r="A757" s="195"/>
      <c r="B757" s="196" t="s">
        <v>209</v>
      </c>
      <c r="C757"/>
      <c r="D757" s="197"/>
      <c r="E757" s="197" t="s">
        <v>420</v>
      </c>
      <c r="F757" s="197" t="s">
        <v>851</v>
      </c>
      <c r="G757" s="197" t="s">
        <v>268</v>
      </c>
      <c r="H757" s="197" t="s">
        <v>4</v>
      </c>
      <c r="I757" s="209" t="s">
        <v>4</v>
      </c>
      <c r="K757" s="228"/>
      <c r="L757" s="207">
        <f>_xlfn.XLOOKUP($B748,予定表!$B:$B,予定表!F:F,"該当なし",0,1)</f>
        <v>0</v>
      </c>
    </row>
    <row r="758" spans="1:12">
      <c r="A758" s="195"/>
      <c r="B758" s="195" t="s">
        <v>205</v>
      </c>
      <c r="C758"/>
      <c r="D758" s="197" t="s">
        <v>264</v>
      </c>
      <c r="E758" s="197" t="s">
        <v>420</v>
      </c>
      <c r="F758" s="197"/>
      <c r="G758" s="197" t="s">
        <v>268</v>
      </c>
      <c r="H758" s="197" t="s">
        <v>60</v>
      </c>
      <c r="I758" s="209" t="s">
        <v>60</v>
      </c>
      <c r="K758" s="228"/>
      <c r="L758" s="207" t="str">
        <f>_xlfn.XLOOKUP($B748,予定表!$B:$B,予定表!G:G,"該当なし",0,1)</f>
        <v>富士ロジ三田</v>
      </c>
    </row>
    <row r="759" spans="1:12">
      <c r="A759" s="195"/>
      <c r="B759" s="195" t="s">
        <v>206</v>
      </c>
      <c r="C759"/>
      <c r="D759" s="197" t="s">
        <v>239</v>
      </c>
      <c r="E759" s="197" t="s">
        <v>414</v>
      </c>
      <c r="F759" s="197" t="s">
        <v>111</v>
      </c>
      <c r="G759" s="197" t="s">
        <v>268</v>
      </c>
      <c r="H759" s="197" t="s">
        <v>60</v>
      </c>
      <c r="I759" s="209" t="s">
        <v>60</v>
      </c>
      <c r="K759" s="228"/>
      <c r="L759" s="207">
        <f>_xlfn.XLOOKUP($B748,予定表!$B:$B,予定表!H:H,"該当なし",0,1)</f>
        <v>0</v>
      </c>
    </row>
    <row r="760" spans="1:12">
      <c r="A760" s="195"/>
      <c r="B760" s="195" t="s">
        <v>207</v>
      </c>
      <c r="C760"/>
      <c r="D760" s="197" t="s">
        <v>425</v>
      </c>
      <c r="E760" s="197" t="s">
        <v>414</v>
      </c>
      <c r="F760" s="197" t="s">
        <v>111</v>
      </c>
      <c r="G760" s="197" t="s">
        <v>268</v>
      </c>
      <c r="H760" s="197" t="s">
        <v>60</v>
      </c>
      <c r="I760" s="209" t="s">
        <v>60</v>
      </c>
      <c r="K760" s="228"/>
      <c r="L760" s="207" t="str">
        <f>_xlfn.XLOOKUP($B748,予定表!$B:$B,予定表!I:I,"該当なし",0,1)</f>
        <v/>
      </c>
    </row>
    <row r="761" spans="1:12">
      <c r="A761" s="195"/>
      <c r="B761" s="196" t="s">
        <v>212</v>
      </c>
      <c r="C761"/>
      <c r="D761" s="197" t="s">
        <v>240</v>
      </c>
      <c r="E761" s="197" t="s">
        <v>414</v>
      </c>
      <c r="F761" s="197" t="s">
        <v>111</v>
      </c>
      <c r="G761" s="197" t="s">
        <v>268</v>
      </c>
      <c r="H761" s="197"/>
      <c r="I761" s="209"/>
      <c r="K761" s="228"/>
      <c r="L761" s="207" t="str">
        <f>_xlfn.XLOOKUP($B748,予定表!$B:$B,予定表!J:J,"該当なし",0,1)</f>
        <v/>
      </c>
    </row>
    <row r="762" spans="1:12">
      <c r="A762" s="195"/>
      <c r="B762" s="195" t="s">
        <v>205</v>
      </c>
      <c r="C762"/>
      <c r="D762" s="197" t="s">
        <v>240</v>
      </c>
      <c r="E762" s="197" t="s">
        <v>414</v>
      </c>
      <c r="F762" s="197" t="s">
        <v>111</v>
      </c>
      <c r="G762" s="197" t="s">
        <v>268</v>
      </c>
      <c r="H762" s="197" t="s">
        <v>848</v>
      </c>
      <c r="I762" s="209" t="s">
        <v>848</v>
      </c>
      <c r="K762" s="228"/>
      <c r="L762" s="207" t="str">
        <f>_xlfn.XLOOKUP($B748,予定表!$B:$B,予定表!K:K,"該当なし",0,1)</f>
        <v/>
      </c>
    </row>
    <row r="763" spans="1:12">
      <c r="A763" s="195"/>
      <c r="B763" s="195" t="s">
        <v>206</v>
      </c>
      <c r="C763"/>
      <c r="D763" s="197" t="s">
        <v>214</v>
      </c>
      <c r="E763" s="197" t="s">
        <v>854</v>
      </c>
      <c r="F763" s="197" t="s">
        <v>111</v>
      </c>
      <c r="G763" s="197" t="s">
        <v>515</v>
      </c>
      <c r="H763" s="197" t="s">
        <v>848</v>
      </c>
      <c r="I763" s="209" t="s">
        <v>848</v>
      </c>
      <c r="K763" s="228"/>
      <c r="L763" s="207" t="str">
        <f>_xlfn.XLOOKUP($B748,予定表!$B:$B,予定表!L:L,"該当なし",0,1)</f>
        <v/>
      </c>
    </row>
    <row r="764" spans="1:12" ht="15.75" thickBot="1">
      <c r="A764" s="195"/>
      <c r="B764" s="195" t="s">
        <v>207</v>
      </c>
      <c r="C764"/>
      <c r="D764" s="197" t="s">
        <v>214</v>
      </c>
      <c r="E764" s="197" t="s">
        <v>854</v>
      </c>
      <c r="F764" s="197" t="s">
        <v>111</v>
      </c>
      <c r="G764" s="197" t="s">
        <v>515</v>
      </c>
      <c r="H764" s="197" t="s">
        <v>848</v>
      </c>
      <c r="I764" s="209" t="s">
        <v>848</v>
      </c>
      <c r="K764" s="229"/>
      <c r="L764" s="204" t="str">
        <f>_xlfn.XLOOKUP($A745,ﾘｽﾄマスタ!$U$8:$U$17,ﾘｽﾄマスタ!$V$8:$V$17,"",0)</f>
        <v>LIXIL厚木</v>
      </c>
    </row>
    <row r="765" spans="1:12" ht="15.75" thickBot="1">
      <c r="A765" s="195"/>
      <c r="B765" s="196" t="s">
        <v>251</v>
      </c>
      <c r="C765"/>
      <c r="D765" s="197" t="s">
        <v>214</v>
      </c>
      <c r="E765" s="197" t="s">
        <v>854</v>
      </c>
      <c r="F765" s="197"/>
      <c r="G765" s="197" t="s">
        <v>515</v>
      </c>
      <c r="H765" s="197" t="s">
        <v>848</v>
      </c>
      <c r="I765" s="209" t="s">
        <v>848</v>
      </c>
      <c r="K765" s="208" t="s">
        <v>277</v>
      </c>
      <c r="L765" s="208" t="str">
        <f ca="1">_xlfn.XLOOKUP($B748,シフト抽出!$19:$19,シフト抽出!$30:$30,"該当なし",0,1)</f>
        <v/>
      </c>
    </row>
    <row r="766" spans="1:12">
      <c r="A766" s="195"/>
      <c r="B766" s="195" t="s">
        <v>205</v>
      </c>
      <c r="C766"/>
      <c r="D766" s="197" t="s">
        <v>214</v>
      </c>
      <c r="E766" s="197" t="s">
        <v>854</v>
      </c>
      <c r="F766" s="197"/>
      <c r="G766" s="197" t="s">
        <v>269</v>
      </c>
      <c r="H766" s="197" t="s">
        <v>848</v>
      </c>
      <c r="I766" s="209" t="s">
        <v>848</v>
      </c>
    </row>
    <row r="767" spans="1:12">
      <c r="A767" s="195"/>
      <c r="B767" s="195" t="s">
        <v>206</v>
      </c>
      <c r="C767"/>
      <c r="D767" s="197" t="s">
        <v>353</v>
      </c>
      <c r="E767" s="197" t="s">
        <v>216</v>
      </c>
      <c r="F767" s="197"/>
      <c r="G767" s="197" t="s">
        <v>269</v>
      </c>
      <c r="H767" s="197" t="s">
        <v>848</v>
      </c>
      <c r="I767" s="209" t="s">
        <v>848</v>
      </c>
    </row>
    <row r="768" spans="1:12">
      <c r="A768" s="195"/>
      <c r="B768" s="195" t="s">
        <v>207</v>
      </c>
      <c r="C768"/>
      <c r="D768" s="197" t="s">
        <v>353</v>
      </c>
      <c r="E768" s="197" t="s">
        <v>216</v>
      </c>
      <c r="F768" s="197"/>
      <c r="G768" s="197" t="s">
        <v>446</v>
      </c>
      <c r="H768" s="197" t="s">
        <v>848</v>
      </c>
      <c r="I768" s="209" t="s">
        <v>848</v>
      </c>
    </row>
    <row r="769" spans="1:9">
      <c r="A769" s="195"/>
      <c r="B769" s="196" t="s">
        <v>217</v>
      </c>
      <c r="C769"/>
      <c r="D769" s="197" t="s">
        <v>353</v>
      </c>
      <c r="E769" s="197" t="s">
        <v>216</v>
      </c>
      <c r="F769" s="197"/>
      <c r="G769" s="197" t="s">
        <v>446</v>
      </c>
      <c r="H769" s="197" t="s">
        <v>848</v>
      </c>
      <c r="I769" s="209" t="s">
        <v>848</v>
      </c>
    </row>
    <row r="770" spans="1:9">
      <c r="A770" s="195"/>
      <c r="B770" s="195" t="s">
        <v>205</v>
      </c>
      <c r="C770"/>
      <c r="D770" s="197" t="s">
        <v>761</v>
      </c>
      <c r="E770" s="197" t="s">
        <v>216</v>
      </c>
      <c r="F770" s="197"/>
      <c r="G770" s="197" t="s">
        <v>114</v>
      </c>
      <c r="H770" s="197" t="s">
        <v>848</v>
      </c>
      <c r="I770" s="209" t="s">
        <v>848</v>
      </c>
    </row>
    <row r="771" spans="1:9">
      <c r="A771" s="195"/>
      <c r="B771" s="195" t="s">
        <v>206</v>
      </c>
      <c r="C771"/>
      <c r="D771" s="197" t="s">
        <v>761</v>
      </c>
      <c r="E771" s="197" t="s">
        <v>216</v>
      </c>
      <c r="F771" s="197"/>
      <c r="G771" s="197" t="s">
        <v>114</v>
      </c>
      <c r="H771" s="197" t="s">
        <v>848</v>
      </c>
      <c r="I771" s="209" t="s">
        <v>848</v>
      </c>
    </row>
    <row r="772" spans="1:9">
      <c r="A772" s="195"/>
      <c r="B772" s="195" t="s">
        <v>207</v>
      </c>
      <c r="C772"/>
      <c r="D772" s="197" t="s">
        <v>761</v>
      </c>
      <c r="E772" s="197" t="s">
        <v>216</v>
      </c>
      <c r="F772" s="197"/>
      <c r="G772" s="197" t="s">
        <v>51</v>
      </c>
      <c r="H772" s="197"/>
      <c r="I772" s="209"/>
    </row>
    <row r="773" spans="1:9">
      <c r="A773" s="195"/>
      <c r="B773" s="196" t="s">
        <v>219</v>
      </c>
      <c r="C773"/>
      <c r="D773" s="197"/>
      <c r="E773" s="197" t="s">
        <v>216</v>
      </c>
      <c r="F773" s="197"/>
      <c r="G773" s="197" t="s">
        <v>51</v>
      </c>
      <c r="H773" s="197"/>
      <c r="I773" s="209"/>
    </row>
    <row r="774" spans="1:9">
      <c r="A774" s="195"/>
      <c r="B774" s="195" t="s">
        <v>205</v>
      </c>
      <c r="C774"/>
      <c r="D774" s="197"/>
      <c r="E774" s="197"/>
      <c r="F774" s="197"/>
      <c r="G774" s="197" t="s">
        <v>51</v>
      </c>
      <c r="H774" s="197"/>
      <c r="I774" s="209"/>
    </row>
    <row r="775" spans="1:9">
      <c r="A775" s="195"/>
      <c r="B775" s="195" t="s">
        <v>206</v>
      </c>
      <c r="C775"/>
      <c r="D775" s="197"/>
      <c r="E775" s="197"/>
      <c r="F775" s="197"/>
      <c r="G775" s="197"/>
      <c r="H775" s="197" t="s">
        <v>884</v>
      </c>
      <c r="I775" s="209" t="s">
        <v>884</v>
      </c>
    </row>
    <row r="776" spans="1:9">
      <c r="A776" s="195"/>
      <c r="B776" s="195" t="s">
        <v>207</v>
      </c>
      <c r="C776"/>
      <c r="D776" s="197"/>
      <c r="E776" s="197"/>
      <c r="F776" s="197"/>
      <c r="G776" s="197"/>
      <c r="H776" s="197" t="s">
        <v>884</v>
      </c>
      <c r="I776" s="209" t="s">
        <v>884</v>
      </c>
    </row>
    <row r="777" spans="1:9">
      <c r="A777" s="195"/>
      <c r="B777" s="196" t="s">
        <v>220</v>
      </c>
      <c r="C777"/>
      <c r="D777" s="197"/>
      <c r="E777" s="197"/>
      <c r="F777" s="197"/>
      <c r="G777" s="197"/>
      <c r="H777" s="197" t="s">
        <v>231</v>
      </c>
      <c r="I777" s="209" t="s">
        <v>231</v>
      </c>
    </row>
    <row r="778" spans="1:9">
      <c r="A778" s="195"/>
      <c r="B778" s="195" t="s">
        <v>205</v>
      </c>
      <c r="C778"/>
      <c r="D778" s="197" t="s">
        <v>224</v>
      </c>
      <c r="E778" s="197" t="s">
        <v>273</v>
      </c>
      <c r="F778" s="197" t="s">
        <v>850</v>
      </c>
      <c r="G778" s="197" t="s">
        <v>56</v>
      </c>
      <c r="H778" s="197" t="s">
        <v>231</v>
      </c>
      <c r="I778" s="209" t="s">
        <v>231</v>
      </c>
    </row>
    <row r="779" spans="1:9">
      <c r="A779" s="195"/>
      <c r="B779" s="195" t="s">
        <v>206</v>
      </c>
      <c r="C779"/>
      <c r="D779" s="197" t="s">
        <v>224</v>
      </c>
      <c r="E779" s="197" t="s">
        <v>273</v>
      </c>
      <c r="F779" s="197" t="s">
        <v>759</v>
      </c>
      <c r="G779" s="197" t="s">
        <v>56</v>
      </c>
      <c r="H779" s="197" t="s">
        <v>211</v>
      </c>
      <c r="I779" s="209" t="s">
        <v>211</v>
      </c>
    </row>
    <row r="780" spans="1:9">
      <c r="A780" s="195"/>
      <c r="B780" s="195" t="s">
        <v>207</v>
      </c>
      <c r="C780"/>
      <c r="D780" s="197" t="s">
        <v>224</v>
      </c>
      <c r="E780" s="197" t="s">
        <v>273</v>
      </c>
      <c r="F780" s="197" t="s">
        <v>759</v>
      </c>
      <c r="G780" s="197" t="s">
        <v>56</v>
      </c>
      <c r="H780" s="197" t="s">
        <v>211</v>
      </c>
      <c r="I780" s="209" t="s">
        <v>211</v>
      </c>
    </row>
    <row r="781" spans="1:9">
      <c r="A781" s="195"/>
      <c r="B781" s="196" t="s">
        <v>222</v>
      </c>
      <c r="C781"/>
      <c r="D781" s="197" t="s">
        <v>88</v>
      </c>
      <c r="E781" s="197" t="s">
        <v>266</v>
      </c>
      <c r="F781" s="197" t="s">
        <v>759</v>
      </c>
      <c r="G781" s="197"/>
      <c r="H781" s="197"/>
      <c r="I781" s="209"/>
    </row>
    <row r="782" spans="1:9">
      <c r="A782" s="195"/>
      <c r="B782" s="195" t="s">
        <v>205</v>
      </c>
      <c r="C782"/>
      <c r="D782" s="197" t="s">
        <v>280</v>
      </c>
      <c r="E782" s="197" t="s">
        <v>266</v>
      </c>
      <c r="F782" s="197" t="s">
        <v>759</v>
      </c>
      <c r="G782" s="197" t="s">
        <v>270</v>
      </c>
      <c r="H782" s="197" t="s">
        <v>856</v>
      </c>
      <c r="I782" s="209" t="s">
        <v>856</v>
      </c>
    </row>
    <row r="783" spans="1:9">
      <c r="A783" s="195"/>
      <c r="B783" s="195" t="s">
        <v>206</v>
      </c>
      <c r="C783"/>
      <c r="D783" s="197" t="s">
        <v>160</v>
      </c>
      <c r="E783" s="197" t="s">
        <v>266</v>
      </c>
      <c r="F783" s="197" t="s">
        <v>759</v>
      </c>
      <c r="G783" s="197" t="s">
        <v>270</v>
      </c>
      <c r="H783" s="197" t="s">
        <v>856</v>
      </c>
      <c r="I783" s="209" t="s">
        <v>856</v>
      </c>
    </row>
    <row r="784" spans="1:9">
      <c r="A784" s="195"/>
      <c r="B784" s="195" t="s">
        <v>207</v>
      </c>
      <c r="C784"/>
      <c r="D784" s="197" t="s">
        <v>215</v>
      </c>
      <c r="E784" s="197" t="s">
        <v>266</v>
      </c>
      <c r="F784" s="197" t="s">
        <v>759</v>
      </c>
      <c r="G784" s="197" t="s">
        <v>270</v>
      </c>
      <c r="H784" s="197" t="s">
        <v>856</v>
      </c>
      <c r="I784" s="209" t="s">
        <v>856</v>
      </c>
    </row>
    <row r="785" spans="1:12">
      <c r="A785" s="195"/>
      <c r="B785" s="196" t="s">
        <v>223</v>
      </c>
      <c r="C785"/>
      <c r="D785" s="197" t="s">
        <v>423</v>
      </c>
      <c r="E785" s="197" t="s">
        <v>252</v>
      </c>
      <c r="F785" s="197" t="s">
        <v>759</v>
      </c>
      <c r="G785" s="197" t="s">
        <v>270</v>
      </c>
      <c r="H785" s="197" t="s">
        <v>856</v>
      </c>
      <c r="I785" s="209" t="s">
        <v>856</v>
      </c>
    </row>
    <row r="786" spans="1:12">
      <c r="A786" s="195"/>
      <c r="B786" s="195" t="s">
        <v>205</v>
      </c>
      <c r="C786"/>
      <c r="D786" s="197" t="s">
        <v>588</v>
      </c>
      <c r="E786" s="197" t="s">
        <v>252</v>
      </c>
      <c r="F786" s="197" t="s">
        <v>62</v>
      </c>
      <c r="G786" s="197" t="s">
        <v>270</v>
      </c>
      <c r="H786" s="197" t="s">
        <v>856</v>
      </c>
      <c r="I786" s="209" t="s">
        <v>856</v>
      </c>
    </row>
    <row r="787" spans="1:12">
      <c r="A787" s="195"/>
      <c r="B787" s="195" t="s">
        <v>206</v>
      </c>
      <c r="C787"/>
      <c r="D787" s="197" t="s">
        <v>127</v>
      </c>
      <c r="E787" s="197" t="s">
        <v>252</v>
      </c>
      <c r="F787" s="197" t="s">
        <v>62</v>
      </c>
      <c r="G787" s="197" t="s">
        <v>270</v>
      </c>
      <c r="H787" s="197" t="s">
        <v>856</v>
      </c>
      <c r="I787" s="209" t="s">
        <v>856</v>
      </c>
    </row>
    <row r="788" spans="1:12">
      <c r="A788" s="195"/>
      <c r="B788" s="195" t="s">
        <v>207</v>
      </c>
      <c r="C788"/>
      <c r="D788" s="197"/>
      <c r="E788" s="197" t="s">
        <v>252</v>
      </c>
      <c r="F788" s="197" t="s">
        <v>62</v>
      </c>
      <c r="G788" s="197" t="s">
        <v>270</v>
      </c>
      <c r="H788" s="197" t="s">
        <v>856</v>
      </c>
      <c r="I788" s="209" t="s">
        <v>856</v>
      </c>
    </row>
    <row r="789" spans="1:12">
      <c r="A789" s="195"/>
      <c r="B789" s="196" t="s">
        <v>225</v>
      </c>
      <c r="C789"/>
      <c r="D789" s="197"/>
      <c r="E789" s="197" t="s">
        <v>252</v>
      </c>
      <c r="F789" s="197" t="s">
        <v>62</v>
      </c>
      <c r="G789" s="197" t="s">
        <v>270</v>
      </c>
      <c r="H789" s="197" t="s">
        <v>415</v>
      </c>
      <c r="I789" s="209" t="s">
        <v>415</v>
      </c>
    </row>
    <row r="790" spans="1:12">
      <c r="A790" s="195"/>
      <c r="B790" s="195" t="s">
        <v>205</v>
      </c>
      <c r="C790"/>
      <c r="D790" s="197"/>
      <c r="E790" s="197" t="s">
        <v>252</v>
      </c>
      <c r="F790" s="197" t="s">
        <v>62</v>
      </c>
      <c r="G790" s="197" t="s">
        <v>270</v>
      </c>
      <c r="H790" s="209" t="s">
        <v>415</v>
      </c>
      <c r="I790" s="209" t="s">
        <v>415</v>
      </c>
    </row>
    <row r="791" spans="1:12">
      <c r="A791" s="195"/>
      <c r="B791" s="195" t="s">
        <v>206</v>
      </c>
      <c r="C791"/>
      <c r="D791" s="197"/>
      <c r="E791" s="197" t="s">
        <v>252</v>
      </c>
      <c r="F791" s="197" t="s">
        <v>62</v>
      </c>
      <c r="G791" s="197" t="s">
        <v>270</v>
      </c>
      <c r="H791" s="209" t="s">
        <v>415</v>
      </c>
      <c r="I791" s="209" t="s">
        <v>415</v>
      </c>
    </row>
    <row r="792" spans="1:12">
      <c r="A792" s="195"/>
      <c r="B792" s="195" t="s">
        <v>207</v>
      </c>
      <c r="C792"/>
      <c r="D792" s="197"/>
      <c r="E792" s="197" t="s">
        <v>252</v>
      </c>
      <c r="F792" s="197" t="s">
        <v>62</v>
      </c>
      <c r="G792" s="197" t="s">
        <v>270</v>
      </c>
      <c r="H792" s="209" t="s">
        <v>415</v>
      </c>
      <c r="I792" s="209" t="s">
        <v>415</v>
      </c>
    </row>
    <row r="793" spans="1:12">
      <c r="A793" s="195"/>
      <c r="B793" s="196" t="s">
        <v>226</v>
      </c>
      <c r="C793"/>
      <c r="D793" s="197"/>
      <c r="E793" s="197"/>
      <c r="F793" s="197"/>
      <c r="G793" s="197" t="s">
        <v>270</v>
      </c>
      <c r="H793" s="209"/>
      <c r="I793" s="209"/>
    </row>
    <row r="794" spans="1:12">
      <c r="A794" s="195"/>
      <c r="B794" s="195" t="s">
        <v>205</v>
      </c>
      <c r="C794"/>
      <c r="D794" s="197"/>
      <c r="E794" s="197"/>
      <c r="F794" s="197"/>
      <c r="G794" s="197" t="s">
        <v>270</v>
      </c>
      <c r="H794" s="209"/>
      <c r="I794" s="209"/>
    </row>
    <row r="795" spans="1:12">
      <c r="A795" s="195"/>
      <c r="B795" s="195" t="s">
        <v>206</v>
      </c>
      <c r="C795"/>
      <c r="D795" s="197"/>
      <c r="E795" s="197"/>
      <c r="F795" s="197"/>
      <c r="G795" s="197" t="s">
        <v>270</v>
      </c>
      <c r="H795" s="209"/>
      <c r="I795" s="209"/>
    </row>
    <row r="796" spans="1:12">
      <c r="A796" s="195"/>
      <c r="B796" s="195" t="s">
        <v>207</v>
      </c>
      <c r="C796"/>
      <c r="D796" s="197"/>
      <c r="E796" s="197"/>
      <c r="F796" s="197"/>
      <c r="G796" s="197" t="s">
        <v>270</v>
      </c>
      <c r="H796" s="209"/>
      <c r="I796" s="209"/>
    </row>
    <row r="797" spans="1:12">
      <c r="A797" s="195"/>
      <c r="B797" s="196" t="s">
        <v>227</v>
      </c>
      <c r="C797"/>
      <c r="D797" s="197"/>
      <c r="E797" s="197"/>
      <c r="F797" s="197"/>
      <c r="G797" s="197"/>
      <c r="H797" s="209"/>
      <c r="I797" s="209"/>
      <c r="K797"/>
    </row>
    <row r="798" spans="1:12" ht="29.25" thickBot="1">
      <c r="A798" s="182" t="str">
        <f>"回収シフト  第"&amp;ROUNDUP(DAY(B801)/7,0)  &amp;"  "&amp;TEXT(B801,"aaaa")</f>
        <v>回収シフト  第3  土曜日</v>
      </c>
      <c r="B798" s="183"/>
      <c r="C798" s="183"/>
      <c r="D798" s="183"/>
      <c r="E798" s="183"/>
      <c r="F798" s="183"/>
      <c r="G798" s="184"/>
      <c r="H798" s="184"/>
      <c r="I798" s="184"/>
      <c r="K798" s="183"/>
      <c r="L798" s="183"/>
    </row>
    <row r="799" spans="1:12" ht="15.75" thickBot="1">
      <c r="A799"/>
      <c r="B799"/>
      <c r="C799"/>
      <c r="D799" s="186" t="s">
        <v>201</v>
      </c>
      <c r="E799" s="186" t="s">
        <v>202</v>
      </c>
      <c r="F799" s="186" t="s">
        <v>203</v>
      </c>
      <c r="G799" s="186" t="s">
        <v>204</v>
      </c>
      <c r="H799" s="186" t="s">
        <v>267</v>
      </c>
      <c r="I799" s="217" t="s">
        <v>267</v>
      </c>
      <c r="K799" s="230" t="s">
        <v>257</v>
      </c>
      <c r="L799" s="231"/>
    </row>
    <row r="800" spans="1:12">
      <c r="A800" s="187"/>
      <c r="B800" s="188">
        <v>46119</v>
      </c>
      <c r="C800" s="187"/>
      <c r="D800" s="189"/>
      <c r="E800" s="189"/>
      <c r="F800" s="189" t="s">
        <v>885</v>
      </c>
      <c r="G800" s="189"/>
      <c r="H800" s="189"/>
      <c r="I800" s="218"/>
      <c r="K800" s="232" t="s">
        <v>258</v>
      </c>
      <c r="L800" s="190" t="str">
        <f ca="1">_xlfn.XLOOKUP($B801,シフト抽出!$19:$19,シフト抽出!$20:$20,"該当なし",0,1)</f>
        <v/>
      </c>
    </row>
    <row r="801" spans="1:12" ht="19.5" thickBot="1">
      <c r="A801"/>
      <c r="B801" s="191">
        <f>B748+1</f>
        <v>46130</v>
      </c>
      <c r="C801" s="192"/>
      <c r="D801" s="193"/>
      <c r="E801" s="193"/>
      <c r="F801" s="193"/>
      <c r="G801" s="193"/>
      <c r="H801" s="193"/>
      <c r="I801" s="219"/>
      <c r="K801" s="233"/>
      <c r="L801" s="194" t="str">
        <f ca="1">_xlfn.XLOOKUP($B801,シフト抽出!$19:$19,シフト抽出!$21:$21,"該当なし",0,1)</f>
        <v/>
      </c>
    </row>
    <row r="802" spans="1:12">
      <c r="A802" s="195"/>
      <c r="B802" s="196">
        <v>0.25</v>
      </c>
      <c r="C802"/>
      <c r="D802" s="197"/>
      <c r="E802" s="196"/>
      <c r="F802" s="197"/>
      <c r="G802" s="197"/>
      <c r="H802" s="197"/>
      <c r="I802" s="209"/>
      <c r="K802" s="234" t="s">
        <v>259</v>
      </c>
      <c r="L802" s="198" t="str">
        <f ca="1">_xlfn.XLOOKUP($B801,シフト抽出!$19:$19,シフト抽出!$23:$23,"該当なし",0,1)</f>
        <v/>
      </c>
    </row>
    <row r="803" spans="1:12" ht="15.75" thickBot="1">
      <c r="A803" s="195"/>
      <c r="B803" s="195" t="s">
        <v>205</v>
      </c>
      <c r="C803"/>
      <c r="D803" s="197"/>
      <c r="E803" s="197"/>
      <c r="F803" s="197"/>
      <c r="G803" s="197"/>
      <c r="H803" s="197"/>
      <c r="I803" s="209"/>
      <c r="K803" s="235"/>
      <c r="L803" s="199" t="str">
        <f ca="1">_xlfn.XLOOKUP($B801,シフト抽出!$19:$19,シフト抽出!$24:$24,"該当なし",0,1)</f>
        <v/>
      </c>
    </row>
    <row r="804" spans="1:12">
      <c r="A804" s="195"/>
      <c r="B804" s="195" t="s">
        <v>206</v>
      </c>
      <c r="C804"/>
      <c r="D804" s="197"/>
      <c r="E804" s="197"/>
      <c r="F804" s="197"/>
      <c r="G804" s="197"/>
      <c r="H804" s="197"/>
      <c r="I804" s="209"/>
      <c r="K804" s="224" t="s">
        <v>260</v>
      </c>
      <c r="L804" s="200" t="str">
        <f ca="1">_xlfn.XLOOKUP($B801,シフト抽出!$19:$19,シフト抽出!$26:$26,"該当なし",0,1)</f>
        <v/>
      </c>
    </row>
    <row r="805" spans="1:12">
      <c r="A805" s="195"/>
      <c r="B805" s="195" t="s">
        <v>207</v>
      </c>
      <c r="C805"/>
      <c r="D805" s="197"/>
      <c r="E805" s="197"/>
      <c r="F805" s="197"/>
      <c r="G805" s="197"/>
      <c r="H805" s="197"/>
      <c r="I805" s="209"/>
      <c r="K805" s="225"/>
      <c r="L805" s="201" t="str">
        <f ca="1">_xlfn.XLOOKUP($B801,シフト抽出!$19:$19,シフト抽出!$27:$27,"該当なし",0,1)</f>
        <v/>
      </c>
    </row>
    <row r="806" spans="1:12">
      <c r="A806" s="195"/>
      <c r="B806" s="202" t="s">
        <v>208</v>
      </c>
      <c r="C806"/>
      <c r="D806" s="197"/>
      <c r="E806" s="197"/>
      <c r="F806" s="197"/>
      <c r="G806" s="197"/>
      <c r="H806" s="197"/>
      <c r="I806" s="209"/>
      <c r="J806" s="203"/>
      <c r="K806" s="225"/>
      <c r="L806" s="201" t="str">
        <f ca="1">_xlfn.XLOOKUP($B801,シフト抽出!$19:$19,シフト抽出!$28:$28,"該当なし",0,1)</f>
        <v/>
      </c>
    </row>
    <row r="807" spans="1:12" ht="15.75" thickBot="1">
      <c r="A807" s="195"/>
      <c r="B807" s="195" t="s">
        <v>205</v>
      </c>
      <c r="C807"/>
      <c r="D807" s="197"/>
      <c r="E807" s="197"/>
      <c r="F807" s="197"/>
      <c r="G807" s="197"/>
      <c r="H807" s="197"/>
      <c r="I807" s="209"/>
      <c r="J807" s="203"/>
      <c r="K807" s="226"/>
      <c r="L807" s="204" t="str">
        <f ca="1">_xlfn.XLOOKUP($B801,シフト抽出!$19:$19,シフト抽出!$29:$29,"該当なし",0,1)</f>
        <v/>
      </c>
    </row>
    <row r="808" spans="1:12" ht="15.75" thickBot="1">
      <c r="A808" s="195"/>
      <c r="B808" s="195" t="s">
        <v>206</v>
      </c>
      <c r="C808"/>
      <c r="D808" s="197"/>
      <c r="E808" s="197"/>
      <c r="F808" s="197"/>
      <c r="G808" s="197"/>
      <c r="H808" s="197"/>
      <c r="I808" s="209"/>
      <c r="K808" s="205" t="s">
        <v>261</v>
      </c>
      <c r="L808" s="205">
        <f>_xlfn.XLOOKUP($B801,予定表!B:B,予定表!R:R,"該当なし",0,1)</f>
        <v>0</v>
      </c>
    </row>
    <row r="809" spans="1:12">
      <c r="A809" s="195"/>
      <c r="B809" s="195" t="s">
        <v>207</v>
      </c>
      <c r="C809"/>
      <c r="D809" s="197"/>
      <c r="E809" s="197"/>
      <c r="F809" s="197"/>
      <c r="G809" s="197"/>
      <c r="H809" s="197"/>
      <c r="I809" s="209"/>
      <c r="K809" s="227" t="s">
        <v>262</v>
      </c>
      <c r="L809" s="206" t="str">
        <f>_xlfn.XLOOKUP($B801,予定表!$B:$B,予定表!E:E,"該当なし",0,1)</f>
        <v>金田</v>
      </c>
    </row>
    <row r="810" spans="1:12">
      <c r="A810" s="195"/>
      <c r="B810" s="196" t="s">
        <v>209</v>
      </c>
      <c r="C810"/>
      <c r="D810" s="197" t="s">
        <v>4</v>
      </c>
      <c r="E810" s="197" t="s">
        <v>4</v>
      </c>
      <c r="F810" s="197"/>
      <c r="G810" s="197"/>
      <c r="H810" s="197"/>
      <c r="I810" s="209"/>
      <c r="K810" s="228"/>
      <c r="L810" s="207">
        <f>_xlfn.XLOOKUP($B801,予定表!$B:$B,予定表!F:F,"該当なし",0,1)</f>
        <v>0</v>
      </c>
    </row>
    <row r="811" spans="1:12">
      <c r="A811" s="195"/>
      <c r="B811" s="195" t="s">
        <v>205</v>
      </c>
      <c r="C811"/>
      <c r="D811" s="197" t="s">
        <v>268</v>
      </c>
      <c r="E811" s="197" t="s">
        <v>22</v>
      </c>
      <c r="F811" s="197"/>
      <c r="G811" s="197"/>
      <c r="H811" s="197"/>
      <c r="I811" s="209"/>
      <c r="K811" s="228"/>
      <c r="L811" s="207">
        <f>_xlfn.XLOOKUP($B801,予定表!$B:$B,予定表!G:G,"該当なし",0,1)</f>
        <v>0</v>
      </c>
    </row>
    <row r="812" spans="1:12">
      <c r="A812" s="195"/>
      <c r="B812" s="195" t="s">
        <v>206</v>
      </c>
      <c r="C812"/>
      <c r="D812" s="197" t="s">
        <v>268</v>
      </c>
      <c r="E812" s="197" t="s">
        <v>22</v>
      </c>
      <c r="F812" s="197"/>
      <c r="G812" s="197"/>
      <c r="H812" s="197"/>
      <c r="I812" s="209"/>
      <c r="K812" s="228"/>
      <c r="L812" s="207" t="str">
        <f>_xlfn.XLOOKUP($B801,予定表!$B:$B,予定表!H:H,"該当なし",0,1)</f>
        <v>FamilyMart 平塚おかざき店</v>
      </c>
    </row>
    <row r="813" spans="1:12">
      <c r="A813" s="195"/>
      <c r="B813" s="195" t="s">
        <v>207</v>
      </c>
      <c r="C813"/>
      <c r="D813" s="197" t="s">
        <v>268</v>
      </c>
      <c r="E813" s="197" t="s">
        <v>793</v>
      </c>
      <c r="F813" s="197"/>
      <c r="G813" s="197"/>
      <c r="H813" s="197"/>
      <c r="I813" s="209"/>
      <c r="K813" s="228"/>
      <c r="L813" s="207" t="str">
        <f>_xlfn.XLOOKUP($B801,予定表!$B:$B,予定表!I:I,"該当なし",0,1)</f>
        <v/>
      </c>
    </row>
    <row r="814" spans="1:12">
      <c r="A814" s="195"/>
      <c r="B814" s="196" t="s">
        <v>212</v>
      </c>
      <c r="C814"/>
      <c r="D814" s="197" t="s">
        <v>268</v>
      </c>
      <c r="E814" s="197" t="s">
        <v>241</v>
      </c>
      <c r="F814" s="197" t="s">
        <v>214</v>
      </c>
      <c r="G814" s="197"/>
      <c r="H814" s="197"/>
      <c r="I814" s="209"/>
      <c r="K814" s="228"/>
      <c r="L814" s="207" t="str">
        <f>_xlfn.XLOOKUP($B801,予定表!$B:$B,予定表!J:J,"該当なし",0,1)</f>
        <v/>
      </c>
    </row>
    <row r="815" spans="1:12">
      <c r="A815" s="195"/>
      <c r="B815" s="195" t="s">
        <v>205</v>
      </c>
      <c r="C815"/>
      <c r="D815" s="197" t="s">
        <v>268</v>
      </c>
      <c r="E815" s="197" t="s">
        <v>241</v>
      </c>
      <c r="F815" s="197" t="s">
        <v>214</v>
      </c>
      <c r="G815" s="197"/>
      <c r="H815" s="197"/>
      <c r="I815" s="209"/>
      <c r="K815" s="228"/>
      <c r="L815" s="207" t="str">
        <f>_xlfn.XLOOKUP($B801,予定表!$B:$B,予定表!K:K,"該当なし",0,1)</f>
        <v/>
      </c>
    </row>
    <row r="816" spans="1:12">
      <c r="A816" s="195"/>
      <c r="B816" s="195" t="s">
        <v>206</v>
      </c>
      <c r="C816"/>
      <c r="D816" s="197" t="s">
        <v>515</v>
      </c>
      <c r="E816" s="197" t="s">
        <v>244</v>
      </c>
      <c r="F816" s="197" t="s">
        <v>214</v>
      </c>
      <c r="G816" s="197"/>
      <c r="H816" s="197"/>
      <c r="I816" s="209"/>
      <c r="K816" s="228"/>
      <c r="L816" s="207" t="str">
        <f>_xlfn.XLOOKUP($B801,予定表!$B:$B,予定表!L:L,"該当なし",0,1)</f>
        <v/>
      </c>
    </row>
    <row r="817" spans="1:12" ht="15.75" thickBot="1">
      <c r="A817" s="195"/>
      <c r="B817" s="195" t="s">
        <v>207</v>
      </c>
      <c r="C817"/>
      <c r="D817" s="197" t="s">
        <v>515</v>
      </c>
      <c r="E817" s="197" t="s">
        <v>244</v>
      </c>
      <c r="F817" s="197" t="s">
        <v>214</v>
      </c>
      <c r="G817" s="197"/>
      <c r="H817" s="197"/>
      <c r="I817" s="209"/>
      <c r="K817" s="229"/>
      <c r="L817" s="204" t="str">
        <f>_xlfn.XLOOKUP($A798,ﾘｽﾄマスタ!$U$8:$U$17,ﾘｽﾄマスタ!$V$8:$V$17,"",0)</f>
        <v/>
      </c>
    </row>
    <row r="818" spans="1:12" ht="15.75" thickBot="1">
      <c r="A818" s="195"/>
      <c r="B818" s="196" t="s">
        <v>251</v>
      </c>
      <c r="C818"/>
      <c r="D818" s="197" t="s">
        <v>515</v>
      </c>
      <c r="E818" s="197" t="s">
        <v>114</v>
      </c>
      <c r="F818" s="197" t="s">
        <v>214</v>
      </c>
      <c r="G818" s="197"/>
      <c r="H818" s="197"/>
      <c r="I818" s="209"/>
      <c r="K818" s="208" t="s">
        <v>277</v>
      </c>
      <c r="L818" s="208" t="str">
        <f ca="1">_xlfn.XLOOKUP($B801,シフト抽出!$19:$19,シフト抽出!$30:$30,"該当なし",0,1)</f>
        <v/>
      </c>
    </row>
    <row r="819" spans="1:12">
      <c r="A819" s="195"/>
      <c r="B819" s="195" t="s">
        <v>205</v>
      </c>
      <c r="C819"/>
      <c r="D819" s="197" t="s">
        <v>242</v>
      </c>
      <c r="E819" s="197" t="s">
        <v>114</v>
      </c>
      <c r="F819" s="197" t="s">
        <v>214</v>
      </c>
      <c r="G819" s="197"/>
      <c r="H819" s="197"/>
      <c r="I819" s="209"/>
    </row>
    <row r="820" spans="1:12">
      <c r="A820" s="195"/>
      <c r="B820" s="195" t="s">
        <v>206</v>
      </c>
      <c r="C820"/>
      <c r="D820" s="197" t="s">
        <v>242</v>
      </c>
      <c r="E820" s="197"/>
      <c r="F820" s="197" t="s">
        <v>214</v>
      </c>
      <c r="G820" s="197"/>
      <c r="H820" s="197"/>
      <c r="I820" s="209"/>
    </row>
    <row r="821" spans="1:12">
      <c r="A821" s="195"/>
      <c r="B821" s="195" t="s">
        <v>207</v>
      </c>
      <c r="C821"/>
      <c r="D821" s="197" t="s">
        <v>242</v>
      </c>
      <c r="E821" s="197" t="s">
        <v>851</v>
      </c>
      <c r="F821" s="197" t="s">
        <v>214</v>
      </c>
      <c r="G821" s="197"/>
      <c r="H821" s="197"/>
      <c r="I821" s="209"/>
    </row>
    <row r="822" spans="1:12">
      <c r="A822" s="195"/>
      <c r="B822" s="196" t="s">
        <v>217</v>
      </c>
      <c r="C822"/>
      <c r="D822" s="197" t="s">
        <v>242</v>
      </c>
      <c r="E822" s="197" t="s">
        <v>851</v>
      </c>
      <c r="F822" s="197"/>
      <c r="G822" s="197"/>
      <c r="H822" s="197"/>
      <c r="I822" s="209"/>
    </row>
    <row r="823" spans="1:12">
      <c r="A823" s="195"/>
      <c r="B823" s="195" t="s">
        <v>205</v>
      </c>
      <c r="C823"/>
      <c r="D823" s="197" t="s">
        <v>242</v>
      </c>
      <c r="E823" s="197" t="s">
        <v>851</v>
      </c>
      <c r="F823" s="197"/>
      <c r="G823" s="197"/>
      <c r="H823" s="197"/>
      <c r="I823" s="209"/>
    </row>
    <row r="824" spans="1:12">
      <c r="A824" s="195"/>
      <c r="B824" s="195" t="s">
        <v>206</v>
      </c>
      <c r="C824"/>
      <c r="D824" s="197" t="s">
        <v>242</v>
      </c>
      <c r="E824" s="197" t="s">
        <v>851</v>
      </c>
      <c r="F824" s="197"/>
      <c r="G824" s="197"/>
      <c r="H824" s="197"/>
      <c r="I824" s="209"/>
    </row>
    <row r="825" spans="1:12">
      <c r="A825" s="195"/>
      <c r="B825" s="195" t="s">
        <v>207</v>
      </c>
      <c r="C825"/>
      <c r="D825" s="197"/>
      <c r="E825" s="197" t="s">
        <v>851</v>
      </c>
      <c r="F825" s="197"/>
      <c r="G825" s="197"/>
      <c r="H825" s="197"/>
      <c r="I825" s="209"/>
    </row>
    <row r="826" spans="1:12">
      <c r="A826" s="195"/>
      <c r="B826" s="196" t="s">
        <v>219</v>
      </c>
      <c r="C826"/>
      <c r="D826" s="197"/>
      <c r="E826" s="197" t="s">
        <v>851</v>
      </c>
      <c r="F826" s="197"/>
      <c r="G826" s="197"/>
      <c r="H826" s="197"/>
      <c r="I826" s="209"/>
    </row>
    <row r="827" spans="1:12">
      <c r="A827" s="195"/>
      <c r="B827" s="195" t="s">
        <v>205</v>
      </c>
      <c r="C827"/>
      <c r="D827" s="197"/>
      <c r="E827" s="197"/>
      <c r="F827" s="197"/>
      <c r="G827" s="197"/>
      <c r="H827" s="197"/>
      <c r="I827" s="209"/>
    </row>
    <row r="828" spans="1:12">
      <c r="A828" s="195"/>
      <c r="B828" s="195" t="s">
        <v>206</v>
      </c>
      <c r="C828"/>
      <c r="D828" s="197"/>
      <c r="E828" s="197"/>
      <c r="F828" s="197"/>
      <c r="G828" s="197"/>
      <c r="H828" s="197"/>
      <c r="I828" s="209"/>
    </row>
    <row r="829" spans="1:12">
      <c r="A829" s="195"/>
      <c r="B829" s="195" t="s">
        <v>207</v>
      </c>
      <c r="C829"/>
      <c r="D829" s="197"/>
      <c r="E829" s="197"/>
      <c r="F829" s="197"/>
      <c r="G829" s="197"/>
      <c r="H829" s="197"/>
      <c r="I829" s="209"/>
    </row>
    <row r="830" spans="1:12">
      <c r="A830" s="195"/>
      <c r="B830" s="196" t="s">
        <v>220</v>
      </c>
      <c r="C830"/>
      <c r="D830" s="197" t="s">
        <v>7</v>
      </c>
      <c r="E830" s="197" t="s">
        <v>7</v>
      </c>
      <c r="F830" s="189"/>
      <c r="G830" s="189"/>
      <c r="H830" s="197"/>
      <c r="I830" s="209"/>
    </row>
    <row r="831" spans="1:12">
      <c r="A831" s="195"/>
      <c r="B831" s="195" t="s">
        <v>205</v>
      </c>
      <c r="C831"/>
      <c r="D831" s="197" t="s">
        <v>886</v>
      </c>
      <c r="E831" s="197" t="s">
        <v>228</v>
      </c>
      <c r="F831" s="197" t="s">
        <v>416</v>
      </c>
      <c r="G831" s="197"/>
      <c r="H831" s="197"/>
      <c r="I831" s="209"/>
    </row>
    <row r="832" spans="1:12">
      <c r="A832" s="195"/>
      <c r="B832" s="195" t="s">
        <v>206</v>
      </c>
      <c r="C832"/>
      <c r="D832" s="197" t="s">
        <v>886</v>
      </c>
      <c r="E832" s="197" t="s">
        <v>228</v>
      </c>
      <c r="F832" s="197" t="s">
        <v>887</v>
      </c>
      <c r="G832" s="197"/>
      <c r="H832" s="197"/>
      <c r="I832" s="209"/>
    </row>
    <row r="833" spans="1:9">
      <c r="A833" s="195"/>
      <c r="B833" s="195" t="s">
        <v>207</v>
      </c>
      <c r="C833"/>
      <c r="D833" s="197" t="s">
        <v>886</v>
      </c>
      <c r="E833" s="197" t="s">
        <v>228</v>
      </c>
      <c r="F833" s="197" t="s">
        <v>416</v>
      </c>
      <c r="G833" s="197"/>
      <c r="H833" s="197"/>
      <c r="I833" s="209"/>
    </row>
    <row r="834" spans="1:9">
      <c r="A834" s="195"/>
      <c r="B834" s="196" t="s">
        <v>222</v>
      </c>
      <c r="C834"/>
      <c r="D834" s="197" t="s">
        <v>886</v>
      </c>
      <c r="E834" s="197" t="s">
        <v>228</v>
      </c>
      <c r="F834" s="197" t="s">
        <v>416</v>
      </c>
      <c r="G834" s="197"/>
      <c r="H834" s="197"/>
      <c r="I834" s="209"/>
    </row>
    <row r="835" spans="1:9">
      <c r="A835" s="195"/>
      <c r="B835" s="195" t="s">
        <v>205</v>
      </c>
      <c r="C835"/>
      <c r="D835" s="197"/>
      <c r="E835" s="197" t="s">
        <v>228</v>
      </c>
      <c r="F835" s="197" t="s">
        <v>416</v>
      </c>
      <c r="G835" s="197"/>
      <c r="H835" s="197"/>
      <c r="I835" s="209"/>
    </row>
    <row r="836" spans="1:9">
      <c r="A836" s="195"/>
      <c r="B836" s="195" t="s">
        <v>206</v>
      </c>
      <c r="C836"/>
      <c r="D836" s="197" t="s">
        <v>270</v>
      </c>
      <c r="E836" s="197" t="s">
        <v>228</v>
      </c>
      <c r="F836" s="197"/>
      <c r="G836" s="197"/>
      <c r="H836" s="197"/>
      <c r="I836" s="209"/>
    </row>
    <row r="837" spans="1:9">
      <c r="A837" s="195"/>
      <c r="B837" s="195" t="s">
        <v>207</v>
      </c>
      <c r="C837"/>
      <c r="D837" s="197" t="s">
        <v>270</v>
      </c>
      <c r="E837" s="197" t="s">
        <v>228</v>
      </c>
      <c r="F837" s="197"/>
      <c r="G837" s="197"/>
      <c r="H837" s="197"/>
      <c r="I837" s="209"/>
    </row>
    <row r="838" spans="1:9">
      <c r="A838" s="195"/>
      <c r="B838" s="196" t="s">
        <v>223</v>
      </c>
      <c r="C838"/>
      <c r="D838" s="197" t="s">
        <v>270</v>
      </c>
      <c r="E838" s="197" t="s">
        <v>228</v>
      </c>
      <c r="F838" s="197"/>
      <c r="G838" s="197"/>
      <c r="H838" s="197"/>
      <c r="I838" s="209"/>
    </row>
    <row r="839" spans="1:9">
      <c r="A839" s="195"/>
      <c r="B839" s="195" t="s">
        <v>205</v>
      </c>
      <c r="C839"/>
      <c r="D839" s="197" t="s">
        <v>270</v>
      </c>
      <c r="E839" s="197" t="s">
        <v>273</v>
      </c>
      <c r="F839" s="197"/>
      <c r="G839" s="197"/>
      <c r="H839" s="197"/>
      <c r="I839" s="209"/>
    </row>
    <row r="840" spans="1:9">
      <c r="A840" s="195"/>
      <c r="B840" s="195" t="s">
        <v>206</v>
      </c>
      <c r="C840"/>
      <c r="D840" s="197" t="s">
        <v>270</v>
      </c>
      <c r="E840" s="197" t="s">
        <v>273</v>
      </c>
      <c r="F840" s="197"/>
      <c r="G840" s="197"/>
      <c r="H840" s="197"/>
      <c r="I840" s="209"/>
    </row>
    <row r="841" spans="1:9">
      <c r="A841" s="195"/>
      <c r="B841" s="195" t="s">
        <v>207</v>
      </c>
      <c r="C841"/>
      <c r="D841" s="197" t="s">
        <v>270</v>
      </c>
      <c r="E841" s="197" t="s">
        <v>273</v>
      </c>
      <c r="F841" s="197"/>
      <c r="G841" s="197"/>
      <c r="H841" s="197"/>
      <c r="I841" s="209"/>
    </row>
    <row r="842" spans="1:9">
      <c r="A842" s="195"/>
      <c r="B842" s="196" t="s">
        <v>225</v>
      </c>
      <c r="C842"/>
      <c r="D842" s="197" t="s">
        <v>270</v>
      </c>
      <c r="E842" s="197" t="s">
        <v>263</v>
      </c>
      <c r="F842" s="197"/>
      <c r="G842" s="197"/>
      <c r="H842" s="197"/>
      <c r="I842" s="209"/>
    </row>
    <row r="843" spans="1:9">
      <c r="A843" s="195"/>
      <c r="B843" s="195" t="s">
        <v>205</v>
      </c>
      <c r="C843"/>
      <c r="D843" s="197" t="s">
        <v>270</v>
      </c>
      <c r="E843" s="197" t="s">
        <v>263</v>
      </c>
      <c r="F843" s="197"/>
      <c r="G843" s="197"/>
      <c r="H843" s="209"/>
      <c r="I843" s="209"/>
    </row>
    <row r="844" spans="1:9">
      <c r="A844" s="195"/>
      <c r="B844" s="195" t="s">
        <v>206</v>
      </c>
      <c r="C844"/>
      <c r="D844" s="197" t="s">
        <v>270</v>
      </c>
      <c r="E844" s="197" t="s">
        <v>263</v>
      </c>
      <c r="F844" s="197"/>
      <c r="G844" s="197"/>
      <c r="H844" s="209"/>
      <c r="I844" s="209"/>
    </row>
    <row r="845" spans="1:9">
      <c r="A845" s="195"/>
      <c r="B845" s="195" t="s">
        <v>207</v>
      </c>
      <c r="C845"/>
      <c r="D845" s="197" t="s">
        <v>270</v>
      </c>
      <c r="E845" s="197" t="s">
        <v>263</v>
      </c>
      <c r="F845" s="197"/>
      <c r="G845" s="197"/>
      <c r="H845" s="209"/>
      <c r="I845" s="209"/>
    </row>
    <row r="846" spans="1:9">
      <c r="A846" s="195"/>
      <c r="B846" s="196" t="s">
        <v>226</v>
      </c>
      <c r="C846"/>
      <c r="D846" s="197" t="s">
        <v>270</v>
      </c>
      <c r="E846" s="197"/>
      <c r="F846" s="197"/>
      <c r="G846" s="197"/>
      <c r="H846" s="209"/>
      <c r="I846" s="209"/>
    </row>
    <row r="847" spans="1:9">
      <c r="A847" s="195"/>
      <c r="B847" s="195" t="s">
        <v>205</v>
      </c>
      <c r="C847"/>
      <c r="D847" s="197" t="s">
        <v>270</v>
      </c>
      <c r="E847" s="197"/>
      <c r="F847" s="197"/>
      <c r="G847" s="197"/>
      <c r="H847" s="209"/>
      <c r="I847" s="209"/>
    </row>
    <row r="848" spans="1:9">
      <c r="A848" s="195"/>
      <c r="B848" s="195" t="s">
        <v>206</v>
      </c>
      <c r="C848"/>
      <c r="D848" s="197" t="s">
        <v>270</v>
      </c>
      <c r="E848" s="197"/>
      <c r="F848" s="197"/>
      <c r="G848" s="197"/>
      <c r="H848" s="209"/>
      <c r="I848" s="209"/>
    </row>
    <row r="849" spans="1:12">
      <c r="A849" s="195"/>
      <c r="B849" s="195" t="s">
        <v>207</v>
      </c>
      <c r="C849"/>
      <c r="D849" s="197" t="s">
        <v>270</v>
      </c>
      <c r="E849" s="197"/>
      <c r="F849" s="197"/>
      <c r="G849" s="197"/>
      <c r="H849" s="209"/>
      <c r="I849" s="209"/>
    </row>
    <row r="850" spans="1:12">
      <c r="A850" s="195"/>
      <c r="B850" s="196" t="s">
        <v>227</v>
      </c>
      <c r="C850"/>
      <c r="D850" s="197"/>
      <c r="E850" s="197"/>
      <c r="F850" s="197"/>
      <c r="G850" s="197"/>
      <c r="H850" s="209"/>
      <c r="I850" s="209"/>
      <c r="K850"/>
    </row>
    <row r="851" spans="1:12" ht="29.25" thickBot="1">
      <c r="A851" s="182" t="str">
        <f>"回収シフト  第"&amp;ROUNDUP(DAY(B854)/7,0)  &amp;"  "&amp;TEXT(B854,"aaaa")</f>
        <v>回収シフト  第3  月曜日</v>
      </c>
      <c r="B851" s="183"/>
      <c r="C851" s="183"/>
      <c r="D851" s="183"/>
      <c r="E851" s="183"/>
      <c r="F851" s="183"/>
      <c r="G851" s="184"/>
      <c r="H851" s="184"/>
      <c r="I851" s="184"/>
      <c r="K851" s="183"/>
      <c r="L851" s="183"/>
    </row>
    <row r="852" spans="1:12" ht="15.75" thickBot="1">
      <c r="A852"/>
      <c r="B852"/>
      <c r="C852"/>
      <c r="D852" s="186" t="s">
        <v>201</v>
      </c>
      <c r="E852" s="186" t="s">
        <v>202</v>
      </c>
      <c r="F852" s="186" t="s">
        <v>203</v>
      </c>
      <c r="G852" s="186" t="s">
        <v>204</v>
      </c>
      <c r="H852" s="186" t="s">
        <v>267</v>
      </c>
      <c r="I852" s="217" t="s">
        <v>267</v>
      </c>
      <c r="K852" s="230" t="s">
        <v>257</v>
      </c>
      <c r="L852" s="231"/>
    </row>
    <row r="853" spans="1:12">
      <c r="A853" s="187"/>
      <c r="B853" s="188">
        <v>45495</v>
      </c>
      <c r="C853" s="187"/>
      <c r="D853" s="189" t="s">
        <v>895</v>
      </c>
      <c r="E853" s="189" t="s">
        <v>859</v>
      </c>
      <c r="F853" s="189" t="s">
        <v>857</v>
      </c>
      <c r="G853" s="189" t="s">
        <v>358</v>
      </c>
      <c r="H853" s="189" t="s">
        <v>852</v>
      </c>
      <c r="I853" s="218" t="s">
        <v>852</v>
      </c>
      <c r="K853" s="232" t="s">
        <v>258</v>
      </c>
      <c r="L853" s="190" t="str">
        <f ca="1">_xlfn.XLOOKUP($B854,シフト抽出!$19:$19,シフト抽出!$20:$20,"該当なし",0,1)</f>
        <v/>
      </c>
    </row>
    <row r="854" spans="1:12" ht="19.5" thickBot="1">
      <c r="A854"/>
      <c r="B854" s="191">
        <f>B801+2</f>
        <v>46132</v>
      </c>
      <c r="C854" s="192"/>
      <c r="D854" s="193"/>
      <c r="E854" s="193"/>
      <c r="F854" s="193"/>
      <c r="G854" s="193"/>
      <c r="H854" s="193"/>
      <c r="I854" s="219"/>
      <c r="K854" s="233"/>
      <c r="L854" s="194" t="str">
        <f ca="1">_xlfn.XLOOKUP($B854,シフト抽出!$19:$19,シフト抽出!$21:$21,"該当なし",0,1)</f>
        <v/>
      </c>
    </row>
    <row r="855" spans="1:12">
      <c r="A855" s="195"/>
      <c r="B855" s="196">
        <v>0.25</v>
      </c>
      <c r="C855"/>
      <c r="D855" s="197"/>
      <c r="E855" s="196"/>
      <c r="F855" s="197"/>
      <c r="G855" s="197"/>
      <c r="H855" s="197"/>
      <c r="I855" s="209"/>
      <c r="K855" s="234" t="s">
        <v>259</v>
      </c>
      <c r="L855" s="198" t="str">
        <f ca="1">_xlfn.XLOOKUP($B854,シフト抽出!$19:$19,シフト抽出!$23:$23,"該当なし",0,1)</f>
        <v/>
      </c>
    </row>
    <row r="856" spans="1:12" ht="15.75" thickBot="1">
      <c r="A856" s="195"/>
      <c r="B856" s="195" t="s">
        <v>205</v>
      </c>
      <c r="C856"/>
      <c r="D856" s="197"/>
      <c r="E856" s="197"/>
      <c r="F856" s="197"/>
      <c r="G856" s="197"/>
      <c r="H856" s="197"/>
      <c r="I856" s="209"/>
      <c r="K856" s="235"/>
      <c r="L856" s="199" t="str">
        <f ca="1">_xlfn.XLOOKUP($B854,シフト抽出!$19:$19,シフト抽出!$24:$24,"該当なし",0,1)</f>
        <v/>
      </c>
    </row>
    <row r="857" spans="1:12">
      <c r="A857" s="195"/>
      <c r="B857" s="195" t="s">
        <v>206</v>
      </c>
      <c r="C857"/>
      <c r="D857" s="197"/>
      <c r="E857" s="197" t="s">
        <v>807</v>
      </c>
      <c r="F857" s="197"/>
      <c r="G857" s="197"/>
      <c r="H857" s="197"/>
      <c r="I857" s="209"/>
      <c r="K857" s="224" t="s">
        <v>260</v>
      </c>
      <c r="L857" s="200" t="str">
        <f ca="1">_xlfn.XLOOKUP($B854,シフト抽出!$19:$19,シフト抽出!$26:$26,"該当なし",0,1)</f>
        <v/>
      </c>
    </row>
    <row r="858" spans="1:12">
      <c r="A858" s="195"/>
      <c r="B858" s="195" t="s">
        <v>207</v>
      </c>
      <c r="C858"/>
      <c r="D858" s="197"/>
      <c r="E858" s="197"/>
      <c r="F858" s="197"/>
      <c r="G858" s="197"/>
      <c r="H858" s="197"/>
      <c r="I858" s="209"/>
      <c r="K858" s="225"/>
      <c r="L858" s="201" t="str">
        <f ca="1">_xlfn.XLOOKUP($B854,シフト抽出!$19:$19,シフト抽出!$27:$27,"該当なし",0,1)</f>
        <v/>
      </c>
    </row>
    <row r="859" spans="1:12">
      <c r="A859" s="195"/>
      <c r="B859" s="202" t="s">
        <v>208</v>
      </c>
      <c r="C859"/>
      <c r="D859" s="197"/>
      <c r="E859" s="197"/>
      <c r="F859" s="197" t="s">
        <v>851</v>
      </c>
      <c r="G859" s="197"/>
      <c r="H859" s="197"/>
      <c r="I859" s="209"/>
      <c r="J859" s="203"/>
      <c r="K859" s="225"/>
      <c r="L859" s="201" t="str">
        <f ca="1">_xlfn.XLOOKUP($B854,シフト抽出!$19:$19,シフト抽出!$28:$28,"該当なし",0,1)</f>
        <v/>
      </c>
    </row>
    <row r="860" spans="1:12" ht="15.75" thickBot="1">
      <c r="A860" s="195"/>
      <c r="B860" s="195" t="s">
        <v>205</v>
      </c>
      <c r="C860"/>
      <c r="D860" s="197"/>
      <c r="E860" s="197"/>
      <c r="F860" s="197" t="s">
        <v>851</v>
      </c>
      <c r="G860" s="197"/>
      <c r="H860" s="197"/>
      <c r="I860" s="209"/>
      <c r="J860" s="203"/>
      <c r="K860" s="226"/>
      <c r="L860" s="204" t="str">
        <f ca="1">_xlfn.XLOOKUP($B854,シフト抽出!$19:$19,シフト抽出!$29:$29,"該当なし",0,1)</f>
        <v/>
      </c>
    </row>
    <row r="861" spans="1:12" ht="15.75" thickBot="1">
      <c r="A861" s="195"/>
      <c r="B861" s="195" t="s">
        <v>206</v>
      </c>
      <c r="C861"/>
      <c r="D861" s="197"/>
      <c r="E861" s="197"/>
      <c r="F861" s="197" t="s">
        <v>851</v>
      </c>
      <c r="G861" s="197"/>
      <c r="H861" s="197"/>
      <c r="I861" s="209"/>
      <c r="K861" s="205" t="s">
        <v>261</v>
      </c>
      <c r="L861" s="205">
        <f>_xlfn.XLOOKUP($B854,予定表!B:B,予定表!R:R,"該当なし",0,1)</f>
        <v>0</v>
      </c>
    </row>
    <row r="862" spans="1:12">
      <c r="A862" s="195"/>
      <c r="B862" s="195" t="s">
        <v>207</v>
      </c>
      <c r="C862"/>
      <c r="D862" s="197"/>
      <c r="E862" s="197"/>
      <c r="F862" s="197" t="s">
        <v>851</v>
      </c>
      <c r="G862" s="197"/>
      <c r="H862" s="197"/>
      <c r="I862" s="209"/>
      <c r="K862" s="227" t="s">
        <v>262</v>
      </c>
      <c r="L862" s="206" t="str">
        <f>_xlfn.XLOOKUP($B854,予定表!$B:$B,予定表!E:E,"該当なし",0,1)</f>
        <v>ディーニングAM</v>
      </c>
    </row>
    <row r="863" spans="1:12">
      <c r="A863" s="195"/>
      <c r="B863" s="196" t="s">
        <v>209</v>
      </c>
      <c r="C863"/>
      <c r="D863" s="197"/>
      <c r="E863" s="197"/>
      <c r="F863" s="197" t="s">
        <v>851</v>
      </c>
      <c r="G863" s="197"/>
      <c r="H863" s="197"/>
      <c r="I863" s="209"/>
      <c r="K863" s="228"/>
      <c r="L863" s="207" t="str">
        <f>_xlfn.XLOOKUP($B854,予定表!$B:$B,予定表!F:F,"該当なし",0,1)</f>
        <v>鴻池午後</v>
      </c>
    </row>
    <row r="864" spans="1:12">
      <c r="A864" s="195"/>
      <c r="B864" s="195" t="s">
        <v>205</v>
      </c>
      <c r="C864"/>
      <c r="D864" s="197" t="s">
        <v>264</v>
      </c>
      <c r="E864" s="197" t="s">
        <v>414</v>
      </c>
      <c r="F864" s="197" t="s">
        <v>851</v>
      </c>
      <c r="G864" s="197" t="s">
        <v>268</v>
      </c>
      <c r="H864" s="197" t="s">
        <v>848</v>
      </c>
      <c r="I864" s="209" t="s">
        <v>848</v>
      </c>
      <c r="K864" s="228"/>
      <c r="L864" s="207">
        <f>_xlfn.XLOOKUP($B854,予定表!$B:$B,予定表!G:G,"該当なし",0,1)</f>
        <v>0</v>
      </c>
    </row>
    <row r="865" spans="1:12">
      <c r="A865" s="195"/>
      <c r="B865" s="195" t="s">
        <v>206</v>
      </c>
      <c r="C865"/>
      <c r="D865" s="197" t="s">
        <v>788</v>
      </c>
      <c r="E865" s="197" t="s">
        <v>414</v>
      </c>
      <c r="F865" s="197" t="s">
        <v>851</v>
      </c>
      <c r="G865" s="197" t="s">
        <v>268</v>
      </c>
      <c r="H865" s="197" t="s">
        <v>848</v>
      </c>
      <c r="I865" s="209" t="s">
        <v>848</v>
      </c>
      <c r="K865" s="228"/>
      <c r="L865" s="207" t="str">
        <f>_xlfn.XLOOKUP($B854,予定表!$B:$B,予定表!H:H,"該当なし",0,1)</f>
        <v>富士ロジ三田</v>
      </c>
    </row>
    <row r="866" spans="1:12">
      <c r="A866" s="195"/>
      <c r="B866" s="195" t="s">
        <v>207</v>
      </c>
      <c r="C866"/>
      <c r="D866" s="197" t="s">
        <v>119</v>
      </c>
      <c r="E866" s="197" t="s">
        <v>414</v>
      </c>
      <c r="F866" s="197"/>
      <c r="G866" s="197" t="s">
        <v>268</v>
      </c>
      <c r="H866" s="197" t="s">
        <v>848</v>
      </c>
      <c r="I866" s="209" t="s">
        <v>848</v>
      </c>
      <c r="K866" s="228"/>
      <c r="L866" s="207" t="str">
        <f>_xlfn.XLOOKUP($B854,予定表!$B:$B,予定表!I:I,"該当なし",0,1)</f>
        <v/>
      </c>
    </row>
    <row r="867" spans="1:12">
      <c r="A867" s="195"/>
      <c r="B867" s="196" t="s">
        <v>212</v>
      </c>
      <c r="C867"/>
      <c r="D867" s="197" t="s">
        <v>278</v>
      </c>
      <c r="E867" s="197" t="s">
        <v>414</v>
      </c>
      <c r="F867" s="197" t="s">
        <v>538</v>
      </c>
      <c r="G867" s="197" t="s">
        <v>268</v>
      </c>
      <c r="H867" s="197" t="s">
        <v>848</v>
      </c>
      <c r="I867" s="209" t="s">
        <v>848</v>
      </c>
      <c r="K867" s="228"/>
      <c r="L867" s="207" t="str">
        <f>_xlfn.XLOOKUP($B854,予定表!$B:$B,予定表!J:J,"該当なし",0,1)</f>
        <v/>
      </c>
    </row>
    <row r="868" spans="1:12">
      <c r="A868" s="195"/>
      <c r="B868" s="195" t="s">
        <v>205</v>
      </c>
      <c r="C868"/>
      <c r="D868" s="197" t="s">
        <v>278</v>
      </c>
      <c r="E868" s="197" t="s">
        <v>414</v>
      </c>
      <c r="F868" s="197" t="s">
        <v>538</v>
      </c>
      <c r="G868" s="197" t="s">
        <v>268</v>
      </c>
      <c r="H868" s="197" t="s">
        <v>848</v>
      </c>
      <c r="I868" s="209" t="s">
        <v>848</v>
      </c>
      <c r="K868" s="228"/>
      <c r="L868" s="207" t="str">
        <f>_xlfn.XLOOKUP($B854,予定表!$B:$B,予定表!K:K,"該当なし",0,1)</f>
        <v/>
      </c>
    </row>
    <row r="869" spans="1:12">
      <c r="A869" s="195"/>
      <c r="B869" s="195" t="s">
        <v>206</v>
      </c>
      <c r="C869"/>
      <c r="D869" s="197" t="s">
        <v>213</v>
      </c>
      <c r="E869" s="197" t="s">
        <v>414</v>
      </c>
      <c r="F869" s="197" t="s">
        <v>538</v>
      </c>
      <c r="G869" s="197" t="s">
        <v>515</v>
      </c>
      <c r="H869" s="197" t="s">
        <v>848</v>
      </c>
      <c r="I869" s="209" t="s">
        <v>848</v>
      </c>
      <c r="K869" s="228"/>
      <c r="L869" s="207" t="str">
        <f>_xlfn.XLOOKUP($B854,予定表!$B:$B,予定表!L:L,"該当なし",0,1)</f>
        <v/>
      </c>
    </row>
    <row r="870" spans="1:12" ht="15.75" thickBot="1">
      <c r="A870" s="195"/>
      <c r="B870" s="195" t="s">
        <v>207</v>
      </c>
      <c r="C870"/>
      <c r="D870" s="197" t="s">
        <v>144</v>
      </c>
      <c r="E870" s="197" t="s">
        <v>414</v>
      </c>
      <c r="F870" s="197" t="s">
        <v>538</v>
      </c>
      <c r="G870" s="197" t="s">
        <v>515</v>
      </c>
      <c r="H870" s="197" t="s">
        <v>848</v>
      </c>
      <c r="I870" s="209" t="s">
        <v>848</v>
      </c>
      <c r="K870" s="229"/>
      <c r="L870" s="204" t="str">
        <f>_xlfn.XLOOKUP($A851,ﾘｽﾄマスタ!$U$8:$U$17,ﾘｽﾄマスタ!$V$8:$V$17,"",0)</f>
        <v/>
      </c>
    </row>
    <row r="871" spans="1:12" ht="15.75" thickBot="1">
      <c r="A871" s="195"/>
      <c r="B871" s="196" t="s">
        <v>251</v>
      </c>
      <c r="C871"/>
      <c r="D871" s="197" t="s">
        <v>144</v>
      </c>
      <c r="E871" s="197" t="s">
        <v>862</v>
      </c>
      <c r="F871" s="197" t="s">
        <v>538</v>
      </c>
      <c r="G871" s="197" t="s">
        <v>269</v>
      </c>
      <c r="H871" s="197" t="s">
        <v>848</v>
      </c>
      <c r="I871" s="209" t="s">
        <v>848</v>
      </c>
      <c r="K871" s="208" t="s">
        <v>277</v>
      </c>
      <c r="L871" s="208" t="str">
        <f ca="1">_xlfn.XLOOKUP($B854,シフト抽出!$19:$19,シフト抽出!$30:$30,"該当なし",0,1)</f>
        <v/>
      </c>
    </row>
    <row r="872" spans="1:12">
      <c r="A872" s="195"/>
      <c r="B872" s="195" t="s">
        <v>205</v>
      </c>
      <c r="C872"/>
      <c r="D872" s="197" t="s">
        <v>218</v>
      </c>
      <c r="E872" s="197" t="s">
        <v>214</v>
      </c>
      <c r="F872" s="197" t="s">
        <v>538</v>
      </c>
      <c r="G872" s="197" t="s">
        <v>269</v>
      </c>
      <c r="H872" s="197" t="s">
        <v>229</v>
      </c>
      <c r="I872" s="209" t="s">
        <v>229</v>
      </c>
    </row>
    <row r="873" spans="1:12">
      <c r="A873" s="195"/>
      <c r="B873" s="195" t="s">
        <v>206</v>
      </c>
      <c r="C873"/>
      <c r="D873" s="197" t="s">
        <v>78</v>
      </c>
      <c r="E873" s="197" t="s">
        <v>214</v>
      </c>
      <c r="F873" s="197" t="s">
        <v>538</v>
      </c>
      <c r="G873" s="197" t="s">
        <v>269</v>
      </c>
      <c r="H873" s="197" t="s">
        <v>229</v>
      </c>
      <c r="I873" s="209" t="s">
        <v>229</v>
      </c>
    </row>
    <row r="874" spans="1:12">
      <c r="A874" s="195"/>
      <c r="B874" s="195" t="s">
        <v>207</v>
      </c>
      <c r="C874"/>
      <c r="D874" s="197" t="s">
        <v>78</v>
      </c>
      <c r="E874" s="197" t="s">
        <v>214</v>
      </c>
      <c r="F874" s="197" t="s">
        <v>538</v>
      </c>
      <c r="G874" s="197" t="s">
        <v>269</v>
      </c>
      <c r="H874" s="197" t="s">
        <v>229</v>
      </c>
      <c r="I874" s="209" t="s">
        <v>229</v>
      </c>
    </row>
    <row r="875" spans="1:12">
      <c r="A875" s="195"/>
      <c r="B875" s="196" t="s">
        <v>217</v>
      </c>
      <c r="C875"/>
      <c r="D875" s="197" t="s">
        <v>146</v>
      </c>
      <c r="E875" s="197" t="s">
        <v>761</v>
      </c>
      <c r="F875" s="197" t="s">
        <v>538</v>
      </c>
      <c r="G875" s="197" t="s">
        <v>446</v>
      </c>
      <c r="H875" s="197" t="s">
        <v>230</v>
      </c>
      <c r="I875" s="209" t="s">
        <v>230</v>
      </c>
    </row>
    <row r="876" spans="1:12">
      <c r="A876" s="195"/>
      <c r="B876" s="195" t="s">
        <v>205</v>
      </c>
      <c r="C876"/>
      <c r="D876" s="197" t="s">
        <v>146</v>
      </c>
      <c r="E876" s="197" t="s">
        <v>761</v>
      </c>
      <c r="F876" s="197" t="s">
        <v>538</v>
      </c>
      <c r="G876" s="197" t="s">
        <v>446</v>
      </c>
      <c r="H876" s="197" t="s">
        <v>230</v>
      </c>
      <c r="I876" s="209" t="s">
        <v>230</v>
      </c>
    </row>
    <row r="877" spans="1:12">
      <c r="A877" s="195"/>
      <c r="B877" s="195" t="s">
        <v>206</v>
      </c>
      <c r="C877"/>
      <c r="D877" s="197" t="s">
        <v>51</v>
      </c>
      <c r="E877" s="197" t="s">
        <v>761</v>
      </c>
      <c r="F877" s="197" t="s">
        <v>538</v>
      </c>
      <c r="G877" s="197" t="s">
        <v>114</v>
      </c>
      <c r="H877" s="197" t="s">
        <v>230</v>
      </c>
      <c r="I877" s="209" t="s">
        <v>230</v>
      </c>
    </row>
    <row r="878" spans="1:12">
      <c r="A878" s="195"/>
      <c r="B878" s="195" t="s">
        <v>207</v>
      </c>
      <c r="C878"/>
      <c r="D878" s="197" t="s">
        <v>51</v>
      </c>
      <c r="E878" s="197" t="s">
        <v>761</v>
      </c>
      <c r="F878" s="197" t="s">
        <v>538</v>
      </c>
      <c r="G878" s="197" t="s">
        <v>114</v>
      </c>
      <c r="H878" s="197" t="s">
        <v>230</v>
      </c>
      <c r="I878" s="209" t="s">
        <v>230</v>
      </c>
    </row>
    <row r="879" spans="1:12">
      <c r="A879" s="195"/>
      <c r="B879" s="196" t="s">
        <v>219</v>
      </c>
      <c r="C879"/>
      <c r="D879" s="197" t="s">
        <v>51</v>
      </c>
      <c r="E879" s="197"/>
      <c r="F879" s="197" t="s">
        <v>538</v>
      </c>
      <c r="G879" s="197" t="s">
        <v>51</v>
      </c>
      <c r="H879" s="197" t="s">
        <v>230</v>
      </c>
      <c r="I879" s="209" t="s">
        <v>230</v>
      </c>
    </row>
    <row r="880" spans="1:12">
      <c r="A880" s="195"/>
      <c r="B880" s="195" t="s">
        <v>205</v>
      </c>
      <c r="C880"/>
      <c r="D880" s="197"/>
      <c r="E880" s="197"/>
      <c r="F880" s="197" t="s">
        <v>538</v>
      </c>
      <c r="G880" s="197" t="s">
        <v>51</v>
      </c>
      <c r="H880" s="197" t="s">
        <v>230</v>
      </c>
      <c r="I880" s="209" t="s">
        <v>230</v>
      </c>
    </row>
    <row r="881" spans="1:9">
      <c r="A881" s="195"/>
      <c r="B881" s="195" t="s">
        <v>206</v>
      </c>
      <c r="C881"/>
      <c r="D881" s="197"/>
      <c r="E881" s="197"/>
      <c r="F881" s="197"/>
      <c r="G881" s="197" t="s">
        <v>51</v>
      </c>
      <c r="H881" s="197"/>
      <c r="I881" s="209"/>
    </row>
    <row r="882" spans="1:9">
      <c r="A882" s="195"/>
      <c r="B882" s="195" t="s">
        <v>207</v>
      </c>
      <c r="C882"/>
      <c r="D882" s="197"/>
      <c r="E882" s="197"/>
      <c r="F882" s="197"/>
      <c r="G882" s="197"/>
      <c r="H882" s="197"/>
      <c r="I882" s="209"/>
    </row>
    <row r="883" spans="1:9">
      <c r="A883" s="195"/>
      <c r="B883" s="196" t="s">
        <v>220</v>
      </c>
      <c r="C883"/>
      <c r="D883" s="189" t="s">
        <v>841</v>
      </c>
      <c r="E883" s="189"/>
      <c r="F883" s="189" t="s">
        <v>891</v>
      </c>
      <c r="G883" s="189" t="s">
        <v>842</v>
      </c>
      <c r="H883" s="197"/>
      <c r="I883" s="209"/>
    </row>
    <row r="884" spans="1:9">
      <c r="A884" s="195"/>
      <c r="B884" s="195" t="s">
        <v>205</v>
      </c>
      <c r="C884"/>
      <c r="D884" s="197" t="s">
        <v>759</v>
      </c>
      <c r="E884" s="197" t="s">
        <v>848</v>
      </c>
      <c r="F884" s="197" t="s">
        <v>224</v>
      </c>
      <c r="G884" s="197" t="s">
        <v>56</v>
      </c>
      <c r="H884" s="197" t="s">
        <v>415</v>
      </c>
      <c r="I884" s="209" t="s">
        <v>415</v>
      </c>
    </row>
    <row r="885" spans="1:9">
      <c r="A885" s="195"/>
      <c r="B885" s="195" t="s">
        <v>206</v>
      </c>
      <c r="C885"/>
      <c r="D885" s="197" t="s">
        <v>759</v>
      </c>
      <c r="E885" s="197" t="s">
        <v>848</v>
      </c>
      <c r="F885" s="197" t="s">
        <v>865</v>
      </c>
      <c r="G885" s="197" t="s">
        <v>56</v>
      </c>
      <c r="H885" s="197" t="s">
        <v>415</v>
      </c>
      <c r="I885" s="209" t="s">
        <v>415</v>
      </c>
    </row>
    <row r="886" spans="1:9">
      <c r="A886" s="195"/>
      <c r="B886" s="195" t="s">
        <v>207</v>
      </c>
      <c r="C886"/>
      <c r="D886" s="197" t="s">
        <v>759</v>
      </c>
      <c r="E886" s="197" t="s">
        <v>848</v>
      </c>
      <c r="F886" s="197" t="s">
        <v>866</v>
      </c>
      <c r="G886" s="197" t="s">
        <v>56</v>
      </c>
      <c r="H886" s="197" t="s">
        <v>415</v>
      </c>
      <c r="I886" s="209" t="s">
        <v>415</v>
      </c>
    </row>
    <row r="887" spans="1:9">
      <c r="A887" s="195"/>
      <c r="B887" s="196" t="s">
        <v>222</v>
      </c>
      <c r="C887"/>
      <c r="D887" s="197" t="s">
        <v>759</v>
      </c>
      <c r="E887" s="197" t="s">
        <v>273</v>
      </c>
      <c r="F887" s="197" t="s">
        <v>416</v>
      </c>
      <c r="G887" s="197" t="s">
        <v>56</v>
      </c>
      <c r="H887" s="197" t="s">
        <v>415</v>
      </c>
      <c r="I887" s="209" t="s">
        <v>415</v>
      </c>
    </row>
    <row r="888" spans="1:9">
      <c r="A888" s="195"/>
      <c r="B888" s="195" t="s">
        <v>205</v>
      </c>
      <c r="C888"/>
      <c r="D888" s="197" t="s">
        <v>759</v>
      </c>
      <c r="E888" s="197" t="s">
        <v>273</v>
      </c>
      <c r="F888" s="197" t="s">
        <v>889</v>
      </c>
      <c r="G888" s="197" t="s">
        <v>424</v>
      </c>
      <c r="H888" s="197" t="s">
        <v>415</v>
      </c>
      <c r="I888" s="209" t="s">
        <v>415</v>
      </c>
    </row>
    <row r="889" spans="1:9">
      <c r="A889" s="195"/>
      <c r="B889" s="195" t="s">
        <v>206</v>
      </c>
      <c r="C889"/>
      <c r="D889" s="197" t="s">
        <v>216</v>
      </c>
      <c r="E889" s="197" t="s">
        <v>273</v>
      </c>
      <c r="F889" s="197" t="s">
        <v>416</v>
      </c>
      <c r="G889" s="197" t="s">
        <v>270</v>
      </c>
      <c r="H889" s="197" t="s">
        <v>415</v>
      </c>
      <c r="I889" s="209" t="s">
        <v>415</v>
      </c>
    </row>
    <row r="890" spans="1:9">
      <c r="A890" s="195"/>
      <c r="B890" s="195" t="s">
        <v>207</v>
      </c>
      <c r="C890"/>
      <c r="D890" s="197" t="s">
        <v>216</v>
      </c>
      <c r="E890" s="197" t="s">
        <v>252</v>
      </c>
      <c r="F890" s="197" t="s">
        <v>416</v>
      </c>
      <c r="G890" s="197" t="s">
        <v>270</v>
      </c>
      <c r="H890" s="197" t="s">
        <v>415</v>
      </c>
      <c r="I890" s="209" t="s">
        <v>415</v>
      </c>
    </row>
    <row r="891" spans="1:9">
      <c r="A891" s="195"/>
      <c r="B891" s="196" t="s">
        <v>223</v>
      </c>
      <c r="C891"/>
      <c r="D891" s="197" t="s">
        <v>216</v>
      </c>
      <c r="E891" s="197" t="s">
        <v>252</v>
      </c>
      <c r="F891" s="197" t="s">
        <v>416</v>
      </c>
      <c r="G891" s="197" t="s">
        <v>270</v>
      </c>
      <c r="H891" s="197" t="s">
        <v>415</v>
      </c>
      <c r="I891" s="209" t="s">
        <v>415</v>
      </c>
    </row>
    <row r="892" spans="1:9">
      <c r="A892" s="195"/>
      <c r="B892" s="195" t="s">
        <v>205</v>
      </c>
      <c r="C892"/>
      <c r="D892" s="197" t="s">
        <v>216</v>
      </c>
      <c r="E892" s="197" t="s">
        <v>252</v>
      </c>
      <c r="F892" s="197" t="s">
        <v>416</v>
      </c>
      <c r="G892" s="197" t="s">
        <v>270</v>
      </c>
      <c r="H892" s="197" t="s">
        <v>415</v>
      </c>
      <c r="I892" s="209" t="s">
        <v>415</v>
      </c>
    </row>
    <row r="893" spans="1:9">
      <c r="A893" s="195"/>
      <c r="B893" s="195" t="s">
        <v>206</v>
      </c>
      <c r="C893"/>
      <c r="D893" s="197" t="s">
        <v>160</v>
      </c>
      <c r="E893" s="197" t="s">
        <v>252</v>
      </c>
      <c r="F893" s="197" t="s">
        <v>416</v>
      </c>
      <c r="G893" s="197" t="s">
        <v>270</v>
      </c>
      <c r="H893" s="197" t="s">
        <v>415</v>
      </c>
      <c r="I893" s="209" t="s">
        <v>415</v>
      </c>
    </row>
    <row r="894" spans="1:9">
      <c r="A894" s="195"/>
      <c r="B894" s="195" t="s">
        <v>207</v>
      </c>
      <c r="C894"/>
      <c r="D894" s="197" t="s">
        <v>215</v>
      </c>
      <c r="E894" s="197" t="s">
        <v>252</v>
      </c>
      <c r="F894" s="197"/>
      <c r="G894" s="197" t="s">
        <v>270</v>
      </c>
      <c r="H894" s="197" t="s">
        <v>415</v>
      </c>
      <c r="I894" s="209" t="s">
        <v>415</v>
      </c>
    </row>
    <row r="895" spans="1:9">
      <c r="A895" s="195"/>
      <c r="B895" s="196" t="s">
        <v>225</v>
      </c>
      <c r="C895"/>
      <c r="D895" s="197" t="s">
        <v>280</v>
      </c>
      <c r="E895" s="197" t="s">
        <v>252</v>
      </c>
      <c r="F895" s="197"/>
      <c r="G895" s="197" t="s">
        <v>270</v>
      </c>
      <c r="H895" s="197" t="s">
        <v>415</v>
      </c>
      <c r="I895" s="209" t="s">
        <v>415</v>
      </c>
    </row>
    <row r="896" spans="1:9">
      <c r="A896" s="195"/>
      <c r="B896" s="195" t="s">
        <v>205</v>
      </c>
      <c r="C896"/>
      <c r="D896" s="197" t="s">
        <v>127</v>
      </c>
      <c r="E896" s="197" t="s">
        <v>252</v>
      </c>
      <c r="F896" s="197"/>
      <c r="G896" s="197" t="s">
        <v>270</v>
      </c>
      <c r="H896" s="209" t="s">
        <v>415</v>
      </c>
      <c r="I896" s="209" t="s">
        <v>415</v>
      </c>
    </row>
    <row r="897" spans="1:12">
      <c r="A897" s="195"/>
      <c r="B897" s="195" t="s">
        <v>206</v>
      </c>
      <c r="C897"/>
      <c r="D897" s="197"/>
      <c r="E897" s="197"/>
      <c r="F897" s="197"/>
      <c r="G897" s="197" t="s">
        <v>270</v>
      </c>
      <c r="H897" s="209" t="s">
        <v>415</v>
      </c>
      <c r="I897" s="209" t="s">
        <v>415</v>
      </c>
    </row>
    <row r="898" spans="1:12">
      <c r="A898" s="195"/>
      <c r="B898" s="195" t="s">
        <v>207</v>
      </c>
      <c r="C898"/>
      <c r="D898" s="197"/>
      <c r="E898" s="197"/>
      <c r="F898" s="197"/>
      <c r="G898" s="197" t="s">
        <v>270</v>
      </c>
      <c r="H898" s="209" t="s">
        <v>415</v>
      </c>
      <c r="I898" s="209" t="s">
        <v>415</v>
      </c>
    </row>
    <row r="899" spans="1:12">
      <c r="A899" s="195"/>
      <c r="B899" s="196" t="s">
        <v>226</v>
      </c>
      <c r="C899"/>
      <c r="D899" s="197"/>
      <c r="E899" s="197"/>
      <c r="F899" s="197"/>
      <c r="G899" s="197" t="s">
        <v>270</v>
      </c>
      <c r="H899" s="209"/>
      <c r="I899" s="209"/>
    </row>
    <row r="900" spans="1:12">
      <c r="A900" s="195"/>
      <c r="B900" s="195" t="s">
        <v>205</v>
      </c>
      <c r="C900"/>
      <c r="D900" s="197"/>
      <c r="E900" s="197"/>
      <c r="F900" s="197"/>
      <c r="G900" s="197" t="s">
        <v>270</v>
      </c>
      <c r="H900" s="209"/>
      <c r="I900" s="209"/>
    </row>
    <row r="901" spans="1:12">
      <c r="A901" s="195"/>
      <c r="B901" s="195" t="s">
        <v>206</v>
      </c>
      <c r="C901"/>
      <c r="D901" s="197"/>
      <c r="E901" s="197"/>
      <c r="F901" s="197"/>
      <c r="G901" s="197" t="s">
        <v>270</v>
      </c>
      <c r="H901" s="209"/>
      <c r="I901" s="209"/>
    </row>
    <row r="902" spans="1:12">
      <c r="A902" s="195"/>
      <c r="B902" s="195" t="s">
        <v>207</v>
      </c>
      <c r="C902"/>
      <c r="D902" s="197"/>
      <c r="E902" s="197"/>
      <c r="F902" s="197"/>
      <c r="G902" s="197" t="s">
        <v>270</v>
      </c>
      <c r="H902" s="209"/>
      <c r="I902" s="209"/>
    </row>
    <row r="903" spans="1:12">
      <c r="A903" s="195"/>
      <c r="B903" s="196" t="s">
        <v>227</v>
      </c>
      <c r="C903"/>
      <c r="D903" s="197"/>
      <c r="E903" s="197"/>
      <c r="F903" s="197"/>
      <c r="G903" s="197"/>
      <c r="H903" s="209"/>
      <c r="I903" s="209"/>
      <c r="K903"/>
    </row>
    <row r="904" spans="1:12" ht="29.25" thickBot="1">
      <c r="A904" s="182" t="str">
        <f>"回収シフト  第"&amp;ROUNDUP(DAY(B907)/7,0)  &amp;"  "&amp;TEXT(B907,"aaaa")</f>
        <v>回収シフト  第3  火曜日</v>
      </c>
      <c r="B904" s="183"/>
      <c r="C904" s="183"/>
      <c r="D904" s="183"/>
      <c r="E904" s="183"/>
      <c r="F904" s="183"/>
      <c r="G904" s="184"/>
      <c r="H904" s="184"/>
      <c r="I904" s="184"/>
      <c r="K904" s="183"/>
      <c r="L904" s="183"/>
    </row>
    <row r="905" spans="1:12" ht="15.75" thickBot="1">
      <c r="A905"/>
      <c r="B905"/>
      <c r="C905"/>
      <c r="D905" s="186" t="s">
        <v>201</v>
      </c>
      <c r="E905" s="186" t="s">
        <v>202</v>
      </c>
      <c r="F905" s="186" t="s">
        <v>203</v>
      </c>
      <c r="G905" s="186" t="s">
        <v>204</v>
      </c>
      <c r="H905" s="186" t="s">
        <v>267</v>
      </c>
      <c r="I905" s="217" t="s">
        <v>267</v>
      </c>
      <c r="K905" s="230" t="s">
        <v>257</v>
      </c>
      <c r="L905" s="231"/>
    </row>
    <row r="906" spans="1:12">
      <c r="A906" s="187"/>
      <c r="B906" s="188">
        <v>46119</v>
      </c>
      <c r="C906" s="187"/>
      <c r="D906" s="189" t="s">
        <v>896</v>
      </c>
      <c r="E906" s="189" t="s">
        <v>859</v>
      </c>
      <c r="F906" s="189" t="s">
        <v>891</v>
      </c>
      <c r="G906" s="189" t="s">
        <v>842</v>
      </c>
      <c r="H906" s="189" t="s">
        <v>852</v>
      </c>
      <c r="I906" s="218" t="s">
        <v>852</v>
      </c>
      <c r="K906" s="232" t="s">
        <v>258</v>
      </c>
      <c r="L906" s="190" t="str">
        <f ca="1">_xlfn.XLOOKUP($B907,シフト抽出!$19:$19,シフト抽出!$20:$20,"該当なし",0,1)</f>
        <v/>
      </c>
    </row>
    <row r="907" spans="1:12" ht="19.5" thickBot="1">
      <c r="A907"/>
      <c r="B907" s="191">
        <f>B854+1</f>
        <v>46133</v>
      </c>
      <c r="C907" s="192"/>
      <c r="D907" s="193"/>
      <c r="E907" s="193"/>
      <c r="F907" s="193"/>
      <c r="G907" s="193"/>
      <c r="H907" s="193"/>
      <c r="I907" s="219"/>
      <c r="K907" s="233"/>
      <c r="L907" s="194" t="str">
        <f ca="1">_xlfn.XLOOKUP($B907,シフト抽出!$19:$19,シフト抽出!$21:$21,"該当なし",0,1)</f>
        <v/>
      </c>
    </row>
    <row r="908" spans="1:12">
      <c r="A908" s="195"/>
      <c r="B908" s="196">
        <v>0.25</v>
      </c>
      <c r="C908"/>
      <c r="D908" s="197"/>
      <c r="E908" s="196"/>
      <c r="F908" s="197"/>
      <c r="G908" s="197"/>
      <c r="H908" s="197"/>
      <c r="I908" s="209"/>
      <c r="K908" s="234" t="s">
        <v>259</v>
      </c>
      <c r="L908" s="198" t="str">
        <f ca="1">_xlfn.XLOOKUP($B907,シフト抽出!$19:$19,シフト抽出!$23:$23,"該当なし",0,1)</f>
        <v/>
      </c>
    </row>
    <row r="909" spans="1:12" ht="15.75" thickBot="1">
      <c r="A909" s="195"/>
      <c r="B909" s="195" t="s">
        <v>205</v>
      </c>
      <c r="C909"/>
      <c r="D909" s="197"/>
      <c r="E909" s="197"/>
      <c r="F909" s="197"/>
      <c r="G909" s="197"/>
      <c r="H909" s="197"/>
      <c r="I909" s="209"/>
      <c r="K909" s="235"/>
      <c r="L909" s="199" t="str">
        <f ca="1">_xlfn.XLOOKUP($B907,シフト抽出!$19:$19,シフト抽出!$24:$24,"該当なし",0,1)</f>
        <v/>
      </c>
    </row>
    <row r="910" spans="1:12">
      <c r="A910" s="195"/>
      <c r="B910" s="195" t="s">
        <v>206</v>
      </c>
      <c r="C910"/>
      <c r="D910" s="197"/>
      <c r="E910" s="197"/>
      <c r="F910" s="197"/>
      <c r="G910" s="197"/>
      <c r="H910" s="197"/>
      <c r="I910" s="209"/>
      <c r="K910" s="224" t="s">
        <v>260</v>
      </c>
      <c r="L910" s="200" t="str">
        <f ca="1">_xlfn.XLOOKUP($B907,シフト抽出!$19:$19,シフト抽出!$26:$26,"該当なし",0,1)</f>
        <v/>
      </c>
    </row>
    <row r="911" spans="1:12">
      <c r="A911" s="195"/>
      <c r="B911" s="195" t="s">
        <v>207</v>
      </c>
      <c r="C911"/>
      <c r="D911" s="197"/>
      <c r="E911" s="197"/>
      <c r="F911" s="197"/>
      <c r="G911" s="197"/>
      <c r="H911" s="197"/>
      <c r="I911" s="209"/>
      <c r="K911" s="225"/>
      <c r="L911" s="201" t="str">
        <f ca="1">_xlfn.XLOOKUP($B907,シフト抽出!$19:$19,シフト抽出!$27:$27,"該当なし",0,1)</f>
        <v/>
      </c>
    </row>
    <row r="912" spans="1:12">
      <c r="A912" s="195"/>
      <c r="B912" s="202" t="s">
        <v>208</v>
      </c>
      <c r="C912"/>
      <c r="D912" s="197" t="s">
        <v>4</v>
      </c>
      <c r="E912" s="197" t="s">
        <v>4</v>
      </c>
      <c r="F912" s="197"/>
      <c r="G912" s="197" t="s">
        <v>4</v>
      </c>
      <c r="H912" s="197"/>
      <c r="I912" s="209"/>
      <c r="J912" s="203"/>
      <c r="K912" s="225"/>
      <c r="L912" s="201" t="str">
        <f ca="1">_xlfn.XLOOKUP($B907,シフト抽出!$19:$19,シフト抽出!$28:$28,"該当なし",0,1)</f>
        <v/>
      </c>
    </row>
    <row r="913" spans="1:12" ht="15.75" thickBot="1">
      <c r="A913" s="195"/>
      <c r="B913" s="195" t="s">
        <v>205</v>
      </c>
      <c r="C913"/>
      <c r="D913" s="197" t="s">
        <v>414</v>
      </c>
      <c r="E913" s="197" t="s">
        <v>420</v>
      </c>
      <c r="F913" s="197" t="s">
        <v>851</v>
      </c>
      <c r="G913" s="197" t="s">
        <v>22</v>
      </c>
      <c r="H913" s="197"/>
      <c r="I913" s="209"/>
      <c r="J913" s="203"/>
      <c r="K913" s="226"/>
      <c r="L913" s="204" t="str">
        <f ca="1">_xlfn.XLOOKUP($B907,シフト抽出!$19:$19,シフト抽出!$29:$29,"該当なし",0,1)</f>
        <v/>
      </c>
    </row>
    <row r="914" spans="1:12" ht="15.75" thickBot="1">
      <c r="A914" s="195"/>
      <c r="B914" s="195" t="s">
        <v>206</v>
      </c>
      <c r="C914"/>
      <c r="D914" s="197" t="s">
        <v>414</v>
      </c>
      <c r="E914" s="197" t="s">
        <v>420</v>
      </c>
      <c r="F914" s="197" t="s">
        <v>851</v>
      </c>
      <c r="G914" s="197" t="s">
        <v>22</v>
      </c>
      <c r="H914" s="197"/>
      <c r="I914" s="209"/>
      <c r="K914" s="205" t="s">
        <v>261</v>
      </c>
      <c r="L914" s="205">
        <f>_xlfn.XLOOKUP($B907,予定表!B:B,予定表!R:R,"該当なし",0,1)</f>
        <v>0</v>
      </c>
    </row>
    <row r="915" spans="1:12">
      <c r="A915" s="195"/>
      <c r="B915" s="195" t="s">
        <v>207</v>
      </c>
      <c r="C915"/>
      <c r="D915" s="197" t="s">
        <v>414</v>
      </c>
      <c r="E915" s="197" t="s">
        <v>420</v>
      </c>
      <c r="F915" s="197" t="s">
        <v>851</v>
      </c>
      <c r="G915" s="197" t="s">
        <v>22</v>
      </c>
      <c r="H915" s="197"/>
      <c r="I915" s="209"/>
      <c r="K915" s="227" t="s">
        <v>262</v>
      </c>
      <c r="L915" s="206" t="str">
        <f>_xlfn.XLOOKUP($B907,予定表!$B:$B,予定表!E:E,"該当なし",0,1)</f>
        <v>セイミツ平塚</v>
      </c>
    </row>
    <row r="916" spans="1:12">
      <c r="A916" s="195"/>
      <c r="B916" s="196" t="s">
        <v>209</v>
      </c>
      <c r="C916"/>
      <c r="D916" s="197" t="s">
        <v>414</v>
      </c>
      <c r="E916" s="197" t="s">
        <v>420</v>
      </c>
      <c r="F916" s="197" t="s">
        <v>851</v>
      </c>
      <c r="G916" s="197" t="s">
        <v>268</v>
      </c>
      <c r="H916" s="197" t="s">
        <v>4</v>
      </c>
      <c r="I916" s="209" t="s">
        <v>4</v>
      </c>
      <c r="K916" s="228"/>
      <c r="L916" s="207" t="str">
        <f>_xlfn.XLOOKUP($B907,予定表!$B:$B,予定表!F:F,"該当なし",0,1)</f>
        <v>午後ストリックス雑誌</v>
      </c>
    </row>
    <row r="917" spans="1:12">
      <c r="A917" s="195"/>
      <c r="B917" s="195" t="s">
        <v>205</v>
      </c>
      <c r="C917"/>
      <c r="D917" s="197" t="s">
        <v>414</v>
      </c>
      <c r="E917" s="197" t="s">
        <v>420</v>
      </c>
      <c r="F917" s="197" t="s">
        <v>851</v>
      </c>
      <c r="G917" s="197" t="s">
        <v>268</v>
      </c>
      <c r="H917" s="197" t="s">
        <v>60</v>
      </c>
      <c r="I917" s="209" t="s">
        <v>60</v>
      </c>
      <c r="K917" s="228"/>
      <c r="L917" s="207">
        <f>_xlfn.XLOOKUP($B907,予定表!$B:$B,予定表!G:G,"該当なし",0,1)</f>
        <v>0</v>
      </c>
    </row>
    <row r="918" spans="1:12">
      <c r="A918" s="195"/>
      <c r="B918" s="195" t="s">
        <v>206</v>
      </c>
      <c r="C918"/>
      <c r="D918" s="197" t="s">
        <v>214</v>
      </c>
      <c r="E918" s="197" t="s">
        <v>273</v>
      </c>
      <c r="F918" s="197" t="s">
        <v>851</v>
      </c>
      <c r="G918" s="197" t="s">
        <v>268</v>
      </c>
      <c r="H918" s="197" t="s">
        <v>60</v>
      </c>
      <c r="I918" s="209" t="s">
        <v>60</v>
      </c>
      <c r="K918" s="228"/>
      <c r="L918" s="207" t="str">
        <f>_xlfn.XLOOKUP($B907,予定表!$B:$B,予定表!H:H,"該当なし",0,1)</f>
        <v>富士ロジ三田</v>
      </c>
    </row>
    <row r="919" spans="1:12">
      <c r="A919" s="195"/>
      <c r="B919" s="195" t="s">
        <v>207</v>
      </c>
      <c r="C919"/>
      <c r="D919" s="197" t="s">
        <v>214</v>
      </c>
      <c r="E919" s="197" t="s">
        <v>273</v>
      </c>
      <c r="F919" s="197" t="s">
        <v>851</v>
      </c>
      <c r="G919" s="197" t="s">
        <v>268</v>
      </c>
      <c r="H919" s="197" t="s">
        <v>60</v>
      </c>
      <c r="I919" s="209" t="s">
        <v>60</v>
      </c>
      <c r="K919" s="228"/>
      <c r="L919" s="207" t="str">
        <f>_xlfn.XLOOKUP($B907,予定表!$B:$B,予定表!I:I,"該当なし",0,1)</f>
        <v/>
      </c>
    </row>
    <row r="920" spans="1:12">
      <c r="A920" s="195"/>
      <c r="B920" s="196" t="s">
        <v>212</v>
      </c>
      <c r="C920"/>
      <c r="D920" s="197" t="s">
        <v>214</v>
      </c>
      <c r="E920" s="197" t="s">
        <v>273</v>
      </c>
      <c r="F920" s="197" t="s">
        <v>851</v>
      </c>
      <c r="G920" s="197" t="s">
        <v>169</v>
      </c>
      <c r="H920" s="197"/>
      <c r="I920" s="209"/>
      <c r="K920" s="228"/>
      <c r="L920" s="207" t="str">
        <f>_xlfn.XLOOKUP($B907,予定表!$B:$B,予定表!J:J,"該当なし",0,1)</f>
        <v/>
      </c>
    </row>
    <row r="921" spans="1:12">
      <c r="A921" s="195"/>
      <c r="B921" s="195" t="s">
        <v>205</v>
      </c>
      <c r="C921"/>
      <c r="D921" s="197" t="s">
        <v>214</v>
      </c>
      <c r="E921" s="197" t="s">
        <v>228</v>
      </c>
      <c r="F921" s="197"/>
      <c r="G921" s="197" t="s">
        <v>169</v>
      </c>
      <c r="H921" s="197" t="s">
        <v>848</v>
      </c>
      <c r="I921" s="209" t="s">
        <v>848</v>
      </c>
      <c r="K921" s="228"/>
      <c r="L921" s="207" t="str">
        <f>_xlfn.XLOOKUP($B907,予定表!$B:$B,予定表!K:K,"該当なし",0,1)</f>
        <v/>
      </c>
    </row>
    <row r="922" spans="1:12">
      <c r="A922" s="195"/>
      <c r="B922" s="195" t="s">
        <v>206</v>
      </c>
      <c r="C922"/>
      <c r="D922" s="197" t="s">
        <v>214</v>
      </c>
      <c r="E922" s="197" t="s">
        <v>228</v>
      </c>
      <c r="F922" s="197" t="s">
        <v>383</v>
      </c>
      <c r="G922" s="197" t="s">
        <v>169</v>
      </c>
      <c r="H922" s="197" t="s">
        <v>848</v>
      </c>
      <c r="I922" s="209" t="s">
        <v>848</v>
      </c>
      <c r="K922" s="228"/>
      <c r="L922" s="207" t="str">
        <f>_xlfn.XLOOKUP($B907,予定表!$B:$B,予定表!L:L,"該当なし",0,1)</f>
        <v/>
      </c>
    </row>
    <row r="923" spans="1:12" ht="15.75" thickBot="1">
      <c r="A923" s="195"/>
      <c r="B923" s="195" t="s">
        <v>207</v>
      </c>
      <c r="C923"/>
      <c r="D923" s="197" t="s">
        <v>353</v>
      </c>
      <c r="E923" s="197" t="s">
        <v>228</v>
      </c>
      <c r="F923" s="197" t="s">
        <v>383</v>
      </c>
      <c r="G923" s="197" t="s">
        <v>169</v>
      </c>
      <c r="H923" s="197" t="s">
        <v>848</v>
      </c>
      <c r="I923" s="209" t="s">
        <v>848</v>
      </c>
      <c r="K923" s="229"/>
      <c r="L923" s="204" t="str">
        <f>_xlfn.XLOOKUP($A904,ﾘｽﾄマスタ!$U$8:$U$17,ﾘｽﾄマスタ!$V$8:$V$17,"",0)</f>
        <v/>
      </c>
    </row>
    <row r="924" spans="1:12" ht="15.75" thickBot="1">
      <c r="A924" s="195"/>
      <c r="B924" s="196" t="s">
        <v>251</v>
      </c>
      <c r="C924"/>
      <c r="D924" s="197" t="s">
        <v>353</v>
      </c>
      <c r="E924" s="197" t="s">
        <v>228</v>
      </c>
      <c r="F924" s="197" t="s">
        <v>894</v>
      </c>
      <c r="G924" s="197" t="s">
        <v>169</v>
      </c>
      <c r="H924" s="197" t="s">
        <v>848</v>
      </c>
      <c r="I924" s="209" t="s">
        <v>848</v>
      </c>
      <c r="K924" s="208" t="s">
        <v>277</v>
      </c>
      <c r="L924" s="208" t="str">
        <f ca="1">_xlfn.XLOOKUP($B907,シフト抽出!$19:$19,シフト抽出!$30:$30,"該当なし",0,1)</f>
        <v/>
      </c>
    </row>
    <row r="925" spans="1:12">
      <c r="A925" s="195"/>
      <c r="B925" s="195" t="s">
        <v>205</v>
      </c>
      <c r="C925"/>
      <c r="D925" s="197" t="s">
        <v>353</v>
      </c>
      <c r="E925" s="197" t="s">
        <v>228</v>
      </c>
      <c r="F925" s="197" t="s">
        <v>383</v>
      </c>
      <c r="G925" s="197" t="s">
        <v>169</v>
      </c>
      <c r="H925" s="197" t="s">
        <v>848</v>
      </c>
      <c r="I925" s="209" t="s">
        <v>848</v>
      </c>
    </row>
    <row r="926" spans="1:12">
      <c r="A926" s="195"/>
      <c r="B926" s="195" t="s">
        <v>206</v>
      </c>
      <c r="C926"/>
      <c r="D926" s="197" t="s">
        <v>761</v>
      </c>
      <c r="E926" s="197" t="s">
        <v>263</v>
      </c>
      <c r="F926" s="197" t="s">
        <v>383</v>
      </c>
      <c r="G926" s="197" t="s">
        <v>279</v>
      </c>
      <c r="H926" s="197" t="s">
        <v>229</v>
      </c>
      <c r="I926" s="209" t="s">
        <v>229</v>
      </c>
    </row>
    <row r="927" spans="1:12">
      <c r="A927" s="195"/>
      <c r="B927" s="195" t="s">
        <v>207</v>
      </c>
      <c r="C927"/>
      <c r="D927" s="197" t="s">
        <v>761</v>
      </c>
      <c r="E927" s="197" t="s">
        <v>263</v>
      </c>
      <c r="F927" s="197" t="s">
        <v>383</v>
      </c>
      <c r="G927" s="197" t="s">
        <v>279</v>
      </c>
      <c r="H927" s="197" t="s">
        <v>229</v>
      </c>
      <c r="I927" s="209" t="s">
        <v>229</v>
      </c>
    </row>
    <row r="928" spans="1:12">
      <c r="A928" s="195"/>
      <c r="B928" s="196" t="s">
        <v>217</v>
      </c>
      <c r="C928"/>
      <c r="D928" s="197" t="s">
        <v>761</v>
      </c>
      <c r="E928" s="197" t="s">
        <v>263</v>
      </c>
      <c r="F928" s="197" t="s">
        <v>51</v>
      </c>
      <c r="G928" s="197" t="s">
        <v>279</v>
      </c>
      <c r="H928" s="197" t="s">
        <v>230</v>
      </c>
      <c r="I928" s="209" t="s">
        <v>230</v>
      </c>
    </row>
    <row r="929" spans="1:9">
      <c r="A929" s="195"/>
      <c r="B929" s="195" t="s">
        <v>205</v>
      </c>
      <c r="C929"/>
      <c r="D929" s="197" t="s">
        <v>761</v>
      </c>
      <c r="E929" s="197" t="s">
        <v>263</v>
      </c>
      <c r="F929" s="197" t="s">
        <v>51</v>
      </c>
      <c r="G929" s="197" t="s">
        <v>114</v>
      </c>
      <c r="H929" s="197" t="s">
        <v>230</v>
      </c>
      <c r="I929" s="209" t="s">
        <v>230</v>
      </c>
    </row>
    <row r="930" spans="1:9">
      <c r="A930" s="195"/>
      <c r="B930" s="195" t="s">
        <v>206</v>
      </c>
      <c r="C930"/>
      <c r="D930" s="197" t="s">
        <v>88</v>
      </c>
      <c r="E930" s="197" t="s">
        <v>263</v>
      </c>
      <c r="F930" s="197" t="s">
        <v>51</v>
      </c>
      <c r="G930" s="197" t="s">
        <v>114</v>
      </c>
      <c r="H930" s="197" t="s">
        <v>230</v>
      </c>
      <c r="I930" s="209" t="s">
        <v>230</v>
      </c>
    </row>
    <row r="931" spans="1:9">
      <c r="A931" s="195"/>
      <c r="B931" s="195" t="s">
        <v>207</v>
      </c>
      <c r="C931"/>
      <c r="D931" s="197" t="s">
        <v>88</v>
      </c>
      <c r="E931" s="197" t="s">
        <v>263</v>
      </c>
      <c r="F931" s="197" t="s">
        <v>51</v>
      </c>
      <c r="G931" s="197" t="s">
        <v>114</v>
      </c>
      <c r="H931" s="197" t="s">
        <v>230</v>
      </c>
      <c r="I931" s="209" t="s">
        <v>230</v>
      </c>
    </row>
    <row r="932" spans="1:9">
      <c r="A932" s="195"/>
      <c r="B932" s="196" t="s">
        <v>219</v>
      </c>
      <c r="C932"/>
      <c r="D932" s="197" t="s">
        <v>160</v>
      </c>
      <c r="E932" s="197" t="s">
        <v>263</v>
      </c>
      <c r="F932" s="197" t="s">
        <v>62</v>
      </c>
      <c r="G932" s="197" t="s">
        <v>114</v>
      </c>
      <c r="H932" s="197" t="s">
        <v>230</v>
      </c>
      <c r="I932" s="209" t="s">
        <v>230</v>
      </c>
    </row>
    <row r="933" spans="1:9">
      <c r="A933" s="195"/>
      <c r="B933" s="195" t="s">
        <v>205</v>
      </c>
      <c r="C933"/>
      <c r="D933" s="197" t="s">
        <v>160</v>
      </c>
      <c r="E933" s="197" t="s">
        <v>263</v>
      </c>
      <c r="F933" s="197" t="s">
        <v>62</v>
      </c>
      <c r="G933" s="197"/>
      <c r="H933" s="197" t="s">
        <v>230</v>
      </c>
      <c r="I933" s="209" t="s">
        <v>230</v>
      </c>
    </row>
    <row r="934" spans="1:9">
      <c r="A934" s="195"/>
      <c r="B934" s="195" t="s">
        <v>206</v>
      </c>
      <c r="C934"/>
      <c r="D934" s="197"/>
      <c r="E934" s="197"/>
      <c r="F934" s="197"/>
      <c r="G934" s="197"/>
      <c r="H934" s="197"/>
      <c r="I934" s="209"/>
    </row>
    <row r="935" spans="1:9">
      <c r="A935" s="195"/>
      <c r="B935" s="195" t="s">
        <v>207</v>
      </c>
      <c r="C935"/>
      <c r="D935" s="197"/>
      <c r="E935" s="197"/>
      <c r="F935" s="197"/>
      <c r="G935" s="197"/>
      <c r="H935" s="197"/>
      <c r="I935" s="209"/>
    </row>
    <row r="936" spans="1:9">
      <c r="A936" s="195"/>
      <c r="B936" s="196" t="s">
        <v>220</v>
      </c>
      <c r="C936"/>
      <c r="D936" s="197"/>
      <c r="E936" s="197"/>
      <c r="F936" s="197"/>
      <c r="G936" s="197"/>
      <c r="H936" s="197"/>
      <c r="I936" s="209"/>
    </row>
    <row r="937" spans="1:9">
      <c r="A937" s="195"/>
      <c r="B937" s="195" t="s">
        <v>205</v>
      </c>
      <c r="C937"/>
      <c r="D937" s="197" t="s">
        <v>129</v>
      </c>
      <c r="E937" s="197" t="s">
        <v>393</v>
      </c>
      <c r="F937" s="197" t="s">
        <v>114</v>
      </c>
      <c r="G937" s="197" t="s">
        <v>56</v>
      </c>
      <c r="H937" s="197" t="s">
        <v>390</v>
      </c>
      <c r="I937" s="209" t="s">
        <v>390</v>
      </c>
    </row>
    <row r="938" spans="1:9">
      <c r="A938" s="195"/>
      <c r="B938" s="195" t="s">
        <v>206</v>
      </c>
      <c r="C938"/>
      <c r="D938" s="197" t="s">
        <v>129</v>
      </c>
      <c r="E938" s="197" t="s">
        <v>393</v>
      </c>
      <c r="F938" s="197" t="s">
        <v>893</v>
      </c>
      <c r="G938" s="197" t="s">
        <v>56</v>
      </c>
      <c r="H938" s="197" t="s">
        <v>390</v>
      </c>
      <c r="I938" s="209" t="s">
        <v>390</v>
      </c>
    </row>
    <row r="939" spans="1:9">
      <c r="A939" s="195"/>
      <c r="B939" s="195" t="s">
        <v>207</v>
      </c>
      <c r="C939"/>
      <c r="D939" s="197" t="s">
        <v>129</v>
      </c>
      <c r="E939" s="197" t="s">
        <v>393</v>
      </c>
      <c r="F939" s="197" t="s">
        <v>114</v>
      </c>
      <c r="G939" s="197" t="s">
        <v>56</v>
      </c>
      <c r="H939" s="197" t="s">
        <v>892</v>
      </c>
      <c r="I939" s="209" t="s">
        <v>892</v>
      </c>
    </row>
    <row r="940" spans="1:9">
      <c r="A940" s="195"/>
      <c r="B940" s="196" t="s">
        <v>222</v>
      </c>
      <c r="C940"/>
      <c r="D940" s="197" t="s">
        <v>129</v>
      </c>
      <c r="E940" s="197" t="s">
        <v>252</v>
      </c>
      <c r="F940" s="197" t="s">
        <v>114</v>
      </c>
      <c r="G940" s="197" t="s">
        <v>56</v>
      </c>
      <c r="H940" s="197" t="s">
        <v>231</v>
      </c>
      <c r="I940" s="209" t="s">
        <v>231</v>
      </c>
    </row>
    <row r="941" spans="1:9">
      <c r="A941" s="195"/>
      <c r="B941" s="195" t="s">
        <v>205</v>
      </c>
      <c r="C941"/>
      <c r="D941" s="197"/>
      <c r="E941" s="197" t="s">
        <v>252</v>
      </c>
      <c r="F941" s="197" t="s">
        <v>114</v>
      </c>
      <c r="G941" s="197"/>
      <c r="H941" s="197" t="s">
        <v>232</v>
      </c>
      <c r="I941" s="209" t="s">
        <v>232</v>
      </c>
    </row>
    <row r="942" spans="1:9">
      <c r="A942" s="195"/>
      <c r="B942" s="195" t="s">
        <v>206</v>
      </c>
      <c r="C942"/>
      <c r="D942" s="197" t="s">
        <v>515</v>
      </c>
      <c r="E942" s="197" t="s">
        <v>252</v>
      </c>
      <c r="F942" s="197" t="s">
        <v>114</v>
      </c>
      <c r="G942" s="197" t="s">
        <v>270</v>
      </c>
      <c r="H942" s="197" t="s">
        <v>211</v>
      </c>
      <c r="I942" s="209" t="s">
        <v>211</v>
      </c>
    </row>
    <row r="943" spans="1:9">
      <c r="A943" s="195"/>
      <c r="B943" s="195" t="s">
        <v>207</v>
      </c>
      <c r="C943"/>
      <c r="D943" s="197" t="s">
        <v>515</v>
      </c>
      <c r="E943" s="197" t="s">
        <v>252</v>
      </c>
      <c r="F943" s="197" t="s">
        <v>114</v>
      </c>
      <c r="G943" s="197" t="s">
        <v>270</v>
      </c>
      <c r="H943" s="197" t="s">
        <v>211</v>
      </c>
      <c r="I943" s="209" t="s">
        <v>211</v>
      </c>
    </row>
    <row r="944" spans="1:9">
      <c r="A944" s="195"/>
      <c r="B944" s="196" t="s">
        <v>223</v>
      </c>
      <c r="C944"/>
      <c r="D944" s="197" t="s">
        <v>515</v>
      </c>
      <c r="E944" s="197" t="s">
        <v>252</v>
      </c>
      <c r="F944" s="197" t="s">
        <v>114</v>
      </c>
      <c r="G944" s="197" t="s">
        <v>270</v>
      </c>
      <c r="H944" s="197"/>
      <c r="I944" s="209"/>
    </row>
    <row r="945" spans="1:12">
      <c r="A945" s="195"/>
      <c r="B945" s="195" t="s">
        <v>205</v>
      </c>
      <c r="C945"/>
      <c r="D945" s="197" t="s">
        <v>269</v>
      </c>
      <c r="E945" s="197" t="s">
        <v>252</v>
      </c>
      <c r="F945" s="197" t="s">
        <v>114</v>
      </c>
      <c r="G945" s="197" t="s">
        <v>270</v>
      </c>
      <c r="H945" s="197" t="s">
        <v>856</v>
      </c>
      <c r="I945" s="209" t="s">
        <v>856</v>
      </c>
    </row>
    <row r="946" spans="1:12">
      <c r="A946" s="195"/>
      <c r="B946" s="195" t="s">
        <v>206</v>
      </c>
      <c r="C946"/>
      <c r="D946" s="197" t="s">
        <v>269</v>
      </c>
      <c r="E946" s="197" t="s">
        <v>252</v>
      </c>
      <c r="F946" s="197" t="s">
        <v>114</v>
      </c>
      <c r="G946" s="197" t="s">
        <v>270</v>
      </c>
      <c r="H946" s="197" t="s">
        <v>856</v>
      </c>
      <c r="I946" s="209" t="s">
        <v>856</v>
      </c>
    </row>
    <row r="947" spans="1:12">
      <c r="A947" s="195"/>
      <c r="B947" s="195" t="s">
        <v>207</v>
      </c>
      <c r="C947"/>
      <c r="D947" s="197" t="s">
        <v>269</v>
      </c>
      <c r="E947" s="197" t="s">
        <v>252</v>
      </c>
      <c r="F947" s="197" t="s">
        <v>114</v>
      </c>
      <c r="G947" s="197" t="s">
        <v>270</v>
      </c>
      <c r="H947" s="197" t="s">
        <v>856</v>
      </c>
      <c r="I947" s="209" t="s">
        <v>856</v>
      </c>
    </row>
    <row r="948" spans="1:12">
      <c r="A948" s="195"/>
      <c r="B948" s="196" t="s">
        <v>225</v>
      </c>
      <c r="C948"/>
      <c r="D948" s="197" t="s">
        <v>269</v>
      </c>
      <c r="E948" s="197" t="s">
        <v>252</v>
      </c>
      <c r="F948" s="197" t="s">
        <v>62</v>
      </c>
      <c r="G948" s="197" t="s">
        <v>270</v>
      </c>
      <c r="H948" s="197" t="s">
        <v>856</v>
      </c>
      <c r="I948" s="209" t="s">
        <v>856</v>
      </c>
    </row>
    <row r="949" spans="1:12">
      <c r="A949" s="195"/>
      <c r="B949" s="195" t="s">
        <v>205</v>
      </c>
      <c r="C949"/>
      <c r="D949" s="197" t="s">
        <v>475</v>
      </c>
      <c r="E949" s="197" t="s">
        <v>252</v>
      </c>
      <c r="F949" s="197" t="s">
        <v>62</v>
      </c>
      <c r="G949" s="197" t="s">
        <v>270</v>
      </c>
      <c r="H949" s="209" t="s">
        <v>856</v>
      </c>
      <c r="I949" s="209" t="s">
        <v>856</v>
      </c>
    </row>
    <row r="950" spans="1:12">
      <c r="A950" s="195"/>
      <c r="B950" s="195" t="s">
        <v>206</v>
      </c>
      <c r="C950"/>
      <c r="D950" s="197" t="s">
        <v>361</v>
      </c>
      <c r="E950" s="197" t="s">
        <v>252</v>
      </c>
      <c r="F950" s="197" t="s">
        <v>62</v>
      </c>
      <c r="G950" s="197" t="s">
        <v>270</v>
      </c>
      <c r="H950" s="209" t="s">
        <v>856</v>
      </c>
      <c r="I950" s="209" t="s">
        <v>856</v>
      </c>
    </row>
    <row r="951" spans="1:12">
      <c r="A951" s="195"/>
      <c r="B951" s="195" t="s">
        <v>207</v>
      </c>
      <c r="C951"/>
      <c r="D951" s="197"/>
      <c r="E951" s="197"/>
      <c r="F951" s="197"/>
      <c r="G951" s="197"/>
      <c r="H951" s="209"/>
      <c r="I951" s="209"/>
    </row>
    <row r="952" spans="1:12">
      <c r="A952" s="195"/>
      <c r="B952" s="196" t="s">
        <v>226</v>
      </c>
      <c r="C952"/>
      <c r="D952" s="197"/>
      <c r="E952" s="197"/>
      <c r="F952" s="197"/>
      <c r="G952" s="197"/>
      <c r="H952" s="209"/>
      <c r="I952" s="209"/>
    </row>
    <row r="953" spans="1:12">
      <c r="A953" s="195"/>
      <c r="B953" s="195" t="s">
        <v>205</v>
      </c>
      <c r="C953"/>
      <c r="D953" s="197"/>
      <c r="E953" s="197"/>
      <c r="F953" s="197"/>
      <c r="G953" s="197"/>
      <c r="H953" s="209"/>
      <c r="I953" s="209"/>
    </row>
    <row r="954" spans="1:12">
      <c r="A954" s="195"/>
      <c r="B954" s="195" t="s">
        <v>206</v>
      </c>
      <c r="C954"/>
      <c r="D954" s="197"/>
      <c r="E954" s="197"/>
      <c r="F954" s="197"/>
      <c r="G954" s="197"/>
      <c r="H954" s="209"/>
      <c r="I954" s="209"/>
    </row>
    <row r="955" spans="1:12">
      <c r="A955" s="195"/>
      <c r="B955" s="195" t="s">
        <v>207</v>
      </c>
      <c r="C955"/>
      <c r="D955" s="197"/>
      <c r="E955" s="197"/>
      <c r="F955" s="197"/>
      <c r="G955" s="197"/>
      <c r="H955" s="209"/>
      <c r="I955" s="209"/>
    </row>
    <row r="956" spans="1:12">
      <c r="A956" s="195"/>
      <c r="B956" s="196" t="s">
        <v>227</v>
      </c>
      <c r="C956"/>
      <c r="D956" s="197"/>
      <c r="E956" s="197"/>
      <c r="F956" s="197"/>
      <c r="G956" s="197"/>
      <c r="H956" s="209"/>
      <c r="I956" s="209"/>
      <c r="K956"/>
    </row>
    <row r="957" spans="1:12" ht="29.25" thickBot="1">
      <c r="A957" s="182" t="str">
        <f>"回収シフト  第"&amp;ROUNDUP(DAY(B960)/7,0)  &amp;"  "&amp;TEXT(B960,"aaaa")</f>
        <v>回収シフト  第4  水曜日</v>
      </c>
      <c r="B957" s="183"/>
      <c r="C957" s="183"/>
      <c r="D957" s="183"/>
      <c r="E957" s="183"/>
      <c r="F957" s="183"/>
      <c r="G957" s="184"/>
      <c r="H957" s="184"/>
      <c r="I957" s="184"/>
      <c r="K957" s="183"/>
      <c r="L957" s="183"/>
    </row>
    <row r="958" spans="1:12" ht="15.75" thickBot="1">
      <c r="A958"/>
      <c r="B958"/>
      <c r="C958"/>
      <c r="D958" s="186" t="s">
        <v>201</v>
      </c>
      <c r="E958" s="186" t="s">
        <v>202</v>
      </c>
      <c r="F958" s="186" t="s">
        <v>203</v>
      </c>
      <c r="G958" s="186" t="s">
        <v>204</v>
      </c>
      <c r="H958" s="186" t="s">
        <v>267</v>
      </c>
      <c r="I958" s="217" t="s">
        <v>267</v>
      </c>
      <c r="K958" s="230" t="s">
        <v>257</v>
      </c>
      <c r="L958" s="231"/>
    </row>
    <row r="959" spans="1:12">
      <c r="A959" s="187"/>
      <c r="B959" s="188">
        <v>46119</v>
      </c>
      <c r="C959" s="187"/>
      <c r="D959" s="189" t="s">
        <v>897</v>
      </c>
      <c r="E959" s="189" t="s">
        <v>849</v>
      </c>
      <c r="F959" s="189" t="s">
        <v>891</v>
      </c>
      <c r="G959" s="189" t="s">
        <v>418</v>
      </c>
      <c r="H959" s="189" t="s">
        <v>852</v>
      </c>
      <c r="I959" s="218" t="s">
        <v>852</v>
      </c>
      <c r="K959" s="232" t="s">
        <v>258</v>
      </c>
      <c r="L959" s="190" t="str">
        <f ca="1">_xlfn.XLOOKUP($B960,シフト抽出!$19:$19,シフト抽出!$20:$20,"該当なし",0,1)</f>
        <v/>
      </c>
    </row>
    <row r="960" spans="1:12" ht="19.5" thickBot="1">
      <c r="A960"/>
      <c r="B960" s="191">
        <f>B907+1</f>
        <v>46134</v>
      </c>
      <c r="C960" s="192"/>
      <c r="D960" s="193"/>
      <c r="E960" s="193"/>
      <c r="F960" s="193"/>
      <c r="G960" s="193"/>
      <c r="H960" s="193"/>
      <c r="I960" s="219"/>
      <c r="K960" s="233"/>
      <c r="L960" s="194" t="str">
        <f ca="1">_xlfn.XLOOKUP($B960,シフト抽出!$19:$19,シフト抽出!$21:$21,"該当なし",0,1)</f>
        <v/>
      </c>
    </row>
    <row r="961" spans="1:12">
      <c r="A961" s="195"/>
      <c r="B961" s="196">
        <v>0.25</v>
      </c>
      <c r="C961"/>
      <c r="D961" s="197"/>
      <c r="E961" s="196"/>
      <c r="F961" s="197"/>
      <c r="G961" s="197"/>
      <c r="H961" s="197"/>
      <c r="I961" s="209"/>
      <c r="K961" s="234" t="s">
        <v>259</v>
      </c>
      <c r="L961" s="198" t="str">
        <f ca="1">_xlfn.XLOOKUP($B960,シフト抽出!$19:$19,シフト抽出!$23:$23,"該当なし",0,1)</f>
        <v/>
      </c>
    </row>
    <row r="962" spans="1:12" ht="15.75" thickBot="1">
      <c r="A962" s="195"/>
      <c r="B962" s="195" t="s">
        <v>205</v>
      </c>
      <c r="C962"/>
      <c r="D962" s="197"/>
      <c r="E962" s="197"/>
      <c r="F962" s="197"/>
      <c r="G962" s="197"/>
      <c r="H962" s="197"/>
      <c r="I962" s="209"/>
      <c r="K962" s="235"/>
      <c r="L962" s="199" t="str">
        <f ca="1">_xlfn.XLOOKUP($B960,シフト抽出!$19:$19,シフト抽出!$24:$24,"該当なし",0,1)</f>
        <v/>
      </c>
    </row>
    <row r="963" spans="1:12">
      <c r="A963" s="195"/>
      <c r="B963" s="195" t="s">
        <v>206</v>
      </c>
      <c r="C963"/>
      <c r="D963" s="197"/>
      <c r="E963" s="197"/>
      <c r="F963" s="197"/>
      <c r="G963" s="197"/>
      <c r="H963" s="197"/>
      <c r="I963" s="209"/>
      <c r="K963" s="224" t="s">
        <v>260</v>
      </c>
      <c r="L963" s="200" t="str">
        <f ca="1">_xlfn.XLOOKUP($B960,シフト抽出!$19:$19,シフト抽出!$26:$26,"該当なし",0,1)</f>
        <v/>
      </c>
    </row>
    <row r="964" spans="1:12">
      <c r="A964" s="195"/>
      <c r="B964" s="195" t="s">
        <v>207</v>
      </c>
      <c r="C964"/>
      <c r="D964" s="197"/>
      <c r="E964" s="197"/>
      <c r="F964" s="197"/>
      <c r="G964" s="197"/>
      <c r="H964" s="197"/>
      <c r="I964" s="209"/>
      <c r="K964" s="225"/>
      <c r="L964" s="201" t="str">
        <f ca="1">_xlfn.XLOOKUP($B960,シフト抽出!$19:$19,シフト抽出!$27:$27,"該当なし",0,1)</f>
        <v/>
      </c>
    </row>
    <row r="965" spans="1:12">
      <c r="A965" s="195"/>
      <c r="B965" s="202" t="s">
        <v>208</v>
      </c>
      <c r="C965"/>
      <c r="D965" s="197" t="s">
        <v>414</v>
      </c>
      <c r="E965" s="197" t="s">
        <v>106</v>
      </c>
      <c r="F965" s="197" t="s">
        <v>851</v>
      </c>
      <c r="G965" s="197" t="s">
        <v>22</v>
      </c>
      <c r="H965" s="197" t="s">
        <v>106</v>
      </c>
      <c r="I965" s="209" t="s">
        <v>106</v>
      </c>
      <c r="J965" s="203"/>
      <c r="K965" s="225"/>
      <c r="L965" s="201" t="str">
        <f ca="1">_xlfn.XLOOKUP($B960,シフト抽出!$19:$19,シフト抽出!$28:$28,"該当なし",0,1)</f>
        <v/>
      </c>
    </row>
    <row r="966" spans="1:12" ht="15.75" thickBot="1">
      <c r="A966" s="195"/>
      <c r="B966" s="195" t="s">
        <v>205</v>
      </c>
      <c r="C966"/>
      <c r="D966" s="197" t="s">
        <v>414</v>
      </c>
      <c r="E966" s="197" t="s">
        <v>106</v>
      </c>
      <c r="F966" s="197" t="s">
        <v>851</v>
      </c>
      <c r="G966" s="197" t="s">
        <v>22</v>
      </c>
      <c r="H966" s="197" t="s">
        <v>106</v>
      </c>
      <c r="I966" s="209" t="s">
        <v>106</v>
      </c>
      <c r="J966" s="203"/>
      <c r="K966" s="226"/>
      <c r="L966" s="204" t="str">
        <f ca="1">_xlfn.XLOOKUP($B960,シフト抽出!$19:$19,シフト抽出!$29:$29,"該当なし",0,1)</f>
        <v/>
      </c>
    </row>
    <row r="967" spans="1:12" ht="15.75" thickBot="1">
      <c r="A967" s="195"/>
      <c r="B967" s="195" t="s">
        <v>206</v>
      </c>
      <c r="C967"/>
      <c r="D967" s="197" t="s">
        <v>414</v>
      </c>
      <c r="E967" s="197" t="s">
        <v>106</v>
      </c>
      <c r="F967" s="197" t="s">
        <v>851</v>
      </c>
      <c r="G967" s="197" t="s">
        <v>788</v>
      </c>
      <c r="H967" s="197" t="s">
        <v>106</v>
      </c>
      <c r="I967" s="209" t="s">
        <v>106</v>
      </c>
      <c r="K967" s="205" t="s">
        <v>261</v>
      </c>
      <c r="L967" s="205">
        <f>_xlfn.XLOOKUP($B960,予定表!B:B,予定表!R:R,"該当なし",0,1)</f>
        <v>0</v>
      </c>
    </row>
    <row r="968" spans="1:12">
      <c r="A968" s="195"/>
      <c r="B968" s="195" t="s">
        <v>207</v>
      </c>
      <c r="C968"/>
      <c r="D968" s="197" t="s">
        <v>414</v>
      </c>
      <c r="E968" s="197" t="s">
        <v>106</v>
      </c>
      <c r="F968" s="197" t="s">
        <v>851</v>
      </c>
      <c r="G968" s="197" t="s">
        <v>788</v>
      </c>
      <c r="H968" s="197" t="s">
        <v>106</v>
      </c>
      <c r="I968" s="209" t="s">
        <v>106</v>
      </c>
      <c r="K968" s="227" t="s">
        <v>262</v>
      </c>
      <c r="L968" s="206">
        <f>_xlfn.XLOOKUP($B960,予定表!$B:$B,予定表!E:E,"該当なし",0,1)</f>
        <v>0</v>
      </c>
    </row>
    <row r="969" spans="1:12">
      <c r="A969" s="195"/>
      <c r="B969" s="196" t="s">
        <v>209</v>
      </c>
      <c r="C969"/>
      <c r="D969" s="197" t="s">
        <v>414</v>
      </c>
      <c r="E969" s="197" t="s">
        <v>106</v>
      </c>
      <c r="F969" s="197" t="s">
        <v>851</v>
      </c>
      <c r="G969" s="197" t="s">
        <v>268</v>
      </c>
      <c r="H969" s="197" t="s">
        <v>106</v>
      </c>
      <c r="I969" s="209" t="s">
        <v>106</v>
      </c>
      <c r="K969" s="228"/>
      <c r="L969" s="207">
        <f>_xlfn.XLOOKUP($B960,予定表!$B:$B,予定表!F:F,"該当なし",0,1)</f>
        <v>0</v>
      </c>
    </row>
    <row r="970" spans="1:12">
      <c r="A970" s="195"/>
      <c r="B970" s="195" t="s">
        <v>205</v>
      </c>
      <c r="C970"/>
      <c r="D970" s="197" t="s">
        <v>414</v>
      </c>
      <c r="E970" s="197" t="s">
        <v>106</v>
      </c>
      <c r="F970" s="197" t="s">
        <v>851</v>
      </c>
      <c r="G970" s="197" t="s">
        <v>268</v>
      </c>
      <c r="H970" s="197" t="s">
        <v>106</v>
      </c>
      <c r="I970" s="209" t="s">
        <v>106</v>
      </c>
      <c r="K970" s="228"/>
      <c r="L970" s="207">
        <f>_xlfn.XLOOKUP($B960,予定表!$B:$B,予定表!G:G,"該当なし",0,1)</f>
        <v>0</v>
      </c>
    </row>
    <row r="971" spans="1:12">
      <c r="A971" s="195"/>
      <c r="B971" s="195" t="s">
        <v>206</v>
      </c>
      <c r="C971"/>
      <c r="D971" s="197" t="s">
        <v>214</v>
      </c>
      <c r="E971" s="197" t="s">
        <v>106</v>
      </c>
      <c r="F971" s="197"/>
      <c r="G971" s="197" t="s">
        <v>268</v>
      </c>
      <c r="H971" s="197" t="s">
        <v>106</v>
      </c>
      <c r="I971" s="209" t="s">
        <v>106</v>
      </c>
      <c r="K971" s="228"/>
      <c r="L971" s="207" t="str">
        <f>_xlfn.XLOOKUP($B960,予定表!$B:$B,予定表!H:H,"該当なし",0,1)</f>
        <v>富士ロジ三田</v>
      </c>
    </row>
    <row r="972" spans="1:12">
      <c r="A972" s="195"/>
      <c r="B972" s="195" t="s">
        <v>207</v>
      </c>
      <c r="C972"/>
      <c r="D972" s="197" t="s">
        <v>214</v>
      </c>
      <c r="E972" s="197" t="s">
        <v>106</v>
      </c>
      <c r="F972" s="197" t="s">
        <v>264</v>
      </c>
      <c r="G972" s="197" t="s">
        <v>268</v>
      </c>
      <c r="H972" s="197" t="s">
        <v>106</v>
      </c>
      <c r="I972" s="209" t="s">
        <v>106</v>
      </c>
      <c r="K972" s="228"/>
      <c r="L972" s="207" t="str">
        <f>_xlfn.XLOOKUP($B960,予定表!$B:$B,予定表!I:I,"該当なし",0,1)</f>
        <v/>
      </c>
    </row>
    <row r="973" spans="1:12">
      <c r="A973" s="195"/>
      <c r="B973" s="196" t="s">
        <v>212</v>
      </c>
      <c r="C973"/>
      <c r="D973" s="197" t="s">
        <v>214</v>
      </c>
      <c r="E973" s="197" t="s">
        <v>106</v>
      </c>
      <c r="F973" s="197" t="s">
        <v>264</v>
      </c>
      <c r="G973" s="197" t="s">
        <v>268</v>
      </c>
      <c r="H973" s="197" t="s">
        <v>106</v>
      </c>
      <c r="I973" s="209" t="s">
        <v>106</v>
      </c>
      <c r="K973" s="228"/>
      <c r="L973" s="207" t="str">
        <f>_xlfn.XLOOKUP($B960,予定表!$B:$B,予定表!J:J,"該当なし",0,1)</f>
        <v/>
      </c>
    </row>
    <row r="974" spans="1:12">
      <c r="A974" s="195"/>
      <c r="B974" s="195" t="s">
        <v>205</v>
      </c>
      <c r="C974"/>
      <c r="D974" s="197" t="s">
        <v>214</v>
      </c>
      <c r="E974" s="197" t="s">
        <v>106</v>
      </c>
      <c r="F974" s="197" t="s">
        <v>397</v>
      </c>
      <c r="G974" s="197" t="s">
        <v>268</v>
      </c>
      <c r="H974" s="197" t="s">
        <v>106</v>
      </c>
      <c r="I974" s="209" t="s">
        <v>106</v>
      </c>
      <c r="K974" s="228"/>
      <c r="L974" s="207" t="str">
        <f>_xlfn.XLOOKUP($B960,予定表!$B:$B,予定表!K:K,"該当なし",0,1)</f>
        <v/>
      </c>
    </row>
    <row r="975" spans="1:12">
      <c r="A975" s="195"/>
      <c r="B975" s="195" t="s">
        <v>206</v>
      </c>
      <c r="C975"/>
      <c r="D975" s="197" t="s">
        <v>761</v>
      </c>
      <c r="E975" s="197" t="s">
        <v>106</v>
      </c>
      <c r="F975" s="197" t="s">
        <v>397</v>
      </c>
      <c r="G975" s="197" t="s">
        <v>515</v>
      </c>
      <c r="H975" s="197" t="s">
        <v>106</v>
      </c>
      <c r="I975" s="209" t="s">
        <v>106</v>
      </c>
      <c r="K975" s="228"/>
      <c r="L975" s="207" t="str">
        <f>_xlfn.XLOOKUP($B960,予定表!$B:$B,予定表!L:L,"該当なし",0,1)</f>
        <v/>
      </c>
    </row>
    <row r="976" spans="1:12" ht="15.75" thickBot="1">
      <c r="A976" s="195"/>
      <c r="B976" s="195" t="s">
        <v>207</v>
      </c>
      <c r="C976"/>
      <c r="D976" s="197" t="s">
        <v>761</v>
      </c>
      <c r="E976" s="197" t="s">
        <v>106</v>
      </c>
      <c r="F976" s="197" t="s">
        <v>51</v>
      </c>
      <c r="G976" s="197" t="s">
        <v>515</v>
      </c>
      <c r="H976" s="197" t="s">
        <v>106</v>
      </c>
      <c r="I976" s="209" t="s">
        <v>106</v>
      </c>
      <c r="K976" s="229"/>
      <c r="L976" s="204" t="str">
        <f>_xlfn.XLOOKUP($A957,ﾘｽﾄマスタ!$U$8:$U$17,ﾘｽﾄマスタ!$V$8:$V$17,"",0)</f>
        <v>裕源・自衛隊</v>
      </c>
    </row>
    <row r="977" spans="1:12" ht="15.75" thickBot="1">
      <c r="A977" s="195"/>
      <c r="B977" s="196" t="s">
        <v>251</v>
      </c>
      <c r="C977"/>
      <c r="D977" s="197" t="s">
        <v>761</v>
      </c>
      <c r="E977" s="197" t="s">
        <v>106</v>
      </c>
      <c r="F977" s="197" t="s">
        <v>51</v>
      </c>
      <c r="G977" s="197" t="s">
        <v>269</v>
      </c>
      <c r="H977" s="197" t="s">
        <v>106</v>
      </c>
      <c r="I977" s="209" t="s">
        <v>106</v>
      </c>
      <c r="K977" s="208" t="s">
        <v>277</v>
      </c>
      <c r="L977" s="208" t="str">
        <f ca="1">_xlfn.XLOOKUP($B960,シフト抽出!$19:$19,シフト抽出!$30:$30,"該当なし",0,1)</f>
        <v/>
      </c>
    </row>
    <row r="978" spans="1:12">
      <c r="A978" s="195"/>
      <c r="B978" s="195" t="s">
        <v>205</v>
      </c>
      <c r="C978"/>
      <c r="D978" s="197" t="s">
        <v>280</v>
      </c>
      <c r="E978" s="197" t="s">
        <v>106</v>
      </c>
      <c r="F978" s="197" t="s">
        <v>51</v>
      </c>
      <c r="G978" s="197" t="s">
        <v>269</v>
      </c>
      <c r="H978" s="197" t="s">
        <v>106</v>
      </c>
      <c r="I978" s="209" t="s">
        <v>106</v>
      </c>
    </row>
    <row r="979" spans="1:12">
      <c r="A979" s="195"/>
      <c r="B979" s="195" t="s">
        <v>206</v>
      </c>
      <c r="C979"/>
      <c r="D979" s="197" t="s">
        <v>280</v>
      </c>
      <c r="E979" s="197" t="s">
        <v>106</v>
      </c>
      <c r="F979" s="197" t="s">
        <v>51</v>
      </c>
      <c r="G979" s="197" t="s">
        <v>269</v>
      </c>
      <c r="H979" s="197" t="s">
        <v>106</v>
      </c>
      <c r="I979" s="209" t="s">
        <v>106</v>
      </c>
    </row>
    <row r="980" spans="1:12">
      <c r="A980" s="195"/>
      <c r="B980" s="195" t="s">
        <v>207</v>
      </c>
      <c r="C980"/>
      <c r="D980" s="197" t="s">
        <v>215</v>
      </c>
      <c r="E980" s="197" t="s">
        <v>106</v>
      </c>
      <c r="F980" s="197"/>
      <c r="G980" s="197" t="s">
        <v>446</v>
      </c>
      <c r="H980" s="197" t="s">
        <v>106</v>
      </c>
      <c r="I980" s="209" t="s">
        <v>106</v>
      </c>
    </row>
    <row r="981" spans="1:12">
      <c r="A981" s="195"/>
      <c r="B981" s="196" t="s">
        <v>217</v>
      </c>
      <c r="C981"/>
      <c r="D981" s="197" t="s">
        <v>127</v>
      </c>
      <c r="E981" s="197" t="s">
        <v>106</v>
      </c>
      <c r="F981" s="197"/>
      <c r="G981" s="197" t="s">
        <v>114</v>
      </c>
      <c r="H981" s="197" t="s">
        <v>106</v>
      </c>
      <c r="I981" s="209" t="s">
        <v>106</v>
      </c>
    </row>
    <row r="982" spans="1:12">
      <c r="A982" s="195"/>
      <c r="B982" s="195" t="s">
        <v>205</v>
      </c>
      <c r="C982"/>
      <c r="D982" s="197" t="s">
        <v>160</v>
      </c>
      <c r="E982" s="197" t="s">
        <v>106</v>
      </c>
      <c r="F982" s="197"/>
      <c r="G982" s="197" t="s">
        <v>114</v>
      </c>
      <c r="H982" s="197" t="s">
        <v>106</v>
      </c>
      <c r="I982" s="209" t="s">
        <v>106</v>
      </c>
    </row>
    <row r="983" spans="1:12">
      <c r="A983" s="195"/>
      <c r="B983" s="195" t="s">
        <v>206</v>
      </c>
      <c r="C983"/>
      <c r="D983" s="197"/>
      <c r="E983" s="197" t="s">
        <v>106</v>
      </c>
      <c r="F983" s="197"/>
      <c r="G983" s="197" t="s">
        <v>114</v>
      </c>
      <c r="H983" s="197" t="s">
        <v>106</v>
      </c>
      <c r="I983" s="209" t="s">
        <v>106</v>
      </c>
    </row>
    <row r="984" spans="1:12">
      <c r="A984" s="195"/>
      <c r="B984" s="195" t="s">
        <v>207</v>
      </c>
      <c r="C984"/>
      <c r="D984" s="197"/>
      <c r="E984" s="197" t="s">
        <v>106</v>
      </c>
      <c r="F984" s="197"/>
      <c r="G984" s="197"/>
      <c r="H984" s="197" t="s">
        <v>106</v>
      </c>
      <c r="I984" s="209" t="s">
        <v>106</v>
      </c>
    </row>
    <row r="985" spans="1:12">
      <c r="A985" s="195"/>
      <c r="B985" s="196" t="s">
        <v>219</v>
      </c>
      <c r="C985"/>
      <c r="D985" s="197"/>
      <c r="E985" s="197"/>
      <c r="F985" s="197"/>
      <c r="G985" s="197"/>
      <c r="H985" s="197"/>
      <c r="I985" s="209"/>
    </row>
    <row r="986" spans="1:12">
      <c r="A986" s="195"/>
      <c r="B986" s="195" t="s">
        <v>205</v>
      </c>
      <c r="C986"/>
      <c r="D986" s="197"/>
      <c r="E986" s="197"/>
      <c r="F986" s="197"/>
      <c r="G986" s="197"/>
      <c r="H986" s="197"/>
      <c r="I986" s="209"/>
    </row>
    <row r="987" spans="1:12">
      <c r="A987" s="195"/>
      <c r="B987" s="195" t="s">
        <v>206</v>
      </c>
      <c r="C987"/>
      <c r="D987" s="197"/>
      <c r="E987" s="197"/>
      <c r="F987" s="197"/>
      <c r="G987" s="197"/>
      <c r="H987" s="197"/>
      <c r="I987" s="209"/>
    </row>
    <row r="988" spans="1:12">
      <c r="A988" s="195"/>
      <c r="B988" s="195" t="s">
        <v>207</v>
      </c>
      <c r="C988"/>
      <c r="D988" s="197"/>
      <c r="E988" s="197"/>
      <c r="F988" s="197"/>
      <c r="G988" s="197"/>
      <c r="H988" s="197"/>
      <c r="I988" s="209"/>
    </row>
    <row r="989" spans="1:12">
      <c r="A989" s="195"/>
      <c r="B989" s="196" t="s">
        <v>220</v>
      </c>
      <c r="C989"/>
      <c r="D989" s="189" t="s">
        <v>898</v>
      </c>
      <c r="E989" s="189" t="s">
        <v>874</v>
      </c>
      <c r="F989" s="197"/>
      <c r="G989" s="189" t="s">
        <v>842</v>
      </c>
      <c r="H989" s="197"/>
      <c r="I989" s="209"/>
    </row>
    <row r="990" spans="1:12">
      <c r="A990" s="195"/>
      <c r="B990" s="195" t="s">
        <v>205</v>
      </c>
      <c r="C990"/>
      <c r="D990" s="197" t="s">
        <v>523</v>
      </c>
      <c r="E990" s="197" t="s">
        <v>273</v>
      </c>
      <c r="F990" s="197" t="s">
        <v>224</v>
      </c>
      <c r="G990" s="197" t="s">
        <v>56</v>
      </c>
      <c r="H990" s="197" t="s">
        <v>848</v>
      </c>
      <c r="I990" s="209" t="s">
        <v>848</v>
      </c>
    </row>
    <row r="991" spans="1:12">
      <c r="A991" s="195"/>
      <c r="B991" s="195" t="s">
        <v>206</v>
      </c>
      <c r="C991"/>
      <c r="D991" s="197" t="s">
        <v>523</v>
      </c>
      <c r="E991" s="197" t="s">
        <v>273</v>
      </c>
      <c r="F991" s="197" t="s">
        <v>224</v>
      </c>
      <c r="G991" s="197" t="s">
        <v>56</v>
      </c>
      <c r="H991" s="197" t="s">
        <v>848</v>
      </c>
      <c r="I991" s="209" t="s">
        <v>848</v>
      </c>
    </row>
    <row r="992" spans="1:12">
      <c r="A992" s="195"/>
      <c r="B992" s="195" t="s">
        <v>207</v>
      </c>
      <c r="C992"/>
      <c r="D992" s="197" t="s">
        <v>523</v>
      </c>
      <c r="E992" s="197" t="s">
        <v>273</v>
      </c>
      <c r="F992" s="197" t="s">
        <v>224</v>
      </c>
      <c r="G992" s="197" t="s">
        <v>56</v>
      </c>
      <c r="H992" s="197" t="s">
        <v>848</v>
      </c>
      <c r="I992" s="209" t="s">
        <v>848</v>
      </c>
    </row>
    <row r="993" spans="1:9">
      <c r="A993" s="195"/>
      <c r="B993" s="196" t="s">
        <v>222</v>
      </c>
      <c r="C993"/>
      <c r="D993" s="197" t="s">
        <v>759</v>
      </c>
      <c r="E993" s="197" t="s">
        <v>273</v>
      </c>
      <c r="F993" s="197" t="s">
        <v>224</v>
      </c>
      <c r="G993" s="197" t="s">
        <v>56</v>
      </c>
      <c r="H993" s="197" t="s">
        <v>848</v>
      </c>
      <c r="I993" s="209" t="s">
        <v>848</v>
      </c>
    </row>
    <row r="994" spans="1:9">
      <c r="A994" s="195"/>
      <c r="B994" s="195" t="s">
        <v>205</v>
      </c>
      <c r="C994"/>
      <c r="D994" s="197" t="s">
        <v>759</v>
      </c>
      <c r="E994" s="197" t="s">
        <v>186</v>
      </c>
      <c r="F994" s="197" t="s">
        <v>62</v>
      </c>
      <c r="G994" s="197" t="s">
        <v>4</v>
      </c>
      <c r="H994" s="197" t="s">
        <v>848</v>
      </c>
      <c r="I994" s="209" t="s">
        <v>848</v>
      </c>
    </row>
    <row r="995" spans="1:9">
      <c r="A995" s="195"/>
      <c r="B995" s="195" t="s">
        <v>206</v>
      </c>
      <c r="C995"/>
      <c r="D995" s="197" t="s">
        <v>216</v>
      </c>
      <c r="E995" s="197" t="s">
        <v>186</v>
      </c>
      <c r="F995" s="197" t="s">
        <v>62</v>
      </c>
      <c r="G995" s="197" t="s">
        <v>270</v>
      </c>
      <c r="H995" s="197" t="s">
        <v>229</v>
      </c>
      <c r="I995" s="209" t="s">
        <v>229</v>
      </c>
    </row>
    <row r="996" spans="1:9">
      <c r="A996" s="195"/>
      <c r="B996" s="195" t="s">
        <v>207</v>
      </c>
      <c r="C996"/>
      <c r="D996" s="197" t="s">
        <v>216</v>
      </c>
      <c r="E996" s="197" t="s">
        <v>252</v>
      </c>
      <c r="F996" s="197" t="s">
        <v>62</v>
      </c>
      <c r="G996" s="197" t="s">
        <v>270</v>
      </c>
      <c r="H996" s="197" t="s">
        <v>229</v>
      </c>
      <c r="I996" s="209" t="s">
        <v>229</v>
      </c>
    </row>
    <row r="997" spans="1:9">
      <c r="A997" s="195"/>
      <c r="B997" s="196" t="s">
        <v>223</v>
      </c>
      <c r="C997"/>
      <c r="D997" s="197" t="s">
        <v>216</v>
      </c>
      <c r="E997" s="197" t="s">
        <v>252</v>
      </c>
      <c r="F997" s="197" t="s">
        <v>62</v>
      </c>
      <c r="G997" s="197" t="s">
        <v>270</v>
      </c>
      <c r="H997" s="197" t="s">
        <v>230</v>
      </c>
      <c r="I997" s="209" t="s">
        <v>230</v>
      </c>
    </row>
    <row r="998" spans="1:9">
      <c r="A998" s="195"/>
      <c r="B998" s="195" t="s">
        <v>205</v>
      </c>
      <c r="C998"/>
      <c r="D998" s="197" t="s">
        <v>216</v>
      </c>
      <c r="E998" s="197" t="s">
        <v>252</v>
      </c>
      <c r="F998" s="197" t="s">
        <v>62</v>
      </c>
      <c r="G998" s="197" t="s">
        <v>270</v>
      </c>
      <c r="H998" s="197" t="s">
        <v>230</v>
      </c>
      <c r="I998" s="209" t="s">
        <v>230</v>
      </c>
    </row>
    <row r="999" spans="1:9">
      <c r="A999" s="195"/>
      <c r="B999" s="195" t="s">
        <v>206</v>
      </c>
      <c r="C999"/>
      <c r="D999" s="197" t="s">
        <v>216</v>
      </c>
      <c r="E999" s="197" t="s">
        <v>252</v>
      </c>
      <c r="F999" s="197" t="s">
        <v>62</v>
      </c>
      <c r="G999" s="197" t="s">
        <v>270</v>
      </c>
      <c r="H999" s="197" t="s">
        <v>230</v>
      </c>
      <c r="I999" s="209" t="s">
        <v>230</v>
      </c>
    </row>
    <row r="1000" spans="1:9">
      <c r="A1000" s="195"/>
      <c r="B1000" s="195" t="s">
        <v>207</v>
      </c>
      <c r="C1000"/>
      <c r="D1000" s="197" t="s">
        <v>216</v>
      </c>
      <c r="E1000" s="197" t="s">
        <v>252</v>
      </c>
      <c r="F1000" s="197" t="s">
        <v>62</v>
      </c>
      <c r="G1000" s="197" t="s">
        <v>270</v>
      </c>
      <c r="H1000" s="197" t="s">
        <v>230</v>
      </c>
      <c r="I1000" s="209" t="s">
        <v>230</v>
      </c>
    </row>
    <row r="1001" spans="1:9">
      <c r="A1001" s="195"/>
      <c r="B1001" s="196" t="s">
        <v>225</v>
      </c>
      <c r="C1001"/>
      <c r="D1001" s="197"/>
      <c r="E1001" s="197" t="s">
        <v>252</v>
      </c>
      <c r="F1001" s="197" t="s">
        <v>62</v>
      </c>
      <c r="G1001" s="197" t="s">
        <v>270</v>
      </c>
      <c r="H1001" s="197" t="s">
        <v>230</v>
      </c>
      <c r="I1001" s="209" t="s">
        <v>230</v>
      </c>
    </row>
    <row r="1002" spans="1:9">
      <c r="A1002" s="195"/>
      <c r="B1002" s="195" t="s">
        <v>205</v>
      </c>
      <c r="C1002"/>
      <c r="D1002" s="197"/>
      <c r="E1002" s="197" t="s">
        <v>252</v>
      </c>
      <c r="F1002" s="197" t="s">
        <v>62</v>
      </c>
      <c r="G1002" s="197" t="s">
        <v>270</v>
      </c>
      <c r="H1002" s="209" t="s">
        <v>416</v>
      </c>
      <c r="I1002" s="209" t="s">
        <v>416</v>
      </c>
    </row>
    <row r="1003" spans="1:9">
      <c r="A1003" s="195"/>
      <c r="B1003" s="195" t="s">
        <v>206</v>
      </c>
      <c r="C1003"/>
      <c r="D1003" s="197"/>
      <c r="E1003" s="197" t="s">
        <v>252</v>
      </c>
      <c r="F1003" s="197" t="s">
        <v>62</v>
      </c>
      <c r="G1003" s="197" t="s">
        <v>270</v>
      </c>
      <c r="H1003" s="209" t="s">
        <v>415</v>
      </c>
      <c r="I1003" s="209" t="s">
        <v>415</v>
      </c>
    </row>
    <row r="1004" spans="1:9">
      <c r="A1004" s="195"/>
      <c r="B1004" s="195" t="s">
        <v>207</v>
      </c>
      <c r="C1004"/>
      <c r="D1004" s="197"/>
      <c r="E1004" s="197" t="s">
        <v>252</v>
      </c>
      <c r="F1004" s="197" t="s">
        <v>62</v>
      </c>
      <c r="G1004" s="197" t="s">
        <v>270</v>
      </c>
      <c r="H1004" s="209" t="s">
        <v>415</v>
      </c>
      <c r="I1004" s="209" t="s">
        <v>415</v>
      </c>
    </row>
    <row r="1005" spans="1:9">
      <c r="A1005" s="195"/>
      <c r="B1005" s="196" t="s">
        <v>226</v>
      </c>
      <c r="C1005"/>
      <c r="D1005" s="197"/>
      <c r="E1005" s="197"/>
      <c r="F1005" s="197"/>
      <c r="G1005" s="197" t="s">
        <v>270</v>
      </c>
      <c r="H1005" s="209"/>
      <c r="I1005" s="209"/>
    </row>
    <row r="1006" spans="1:9">
      <c r="A1006" s="195"/>
      <c r="B1006" s="195" t="s">
        <v>205</v>
      </c>
      <c r="C1006"/>
      <c r="D1006" s="197"/>
      <c r="E1006" s="197"/>
      <c r="F1006" s="197"/>
      <c r="G1006" s="197"/>
      <c r="H1006" s="209"/>
      <c r="I1006" s="209"/>
    </row>
    <row r="1007" spans="1:9">
      <c r="A1007" s="195"/>
      <c r="B1007" s="195" t="s">
        <v>206</v>
      </c>
      <c r="C1007"/>
      <c r="D1007" s="197"/>
      <c r="E1007" s="197"/>
      <c r="F1007" s="197"/>
      <c r="G1007" s="197"/>
      <c r="H1007" s="209"/>
      <c r="I1007" s="209"/>
    </row>
    <row r="1008" spans="1:9">
      <c r="A1008" s="195"/>
      <c r="B1008" s="195" t="s">
        <v>207</v>
      </c>
      <c r="C1008"/>
      <c r="D1008" s="197"/>
      <c r="E1008" s="197"/>
      <c r="F1008" s="197"/>
      <c r="G1008" s="197"/>
      <c r="H1008" s="209"/>
      <c r="I1008" s="209"/>
    </row>
    <row r="1009" spans="1:12">
      <c r="A1009" s="195"/>
      <c r="B1009" s="196" t="s">
        <v>227</v>
      </c>
      <c r="C1009"/>
      <c r="D1009" s="197"/>
      <c r="E1009" s="197"/>
      <c r="F1009" s="197"/>
      <c r="G1009" s="197"/>
      <c r="H1009" s="209"/>
      <c r="I1009" s="209"/>
      <c r="K1009"/>
    </row>
    <row r="1010" spans="1:12" ht="29.25" thickBot="1">
      <c r="A1010" s="182" t="str">
        <f>"回収シフト  第"&amp;ROUNDUP(DAY(B1013)/7,0)  &amp;"  "&amp;TEXT(B1013,"aaaa")</f>
        <v>回収シフト  第4  木曜日</v>
      </c>
      <c r="B1010" s="183"/>
      <c r="C1010" s="183"/>
      <c r="D1010" s="183"/>
      <c r="E1010" s="183"/>
      <c r="F1010" s="183"/>
      <c r="G1010" s="184"/>
      <c r="H1010" s="184"/>
      <c r="I1010" s="184"/>
      <c r="K1010" s="183"/>
      <c r="L1010" s="183"/>
    </row>
    <row r="1011" spans="1:12" ht="15.75" thickBot="1">
      <c r="A1011"/>
      <c r="B1011"/>
      <c r="C1011"/>
      <c r="D1011" s="186" t="s">
        <v>201</v>
      </c>
      <c r="E1011" s="186" t="s">
        <v>202</v>
      </c>
      <c r="F1011" s="186" t="s">
        <v>203</v>
      </c>
      <c r="G1011" s="186" t="s">
        <v>204</v>
      </c>
      <c r="H1011" s="186" t="s">
        <v>267</v>
      </c>
      <c r="I1011" s="217" t="s">
        <v>267</v>
      </c>
      <c r="K1011" s="230" t="s">
        <v>257</v>
      </c>
      <c r="L1011" s="231"/>
    </row>
    <row r="1012" spans="1:12">
      <c r="A1012" s="187"/>
      <c r="B1012" s="188">
        <v>46119</v>
      </c>
      <c r="C1012" s="187"/>
      <c r="D1012" s="189" t="s">
        <v>896</v>
      </c>
      <c r="E1012" s="189" t="s">
        <v>859</v>
      </c>
      <c r="F1012" s="189" t="s">
        <v>891</v>
      </c>
      <c r="G1012" s="189" t="s">
        <v>842</v>
      </c>
      <c r="H1012" s="189" t="s">
        <v>852</v>
      </c>
      <c r="I1012" s="218" t="s">
        <v>852</v>
      </c>
      <c r="K1012" s="232" t="s">
        <v>258</v>
      </c>
      <c r="L1012" s="190" t="str">
        <f ca="1">_xlfn.XLOOKUP($B1013,シフト抽出!$19:$19,シフト抽出!$20:$20,"該当なし",0,1)</f>
        <v/>
      </c>
    </row>
    <row r="1013" spans="1:12" ht="19.5" thickBot="1">
      <c r="A1013"/>
      <c r="B1013" s="191">
        <f>B960+1</f>
        <v>46135</v>
      </c>
      <c r="C1013" s="192"/>
      <c r="D1013" s="193"/>
      <c r="E1013" s="193"/>
      <c r="F1013" s="193"/>
      <c r="G1013" s="193"/>
      <c r="H1013" s="193"/>
      <c r="I1013" s="219"/>
      <c r="K1013" s="233"/>
      <c r="L1013" s="194" t="str">
        <f ca="1">_xlfn.XLOOKUP($B1013,シフト抽出!$19:$19,シフト抽出!$21:$21,"該当なし",0,1)</f>
        <v/>
      </c>
    </row>
    <row r="1014" spans="1:12">
      <c r="A1014" s="195"/>
      <c r="B1014" s="196">
        <v>0.25</v>
      </c>
      <c r="C1014"/>
      <c r="D1014" s="197"/>
      <c r="E1014" s="196"/>
      <c r="F1014" s="197"/>
      <c r="G1014" s="197"/>
      <c r="H1014" s="197"/>
      <c r="I1014" s="209"/>
      <c r="K1014" s="234" t="s">
        <v>259</v>
      </c>
      <c r="L1014" s="198" t="str">
        <f ca="1">_xlfn.XLOOKUP($B1013,シフト抽出!$19:$19,シフト抽出!$23:$23,"該当なし",0,1)</f>
        <v/>
      </c>
    </row>
    <row r="1015" spans="1:12" ht="15.75" thickBot="1">
      <c r="A1015" s="195"/>
      <c r="B1015" s="195" t="s">
        <v>205</v>
      </c>
      <c r="C1015"/>
      <c r="D1015" s="197"/>
      <c r="E1015" s="197"/>
      <c r="F1015" s="197"/>
      <c r="G1015" s="197"/>
      <c r="H1015" s="197"/>
      <c r="I1015" s="209"/>
      <c r="K1015" s="235"/>
      <c r="L1015" s="199" t="str">
        <f ca="1">_xlfn.XLOOKUP($B1013,シフト抽出!$19:$19,シフト抽出!$24:$24,"該当なし",0,1)</f>
        <v/>
      </c>
    </row>
    <row r="1016" spans="1:12">
      <c r="A1016" s="195"/>
      <c r="B1016" s="195" t="s">
        <v>206</v>
      </c>
      <c r="C1016"/>
      <c r="D1016" s="197"/>
      <c r="E1016" s="197"/>
      <c r="F1016" s="197"/>
      <c r="G1016" s="197"/>
      <c r="H1016" s="197"/>
      <c r="I1016" s="209"/>
      <c r="K1016" s="224" t="s">
        <v>260</v>
      </c>
      <c r="L1016" s="200" t="str">
        <f ca="1">_xlfn.XLOOKUP($B1013,シフト抽出!$19:$19,シフト抽出!$26:$26,"該当なし",0,1)</f>
        <v/>
      </c>
    </row>
    <row r="1017" spans="1:12">
      <c r="A1017" s="195"/>
      <c r="B1017" s="195" t="s">
        <v>207</v>
      </c>
      <c r="C1017"/>
      <c r="D1017" s="197"/>
      <c r="E1017" s="197"/>
      <c r="F1017" s="197"/>
      <c r="G1017" s="197"/>
      <c r="H1017" s="197"/>
      <c r="I1017" s="209"/>
      <c r="K1017" s="225"/>
      <c r="L1017" s="201" t="str">
        <f ca="1">_xlfn.XLOOKUP($B1013,シフト抽出!$19:$19,シフト抽出!$27:$27,"該当なし",0,1)</f>
        <v/>
      </c>
    </row>
    <row r="1018" spans="1:12">
      <c r="A1018" s="195"/>
      <c r="B1018" s="202" t="s">
        <v>208</v>
      </c>
      <c r="C1018"/>
      <c r="D1018" s="197" t="s">
        <v>4</v>
      </c>
      <c r="E1018" s="197" t="s">
        <v>4</v>
      </c>
      <c r="F1018" s="197"/>
      <c r="G1018" s="197" t="s">
        <v>4</v>
      </c>
      <c r="H1018" s="197"/>
      <c r="I1018" s="209"/>
      <c r="J1018" s="203"/>
      <c r="K1018" s="225"/>
      <c r="L1018" s="201" t="str">
        <f ca="1">_xlfn.XLOOKUP($B1013,シフト抽出!$19:$19,シフト抽出!$28:$28,"該当なし",0,1)</f>
        <v/>
      </c>
    </row>
    <row r="1019" spans="1:12" ht="15.75" thickBot="1">
      <c r="A1019" s="195"/>
      <c r="B1019" s="195" t="s">
        <v>205</v>
      </c>
      <c r="C1019"/>
      <c r="D1019" s="197" t="s">
        <v>414</v>
      </c>
      <c r="E1019" s="197" t="s">
        <v>421</v>
      </c>
      <c r="F1019" s="197"/>
      <c r="G1019" s="197" t="s">
        <v>22</v>
      </c>
      <c r="H1019" s="197"/>
      <c r="I1019" s="209"/>
      <c r="J1019" s="203"/>
      <c r="K1019" s="226"/>
      <c r="L1019" s="204" t="str">
        <f ca="1">_xlfn.XLOOKUP($B1013,シフト抽出!$19:$19,シフト抽出!$29:$29,"該当なし",0,1)</f>
        <v/>
      </c>
    </row>
    <row r="1020" spans="1:12" ht="15.75" thickBot="1">
      <c r="A1020" s="195"/>
      <c r="B1020" s="195" t="s">
        <v>206</v>
      </c>
      <c r="C1020"/>
      <c r="D1020" s="197" t="s">
        <v>414</v>
      </c>
      <c r="E1020" s="197" t="s">
        <v>421</v>
      </c>
      <c r="F1020" s="197"/>
      <c r="G1020" s="197" t="s">
        <v>22</v>
      </c>
      <c r="H1020" s="197"/>
      <c r="I1020" s="209"/>
      <c r="K1020" s="205" t="s">
        <v>261</v>
      </c>
      <c r="L1020" s="205">
        <f>_xlfn.XLOOKUP($B1013,予定表!B:B,予定表!R:R,"該当なし",0,1)</f>
        <v>0</v>
      </c>
    </row>
    <row r="1021" spans="1:12">
      <c r="A1021" s="195"/>
      <c r="B1021" s="195" t="s">
        <v>207</v>
      </c>
      <c r="C1021"/>
      <c r="D1021" s="197" t="s">
        <v>414</v>
      </c>
      <c r="E1021" s="197" t="s">
        <v>421</v>
      </c>
      <c r="F1021" s="197"/>
      <c r="G1021" s="197" t="s">
        <v>22</v>
      </c>
      <c r="H1021" s="197"/>
      <c r="I1021" s="209"/>
      <c r="K1021" s="227" t="s">
        <v>262</v>
      </c>
      <c r="L1021" s="206" t="str">
        <f>_xlfn.XLOOKUP($B1013,予定表!$B:$B,予定表!E:E,"該当なし",0,1)</f>
        <v>ブリヂストン紙管AM</v>
      </c>
    </row>
    <row r="1022" spans="1:12">
      <c r="A1022" s="195"/>
      <c r="B1022" s="196" t="s">
        <v>209</v>
      </c>
      <c r="C1022"/>
      <c r="D1022" s="197" t="s">
        <v>414</v>
      </c>
      <c r="E1022" s="197" t="s">
        <v>421</v>
      </c>
      <c r="F1022" s="197" t="s">
        <v>467</v>
      </c>
      <c r="G1022" s="197" t="s">
        <v>268</v>
      </c>
      <c r="H1022" s="197" t="s">
        <v>4</v>
      </c>
      <c r="I1022" s="209" t="s">
        <v>4</v>
      </c>
      <c r="K1022" s="228"/>
      <c r="L1022" s="207">
        <f>_xlfn.XLOOKUP($B1013,予定表!$B:$B,予定表!F:F,"該当なし",0,1)</f>
        <v>0</v>
      </c>
    </row>
    <row r="1023" spans="1:12">
      <c r="A1023" s="195"/>
      <c r="B1023" s="195" t="s">
        <v>205</v>
      </c>
      <c r="C1023"/>
      <c r="D1023" s="197" t="s">
        <v>414</v>
      </c>
      <c r="E1023" s="197" t="s">
        <v>421</v>
      </c>
      <c r="F1023" s="197" t="s">
        <v>467</v>
      </c>
      <c r="G1023" s="197" t="s">
        <v>268</v>
      </c>
      <c r="H1023" s="197" t="s">
        <v>60</v>
      </c>
      <c r="I1023" s="209" t="s">
        <v>60</v>
      </c>
      <c r="K1023" s="228"/>
      <c r="L1023" s="207">
        <f>_xlfn.XLOOKUP($B1013,予定表!$B:$B,予定表!G:G,"該当なし",0,1)</f>
        <v>0</v>
      </c>
    </row>
    <row r="1024" spans="1:12">
      <c r="A1024" s="195"/>
      <c r="B1024" s="195" t="s">
        <v>206</v>
      </c>
      <c r="C1024"/>
      <c r="D1024" s="197" t="s">
        <v>214</v>
      </c>
      <c r="E1024" s="197" t="s">
        <v>273</v>
      </c>
      <c r="F1024" s="197" t="s">
        <v>467</v>
      </c>
      <c r="G1024" s="197" t="s">
        <v>268</v>
      </c>
      <c r="H1024" s="197" t="s">
        <v>60</v>
      </c>
      <c r="I1024" s="209" t="s">
        <v>60</v>
      </c>
      <c r="K1024" s="228"/>
      <c r="L1024" s="207" t="str">
        <f>_xlfn.XLOOKUP($B1013,予定表!$B:$B,予定表!H:H,"該当なし",0,1)</f>
        <v>富士ロジ三田</v>
      </c>
    </row>
    <row r="1025" spans="1:12">
      <c r="A1025" s="195"/>
      <c r="B1025" s="195" t="s">
        <v>207</v>
      </c>
      <c r="C1025"/>
      <c r="D1025" s="197" t="s">
        <v>214</v>
      </c>
      <c r="E1025" s="197" t="s">
        <v>273</v>
      </c>
      <c r="F1025" s="197" t="s">
        <v>467</v>
      </c>
      <c r="G1025" s="197" t="s">
        <v>268</v>
      </c>
      <c r="H1025" s="197" t="s">
        <v>60</v>
      </c>
      <c r="I1025" s="209" t="s">
        <v>60</v>
      </c>
      <c r="K1025" s="228"/>
      <c r="L1025" s="207" t="str">
        <f>_xlfn.XLOOKUP($B1013,予定表!$B:$B,予定表!I:I,"該当なし",0,1)</f>
        <v/>
      </c>
    </row>
    <row r="1026" spans="1:12">
      <c r="A1026" s="195"/>
      <c r="B1026" s="196" t="s">
        <v>212</v>
      </c>
      <c r="C1026"/>
      <c r="D1026" s="197" t="s">
        <v>214</v>
      </c>
      <c r="E1026" s="197" t="s">
        <v>273</v>
      </c>
      <c r="F1026" s="197" t="s">
        <v>467</v>
      </c>
      <c r="G1026" s="197" t="s">
        <v>268</v>
      </c>
      <c r="H1026" s="197"/>
      <c r="I1026" s="209"/>
      <c r="K1026" s="228"/>
      <c r="L1026" s="207" t="str">
        <f>_xlfn.XLOOKUP($B1013,予定表!$B:$B,予定表!J:J,"該当なし",0,1)</f>
        <v/>
      </c>
    </row>
    <row r="1027" spans="1:12">
      <c r="A1027" s="195"/>
      <c r="B1027" s="195" t="s">
        <v>205</v>
      </c>
      <c r="C1027"/>
      <c r="D1027" s="197" t="s">
        <v>761</v>
      </c>
      <c r="E1027" s="197" t="s">
        <v>228</v>
      </c>
      <c r="F1027" s="197" t="s">
        <v>467</v>
      </c>
      <c r="G1027" s="197" t="s">
        <v>268</v>
      </c>
      <c r="H1027" s="197" t="s">
        <v>230</v>
      </c>
      <c r="I1027" s="209" t="s">
        <v>230</v>
      </c>
      <c r="K1027" s="228"/>
      <c r="L1027" s="207" t="str">
        <f>_xlfn.XLOOKUP($B1013,予定表!$B:$B,予定表!K:K,"該当なし",0,1)</f>
        <v/>
      </c>
    </row>
    <row r="1028" spans="1:12">
      <c r="A1028" s="195"/>
      <c r="B1028" s="195" t="s">
        <v>206</v>
      </c>
      <c r="C1028"/>
      <c r="D1028" s="197" t="s">
        <v>761</v>
      </c>
      <c r="E1028" s="197" t="s">
        <v>228</v>
      </c>
      <c r="F1028" s="197" t="s">
        <v>467</v>
      </c>
      <c r="G1028" s="197" t="s">
        <v>268</v>
      </c>
      <c r="H1028" s="197" t="s">
        <v>230</v>
      </c>
      <c r="I1028" s="209" t="s">
        <v>230</v>
      </c>
      <c r="K1028" s="228"/>
      <c r="L1028" s="207" t="str">
        <f>_xlfn.XLOOKUP($B1013,予定表!$B:$B,予定表!L:L,"該当なし",0,1)</f>
        <v/>
      </c>
    </row>
    <row r="1029" spans="1:12" ht="15.75" thickBot="1">
      <c r="A1029" s="195"/>
      <c r="B1029" s="195" t="s">
        <v>207</v>
      </c>
      <c r="C1029"/>
      <c r="D1029" s="197" t="s">
        <v>761</v>
      </c>
      <c r="E1029" s="197" t="s">
        <v>228</v>
      </c>
      <c r="F1029" s="197" t="s">
        <v>467</v>
      </c>
      <c r="G1029" s="197" t="s">
        <v>268</v>
      </c>
      <c r="H1029" s="197" t="s">
        <v>230</v>
      </c>
      <c r="I1029" s="209" t="s">
        <v>230</v>
      </c>
      <c r="K1029" s="229"/>
      <c r="L1029" s="204" t="str">
        <f>_xlfn.XLOOKUP($A1010,ﾘｽﾄマスタ!$U$8:$U$17,ﾘｽﾄマスタ!$V$8:$V$17,"",0)</f>
        <v/>
      </c>
    </row>
    <row r="1030" spans="1:12" ht="15.75" thickBot="1">
      <c r="A1030" s="195"/>
      <c r="B1030" s="196" t="s">
        <v>251</v>
      </c>
      <c r="C1030"/>
      <c r="D1030" s="197" t="s">
        <v>851</v>
      </c>
      <c r="E1030" s="197" t="s">
        <v>228</v>
      </c>
      <c r="F1030" s="197" t="s">
        <v>467</v>
      </c>
      <c r="G1030" s="197" t="s">
        <v>268</v>
      </c>
      <c r="H1030" s="197" t="s">
        <v>229</v>
      </c>
      <c r="I1030" s="209" t="s">
        <v>229</v>
      </c>
      <c r="K1030" s="208" t="s">
        <v>277</v>
      </c>
      <c r="L1030" s="208" t="str">
        <f ca="1">_xlfn.XLOOKUP($B1013,シフト抽出!$19:$19,シフト抽出!$30:$30,"該当なし",0,1)</f>
        <v/>
      </c>
    </row>
    <row r="1031" spans="1:12">
      <c r="A1031" s="195"/>
      <c r="B1031" s="195" t="s">
        <v>205</v>
      </c>
      <c r="C1031"/>
      <c r="D1031" s="197" t="s">
        <v>851</v>
      </c>
      <c r="E1031" s="197" t="s">
        <v>228</v>
      </c>
      <c r="F1031" s="197" t="s">
        <v>467</v>
      </c>
      <c r="G1031" s="197" t="s">
        <v>169</v>
      </c>
      <c r="H1031" s="197" t="s">
        <v>229</v>
      </c>
      <c r="I1031" s="209" t="s">
        <v>229</v>
      </c>
    </row>
    <row r="1032" spans="1:12">
      <c r="A1032" s="195"/>
      <c r="B1032" s="195" t="s">
        <v>206</v>
      </c>
      <c r="C1032"/>
      <c r="D1032" s="197" t="s">
        <v>851</v>
      </c>
      <c r="E1032" s="197" t="s">
        <v>263</v>
      </c>
      <c r="F1032" s="197" t="s">
        <v>467</v>
      </c>
      <c r="G1032" s="197" t="s">
        <v>169</v>
      </c>
      <c r="H1032" s="197" t="s">
        <v>848</v>
      </c>
      <c r="I1032" s="209" t="s">
        <v>848</v>
      </c>
    </row>
    <row r="1033" spans="1:12">
      <c r="A1033" s="195"/>
      <c r="B1033" s="195" t="s">
        <v>207</v>
      </c>
      <c r="C1033"/>
      <c r="D1033" s="197" t="s">
        <v>851</v>
      </c>
      <c r="E1033" s="197" t="s">
        <v>263</v>
      </c>
      <c r="F1033" s="197" t="s">
        <v>467</v>
      </c>
      <c r="G1033" s="197" t="s">
        <v>169</v>
      </c>
      <c r="H1033" s="197" t="s">
        <v>848</v>
      </c>
      <c r="I1033" s="209" t="s">
        <v>848</v>
      </c>
    </row>
    <row r="1034" spans="1:12">
      <c r="A1034" s="195"/>
      <c r="B1034" s="196" t="s">
        <v>217</v>
      </c>
      <c r="C1034"/>
      <c r="D1034" s="197" t="s">
        <v>851</v>
      </c>
      <c r="E1034" s="197" t="s">
        <v>263</v>
      </c>
      <c r="F1034" s="197" t="s">
        <v>467</v>
      </c>
      <c r="G1034" s="197" t="s">
        <v>169</v>
      </c>
      <c r="H1034" s="197" t="s">
        <v>848</v>
      </c>
      <c r="I1034" s="209" t="s">
        <v>848</v>
      </c>
    </row>
    <row r="1035" spans="1:12">
      <c r="A1035" s="195"/>
      <c r="B1035" s="195" t="s">
        <v>205</v>
      </c>
      <c r="C1035"/>
      <c r="D1035" s="197" t="s">
        <v>51</v>
      </c>
      <c r="E1035" s="197" t="s">
        <v>848</v>
      </c>
      <c r="F1035" s="197" t="s">
        <v>467</v>
      </c>
      <c r="G1035" s="197" t="s">
        <v>169</v>
      </c>
      <c r="H1035" s="197" t="s">
        <v>848</v>
      </c>
      <c r="I1035" s="209" t="s">
        <v>848</v>
      </c>
    </row>
    <row r="1036" spans="1:12">
      <c r="A1036" s="195"/>
      <c r="B1036" s="195" t="s">
        <v>206</v>
      </c>
      <c r="C1036"/>
      <c r="D1036" s="197" t="s">
        <v>51</v>
      </c>
      <c r="E1036" s="197" t="s">
        <v>848</v>
      </c>
      <c r="F1036" s="197" t="s">
        <v>467</v>
      </c>
      <c r="G1036" s="197" t="s">
        <v>278</v>
      </c>
      <c r="H1036" s="197" t="s">
        <v>848</v>
      </c>
      <c r="I1036" s="209" t="s">
        <v>848</v>
      </c>
    </row>
    <row r="1037" spans="1:12">
      <c r="A1037" s="195"/>
      <c r="B1037" s="195" t="s">
        <v>207</v>
      </c>
      <c r="C1037"/>
      <c r="D1037" s="197" t="s">
        <v>51</v>
      </c>
      <c r="E1037" s="197" t="s">
        <v>848</v>
      </c>
      <c r="F1037" s="197"/>
      <c r="G1037" s="197" t="s">
        <v>278</v>
      </c>
      <c r="H1037" s="197" t="s">
        <v>848</v>
      </c>
      <c r="I1037" s="209" t="s">
        <v>848</v>
      </c>
    </row>
    <row r="1038" spans="1:12">
      <c r="A1038" s="195"/>
      <c r="B1038" s="196" t="s">
        <v>219</v>
      </c>
      <c r="C1038"/>
      <c r="D1038" s="197" t="s">
        <v>51</v>
      </c>
      <c r="E1038" s="197" t="s">
        <v>848</v>
      </c>
      <c r="F1038" s="197"/>
      <c r="G1038" s="197"/>
      <c r="H1038" s="197"/>
      <c r="I1038" s="209"/>
    </row>
    <row r="1039" spans="1:12">
      <c r="A1039" s="195"/>
      <c r="B1039" s="195" t="s">
        <v>205</v>
      </c>
      <c r="C1039"/>
      <c r="D1039" s="197" t="s">
        <v>51</v>
      </c>
      <c r="E1039" s="197" t="s">
        <v>848</v>
      </c>
      <c r="F1039" s="197"/>
      <c r="G1039" s="197"/>
      <c r="H1039" s="197"/>
      <c r="I1039" s="209"/>
    </row>
    <row r="1040" spans="1:12">
      <c r="A1040" s="195"/>
      <c r="B1040" s="195" t="s">
        <v>206</v>
      </c>
      <c r="C1040"/>
      <c r="D1040" s="197"/>
      <c r="E1040" s="197"/>
      <c r="F1040" s="197"/>
      <c r="G1040" s="197"/>
      <c r="H1040" s="197"/>
      <c r="I1040" s="209"/>
    </row>
    <row r="1041" spans="1:9">
      <c r="A1041" s="195"/>
      <c r="B1041" s="195" t="s">
        <v>207</v>
      </c>
      <c r="C1041"/>
      <c r="D1041" s="197"/>
      <c r="E1041" s="197"/>
      <c r="F1041" s="197"/>
      <c r="G1041" s="197"/>
      <c r="H1041" s="197"/>
      <c r="I1041" s="209"/>
    </row>
    <row r="1042" spans="1:9">
      <c r="A1042" s="195"/>
      <c r="B1042" s="196" t="s">
        <v>220</v>
      </c>
      <c r="C1042"/>
      <c r="D1042" s="197"/>
      <c r="E1042" s="197"/>
      <c r="F1042" s="197"/>
      <c r="G1042" s="197"/>
      <c r="H1042" s="197"/>
      <c r="I1042" s="209"/>
    </row>
    <row r="1043" spans="1:9">
      <c r="A1043" s="195"/>
      <c r="B1043" s="195" t="s">
        <v>205</v>
      </c>
      <c r="C1043"/>
      <c r="D1043" s="197" t="s">
        <v>114</v>
      </c>
      <c r="E1043" s="197" t="s">
        <v>95</v>
      </c>
      <c r="F1043" s="197" t="s">
        <v>160</v>
      </c>
      <c r="G1043" s="197" t="s">
        <v>56</v>
      </c>
      <c r="H1043" s="197"/>
      <c r="I1043" s="209"/>
    </row>
    <row r="1044" spans="1:9">
      <c r="A1044" s="195"/>
      <c r="B1044" s="195" t="s">
        <v>206</v>
      </c>
      <c r="C1044"/>
      <c r="D1044" s="197" t="s">
        <v>114</v>
      </c>
      <c r="E1044" s="197" t="s">
        <v>95</v>
      </c>
      <c r="F1044" s="197" t="s">
        <v>160</v>
      </c>
      <c r="G1044" s="197" t="s">
        <v>56</v>
      </c>
      <c r="H1044" s="197" t="s">
        <v>899</v>
      </c>
      <c r="I1044" s="209" t="s">
        <v>899</v>
      </c>
    </row>
    <row r="1045" spans="1:9">
      <c r="A1045" s="195"/>
      <c r="B1045" s="195" t="s">
        <v>207</v>
      </c>
      <c r="C1045"/>
      <c r="D1045" s="197" t="s">
        <v>129</v>
      </c>
      <c r="E1045" s="197" t="s">
        <v>95</v>
      </c>
      <c r="F1045" s="197" t="s">
        <v>160</v>
      </c>
      <c r="G1045" s="197" t="s">
        <v>56</v>
      </c>
      <c r="H1045" s="197"/>
      <c r="I1045" s="209"/>
    </row>
    <row r="1046" spans="1:9">
      <c r="A1046" s="195"/>
      <c r="B1046" s="196" t="s">
        <v>222</v>
      </c>
      <c r="C1046"/>
      <c r="D1046" s="197" t="s">
        <v>129</v>
      </c>
      <c r="E1046" s="197" t="s">
        <v>95</v>
      </c>
      <c r="F1046" s="197" t="s">
        <v>252</v>
      </c>
      <c r="G1046" s="197" t="s">
        <v>56</v>
      </c>
      <c r="H1046" s="197"/>
      <c r="I1046" s="209"/>
    </row>
    <row r="1047" spans="1:9">
      <c r="A1047" s="195"/>
      <c r="B1047" s="195" t="s">
        <v>205</v>
      </c>
      <c r="C1047"/>
      <c r="D1047" s="197" t="s">
        <v>129</v>
      </c>
      <c r="E1047" s="197" t="s">
        <v>95</v>
      </c>
      <c r="F1047" s="197" t="s">
        <v>252</v>
      </c>
      <c r="G1047" s="197"/>
      <c r="H1047" s="197"/>
      <c r="I1047" s="209"/>
    </row>
    <row r="1048" spans="1:9">
      <c r="A1048" s="195"/>
      <c r="B1048" s="195" t="s">
        <v>206</v>
      </c>
      <c r="C1048"/>
      <c r="D1048" s="197"/>
      <c r="E1048" s="197" t="s">
        <v>95</v>
      </c>
      <c r="F1048" s="197" t="s">
        <v>252</v>
      </c>
      <c r="G1048" s="197" t="s">
        <v>270</v>
      </c>
      <c r="H1048" s="197"/>
      <c r="I1048" s="209"/>
    </row>
    <row r="1049" spans="1:9">
      <c r="A1049" s="195"/>
      <c r="B1049" s="195" t="s">
        <v>207</v>
      </c>
      <c r="C1049"/>
      <c r="D1049" s="197" t="s">
        <v>515</v>
      </c>
      <c r="E1049" s="197" t="s">
        <v>95</v>
      </c>
      <c r="F1049" s="197" t="s">
        <v>252</v>
      </c>
      <c r="G1049" s="197" t="s">
        <v>270</v>
      </c>
      <c r="H1049" s="197"/>
      <c r="I1049" s="209"/>
    </row>
    <row r="1050" spans="1:9">
      <c r="A1050" s="195"/>
      <c r="B1050" s="196" t="s">
        <v>223</v>
      </c>
      <c r="C1050"/>
      <c r="D1050" s="197" t="s">
        <v>515</v>
      </c>
      <c r="E1050" s="197" t="s">
        <v>95</v>
      </c>
      <c r="F1050" s="197" t="s">
        <v>252</v>
      </c>
      <c r="G1050" s="197" t="s">
        <v>270</v>
      </c>
      <c r="H1050" s="197"/>
      <c r="I1050" s="209"/>
    </row>
    <row r="1051" spans="1:9">
      <c r="A1051" s="195"/>
      <c r="B1051" s="195" t="s">
        <v>205</v>
      </c>
      <c r="C1051"/>
      <c r="D1051" s="197" t="s">
        <v>515</v>
      </c>
      <c r="E1051" s="197" t="s">
        <v>95</v>
      </c>
      <c r="F1051" s="197" t="s">
        <v>252</v>
      </c>
      <c r="G1051" s="197" t="s">
        <v>270</v>
      </c>
      <c r="H1051" s="197"/>
      <c r="I1051" s="209"/>
    </row>
    <row r="1052" spans="1:9">
      <c r="A1052" s="195"/>
      <c r="B1052" s="195" t="s">
        <v>206</v>
      </c>
      <c r="C1052"/>
      <c r="D1052" s="197" t="s">
        <v>269</v>
      </c>
      <c r="E1052" s="197" t="s">
        <v>95</v>
      </c>
      <c r="F1052" s="197" t="s">
        <v>252</v>
      </c>
      <c r="G1052" s="197" t="s">
        <v>270</v>
      </c>
      <c r="H1052" s="197"/>
      <c r="I1052" s="209"/>
    </row>
    <row r="1053" spans="1:9">
      <c r="A1053" s="195"/>
      <c r="B1053" s="195" t="s">
        <v>207</v>
      </c>
      <c r="C1053"/>
      <c r="D1053" s="197" t="s">
        <v>269</v>
      </c>
      <c r="E1053" s="197" t="s">
        <v>95</v>
      </c>
      <c r="F1053" s="197" t="s">
        <v>252</v>
      </c>
      <c r="G1053" s="197" t="s">
        <v>270</v>
      </c>
      <c r="H1053" s="197"/>
      <c r="I1053" s="209"/>
    </row>
    <row r="1054" spans="1:9">
      <c r="A1054" s="195"/>
      <c r="B1054" s="196" t="s">
        <v>225</v>
      </c>
      <c r="C1054"/>
      <c r="D1054" s="197" t="s">
        <v>269</v>
      </c>
      <c r="E1054" s="197" t="s">
        <v>95</v>
      </c>
      <c r="F1054" s="197" t="s">
        <v>252</v>
      </c>
      <c r="G1054" s="197" t="s">
        <v>270</v>
      </c>
      <c r="H1054" s="197"/>
      <c r="I1054" s="209"/>
    </row>
    <row r="1055" spans="1:9">
      <c r="A1055" s="195"/>
      <c r="B1055" s="195" t="s">
        <v>205</v>
      </c>
      <c r="C1055"/>
      <c r="D1055" s="197" t="s">
        <v>237</v>
      </c>
      <c r="E1055" s="197" t="s">
        <v>95</v>
      </c>
      <c r="F1055" s="197" t="s">
        <v>252</v>
      </c>
      <c r="G1055" s="197" t="s">
        <v>270</v>
      </c>
      <c r="H1055" s="197"/>
      <c r="I1055" s="209"/>
    </row>
    <row r="1056" spans="1:9">
      <c r="A1056" s="195"/>
      <c r="B1056" s="195" t="s">
        <v>206</v>
      </c>
      <c r="C1056"/>
      <c r="D1056" s="197" t="s">
        <v>236</v>
      </c>
      <c r="E1056" s="197"/>
      <c r="F1056" s="197"/>
      <c r="G1056" s="197" t="s">
        <v>270</v>
      </c>
      <c r="H1056" s="197"/>
      <c r="I1056" s="209"/>
    </row>
    <row r="1057" spans="1:12">
      <c r="A1057" s="195"/>
      <c r="B1057" s="195" t="s">
        <v>207</v>
      </c>
      <c r="C1057"/>
      <c r="D1057" s="197" t="s">
        <v>193</v>
      </c>
      <c r="E1057" s="197"/>
      <c r="F1057" s="197"/>
      <c r="G1057" s="197" t="s">
        <v>270</v>
      </c>
      <c r="H1057" s="197"/>
      <c r="I1057" s="209"/>
    </row>
    <row r="1058" spans="1:12">
      <c r="A1058" s="195"/>
      <c r="B1058" s="196" t="s">
        <v>226</v>
      </c>
      <c r="C1058"/>
      <c r="D1058" s="197"/>
      <c r="E1058" s="197"/>
      <c r="F1058" s="197"/>
      <c r="G1058" s="197"/>
      <c r="H1058" s="209"/>
      <c r="I1058" s="209"/>
    </row>
    <row r="1059" spans="1:12">
      <c r="A1059" s="195"/>
      <c r="B1059" s="195" t="s">
        <v>205</v>
      </c>
      <c r="C1059"/>
      <c r="D1059" s="197"/>
      <c r="E1059" s="197"/>
      <c r="F1059" s="197"/>
      <c r="G1059" s="197"/>
      <c r="H1059" s="209"/>
      <c r="I1059" s="209"/>
    </row>
    <row r="1060" spans="1:12">
      <c r="A1060" s="195"/>
      <c r="B1060" s="195" t="s">
        <v>206</v>
      </c>
      <c r="C1060"/>
      <c r="D1060" s="197"/>
      <c r="E1060" s="197"/>
      <c r="F1060" s="197"/>
      <c r="G1060" s="197"/>
      <c r="H1060" s="209"/>
      <c r="I1060" s="209"/>
    </row>
    <row r="1061" spans="1:12">
      <c r="A1061" s="195"/>
      <c r="B1061" s="195" t="s">
        <v>207</v>
      </c>
      <c r="C1061"/>
      <c r="D1061" s="197"/>
      <c r="E1061" s="197"/>
      <c r="F1061" s="197"/>
      <c r="G1061" s="197"/>
      <c r="H1061" s="209"/>
      <c r="I1061" s="209"/>
    </row>
    <row r="1062" spans="1:12">
      <c r="A1062" s="195"/>
      <c r="B1062" s="196" t="s">
        <v>227</v>
      </c>
      <c r="C1062"/>
      <c r="D1062" s="197"/>
      <c r="E1062" s="197"/>
      <c r="F1062" s="197"/>
      <c r="G1062" s="197"/>
      <c r="H1062" s="209"/>
      <c r="I1062" s="209"/>
      <c r="K1062"/>
    </row>
    <row r="1063" spans="1:12" ht="29.25" thickBot="1">
      <c r="A1063" s="182" t="str">
        <f>"回収シフト  第"&amp;ROUNDUP(DAY(B1066)/7,0)  &amp;"  "&amp;TEXT(B1066,"aaaa")</f>
        <v>回収シフト  第4  金曜日</v>
      </c>
      <c r="B1063" s="183"/>
      <c r="C1063" s="183"/>
      <c r="D1063" s="183"/>
      <c r="E1063" s="183"/>
      <c r="F1063" s="183"/>
      <c r="G1063" s="184"/>
      <c r="H1063" s="184"/>
      <c r="I1063" s="184"/>
      <c r="K1063" s="183"/>
      <c r="L1063" s="183"/>
    </row>
    <row r="1064" spans="1:12" ht="15.75" thickBot="1">
      <c r="A1064"/>
      <c r="B1064"/>
      <c r="C1064"/>
      <c r="D1064" s="186" t="s">
        <v>201</v>
      </c>
      <c r="E1064" s="186" t="s">
        <v>202</v>
      </c>
      <c r="F1064" s="186" t="s">
        <v>203</v>
      </c>
      <c r="G1064" s="186" t="s">
        <v>204</v>
      </c>
      <c r="H1064" s="186" t="s">
        <v>267</v>
      </c>
      <c r="I1064" s="217" t="s">
        <v>267</v>
      </c>
      <c r="K1064" s="230" t="s">
        <v>257</v>
      </c>
      <c r="L1064" s="231"/>
    </row>
    <row r="1065" spans="1:12">
      <c r="A1065" s="187"/>
      <c r="B1065" s="188">
        <v>46119</v>
      </c>
      <c r="C1065" s="187"/>
      <c r="D1065" s="189" t="s">
        <v>896</v>
      </c>
      <c r="E1065" s="189" t="s">
        <v>859</v>
      </c>
      <c r="F1065" s="189" t="s">
        <v>850</v>
      </c>
      <c r="G1065" s="189" t="s">
        <v>857</v>
      </c>
      <c r="H1065" s="189" t="s">
        <v>852</v>
      </c>
      <c r="I1065" s="218" t="s">
        <v>852</v>
      </c>
      <c r="K1065" s="232" t="s">
        <v>258</v>
      </c>
      <c r="L1065" s="190" t="str">
        <f ca="1">_xlfn.XLOOKUP($B1066,シフト抽出!$19:$19,シフト抽出!$20:$20,"該当なし",0,1)</f>
        <v/>
      </c>
    </row>
    <row r="1066" spans="1:12" ht="19.5" thickBot="1">
      <c r="A1066"/>
      <c r="B1066" s="191">
        <f>B1013+1</f>
        <v>46136</v>
      </c>
      <c r="C1066" s="192"/>
      <c r="D1066" s="193"/>
      <c r="E1066" s="193"/>
      <c r="F1066" s="193"/>
      <c r="G1066" s="193"/>
      <c r="H1066" s="193"/>
      <c r="I1066" s="219"/>
      <c r="K1066" s="233"/>
      <c r="L1066" s="194" t="str">
        <f ca="1">_xlfn.XLOOKUP($B1066,シフト抽出!$19:$19,シフト抽出!$21:$21,"該当なし",0,1)</f>
        <v/>
      </c>
    </row>
    <row r="1067" spans="1:12">
      <c r="A1067" s="195"/>
      <c r="B1067" s="196">
        <v>0.25</v>
      </c>
      <c r="C1067"/>
      <c r="D1067" s="197"/>
      <c r="E1067" s="196"/>
      <c r="F1067" s="197"/>
      <c r="G1067" s="197"/>
      <c r="H1067" s="197"/>
      <c r="I1067" s="209"/>
      <c r="K1067" s="234" t="s">
        <v>259</v>
      </c>
      <c r="L1067" s="198" t="str">
        <f ca="1">_xlfn.XLOOKUP($B1066,シフト抽出!$19:$19,シフト抽出!$23:$23,"該当なし",0,1)</f>
        <v/>
      </c>
    </row>
    <row r="1068" spans="1:12" ht="15.75" thickBot="1">
      <c r="A1068" s="195"/>
      <c r="B1068" s="195" t="s">
        <v>205</v>
      </c>
      <c r="C1068"/>
      <c r="D1068" s="197"/>
      <c r="E1068" s="197"/>
      <c r="F1068" s="197"/>
      <c r="G1068" s="197"/>
      <c r="H1068" s="197"/>
      <c r="I1068" s="209"/>
      <c r="K1068" s="235"/>
      <c r="L1068" s="199" t="str">
        <f ca="1">_xlfn.XLOOKUP($B1066,シフト抽出!$19:$19,シフト抽出!$24:$24,"該当なし",0,1)</f>
        <v/>
      </c>
    </row>
    <row r="1069" spans="1:12">
      <c r="A1069" s="195"/>
      <c r="B1069" s="195" t="s">
        <v>206</v>
      </c>
      <c r="C1069"/>
      <c r="D1069" s="197" t="s">
        <v>238</v>
      </c>
      <c r="E1069" s="197" t="s">
        <v>109</v>
      </c>
      <c r="F1069" s="197"/>
      <c r="G1069" s="197"/>
      <c r="H1069" s="197"/>
      <c r="I1069" s="209"/>
      <c r="K1069" s="224" t="s">
        <v>260</v>
      </c>
      <c r="L1069" s="200" t="str">
        <f ca="1">_xlfn.XLOOKUP($B1066,シフト抽出!$19:$19,シフト抽出!$26:$26,"該当なし",0,1)</f>
        <v/>
      </c>
    </row>
    <row r="1070" spans="1:12">
      <c r="A1070" s="195"/>
      <c r="B1070" s="195" t="s">
        <v>207</v>
      </c>
      <c r="C1070"/>
      <c r="D1070" s="197" t="s">
        <v>238</v>
      </c>
      <c r="E1070" s="197"/>
      <c r="F1070" s="197"/>
      <c r="G1070" s="197"/>
      <c r="H1070" s="197"/>
      <c r="I1070" s="209"/>
      <c r="K1070" s="225"/>
      <c r="L1070" s="201" t="str">
        <f ca="1">_xlfn.XLOOKUP($B1066,シフト抽出!$19:$19,シフト抽出!$27:$27,"該当なし",0,1)</f>
        <v/>
      </c>
    </row>
    <row r="1071" spans="1:12">
      <c r="A1071" s="195"/>
      <c r="B1071" s="202" t="s">
        <v>208</v>
      </c>
      <c r="C1071"/>
      <c r="D1071" s="197" t="s">
        <v>238</v>
      </c>
      <c r="E1071" s="197" t="s">
        <v>420</v>
      </c>
      <c r="F1071" s="197" t="s">
        <v>851</v>
      </c>
      <c r="G1071" s="197" t="s">
        <v>22</v>
      </c>
      <c r="H1071" s="197"/>
      <c r="I1071" s="209"/>
      <c r="J1071" s="203"/>
      <c r="K1071" s="225"/>
      <c r="L1071" s="201" t="str">
        <f ca="1">_xlfn.XLOOKUP($B1066,シフト抽出!$19:$19,シフト抽出!$28:$28,"該当なし",0,1)</f>
        <v/>
      </c>
    </row>
    <row r="1072" spans="1:12" ht="15.75" thickBot="1">
      <c r="A1072" s="195"/>
      <c r="B1072" s="195" t="s">
        <v>205</v>
      </c>
      <c r="C1072"/>
      <c r="D1072" s="197" t="s">
        <v>238</v>
      </c>
      <c r="E1072" s="197" t="s">
        <v>420</v>
      </c>
      <c r="F1072" s="197" t="s">
        <v>851</v>
      </c>
      <c r="G1072" s="197" t="s">
        <v>22</v>
      </c>
      <c r="H1072" s="197"/>
      <c r="I1072" s="209"/>
      <c r="J1072" s="203"/>
      <c r="K1072" s="226"/>
      <c r="L1072" s="204" t="str">
        <f ca="1">_xlfn.XLOOKUP($B1066,シフト抽出!$19:$19,シフト抽出!$29:$29,"該当なし",0,1)</f>
        <v/>
      </c>
    </row>
    <row r="1073" spans="1:12" ht="15.75" thickBot="1">
      <c r="A1073" s="195"/>
      <c r="B1073" s="195" t="s">
        <v>206</v>
      </c>
      <c r="C1073"/>
      <c r="D1073" s="197" t="s">
        <v>238</v>
      </c>
      <c r="E1073" s="197" t="s">
        <v>420</v>
      </c>
      <c r="F1073" s="197" t="s">
        <v>851</v>
      </c>
      <c r="G1073" s="197" t="s">
        <v>793</v>
      </c>
      <c r="H1073" s="197"/>
      <c r="I1073" s="209"/>
      <c r="K1073" s="205" t="s">
        <v>261</v>
      </c>
      <c r="L1073" s="205">
        <f>_xlfn.XLOOKUP($B1066,予定表!B:B,予定表!R:R,"該当なし",0,1)</f>
        <v>0</v>
      </c>
    </row>
    <row r="1074" spans="1:12">
      <c r="A1074" s="195"/>
      <c r="B1074" s="195" t="s">
        <v>207</v>
      </c>
      <c r="C1074"/>
      <c r="D1074" s="197" t="s">
        <v>238</v>
      </c>
      <c r="E1074" s="197" t="s">
        <v>420</v>
      </c>
      <c r="F1074" s="197" t="s">
        <v>851</v>
      </c>
      <c r="G1074" s="197" t="s">
        <v>793</v>
      </c>
      <c r="H1074" s="197"/>
      <c r="I1074" s="209"/>
      <c r="K1074" s="227" t="s">
        <v>262</v>
      </c>
      <c r="L1074" s="206" t="str">
        <f>_xlfn.XLOOKUP($B1066,予定表!$B:$B,予定表!E:E,"該当なし",0,1)</f>
        <v>不二家なし</v>
      </c>
    </row>
    <row r="1075" spans="1:12">
      <c r="A1075" s="195"/>
      <c r="B1075" s="196" t="s">
        <v>209</v>
      </c>
      <c r="C1075"/>
      <c r="D1075" s="197"/>
      <c r="E1075" s="197" t="s">
        <v>420</v>
      </c>
      <c r="F1075" s="197" t="s">
        <v>851</v>
      </c>
      <c r="G1075" s="197" t="s">
        <v>268</v>
      </c>
      <c r="H1075" s="197" t="s">
        <v>4</v>
      </c>
      <c r="I1075" s="209" t="s">
        <v>4</v>
      </c>
      <c r="K1075" s="228"/>
      <c r="L1075" s="207" t="str">
        <f>_xlfn.XLOOKUP($B1066,予定表!$B:$B,予定表!F:F,"該当なし",0,1)</f>
        <v>ディーミング</v>
      </c>
    </row>
    <row r="1076" spans="1:12">
      <c r="A1076" s="195"/>
      <c r="B1076" s="195" t="s">
        <v>205</v>
      </c>
      <c r="C1076"/>
      <c r="D1076" s="197" t="s">
        <v>264</v>
      </c>
      <c r="E1076" s="197" t="s">
        <v>420</v>
      </c>
      <c r="F1076" s="197" t="s">
        <v>851</v>
      </c>
      <c r="G1076" s="197" t="s">
        <v>268</v>
      </c>
      <c r="H1076" s="197" t="s">
        <v>60</v>
      </c>
      <c r="I1076" s="209" t="s">
        <v>60</v>
      </c>
      <c r="K1076" s="228"/>
      <c r="L1076" s="207">
        <f>_xlfn.XLOOKUP($B1066,予定表!$B:$B,予定表!G:G,"該当なし",0,1)</f>
        <v>0</v>
      </c>
    </row>
    <row r="1077" spans="1:12">
      <c r="A1077" s="195"/>
      <c r="B1077" s="195" t="s">
        <v>206</v>
      </c>
      <c r="C1077"/>
      <c r="D1077" s="197" t="s">
        <v>239</v>
      </c>
      <c r="E1077" s="197" t="s">
        <v>414</v>
      </c>
      <c r="F1077" s="197" t="s">
        <v>851</v>
      </c>
      <c r="G1077" s="197" t="s">
        <v>268</v>
      </c>
      <c r="H1077" s="197" t="s">
        <v>60</v>
      </c>
      <c r="I1077" s="209" t="s">
        <v>60</v>
      </c>
      <c r="K1077" s="228"/>
      <c r="L1077" s="207" t="str">
        <f>_xlfn.XLOOKUP($B1066,予定表!$B:$B,予定表!H:H,"該当なし",0,1)</f>
        <v>富士ロジ三田</v>
      </c>
    </row>
    <row r="1078" spans="1:12">
      <c r="A1078" s="195"/>
      <c r="B1078" s="195" t="s">
        <v>207</v>
      </c>
      <c r="C1078"/>
      <c r="D1078" s="197" t="s">
        <v>239</v>
      </c>
      <c r="E1078" s="197" t="s">
        <v>414</v>
      </c>
      <c r="F1078" s="197" t="s">
        <v>851</v>
      </c>
      <c r="G1078" s="197" t="s">
        <v>268</v>
      </c>
      <c r="H1078" s="197" t="s">
        <v>60</v>
      </c>
      <c r="I1078" s="209" t="s">
        <v>60</v>
      </c>
      <c r="K1078" s="228"/>
      <c r="L1078" s="207" t="str">
        <f>_xlfn.XLOOKUP($B1066,予定表!$B:$B,予定表!I:I,"該当なし",0,1)</f>
        <v/>
      </c>
    </row>
    <row r="1079" spans="1:12">
      <c r="A1079" s="195"/>
      <c r="B1079" s="196" t="s">
        <v>212</v>
      </c>
      <c r="C1079"/>
      <c r="D1079" s="197" t="s">
        <v>240</v>
      </c>
      <c r="E1079" s="197" t="s">
        <v>414</v>
      </c>
      <c r="F1079" s="197"/>
      <c r="G1079" s="197" t="s">
        <v>268</v>
      </c>
      <c r="H1079" s="197"/>
      <c r="I1079" s="209"/>
      <c r="K1079" s="228"/>
      <c r="L1079" s="207" t="str">
        <f>_xlfn.XLOOKUP($B1066,予定表!$B:$B,予定表!J:J,"該当なし",0,1)</f>
        <v/>
      </c>
    </row>
    <row r="1080" spans="1:12">
      <c r="A1080" s="195"/>
      <c r="B1080" s="195" t="s">
        <v>205</v>
      </c>
      <c r="C1080"/>
      <c r="D1080" s="197" t="s">
        <v>240</v>
      </c>
      <c r="E1080" s="197" t="s">
        <v>414</v>
      </c>
      <c r="F1080" s="197" t="s">
        <v>395</v>
      </c>
      <c r="G1080" s="197" t="s">
        <v>268</v>
      </c>
      <c r="H1080" s="197" t="s">
        <v>848</v>
      </c>
      <c r="I1080" s="209" t="s">
        <v>848</v>
      </c>
      <c r="K1080" s="228"/>
      <c r="L1080" s="207" t="str">
        <f>_xlfn.XLOOKUP($B1066,予定表!$B:$B,予定表!K:K,"該当なし",0,1)</f>
        <v/>
      </c>
    </row>
    <row r="1081" spans="1:12">
      <c r="A1081" s="195"/>
      <c r="B1081" s="195" t="s">
        <v>206</v>
      </c>
      <c r="C1081"/>
      <c r="D1081" s="197" t="s">
        <v>214</v>
      </c>
      <c r="E1081" s="197" t="s">
        <v>854</v>
      </c>
      <c r="F1081" s="197" t="s">
        <v>395</v>
      </c>
      <c r="G1081" s="197" t="s">
        <v>268</v>
      </c>
      <c r="H1081" s="197" t="s">
        <v>848</v>
      </c>
      <c r="I1081" s="209" t="s">
        <v>848</v>
      </c>
      <c r="K1081" s="228"/>
      <c r="L1081" s="207" t="str">
        <f>_xlfn.XLOOKUP($B1066,予定表!$B:$B,予定表!L:L,"該当なし",0,1)</f>
        <v/>
      </c>
    </row>
    <row r="1082" spans="1:12" ht="15.75" thickBot="1">
      <c r="A1082" s="195"/>
      <c r="B1082" s="195" t="s">
        <v>207</v>
      </c>
      <c r="C1082"/>
      <c r="D1082" s="197" t="s">
        <v>214</v>
      </c>
      <c r="E1082" s="197" t="s">
        <v>854</v>
      </c>
      <c r="F1082" s="197" t="s">
        <v>395</v>
      </c>
      <c r="G1082" s="197" t="s">
        <v>515</v>
      </c>
      <c r="H1082" s="197" t="s">
        <v>848</v>
      </c>
      <c r="I1082" s="209" t="s">
        <v>848</v>
      </c>
      <c r="K1082" s="229"/>
      <c r="L1082" s="204" t="str">
        <f>_xlfn.XLOOKUP($A1063,ﾘｽﾄマスタ!$U$8:$U$17,ﾘｽﾄマスタ!$V$8:$V$17,"",0)</f>
        <v/>
      </c>
    </row>
    <row r="1083" spans="1:12" ht="15.75" thickBot="1">
      <c r="A1083" s="195"/>
      <c r="B1083" s="196" t="s">
        <v>251</v>
      </c>
      <c r="C1083"/>
      <c r="D1083" s="197" t="s">
        <v>214</v>
      </c>
      <c r="E1083" s="197" t="s">
        <v>854</v>
      </c>
      <c r="F1083" s="197" t="s">
        <v>395</v>
      </c>
      <c r="G1083" s="197" t="s">
        <v>515</v>
      </c>
      <c r="H1083" s="197" t="s">
        <v>848</v>
      </c>
      <c r="I1083" s="209" t="s">
        <v>848</v>
      </c>
      <c r="K1083" s="208" t="s">
        <v>277</v>
      </c>
      <c r="L1083" s="208" t="str">
        <f ca="1">_xlfn.XLOOKUP($B1066,シフト抽出!$19:$19,シフト抽出!$30:$30,"該当なし",0,1)</f>
        <v/>
      </c>
    </row>
    <row r="1084" spans="1:12">
      <c r="A1084" s="195"/>
      <c r="B1084" s="195" t="s">
        <v>205</v>
      </c>
      <c r="C1084"/>
      <c r="D1084" s="197" t="s">
        <v>214</v>
      </c>
      <c r="E1084" s="197" t="s">
        <v>854</v>
      </c>
      <c r="F1084" s="197" t="s">
        <v>395</v>
      </c>
      <c r="G1084" s="197" t="s">
        <v>888</v>
      </c>
      <c r="H1084" s="197" t="s">
        <v>848</v>
      </c>
      <c r="I1084" s="209" t="s">
        <v>848</v>
      </c>
    </row>
    <row r="1085" spans="1:12">
      <c r="A1085" s="195"/>
      <c r="B1085" s="195" t="s">
        <v>206</v>
      </c>
      <c r="C1085"/>
      <c r="D1085" s="197" t="s">
        <v>353</v>
      </c>
      <c r="E1085" s="197" t="s">
        <v>216</v>
      </c>
      <c r="F1085" s="197" t="s">
        <v>395</v>
      </c>
      <c r="G1085" s="197" t="s">
        <v>446</v>
      </c>
      <c r="H1085" s="197" t="s">
        <v>848</v>
      </c>
      <c r="I1085" s="209" t="s">
        <v>848</v>
      </c>
    </row>
    <row r="1086" spans="1:12">
      <c r="A1086" s="195"/>
      <c r="B1086" s="195" t="s">
        <v>207</v>
      </c>
      <c r="C1086"/>
      <c r="D1086" s="197" t="s">
        <v>353</v>
      </c>
      <c r="E1086" s="197" t="s">
        <v>216</v>
      </c>
      <c r="F1086" s="197" t="s">
        <v>395</v>
      </c>
      <c r="G1086" s="197" t="s">
        <v>446</v>
      </c>
      <c r="H1086" s="197" t="s">
        <v>848</v>
      </c>
      <c r="I1086" s="209" t="s">
        <v>848</v>
      </c>
    </row>
    <row r="1087" spans="1:12">
      <c r="A1087" s="195"/>
      <c r="B1087" s="196" t="s">
        <v>217</v>
      </c>
      <c r="C1087"/>
      <c r="D1087" s="197" t="s">
        <v>353</v>
      </c>
      <c r="E1087" s="197" t="s">
        <v>216</v>
      </c>
      <c r="F1087" s="197" t="s">
        <v>395</v>
      </c>
      <c r="G1087" s="197" t="s">
        <v>114</v>
      </c>
      <c r="H1087" s="197" t="s">
        <v>848</v>
      </c>
      <c r="I1087" s="209" t="s">
        <v>848</v>
      </c>
    </row>
    <row r="1088" spans="1:12">
      <c r="A1088" s="195"/>
      <c r="B1088" s="195" t="s">
        <v>205</v>
      </c>
      <c r="C1088"/>
      <c r="D1088" s="197" t="s">
        <v>353</v>
      </c>
      <c r="E1088" s="197" t="s">
        <v>216</v>
      </c>
      <c r="F1088" s="197" t="s">
        <v>395</v>
      </c>
      <c r="G1088" s="197" t="s">
        <v>114</v>
      </c>
      <c r="H1088" s="197" t="s">
        <v>848</v>
      </c>
      <c r="I1088" s="209" t="s">
        <v>848</v>
      </c>
    </row>
    <row r="1089" spans="1:9">
      <c r="A1089" s="195"/>
      <c r="B1089" s="195" t="s">
        <v>206</v>
      </c>
      <c r="C1089"/>
      <c r="D1089" s="197" t="s">
        <v>761</v>
      </c>
      <c r="E1089" s="197" t="s">
        <v>216</v>
      </c>
      <c r="F1089" s="197" t="s">
        <v>395</v>
      </c>
      <c r="G1089" s="197" t="s">
        <v>51</v>
      </c>
      <c r="H1089" s="197" t="s">
        <v>848</v>
      </c>
      <c r="I1089" s="209" t="s">
        <v>848</v>
      </c>
    </row>
    <row r="1090" spans="1:9">
      <c r="A1090" s="195"/>
      <c r="B1090" s="195" t="s">
        <v>207</v>
      </c>
      <c r="C1090"/>
      <c r="D1090" s="197" t="s">
        <v>761</v>
      </c>
      <c r="E1090" s="197" t="s">
        <v>216</v>
      </c>
      <c r="F1090" s="197" t="s">
        <v>395</v>
      </c>
      <c r="G1090" s="197" t="s">
        <v>51</v>
      </c>
      <c r="H1090" s="197"/>
      <c r="I1090" s="209"/>
    </row>
    <row r="1091" spans="1:9">
      <c r="A1091" s="195"/>
      <c r="B1091" s="196" t="s">
        <v>219</v>
      </c>
      <c r="C1091"/>
      <c r="D1091" s="197" t="s">
        <v>761</v>
      </c>
      <c r="E1091" s="197" t="s">
        <v>216</v>
      </c>
      <c r="F1091" s="197" t="s">
        <v>395</v>
      </c>
      <c r="G1091" s="197" t="s">
        <v>51</v>
      </c>
      <c r="H1091" s="197"/>
      <c r="I1091" s="209"/>
    </row>
    <row r="1092" spans="1:9">
      <c r="A1092" s="195"/>
      <c r="B1092" s="195" t="s">
        <v>205</v>
      </c>
      <c r="C1092"/>
      <c r="D1092" s="197" t="s">
        <v>761</v>
      </c>
      <c r="E1092" s="197" t="s">
        <v>216</v>
      </c>
      <c r="F1092" s="197"/>
      <c r="G1092" s="197" t="s">
        <v>51</v>
      </c>
      <c r="H1092" s="197"/>
      <c r="I1092" s="209"/>
    </row>
    <row r="1093" spans="1:9">
      <c r="A1093" s="195"/>
      <c r="B1093" s="195" t="s">
        <v>206</v>
      </c>
      <c r="C1093"/>
      <c r="D1093" s="197"/>
      <c r="E1093" s="197"/>
      <c r="F1093" s="197"/>
      <c r="G1093" s="197"/>
      <c r="H1093" s="197" t="s">
        <v>415</v>
      </c>
      <c r="I1093" s="209" t="s">
        <v>415</v>
      </c>
    </row>
    <row r="1094" spans="1:9">
      <c r="A1094" s="195"/>
      <c r="B1094" s="195" t="s">
        <v>207</v>
      </c>
      <c r="C1094"/>
      <c r="D1094" s="197"/>
      <c r="E1094" s="197"/>
      <c r="F1094" s="197"/>
      <c r="G1094" s="197"/>
      <c r="H1094" s="197" t="s">
        <v>415</v>
      </c>
      <c r="I1094" s="209" t="s">
        <v>415</v>
      </c>
    </row>
    <row r="1095" spans="1:9">
      <c r="A1095" s="195"/>
      <c r="B1095" s="196" t="s">
        <v>220</v>
      </c>
      <c r="C1095"/>
      <c r="D1095" s="189" t="s">
        <v>902</v>
      </c>
      <c r="E1095" s="189"/>
      <c r="F1095" s="197"/>
      <c r="G1095" s="189" t="s">
        <v>248</v>
      </c>
      <c r="H1095" s="197" t="s">
        <v>231</v>
      </c>
      <c r="I1095" s="209" t="s">
        <v>231</v>
      </c>
    </row>
    <row r="1096" spans="1:9">
      <c r="A1096" s="195"/>
      <c r="B1096" s="195" t="s">
        <v>205</v>
      </c>
      <c r="C1096"/>
      <c r="D1096" s="197" t="s">
        <v>416</v>
      </c>
      <c r="E1096" s="197" t="s">
        <v>273</v>
      </c>
      <c r="F1096" s="197" t="s">
        <v>605</v>
      </c>
      <c r="G1096" s="197" t="s">
        <v>56</v>
      </c>
      <c r="H1096" s="197" t="s">
        <v>231</v>
      </c>
      <c r="I1096" s="209" t="s">
        <v>231</v>
      </c>
    </row>
    <row r="1097" spans="1:9">
      <c r="A1097" s="195"/>
      <c r="B1097" s="195" t="s">
        <v>206</v>
      </c>
      <c r="C1097"/>
      <c r="D1097" s="197" t="s">
        <v>901</v>
      </c>
      <c r="E1097" s="197" t="s">
        <v>273</v>
      </c>
      <c r="F1097" s="197" t="s">
        <v>75</v>
      </c>
      <c r="G1097" s="197" t="s">
        <v>56</v>
      </c>
      <c r="H1097" s="197" t="s">
        <v>211</v>
      </c>
      <c r="I1097" s="209" t="s">
        <v>211</v>
      </c>
    </row>
    <row r="1098" spans="1:9">
      <c r="A1098" s="195"/>
      <c r="B1098" s="195" t="s">
        <v>207</v>
      </c>
      <c r="C1098"/>
      <c r="D1098" s="197" t="s">
        <v>416</v>
      </c>
      <c r="E1098" s="197" t="s">
        <v>273</v>
      </c>
      <c r="F1098" s="197" t="s">
        <v>759</v>
      </c>
      <c r="G1098" s="197" t="s">
        <v>56</v>
      </c>
      <c r="H1098" s="197" t="s">
        <v>211</v>
      </c>
      <c r="I1098" s="209" t="s">
        <v>211</v>
      </c>
    </row>
    <row r="1099" spans="1:9">
      <c r="A1099" s="195"/>
      <c r="B1099" s="196" t="s">
        <v>222</v>
      </c>
      <c r="C1099"/>
      <c r="D1099" s="197" t="s">
        <v>224</v>
      </c>
      <c r="E1099" s="197" t="s">
        <v>266</v>
      </c>
      <c r="F1099" s="197" t="s">
        <v>759</v>
      </c>
      <c r="G1099" s="197"/>
      <c r="H1099" s="197"/>
      <c r="I1099" s="209"/>
    </row>
    <row r="1100" spans="1:9">
      <c r="A1100" s="195"/>
      <c r="B1100" s="195" t="s">
        <v>205</v>
      </c>
      <c r="C1100"/>
      <c r="D1100" s="197" t="s">
        <v>224</v>
      </c>
      <c r="E1100" s="197" t="s">
        <v>266</v>
      </c>
      <c r="F1100" s="197" t="s">
        <v>759</v>
      </c>
      <c r="G1100" s="197" t="s">
        <v>270</v>
      </c>
      <c r="H1100" s="197" t="s">
        <v>856</v>
      </c>
      <c r="I1100" s="209" t="s">
        <v>856</v>
      </c>
    </row>
    <row r="1101" spans="1:9">
      <c r="A1101" s="195"/>
      <c r="B1101" s="195" t="s">
        <v>206</v>
      </c>
      <c r="C1101"/>
      <c r="D1101" s="197" t="s">
        <v>224</v>
      </c>
      <c r="E1101" s="197" t="s">
        <v>266</v>
      </c>
      <c r="F1101" s="197" t="s">
        <v>759</v>
      </c>
      <c r="G1101" s="197" t="s">
        <v>270</v>
      </c>
      <c r="H1101" s="197" t="s">
        <v>856</v>
      </c>
      <c r="I1101" s="209" t="s">
        <v>856</v>
      </c>
    </row>
    <row r="1102" spans="1:9">
      <c r="A1102" s="195"/>
      <c r="B1102" s="195" t="s">
        <v>207</v>
      </c>
      <c r="C1102"/>
      <c r="D1102" s="197" t="s">
        <v>88</v>
      </c>
      <c r="E1102" s="197" t="s">
        <v>266</v>
      </c>
      <c r="F1102" s="197" t="s">
        <v>759</v>
      </c>
      <c r="G1102" s="197" t="s">
        <v>270</v>
      </c>
      <c r="H1102" s="197" t="s">
        <v>856</v>
      </c>
      <c r="I1102" s="209" t="s">
        <v>856</v>
      </c>
    </row>
    <row r="1103" spans="1:9">
      <c r="A1103" s="195"/>
      <c r="B1103" s="196" t="s">
        <v>223</v>
      </c>
      <c r="C1103"/>
      <c r="D1103" s="197" t="s">
        <v>280</v>
      </c>
      <c r="E1103" s="197" t="s">
        <v>252</v>
      </c>
      <c r="F1103" s="197" t="s">
        <v>759</v>
      </c>
      <c r="G1103" s="197" t="s">
        <v>270</v>
      </c>
      <c r="H1103" s="197" t="s">
        <v>856</v>
      </c>
      <c r="I1103" s="209" t="s">
        <v>856</v>
      </c>
    </row>
    <row r="1104" spans="1:9">
      <c r="A1104" s="195"/>
      <c r="B1104" s="195" t="s">
        <v>205</v>
      </c>
      <c r="C1104"/>
      <c r="D1104" s="197" t="s">
        <v>160</v>
      </c>
      <c r="E1104" s="197" t="s">
        <v>252</v>
      </c>
      <c r="F1104" s="197" t="s">
        <v>759</v>
      </c>
      <c r="G1104" s="197" t="s">
        <v>270</v>
      </c>
      <c r="H1104" s="197" t="s">
        <v>856</v>
      </c>
      <c r="I1104" s="209" t="s">
        <v>856</v>
      </c>
    </row>
    <row r="1105" spans="1:12">
      <c r="A1105" s="195"/>
      <c r="B1105" s="195" t="s">
        <v>206</v>
      </c>
      <c r="C1105"/>
      <c r="D1105" s="197" t="s">
        <v>215</v>
      </c>
      <c r="E1105" s="197" t="s">
        <v>252</v>
      </c>
      <c r="F1105" s="197"/>
      <c r="G1105" s="197" t="s">
        <v>270</v>
      </c>
      <c r="H1105" s="197" t="s">
        <v>856</v>
      </c>
      <c r="I1105" s="209" t="s">
        <v>856</v>
      </c>
    </row>
    <row r="1106" spans="1:12">
      <c r="A1106" s="195"/>
      <c r="B1106" s="195" t="s">
        <v>207</v>
      </c>
      <c r="C1106"/>
      <c r="D1106" s="197" t="s">
        <v>423</v>
      </c>
      <c r="E1106" s="197" t="s">
        <v>252</v>
      </c>
      <c r="F1106" s="197"/>
      <c r="G1106" s="197" t="s">
        <v>270</v>
      </c>
      <c r="H1106" s="197" t="s">
        <v>856</v>
      </c>
      <c r="I1106" s="209" t="s">
        <v>856</v>
      </c>
    </row>
    <row r="1107" spans="1:12">
      <c r="A1107" s="195"/>
      <c r="B1107" s="196" t="s">
        <v>225</v>
      </c>
      <c r="C1107"/>
      <c r="D1107" s="197" t="s">
        <v>588</v>
      </c>
      <c r="E1107" s="197" t="s">
        <v>252</v>
      </c>
      <c r="F1107" s="197"/>
      <c r="G1107" s="197" t="s">
        <v>270</v>
      </c>
      <c r="H1107" s="197" t="s">
        <v>415</v>
      </c>
      <c r="I1107" s="209" t="s">
        <v>415</v>
      </c>
    </row>
    <row r="1108" spans="1:12">
      <c r="A1108" s="195"/>
      <c r="B1108" s="195" t="s">
        <v>205</v>
      </c>
      <c r="C1108"/>
      <c r="D1108" s="197" t="s">
        <v>127</v>
      </c>
      <c r="E1108" s="197" t="s">
        <v>252</v>
      </c>
      <c r="F1108" s="197"/>
      <c r="G1108" s="197" t="s">
        <v>270</v>
      </c>
      <c r="H1108" s="209" t="s">
        <v>415</v>
      </c>
      <c r="I1108" s="209" t="s">
        <v>415</v>
      </c>
    </row>
    <row r="1109" spans="1:12">
      <c r="A1109" s="195"/>
      <c r="B1109" s="195" t="s">
        <v>206</v>
      </c>
      <c r="C1109"/>
      <c r="D1109" s="197"/>
      <c r="E1109" s="197" t="s">
        <v>252</v>
      </c>
      <c r="F1109" s="197"/>
      <c r="G1109" s="197" t="s">
        <v>270</v>
      </c>
      <c r="H1109" s="209" t="s">
        <v>415</v>
      </c>
      <c r="I1109" s="209" t="s">
        <v>415</v>
      </c>
    </row>
    <row r="1110" spans="1:12">
      <c r="A1110" s="195"/>
      <c r="B1110" s="195" t="s">
        <v>207</v>
      </c>
      <c r="C1110"/>
      <c r="D1110" s="197"/>
      <c r="E1110" s="197" t="s">
        <v>252</v>
      </c>
      <c r="F1110" s="197"/>
      <c r="G1110" s="197" t="s">
        <v>270</v>
      </c>
      <c r="H1110" s="209" t="s">
        <v>415</v>
      </c>
      <c r="I1110" s="209" t="s">
        <v>415</v>
      </c>
    </row>
    <row r="1111" spans="1:12">
      <c r="A1111" s="195"/>
      <c r="B1111" s="196" t="s">
        <v>226</v>
      </c>
      <c r="C1111"/>
      <c r="D1111" s="197"/>
      <c r="E1111" s="197"/>
      <c r="F1111" s="197"/>
      <c r="G1111" s="197" t="s">
        <v>270</v>
      </c>
      <c r="H1111" s="209"/>
      <c r="I1111" s="209"/>
    </row>
    <row r="1112" spans="1:12">
      <c r="A1112" s="195"/>
      <c r="B1112" s="195" t="s">
        <v>205</v>
      </c>
      <c r="C1112"/>
      <c r="D1112" s="197"/>
      <c r="E1112" s="197"/>
      <c r="F1112" s="197"/>
      <c r="G1112" s="197" t="s">
        <v>270</v>
      </c>
      <c r="H1112" s="209"/>
      <c r="I1112" s="209"/>
    </row>
    <row r="1113" spans="1:12">
      <c r="A1113" s="195"/>
      <c r="B1113" s="195" t="s">
        <v>206</v>
      </c>
      <c r="C1113"/>
      <c r="D1113" s="197"/>
      <c r="E1113" s="197"/>
      <c r="F1113" s="197"/>
      <c r="G1113" s="197" t="s">
        <v>270</v>
      </c>
      <c r="H1113" s="209"/>
      <c r="I1113" s="209"/>
    </row>
    <row r="1114" spans="1:12">
      <c r="A1114" s="195"/>
      <c r="B1114" s="195" t="s">
        <v>207</v>
      </c>
      <c r="C1114"/>
      <c r="D1114" s="197"/>
      <c r="E1114" s="197"/>
      <c r="F1114" s="197"/>
      <c r="G1114" s="197" t="s">
        <v>270</v>
      </c>
      <c r="H1114" s="209"/>
      <c r="I1114" s="209"/>
    </row>
    <row r="1115" spans="1:12">
      <c r="A1115" s="195"/>
      <c r="B1115" s="196" t="s">
        <v>227</v>
      </c>
      <c r="C1115"/>
      <c r="D1115" s="197"/>
      <c r="E1115" s="197"/>
      <c r="F1115" s="197"/>
      <c r="G1115" s="197"/>
      <c r="H1115" s="209"/>
      <c r="I1115" s="209"/>
      <c r="K1115"/>
    </row>
    <row r="1116" spans="1:12" ht="29.25" thickBot="1">
      <c r="A1116" s="182" t="str">
        <f>"回収シフト  第"&amp;ROUNDUP(DAY(B1119)/7,0)  &amp;"  "&amp;TEXT(B1119,"aaaa")</f>
        <v>回収シフト  第4  土曜日</v>
      </c>
      <c r="B1116" s="183"/>
      <c r="C1116" s="183"/>
      <c r="D1116" s="183"/>
      <c r="E1116" s="183"/>
      <c r="F1116" s="183"/>
      <c r="G1116" s="184"/>
      <c r="H1116" s="184"/>
      <c r="I1116" s="184"/>
      <c r="K1116" s="183"/>
      <c r="L1116" s="183"/>
    </row>
    <row r="1117" spans="1:12" ht="15.75" thickBot="1">
      <c r="A1117"/>
      <c r="B1117"/>
      <c r="C1117"/>
      <c r="D1117" s="186" t="s">
        <v>201</v>
      </c>
      <c r="E1117" s="186" t="s">
        <v>202</v>
      </c>
      <c r="F1117" s="186" t="s">
        <v>203</v>
      </c>
      <c r="G1117" s="186" t="s">
        <v>204</v>
      </c>
      <c r="H1117" s="186" t="s">
        <v>267</v>
      </c>
      <c r="I1117" s="217" t="s">
        <v>267</v>
      </c>
      <c r="K1117" s="230" t="s">
        <v>257</v>
      </c>
      <c r="L1117" s="231"/>
    </row>
    <row r="1118" spans="1:12">
      <c r="A1118" s="187"/>
      <c r="B1118" s="188">
        <v>46119</v>
      </c>
      <c r="C1118" s="187"/>
      <c r="D1118" s="189" t="s">
        <v>906</v>
      </c>
      <c r="E1118" s="189" t="s">
        <v>720</v>
      </c>
      <c r="F1118" s="189"/>
      <c r="G1118" s="189"/>
      <c r="H1118" s="189"/>
      <c r="I1118" s="218"/>
      <c r="K1118" s="232" t="s">
        <v>258</v>
      </c>
      <c r="L1118" s="190" t="str">
        <f ca="1">_xlfn.XLOOKUP($B1119,シフト抽出!$19:$19,シフト抽出!$20:$20,"該当なし",0,1)</f>
        <v/>
      </c>
    </row>
    <row r="1119" spans="1:12" ht="19.5" thickBot="1">
      <c r="A1119"/>
      <c r="B1119" s="191">
        <f>B1066+1</f>
        <v>46137</v>
      </c>
      <c r="C1119" s="192"/>
      <c r="D1119" s="193"/>
      <c r="E1119" s="193"/>
      <c r="F1119" s="193"/>
      <c r="G1119" s="193"/>
      <c r="H1119" s="193"/>
      <c r="I1119" s="219"/>
      <c r="K1119" s="233"/>
      <c r="L1119" s="194" t="str">
        <f ca="1">_xlfn.XLOOKUP($B1119,シフト抽出!$19:$19,シフト抽出!$21:$21,"該当なし",0,1)</f>
        <v/>
      </c>
    </row>
    <row r="1120" spans="1:12">
      <c r="A1120" s="195"/>
      <c r="B1120" s="196">
        <v>0.25</v>
      </c>
      <c r="C1120"/>
      <c r="D1120" s="197"/>
      <c r="E1120" s="196"/>
      <c r="F1120" s="197"/>
      <c r="G1120" s="197"/>
      <c r="H1120" s="197"/>
      <c r="I1120" s="209"/>
      <c r="K1120" s="234" t="s">
        <v>259</v>
      </c>
      <c r="L1120" s="198" t="str">
        <f ca="1">_xlfn.XLOOKUP($B1119,シフト抽出!$19:$19,シフト抽出!$23:$23,"該当なし",0,1)</f>
        <v/>
      </c>
    </row>
    <row r="1121" spans="1:12" ht="15.75" thickBot="1">
      <c r="A1121" s="195"/>
      <c r="B1121" s="195" t="s">
        <v>205</v>
      </c>
      <c r="C1121"/>
      <c r="D1121" s="197"/>
      <c r="E1121" s="197"/>
      <c r="F1121" s="197"/>
      <c r="G1121" s="197"/>
      <c r="H1121" s="197"/>
      <c r="I1121" s="209"/>
      <c r="K1121" s="235"/>
      <c r="L1121" s="199" t="str">
        <f ca="1">_xlfn.XLOOKUP($B1119,シフト抽出!$19:$19,シフト抽出!$24:$24,"該当なし",0,1)</f>
        <v/>
      </c>
    </row>
    <row r="1122" spans="1:12">
      <c r="A1122" s="195"/>
      <c r="B1122" s="195" t="s">
        <v>206</v>
      </c>
      <c r="C1122"/>
      <c r="D1122" s="197"/>
      <c r="E1122" s="197"/>
      <c r="F1122" s="197"/>
      <c r="G1122" s="197"/>
      <c r="H1122" s="197"/>
      <c r="I1122" s="209"/>
      <c r="K1122" s="224" t="s">
        <v>260</v>
      </c>
      <c r="L1122" s="200" t="str">
        <f ca="1">_xlfn.XLOOKUP($B1119,シフト抽出!$19:$19,シフト抽出!$26:$26,"該当なし",0,1)</f>
        <v/>
      </c>
    </row>
    <row r="1123" spans="1:12">
      <c r="A1123" s="195"/>
      <c r="B1123" s="195" t="s">
        <v>207</v>
      </c>
      <c r="C1123"/>
      <c r="D1123" s="197"/>
      <c r="E1123" s="197"/>
      <c r="F1123" s="197"/>
      <c r="G1123" s="197"/>
      <c r="H1123" s="197"/>
      <c r="I1123" s="209"/>
      <c r="K1123" s="225"/>
      <c r="L1123" s="201" t="str">
        <f ca="1">_xlfn.XLOOKUP($B1119,シフト抽出!$19:$19,シフト抽出!$27:$27,"該当なし",0,1)</f>
        <v/>
      </c>
    </row>
    <row r="1124" spans="1:12">
      <c r="A1124" s="195"/>
      <c r="B1124" s="202" t="s">
        <v>208</v>
      </c>
      <c r="C1124"/>
      <c r="D1124" s="197"/>
      <c r="E1124" s="197" t="s">
        <v>4</v>
      </c>
      <c r="F1124" s="197"/>
      <c r="G1124" s="197"/>
      <c r="H1124" s="197"/>
      <c r="I1124" s="209"/>
      <c r="J1124" s="203"/>
      <c r="K1124" s="225"/>
      <c r="L1124" s="201" t="str">
        <f ca="1">_xlfn.XLOOKUP($B1119,シフト抽出!$19:$19,シフト抽出!$28:$28,"該当なし",0,1)</f>
        <v/>
      </c>
    </row>
    <row r="1125" spans="1:12" ht="15.75" thickBot="1">
      <c r="A1125" s="195"/>
      <c r="B1125" s="195" t="s">
        <v>205</v>
      </c>
      <c r="C1125"/>
      <c r="D1125" s="197"/>
      <c r="E1125" s="197" t="s">
        <v>22</v>
      </c>
      <c r="F1125" s="197"/>
      <c r="G1125" s="197"/>
      <c r="H1125" s="197"/>
      <c r="I1125" s="209"/>
      <c r="J1125" s="203"/>
      <c r="K1125" s="226"/>
      <c r="L1125" s="204" t="str">
        <f ca="1">_xlfn.XLOOKUP($B1119,シフト抽出!$19:$19,シフト抽出!$29:$29,"該当なし",0,1)</f>
        <v/>
      </c>
    </row>
    <row r="1126" spans="1:12" ht="15.75" thickBot="1">
      <c r="A1126" s="195"/>
      <c r="B1126" s="195" t="s">
        <v>206</v>
      </c>
      <c r="C1126"/>
      <c r="D1126" s="197"/>
      <c r="E1126" s="197" t="s">
        <v>22</v>
      </c>
      <c r="F1126" s="197"/>
      <c r="G1126" s="197"/>
      <c r="H1126" s="197"/>
      <c r="I1126" s="209"/>
      <c r="K1126" s="205" t="s">
        <v>261</v>
      </c>
      <c r="L1126" s="205">
        <f>_xlfn.XLOOKUP($B1119,予定表!B:B,予定表!R:R,"該当なし",0,1)</f>
        <v>0</v>
      </c>
    </row>
    <row r="1127" spans="1:12">
      <c r="A1127" s="195"/>
      <c r="B1127" s="195" t="s">
        <v>207</v>
      </c>
      <c r="C1127"/>
      <c r="D1127" s="197"/>
      <c r="E1127" s="197" t="s">
        <v>22</v>
      </c>
      <c r="F1127" s="197"/>
      <c r="G1127" s="197"/>
      <c r="H1127" s="197"/>
      <c r="I1127" s="209"/>
      <c r="K1127" s="227" t="s">
        <v>262</v>
      </c>
      <c r="L1127" s="206" t="str">
        <f>_xlfn.XLOOKUP($B1119,予定表!$B:$B,予定表!E:E,"該当なし",0,1)</f>
        <v xml:space="preserve">5122oirukoukann </v>
      </c>
    </row>
    <row r="1128" spans="1:12">
      <c r="A1128" s="195"/>
      <c r="B1128" s="196" t="s">
        <v>209</v>
      </c>
      <c r="C1128"/>
      <c r="D1128" s="197" t="s">
        <v>4</v>
      </c>
      <c r="E1128" s="197" t="s">
        <v>793</v>
      </c>
      <c r="F1128" s="197"/>
      <c r="G1128" s="197"/>
      <c r="H1128" s="197"/>
      <c r="I1128" s="209"/>
      <c r="K1128" s="228"/>
      <c r="L1128" s="207">
        <f>_xlfn.XLOOKUP($B1119,予定表!$B:$B,予定表!F:F,"該当なし",0,1)</f>
        <v>0</v>
      </c>
    </row>
    <row r="1129" spans="1:12">
      <c r="A1129" s="195"/>
      <c r="B1129" s="195" t="s">
        <v>205</v>
      </c>
      <c r="C1129"/>
      <c r="D1129" s="197" t="s">
        <v>268</v>
      </c>
      <c r="E1129" s="197" t="s">
        <v>793</v>
      </c>
      <c r="F1129" s="197"/>
      <c r="G1129" s="197"/>
      <c r="H1129" s="197"/>
      <c r="I1129" s="209"/>
      <c r="K1129" s="228"/>
      <c r="L1129" s="207">
        <f>_xlfn.XLOOKUP($B1119,予定表!$B:$B,予定表!G:G,"該当なし",0,1)</f>
        <v>0</v>
      </c>
    </row>
    <row r="1130" spans="1:12">
      <c r="A1130" s="195"/>
      <c r="B1130" s="195" t="s">
        <v>206</v>
      </c>
      <c r="C1130"/>
      <c r="D1130" s="197" t="s">
        <v>268</v>
      </c>
      <c r="E1130" s="197" t="s">
        <v>241</v>
      </c>
      <c r="F1130" s="197"/>
      <c r="G1130" s="197"/>
      <c r="H1130" s="197"/>
      <c r="I1130" s="209"/>
      <c r="K1130" s="228"/>
      <c r="L1130" s="207">
        <f>_xlfn.XLOOKUP($B1119,予定表!$B:$B,予定表!H:H,"該当なし",0,1)</f>
        <v>0</v>
      </c>
    </row>
    <row r="1131" spans="1:12">
      <c r="A1131" s="195"/>
      <c r="B1131" s="195" t="s">
        <v>207</v>
      </c>
      <c r="C1131"/>
      <c r="D1131" s="197" t="s">
        <v>268</v>
      </c>
      <c r="E1131" s="197" t="s">
        <v>241</v>
      </c>
      <c r="F1131" s="197"/>
      <c r="G1131" s="197"/>
      <c r="H1131" s="197"/>
      <c r="I1131" s="209"/>
      <c r="K1131" s="228"/>
      <c r="L1131" s="207" t="str">
        <f>_xlfn.XLOOKUP($B1119,予定表!$B:$B,予定表!I:I,"該当なし",0,1)</f>
        <v/>
      </c>
    </row>
    <row r="1132" spans="1:12">
      <c r="A1132" s="195"/>
      <c r="B1132" s="196" t="s">
        <v>212</v>
      </c>
      <c r="C1132"/>
      <c r="D1132" s="197" t="s">
        <v>268</v>
      </c>
      <c r="E1132" s="197" t="s">
        <v>114</v>
      </c>
      <c r="F1132" s="197"/>
      <c r="G1132" s="197"/>
      <c r="H1132" s="197"/>
      <c r="I1132" s="209"/>
      <c r="K1132" s="228"/>
      <c r="L1132" s="207" t="str">
        <f>_xlfn.XLOOKUP($B1119,予定表!$B:$B,予定表!J:J,"該当なし",0,1)</f>
        <v/>
      </c>
    </row>
    <row r="1133" spans="1:12">
      <c r="A1133" s="195"/>
      <c r="B1133" s="195" t="s">
        <v>205</v>
      </c>
      <c r="C1133"/>
      <c r="D1133" s="197" t="s">
        <v>268</v>
      </c>
      <c r="E1133" s="197" t="s">
        <v>114</v>
      </c>
      <c r="F1133" s="197"/>
      <c r="G1133" s="197"/>
      <c r="H1133" s="197"/>
      <c r="I1133" s="209"/>
      <c r="K1133" s="228"/>
      <c r="L1133" s="207" t="str">
        <f>_xlfn.XLOOKUP($B1119,予定表!$B:$B,予定表!K:K,"該当なし",0,1)</f>
        <v/>
      </c>
    </row>
    <row r="1134" spans="1:12">
      <c r="A1134" s="195"/>
      <c r="B1134" s="195" t="s">
        <v>206</v>
      </c>
      <c r="C1134"/>
      <c r="D1134" s="197" t="s">
        <v>515</v>
      </c>
      <c r="E1134" s="197"/>
      <c r="F1134" s="197"/>
      <c r="G1134" s="197"/>
      <c r="H1134" s="197"/>
      <c r="I1134" s="209"/>
      <c r="K1134" s="228"/>
      <c r="L1134" s="207" t="str">
        <f>_xlfn.XLOOKUP($B1119,予定表!$B:$B,予定表!L:L,"該当なし",0,1)</f>
        <v/>
      </c>
    </row>
    <row r="1135" spans="1:12" ht="15.75" thickBot="1">
      <c r="A1135" s="195"/>
      <c r="B1135" s="195" t="s">
        <v>207</v>
      </c>
      <c r="C1135"/>
      <c r="D1135" s="197" t="s">
        <v>515</v>
      </c>
      <c r="E1135" s="197" t="s">
        <v>214</v>
      </c>
      <c r="F1135" s="197"/>
      <c r="G1135" s="197"/>
      <c r="H1135" s="197"/>
      <c r="I1135" s="209"/>
      <c r="K1135" s="229"/>
      <c r="L1135" s="204" t="str">
        <f>_xlfn.XLOOKUP($A1116,ﾘｽﾄマスタ!$U$8:$U$17,ﾘｽﾄマスタ!$V$8:$V$17,"",0)</f>
        <v/>
      </c>
    </row>
    <row r="1136" spans="1:12" ht="15.75" thickBot="1">
      <c r="A1136" s="195"/>
      <c r="B1136" s="196" t="s">
        <v>251</v>
      </c>
      <c r="C1136"/>
      <c r="D1136" s="197" t="s">
        <v>515</v>
      </c>
      <c r="E1136" s="197" t="s">
        <v>214</v>
      </c>
      <c r="F1136" s="197"/>
      <c r="G1136" s="197"/>
      <c r="H1136" s="197"/>
      <c r="I1136" s="209"/>
      <c r="K1136" s="208" t="s">
        <v>277</v>
      </c>
      <c r="L1136" s="208" t="str">
        <f ca="1">_xlfn.XLOOKUP($B1119,シフト抽出!$19:$19,シフト抽出!$30:$30,"該当なし",0,1)</f>
        <v/>
      </c>
    </row>
    <row r="1137" spans="1:9">
      <c r="A1137" s="195"/>
      <c r="B1137" s="195" t="s">
        <v>205</v>
      </c>
      <c r="C1137"/>
      <c r="D1137" s="197" t="s">
        <v>242</v>
      </c>
      <c r="E1137" s="197" t="s">
        <v>214</v>
      </c>
      <c r="F1137" s="197"/>
      <c r="G1137" s="197"/>
      <c r="H1137" s="197"/>
      <c r="I1137" s="209"/>
    </row>
    <row r="1138" spans="1:9">
      <c r="A1138" s="195"/>
      <c r="B1138" s="195" t="s">
        <v>206</v>
      </c>
      <c r="C1138"/>
      <c r="D1138" s="197" t="s">
        <v>242</v>
      </c>
      <c r="E1138" s="197" t="s">
        <v>214</v>
      </c>
      <c r="F1138" s="197"/>
      <c r="G1138" s="197"/>
      <c r="H1138" s="197"/>
      <c r="I1138" s="209"/>
    </row>
    <row r="1139" spans="1:9">
      <c r="A1139" s="195"/>
      <c r="B1139" s="195" t="s">
        <v>207</v>
      </c>
      <c r="C1139"/>
      <c r="D1139" s="197" t="s">
        <v>242</v>
      </c>
      <c r="E1139" s="197" t="s">
        <v>851</v>
      </c>
      <c r="F1139" s="197"/>
      <c r="G1139" s="197"/>
      <c r="H1139" s="197"/>
      <c r="I1139" s="209"/>
    </row>
    <row r="1140" spans="1:9">
      <c r="A1140" s="195"/>
      <c r="B1140" s="196" t="s">
        <v>217</v>
      </c>
      <c r="C1140"/>
      <c r="D1140" s="197" t="s">
        <v>242</v>
      </c>
      <c r="E1140" s="197" t="s">
        <v>851</v>
      </c>
      <c r="F1140" s="197"/>
      <c r="G1140" s="197"/>
      <c r="H1140" s="197"/>
      <c r="I1140" s="209"/>
    </row>
    <row r="1141" spans="1:9">
      <c r="A1141" s="195"/>
      <c r="B1141" s="195" t="s">
        <v>205</v>
      </c>
      <c r="C1141"/>
      <c r="D1141" s="197" t="s">
        <v>242</v>
      </c>
      <c r="E1141" s="197" t="s">
        <v>851</v>
      </c>
      <c r="F1141" s="197"/>
      <c r="G1141" s="197"/>
      <c r="H1141" s="197"/>
      <c r="I1141" s="209"/>
    </row>
    <row r="1142" spans="1:9">
      <c r="A1142" s="195"/>
      <c r="B1142" s="195" t="s">
        <v>206</v>
      </c>
      <c r="C1142"/>
      <c r="D1142" s="197" t="s">
        <v>242</v>
      </c>
      <c r="E1142" s="197" t="s">
        <v>851</v>
      </c>
      <c r="F1142" s="197"/>
      <c r="G1142" s="197"/>
      <c r="H1142" s="197"/>
      <c r="I1142" s="209"/>
    </row>
    <row r="1143" spans="1:9">
      <c r="A1143" s="195"/>
      <c r="B1143" s="195" t="s">
        <v>207</v>
      </c>
      <c r="C1143"/>
      <c r="D1143" s="197"/>
      <c r="E1143" s="197"/>
      <c r="F1143" s="197"/>
      <c r="G1143" s="197"/>
      <c r="H1143" s="197"/>
      <c r="I1143" s="209"/>
    </row>
    <row r="1144" spans="1:9">
      <c r="A1144" s="195"/>
      <c r="B1144" s="196" t="s">
        <v>219</v>
      </c>
      <c r="C1144"/>
      <c r="D1144" s="197"/>
      <c r="E1144" s="197"/>
      <c r="F1144" s="197"/>
      <c r="G1144" s="197"/>
      <c r="H1144" s="197"/>
      <c r="I1144" s="209"/>
    </row>
    <row r="1145" spans="1:9">
      <c r="A1145" s="195"/>
      <c r="B1145" s="195" t="s">
        <v>205</v>
      </c>
      <c r="C1145"/>
      <c r="D1145" s="197"/>
      <c r="E1145" s="197"/>
      <c r="F1145" s="197"/>
      <c r="G1145" s="197"/>
      <c r="H1145" s="197"/>
      <c r="I1145" s="209"/>
    </row>
    <row r="1146" spans="1:9">
      <c r="A1146" s="195"/>
      <c r="B1146" s="195" t="s">
        <v>206</v>
      </c>
      <c r="C1146"/>
      <c r="D1146" s="197"/>
      <c r="E1146" s="197"/>
      <c r="F1146" s="197"/>
      <c r="G1146" s="197"/>
      <c r="H1146" s="197"/>
      <c r="I1146" s="209"/>
    </row>
    <row r="1147" spans="1:9">
      <c r="A1147" s="195"/>
      <c r="B1147" s="195" t="s">
        <v>207</v>
      </c>
      <c r="C1147"/>
      <c r="D1147" s="197"/>
      <c r="E1147" s="197"/>
      <c r="F1147" s="197"/>
      <c r="G1147" s="197"/>
      <c r="H1147" s="197"/>
      <c r="I1147" s="209"/>
    </row>
    <row r="1148" spans="1:9">
      <c r="A1148" s="195"/>
      <c r="B1148" s="196" t="s">
        <v>220</v>
      </c>
      <c r="C1148"/>
      <c r="D1148" s="189" t="s">
        <v>907</v>
      </c>
      <c r="E1148" s="197"/>
      <c r="F1148" s="189" t="s">
        <v>908</v>
      </c>
      <c r="G1148" s="189"/>
      <c r="H1148" s="197"/>
      <c r="I1148" s="209"/>
    </row>
    <row r="1149" spans="1:9">
      <c r="A1149" s="195"/>
      <c r="B1149" s="195" t="s">
        <v>205</v>
      </c>
      <c r="C1149"/>
      <c r="D1149" s="197" t="s">
        <v>903</v>
      </c>
      <c r="E1149" s="197" t="s">
        <v>214</v>
      </c>
      <c r="F1149" s="197" t="s">
        <v>114</v>
      </c>
      <c r="G1149" s="197"/>
      <c r="H1149" s="197"/>
      <c r="I1149" s="209"/>
    </row>
    <row r="1150" spans="1:9">
      <c r="A1150" s="195"/>
      <c r="B1150" s="195" t="s">
        <v>206</v>
      </c>
      <c r="C1150"/>
      <c r="D1150" s="197" t="s">
        <v>905</v>
      </c>
      <c r="E1150" s="197" t="s">
        <v>214</v>
      </c>
      <c r="F1150" s="197" t="s">
        <v>114</v>
      </c>
      <c r="G1150" s="197"/>
      <c r="H1150" s="197"/>
      <c r="I1150" s="209"/>
    </row>
    <row r="1151" spans="1:9">
      <c r="A1151" s="195"/>
      <c r="B1151" s="195" t="s">
        <v>207</v>
      </c>
      <c r="C1151"/>
      <c r="D1151" s="197" t="s">
        <v>84</v>
      </c>
      <c r="E1151" s="197" t="s">
        <v>214</v>
      </c>
      <c r="F1151" s="197" t="s">
        <v>244</v>
      </c>
      <c r="G1151" s="197"/>
      <c r="H1151" s="197"/>
      <c r="I1151" s="209"/>
    </row>
    <row r="1152" spans="1:9">
      <c r="A1152" s="195"/>
      <c r="B1152" s="196" t="s">
        <v>222</v>
      </c>
      <c r="C1152"/>
      <c r="D1152" s="197" t="s">
        <v>84</v>
      </c>
      <c r="E1152" s="197" t="s">
        <v>214</v>
      </c>
      <c r="F1152" s="197" t="s">
        <v>244</v>
      </c>
      <c r="G1152" s="197"/>
      <c r="H1152" s="197"/>
      <c r="I1152" s="209"/>
    </row>
    <row r="1153" spans="1:11">
      <c r="A1153" s="195"/>
      <c r="B1153" s="195" t="s">
        <v>205</v>
      </c>
      <c r="C1153"/>
      <c r="D1153" s="197" t="s">
        <v>906</v>
      </c>
      <c r="E1153" s="197" t="s">
        <v>228</v>
      </c>
      <c r="F1153" s="197"/>
      <c r="G1153" s="197"/>
      <c r="H1153" s="197"/>
      <c r="I1153" s="209"/>
    </row>
    <row r="1154" spans="1:11">
      <c r="A1154" s="195"/>
      <c r="B1154" s="195" t="s">
        <v>206</v>
      </c>
      <c r="C1154"/>
      <c r="D1154" s="197" t="s">
        <v>270</v>
      </c>
      <c r="E1154" s="197" t="s">
        <v>228</v>
      </c>
      <c r="F1154" s="197"/>
      <c r="G1154" s="197"/>
      <c r="H1154" s="197"/>
      <c r="I1154" s="209"/>
    </row>
    <row r="1155" spans="1:11">
      <c r="A1155" s="195"/>
      <c r="B1155" s="195" t="s">
        <v>207</v>
      </c>
      <c r="C1155"/>
      <c r="D1155" s="197" t="s">
        <v>270</v>
      </c>
      <c r="E1155" s="197" t="s">
        <v>228</v>
      </c>
      <c r="F1155" s="197"/>
      <c r="G1155" s="197"/>
      <c r="H1155" s="197"/>
      <c r="I1155" s="209"/>
    </row>
    <row r="1156" spans="1:11">
      <c r="A1156" s="195"/>
      <c r="B1156" s="196" t="s">
        <v>223</v>
      </c>
      <c r="C1156"/>
      <c r="D1156" s="197" t="s">
        <v>270</v>
      </c>
      <c r="E1156" s="197" t="s">
        <v>228</v>
      </c>
      <c r="F1156" s="197"/>
      <c r="G1156" s="197"/>
      <c r="H1156" s="197"/>
      <c r="I1156" s="209"/>
    </row>
    <row r="1157" spans="1:11">
      <c r="A1157" s="195"/>
      <c r="B1157" s="195" t="s">
        <v>205</v>
      </c>
      <c r="C1157"/>
      <c r="D1157" s="197" t="s">
        <v>270</v>
      </c>
      <c r="E1157" s="197" t="s">
        <v>273</v>
      </c>
      <c r="F1157" s="197"/>
      <c r="G1157" s="197"/>
      <c r="H1157" s="197"/>
      <c r="I1157" s="209"/>
    </row>
    <row r="1158" spans="1:11">
      <c r="A1158" s="195"/>
      <c r="B1158" s="195" t="s">
        <v>206</v>
      </c>
      <c r="C1158"/>
      <c r="D1158" s="197" t="s">
        <v>270</v>
      </c>
      <c r="E1158" s="197" t="s">
        <v>273</v>
      </c>
      <c r="F1158" s="197"/>
      <c r="G1158" s="197"/>
      <c r="H1158" s="197"/>
      <c r="I1158" s="209"/>
    </row>
    <row r="1159" spans="1:11">
      <c r="A1159" s="195"/>
      <c r="B1159" s="195" t="s">
        <v>207</v>
      </c>
      <c r="C1159"/>
      <c r="D1159" s="197" t="s">
        <v>270</v>
      </c>
      <c r="E1159" s="197" t="s">
        <v>273</v>
      </c>
      <c r="F1159" s="197"/>
      <c r="G1159" s="197"/>
      <c r="H1159" s="197"/>
      <c r="I1159" s="209"/>
    </row>
    <row r="1160" spans="1:11">
      <c r="A1160" s="195"/>
      <c r="B1160" s="196" t="s">
        <v>225</v>
      </c>
      <c r="C1160"/>
      <c r="D1160" s="197" t="s">
        <v>270</v>
      </c>
      <c r="E1160" s="197" t="s">
        <v>263</v>
      </c>
      <c r="F1160" s="197"/>
      <c r="G1160" s="197"/>
      <c r="H1160" s="197"/>
      <c r="I1160" s="209"/>
    </row>
    <row r="1161" spans="1:11">
      <c r="A1161" s="195"/>
      <c r="B1161" s="195" t="s">
        <v>205</v>
      </c>
      <c r="C1161"/>
      <c r="D1161" s="197" t="s">
        <v>270</v>
      </c>
      <c r="E1161" s="197" t="s">
        <v>263</v>
      </c>
      <c r="F1161" s="197"/>
      <c r="G1161" s="197"/>
      <c r="H1161" s="209"/>
      <c r="I1161" s="209"/>
    </row>
    <row r="1162" spans="1:11">
      <c r="A1162" s="195"/>
      <c r="B1162" s="195" t="s">
        <v>206</v>
      </c>
      <c r="C1162"/>
      <c r="D1162" s="197" t="s">
        <v>270</v>
      </c>
      <c r="E1162" s="197" t="s">
        <v>263</v>
      </c>
      <c r="F1162" s="197"/>
      <c r="G1162" s="197"/>
      <c r="H1162" s="209"/>
      <c r="I1162" s="209"/>
    </row>
    <row r="1163" spans="1:11">
      <c r="A1163" s="195"/>
      <c r="B1163" s="195" t="s">
        <v>207</v>
      </c>
      <c r="C1163"/>
      <c r="D1163" s="197" t="s">
        <v>270</v>
      </c>
      <c r="E1163" s="197" t="s">
        <v>263</v>
      </c>
      <c r="F1163" s="197"/>
      <c r="G1163" s="197"/>
      <c r="H1163" s="209"/>
      <c r="I1163" s="209"/>
    </row>
    <row r="1164" spans="1:11">
      <c r="A1164" s="195"/>
      <c r="B1164" s="196" t="s">
        <v>226</v>
      </c>
      <c r="C1164"/>
      <c r="D1164" s="197" t="s">
        <v>270</v>
      </c>
      <c r="E1164" s="197"/>
      <c r="F1164" s="197"/>
      <c r="G1164" s="197"/>
      <c r="H1164" s="209"/>
      <c r="I1164" s="209"/>
    </row>
    <row r="1165" spans="1:11">
      <c r="A1165" s="195"/>
      <c r="B1165" s="195" t="s">
        <v>205</v>
      </c>
      <c r="C1165"/>
      <c r="D1165" s="197" t="s">
        <v>270</v>
      </c>
      <c r="E1165" s="197"/>
      <c r="F1165" s="197"/>
      <c r="G1165" s="197"/>
      <c r="H1165" s="209"/>
      <c r="I1165" s="209"/>
    </row>
    <row r="1166" spans="1:11">
      <c r="A1166" s="195"/>
      <c r="B1166" s="195" t="s">
        <v>206</v>
      </c>
      <c r="C1166"/>
      <c r="D1166" s="197" t="s">
        <v>270</v>
      </c>
      <c r="E1166" s="197"/>
      <c r="F1166" s="197"/>
      <c r="G1166" s="197"/>
      <c r="H1166" s="209"/>
      <c r="I1166" s="209"/>
    </row>
    <row r="1167" spans="1:11">
      <c r="A1167" s="195"/>
      <c r="B1167" s="195" t="s">
        <v>207</v>
      </c>
      <c r="C1167"/>
      <c r="D1167" s="197" t="s">
        <v>270</v>
      </c>
      <c r="E1167" s="197"/>
      <c r="F1167" s="197"/>
      <c r="G1167" s="197"/>
      <c r="H1167" s="209"/>
      <c r="I1167" s="209"/>
    </row>
    <row r="1168" spans="1:11">
      <c r="A1168" s="195"/>
      <c r="B1168" s="196" t="s">
        <v>227</v>
      </c>
      <c r="C1168"/>
      <c r="D1168" s="197"/>
      <c r="E1168" s="197"/>
      <c r="F1168" s="197"/>
      <c r="G1168" s="197"/>
      <c r="H1168" s="209"/>
      <c r="I1168" s="209"/>
      <c r="K1168"/>
    </row>
    <row r="1169" spans="1:12" ht="29.25" thickBot="1">
      <c r="A1169" s="182" t="str">
        <f>"回収シフト  第"&amp;ROUNDUP(DAY(B1172)/7,0)  &amp;"  "&amp;TEXT(B1172,"aaaa")</f>
        <v>回収シフト  第4  月曜日</v>
      </c>
      <c r="B1169" s="183"/>
      <c r="C1169" s="183"/>
      <c r="D1169" s="183"/>
      <c r="E1169" s="183"/>
      <c r="F1169" s="183"/>
      <c r="G1169" s="184"/>
      <c r="H1169" s="184"/>
      <c r="I1169" s="184"/>
      <c r="K1169" s="183"/>
      <c r="L1169" s="183"/>
    </row>
    <row r="1170" spans="1:12" ht="15.75" thickBot="1">
      <c r="A1170"/>
      <c r="B1170"/>
      <c r="C1170"/>
      <c r="D1170" s="186" t="s">
        <v>201</v>
      </c>
      <c r="E1170" s="186" t="s">
        <v>202</v>
      </c>
      <c r="F1170" s="186" t="s">
        <v>203</v>
      </c>
      <c r="G1170" s="186" t="s">
        <v>204</v>
      </c>
      <c r="H1170" s="186" t="s">
        <v>267</v>
      </c>
      <c r="I1170" s="217" t="s">
        <v>267</v>
      </c>
      <c r="K1170" s="230" t="s">
        <v>257</v>
      </c>
      <c r="L1170" s="231"/>
    </row>
    <row r="1171" spans="1:12">
      <c r="A1171" s="187"/>
      <c r="B1171" s="188">
        <v>45495</v>
      </c>
      <c r="C1171" s="187"/>
      <c r="D1171" s="189" t="s">
        <v>890</v>
      </c>
      <c r="E1171" s="189" t="s">
        <v>909</v>
      </c>
      <c r="F1171" s="189" t="s">
        <v>360</v>
      </c>
      <c r="G1171" s="189" t="s">
        <v>859</v>
      </c>
      <c r="H1171" s="189" t="s">
        <v>852</v>
      </c>
      <c r="I1171" s="218" t="s">
        <v>852</v>
      </c>
      <c r="K1171" s="232" t="s">
        <v>258</v>
      </c>
      <c r="L1171" s="190" t="str">
        <f ca="1">_xlfn.XLOOKUP($B1172,シフト抽出!$19:$19,シフト抽出!$20:$20,"該当なし",0,1)</f>
        <v/>
      </c>
    </row>
    <row r="1172" spans="1:12" ht="19.5" thickBot="1">
      <c r="A1172"/>
      <c r="B1172" s="191">
        <f>B1119+2</f>
        <v>46139</v>
      </c>
      <c r="C1172" s="192"/>
      <c r="D1172" s="193"/>
      <c r="E1172" s="193"/>
      <c r="F1172" s="193"/>
      <c r="G1172" s="193"/>
      <c r="H1172" s="193"/>
      <c r="I1172" s="219"/>
      <c r="K1172" s="233"/>
      <c r="L1172" s="194" t="str">
        <f ca="1">_xlfn.XLOOKUP($B1172,シフト抽出!$19:$19,シフト抽出!$21:$21,"該当なし",0,1)</f>
        <v/>
      </c>
    </row>
    <row r="1173" spans="1:12">
      <c r="A1173" s="195"/>
      <c r="B1173" s="196">
        <v>0.25</v>
      </c>
      <c r="C1173"/>
      <c r="D1173" s="197"/>
      <c r="E1173" s="196"/>
      <c r="F1173" s="197"/>
      <c r="G1173" s="197"/>
      <c r="H1173" s="197"/>
      <c r="I1173" s="209"/>
      <c r="K1173" s="234" t="s">
        <v>259</v>
      </c>
      <c r="L1173" s="198" t="str">
        <f ca="1">_xlfn.XLOOKUP($B1172,シフト抽出!$19:$19,シフト抽出!$23:$23,"該当なし",0,1)</f>
        <v/>
      </c>
    </row>
    <row r="1174" spans="1:12" ht="15.75" thickBot="1">
      <c r="A1174" s="195"/>
      <c r="B1174" s="195" t="s">
        <v>205</v>
      </c>
      <c r="C1174"/>
      <c r="D1174" s="197"/>
      <c r="E1174" s="197"/>
      <c r="F1174" s="197"/>
      <c r="G1174" s="197"/>
      <c r="H1174" s="197"/>
      <c r="I1174" s="209"/>
      <c r="K1174" s="235"/>
      <c r="L1174" s="199" t="str">
        <f ca="1">_xlfn.XLOOKUP($B1172,シフト抽出!$19:$19,シフト抽出!$24:$24,"該当なし",0,1)</f>
        <v/>
      </c>
    </row>
    <row r="1175" spans="1:12">
      <c r="A1175" s="195"/>
      <c r="B1175" s="195" t="s">
        <v>206</v>
      </c>
      <c r="C1175"/>
      <c r="D1175" s="197"/>
      <c r="E1175" s="197"/>
      <c r="F1175" s="197"/>
      <c r="G1175" s="197"/>
      <c r="H1175" s="197"/>
      <c r="I1175" s="209"/>
      <c r="K1175" s="224" t="s">
        <v>260</v>
      </c>
      <c r="L1175" s="200" t="str">
        <f ca="1">_xlfn.XLOOKUP($B1172,シフト抽出!$19:$19,シフト抽出!$26:$26,"該当なし",0,1)</f>
        <v/>
      </c>
    </row>
    <row r="1176" spans="1:12">
      <c r="A1176" s="195"/>
      <c r="B1176" s="195" t="s">
        <v>207</v>
      </c>
      <c r="C1176"/>
      <c r="D1176" s="197"/>
      <c r="E1176" s="197"/>
      <c r="F1176" s="197" t="s">
        <v>107</v>
      </c>
      <c r="G1176" s="197"/>
      <c r="H1176" s="197"/>
      <c r="I1176" s="209"/>
      <c r="K1176" s="225"/>
      <c r="L1176" s="201" t="str">
        <f ca="1">_xlfn.XLOOKUP($B1172,シフト抽出!$19:$19,シフト抽出!$27:$27,"該当なし",0,1)</f>
        <v/>
      </c>
    </row>
    <row r="1177" spans="1:12">
      <c r="A1177" s="195"/>
      <c r="B1177" s="202" t="s">
        <v>208</v>
      </c>
      <c r="C1177"/>
      <c r="D1177" s="197"/>
      <c r="E1177" s="197"/>
      <c r="F1177" s="197" t="s">
        <v>851</v>
      </c>
      <c r="G1177" s="197"/>
      <c r="H1177" s="197"/>
      <c r="I1177" s="209"/>
      <c r="J1177" s="203"/>
      <c r="K1177" s="225"/>
      <c r="L1177" s="201" t="str">
        <f ca="1">_xlfn.XLOOKUP($B1172,シフト抽出!$19:$19,シフト抽出!$28:$28,"該当なし",0,1)</f>
        <v/>
      </c>
    </row>
    <row r="1178" spans="1:12" ht="15.75" thickBot="1">
      <c r="A1178" s="195"/>
      <c r="B1178" s="195" t="s">
        <v>205</v>
      </c>
      <c r="C1178"/>
      <c r="D1178" s="197"/>
      <c r="E1178" s="197"/>
      <c r="F1178" s="197" t="s">
        <v>851</v>
      </c>
      <c r="G1178" s="197"/>
      <c r="H1178" s="197"/>
      <c r="I1178" s="209"/>
      <c r="J1178" s="203"/>
      <c r="K1178" s="226"/>
      <c r="L1178" s="204" t="str">
        <f ca="1">_xlfn.XLOOKUP($B1172,シフト抽出!$19:$19,シフト抽出!$29:$29,"該当なし",0,1)</f>
        <v/>
      </c>
    </row>
    <row r="1179" spans="1:12" ht="15.75" thickBot="1">
      <c r="A1179" s="195"/>
      <c r="B1179" s="195" t="s">
        <v>206</v>
      </c>
      <c r="C1179"/>
      <c r="D1179" s="197"/>
      <c r="E1179" s="197"/>
      <c r="F1179" s="197" t="s">
        <v>851</v>
      </c>
      <c r="G1179" s="197"/>
      <c r="H1179" s="197"/>
      <c r="I1179" s="209"/>
      <c r="K1179" s="205" t="s">
        <v>261</v>
      </c>
      <c r="L1179" s="205">
        <f>_xlfn.XLOOKUP($B1172,予定表!B:B,予定表!R:R,"該当なし",0,1)</f>
        <v>0</v>
      </c>
    </row>
    <row r="1180" spans="1:12">
      <c r="A1180" s="195"/>
      <c r="B1180" s="195" t="s">
        <v>207</v>
      </c>
      <c r="C1180"/>
      <c r="D1180" s="197"/>
      <c r="E1180" s="197"/>
      <c r="F1180" s="197" t="s">
        <v>851</v>
      </c>
      <c r="G1180" s="197"/>
      <c r="H1180" s="197"/>
      <c r="I1180" s="209"/>
      <c r="K1180" s="227" t="s">
        <v>262</v>
      </c>
      <c r="L1180" s="206">
        <f>_xlfn.XLOOKUP($B1172,予定表!$B:$B,予定表!E:E,"該当なし",0,1)</f>
        <v>0</v>
      </c>
    </row>
    <row r="1181" spans="1:12">
      <c r="A1181" s="195"/>
      <c r="B1181" s="196" t="s">
        <v>209</v>
      </c>
      <c r="C1181"/>
      <c r="D1181" s="197" t="s">
        <v>264</v>
      </c>
      <c r="E1181" s="197" t="s">
        <v>414</v>
      </c>
      <c r="F1181" s="197" t="s">
        <v>851</v>
      </c>
      <c r="G1181" s="197" t="s">
        <v>268</v>
      </c>
      <c r="H1181" s="197" t="s">
        <v>848</v>
      </c>
      <c r="I1181" s="209" t="s">
        <v>848</v>
      </c>
      <c r="K1181" s="228"/>
      <c r="L1181" s="207" t="str">
        <f>_xlfn.XLOOKUP($B1172,予定表!$B:$B,予定表!F:F,"該当なし",0,1)</f>
        <v>キョクレイストレッチ</v>
      </c>
    </row>
    <row r="1182" spans="1:12">
      <c r="A1182" s="195"/>
      <c r="B1182" s="195" t="s">
        <v>205</v>
      </c>
      <c r="C1182"/>
      <c r="D1182" s="197" t="s">
        <v>793</v>
      </c>
      <c r="E1182" s="197" t="s">
        <v>414</v>
      </c>
      <c r="F1182" s="197" t="s">
        <v>851</v>
      </c>
      <c r="G1182" s="197" t="s">
        <v>268</v>
      </c>
      <c r="H1182" s="197" t="s">
        <v>848</v>
      </c>
      <c r="I1182" s="209" t="s">
        <v>848</v>
      </c>
      <c r="K1182" s="228"/>
      <c r="L1182" s="207">
        <f>_xlfn.XLOOKUP($B1172,予定表!$B:$B,予定表!G:G,"該当なし",0,1)</f>
        <v>0</v>
      </c>
    </row>
    <row r="1183" spans="1:12">
      <c r="A1183" s="195"/>
      <c r="B1183" s="195" t="s">
        <v>206</v>
      </c>
      <c r="C1183"/>
      <c r="D1183" s="197" t="s">
        <v>793</v>
      </c>
      <c r="E1183" s="197" t="s">
        <v>414</v>
      </c>
      <c r="F1183" s="197" t="s">
        <v>62</v>
      </c>
      <c r="G1183" s="197" t="s">
        <v>268</v>
      </c>
      <c r="H1183" s="197" t="s">
        <v>848</v>
      </c>
      <c r="I1183" s="209" t="s">
        <v>848</v>
      </c>
      <c r="K1183" s="228"/>
      <c r="L1183" s="207" t="str">
        <f>_xlfn.XLOOKUP($B1172,予定表!$B:$B,予定表!H:H,"該当なし",0,1)</f>
        <v>富士ロジ三田</v>
      </c>
    </row>
    <row r="1184" spans="1:12">
      <c r="A1184" s="195"/>
      <c r="B1184" s="195" t="s">
        <v>207</v>
      </c>
      <c r="C1184"/>
      <c r="D1184" s="197" t="s">
        <v>119</v>
      </c>
      <c r="E1184" s="197" t="s">
        <v>414</v>
      </c>
      <c r="F1184" s="197" t="s">
        <v>62</v>
      </c>
      <c r="G1184" s="197" t="s">
        <v>268</v>
      </c>
      <c r="H1184" s="197" t="s">
        <v>848</v>
      </c>
      <c r="I1184" s="209" t="s">
        <v>848</v>
      </c>
      <c r="K1184" s="228"/>
      <c r="L1184" s="207" t="str">
        <f>_xlfn.XLOOKUP($B1172,予定表!$B:$B,予定表!I:I,"該当なし",0,1)</f>
        <v/>
      </c>
    </row>
    <row r="1185" spans="1:12">
      <c r="A1185" s="195"/>
      <c r="B1185" s="196" t="s">
        <v>212</v>
      </c>
      <c r="C1185"/>
      <c r="D1185" s="197" t="s">
        <v>278</v>
      </c>
      <c r="E1185" s="197" t="s">
        <v>414</v>
      </c>
      <c r="F1185" s="197" t="s">
        <v>62</v>
      </c>
      <c r="G1185" s="197" t="s">
        <v>268</v>
      </c>
      <c r="H1185" s="197" t="s">
        <v>848</v>
      </c>
      <c r="I1185" s="209" t="s">
        <v>848</v>
      </c>
      <c r="K1185" s="228"/>
      <c r="L1185" s="207" t="str">
        <f>_xlfn.XLOOKUP($B1172,予定表!$B:$B,予定表!J:J,"該当なし",0,1)</f>
        <v/>
      </c>
    </row>
    <row r="1186" spans="1:12">
      <c r="A1186" s="195"/>
      <c r="B1186" s="195" t="s">
        <v>205</v>
      </c>
      <c r="C1186"/>
      <c r="D1186" s="197" t="s">
        <v>213</v>
      </c>
      <c r="E1186" s="197" t="s">
        <v>414</v>
      </c>
      <c r="F1186" s="197" t="s">
        <v>62</v>
      </c>
      <c r="G1186" s="197" t="s">
        <v>515</v>
      </c>
      <c r="H1186" s="197" t="s">
        <v>229</v>
      </c>
      <c r="I1186" s="209" t="s">
        <v>229</v>
      </c>
      <c r="K1186" s="228"/>
      <c r="L1186" s="207" t="str">
        <f>_xlfn.XLOOKUP($B1172,予定表!$B:$B,予定表!K:K,"該当なし",0,1)</f>
        <v/>
      </c>
    </row>
    <row r="1187" spans="1:12">
      <c r="A1187" s="195"/>
      <c r="B1187" s="195" t="s">
        <v>206</v>
      </c>
      <c r="C1187"/>
      <c r="D1187" s="197" t="s">
        <v>144</v>
      </c>
      <c r="E1187" s="197" t="s">
        <v>862</v>
      </c>
      <c r="F1187" s="197" t="s">
        <v>62</v>
      </c>
      <c r="G1187" s="197" t="s">
        <v>515</v>
      </c>
      <c r="H1187" s="197" t="s">
        <v>229</v>
      </c>
      <c r="I1187" s="209" t="s">
        <v>229</v>
      </c>
      <c r="K1187" s="228"/>
      <c r="L1187" s="207" t="str">
        <f>_xlfn.XLOOKUP($B1172,予定表!$B:$B,予定表!L:L,"該当なし",0,1)</f>
        <v/>
      </c>
    </row>
    <row r="1188" spans="1:12" ht="15.75" thickBot="1">
      <c r="A1188" s="195"/>
      <c r="B1188" s="195" t="s">
        <v>207</v>
      </c>
      <c r="C1188"/>
      <c r="D1188" s="197" t="s">
        <v>144</v>
      </c>
      <c r="E1188" s="197" t="s">
        <v>214</v>
      </c>
      <c r="F1188" s="197" t="s">
        <v>62</v>
      </c>
      <c r="G1188" s="197" t="s">
        <v>269</v>
      </c>
      <c r="H1188" s="197" t="s">
        <v>229</v>
      </c>
      <c r="I1188" s="209" t="s">
        <v>229</v>
      </c>
      <c r="K1188" s="229"/>
      <c r="L1188" s="204" t="str">
        <f>_xlfn.XLOOKUP($A1169,ﾘｽﾄマスタ!$U$8:$U$17,ﾘｽﾄマスタ!$V$8:$V$17,"",0)</f>
        <v/>
      </c>
    </row>
    <row r="1189" spans="1:12" ht="15.75" thickBot="1">
      <c r="A1189" s="195"/>
      <c r="B1189" s="196" t="s">
        <v>251</v>
      </c>
      <c r="C1189"/>
      <c r="D1189" s="197" t="s">
        <v>218</v>
      </c>
      <c r="E1189" s="197" t="s">
        <v>214</v>
      </c>
      <c r="F1189" s="197" t="s">
        <v>62</v>
      </c>
      <c r="G1189" s="197" t="s">
        <v>269</v>
      </c>
      <c r="H1189" s="197" t="s">
        <v>230</v>
      </c>
      <c r="I1189" s="209" t="s">
        <v>230</v>
      </c>
      <c r="K1189" s="208" t="s">
        <v>277</v>
      </c>
      <c r="L1189" s="208" t="str">
        <f ca="1">_xlfn.XLOOKUP($B1172,シフト抽出!$19:$19,シフト抽出!$30:$30,"該当なし",0,1)</f>
        <v/>
      </c>
    </row>
    <row r="1190" spans="1:12">
      <c r="A1190" s="195"/>
      <c r="B1190" s="195" t="s">
        <v>205</v>
      </c>
      <c r="C1190"/>
      <c r="D1190" s="197" t="s">
        <v>78</v>
      </c>
      <c r="E1190" s="197" t="s">
        <v>214</v>
      </c>
      <c r="F1190" s="197" t="s">
        <v>62</v>
      </c>
      <c r="G1190" s="197" t="s">
        <v>269</v>
      </c>
      <c r="H1190" s="197" t="s">
        <v>230</v>
      </c>
      <c r="I1190" s="209" t="s">
        <v>230</v>
      </c>
    </row>
    <row r="1191" spans="1:12">
      <c r="A1191" s="195"/>
      <c r="B1191" s="195" t="s">
        <v>206</v>
      </c>
      <c r="C1191"/>
      <c r="D1191" s="197" t="s">
        <v>78</v>
      </c>
      <c r="E1191" s="197" t="s">
        <v>761</v>
      </c>
      <c r="F1191" s="197" t="s">
        <v>62</v>
      </c>
      <c r="G1191" s="197" t="s">
        <v>269</v>
      </c>
      <c r="H1191" s="197" t="s">
        <v>230</v>
      </c>
      <c r="I1191" s="209" t="s">
        <v>230</v>
      </c>
    </row>
    <row r="1192" spans="1:12">
      <c r="A1192" s="195"/>
      <c r="B1192" s="195" t="s">
        <v>207</v>
      </c>
      <c r="C1192"/>
      <c r="D1192" s="197" t="s">
        <v>146</v>
      </c>
      <c r="E1192" s="197" t="s">
        <v>761</v>
      </c>
      <c r="F1192" s="197" t="s">
        <v>62</v>
      </c>
      <c r="G1192" s="197" t="s">
        <v>446</v>
      </c>
      <c r="H1192" s="197" t="s">
        <v>230</v>
      </c>
      <c r="I1192" s="209" t="s">
        <v>230</v>
      </c>
    </row>
    <row r="1193" spans="1:12">
      <c r="A1193" s="195"/>
      <c r="B1193" s="196" t="s">
        <v>217</v>
      </c>
      <c r="C1193"/>
      <c r="D1193" s="197" t="s">
        <v>146</v>
      </c>
      <c r="E1193" s="197" t="s">
        <v>761</v>
      </c>
      <c r="F1193" s="197" t="s">
        <v>62</v>
      </c>
      <c r="G1193" s="197" t="s">
        <v>446</v>
      </c>
      <c r="H1193" s="197" t="s">
        <v>230</v>
      </c>
      <c r="I1193" s="209" t="s">
        <v>230</v>
      </c>
    </row>
    <row r="1194" spans="1:12">
      <c r="A1194" s="195"/>
      <c r="B1194" s="195" t="s">
        <v>205</v>
      </c>
      <c r="C1194"/>
      <c r="D1194" s="197" t="s">
        <v>146</v>
      </c>
      <c r="E1194" s="197" t="s">
        <v>761</v>
      </c>
      <c r="F1194" s="197" t="s">
        <v>62</v>
      </c>
      <c r="G1194" s="197" t="s">
        <v>114</v>
      </c>
      <c r="H1194" s="197" t="s">
        <v>230</v>
      </c>
      <c r="I1194" s="209" t="s">
        <v>230</v>
      </c>
    </row>
    <row r="1195" spans="1:12">
      <c r="A1195" s="195"/>
      <c r="B1195" s="195" t="s">
        <v>206</v>
      </c>
      <c r="C1195"/>
      <c r="D1195" s="197"/>
      <c r="E1195" s="197"/>
      <c r="F1195" s="197" t="s">
        <v>62</v>
      </c>
      <c r="G1195" s="197" t="s">
        <v>114</v>
      </c>
      <c r="H1195" s="197"/>
      <c r="I1195" s="209"/>
    </row>
    <row r="1196" spans="1:12">
      <c r="A1196" s="195"/>
      <c r="B1196" s="195" t="s">
        <v>207</v>
      </c>
      <c r="C1196"/>
      <c r="D1196" s="197"/>
      <c r="E1196" s="197"/>
      <c r="F1196" s="197" t="s">
        <v>62</v>
      </c>
      <c r="G1196" s="197" t="s">
        <v>51</v>
      </c>
      <c r="H1196" s="197"/>
      <c r="I1196" s="209"/>
    </row>
    <row r="1197" spans="1:12">
      <c r="A1197" s="195"/>
      <c r="B1197" s="196" t="s">
        <v>219</v>
      </c>
      <c r="C1197"/>
      <c r="D1197" s="197"/>
      <c r="E1197" s="197"/>
      <c r="F1197" s="197" t="s">
        <v>62</v>
      </c>
      <c r="G1197" s="197" t="s">
        <v>51</v>
      </c>
      <c r="H1197" s="197"/>
      <c r="I1197" s="209"/>
    </row>
    <row r="1198" spans="1:12">
      <c r="A1198" s="195"/>
      <c r="B1198" s="195" t="s">
        <v>205</v>
      </c>
      <c r="C1198"/>
      <c r="D1198" s="197"/>
      <c r="E1198" s="197"/>
      <c r="F1198" s="197" t="s">
        <v>62</v>
      </c>
      <c r="G1198" s="197" t="s">
        <v>51</v>
      </c>
      <c r="H1198" s="197"/>
      <c r="I1198" s="209"/>
    </row>
    <row r="1199" spans="1:12">
      <c r="A1199" s="195"/>
      <c r="B1199" s="195" t="s">
        <v>206</v>
      </c>
      <c r="C1199"/>
      <c r="D1199" s="197"/>
      <c r="E1199" s="197"/>
      <c r="F1199" s="197"/>
      <c r="G1199" s="197"/>
      <c r="H1199" s="197"/>
      <c r="I1199" s="209"/>
    </row>
    <row r="1200" spans="1:12">
      <c r="A1200" s="195"/>
      <c r="B1200" s="195" t="s">
        <v>207</v>
      </c>
      <c r="C1200"/>
      <c r="D1200" s="189" t="s">
        <v>863</v>
      </c>
      <c r="E1200" s="189" t="s">
        <v>909</v>
      </c>
      <c r="F1200" s="189"/>
      <c r="G1200" s="189" t="s">
        <v>864</v>
      </c>
      <c r="H1200" s="197"/>
      <c r="I1200" s="209"/>
    </row>
    <row r="1201" spans="1:9">
      <c r="A1201" s="195"/>
      <c r="B1201" s="196" t="s">
        <v>220</v>
      </c>
      <c r="C1201"/>
      <c r="D1201" s="197" t="s">
        <v>759</v>
      </c>
      <c r="E1201" s="197" t="s">
        <v>848</v>
      </c>
      <c r="F1201" s="197" t="s">
        <v>224</v>
      </c>
      <c r="G1201" s="197" t="s">
        <v>56</v>
      </c>
      <c r="H1201" s="209" t="s">
        <v>415</v>
      </c>
      <c r="I1201" s="209" t="s">
        <v>415</v>
      </c>
    </row>
    <row r="1202" spans="1:9">
      <c r="A1202" s="195"/>
      <c r="B1202" s="195" t="s">
        <v>205</v>
      </c>
      <c r="C1202"/>
      <c r="D1202" s="197" t="s">
        <v>759</v>
      </c>
      <c r="E1202" s="197" t="s">
        <v>848</v>
      </c>
      <c r="F1202" s="197" t="s">
        <v>865</v>
      </c>
      <c r="G1202" s="197" t="s">
        <v>56</v>
      </c>
      <c r="H1202" s="209" t="s">
        <v>415</v>
      </c>
      <c r="I1202" s="209" t="s">
        <v>415</v>
      </c>
    </row>
    <row r="1203" spans="1:9">
      <c r="A1203" s="195"/>
      <c r="B1203" s="195" t="s">
        <v>206</v>
      </c>
      <c r="C1203"/>
      <c r="D1203" s="197" t="s">
        <v>759</v>
      </c>
      <c r="E1203" s="197" t="s">
        <v>848</v>
      </c>
      <c r="F1203" s="197" t="s">
        <v>866</v>
      </c>
      <c r="G1203" s="197" t="s">
        <v>56</v>
      </c>
      <c r="H1203" s="209" t="s">
        <v>415</v>
      </c>
      <c r="I1203" s="209" t="s">
        <v>415</v>
      </c>
    </row>
    <row r="1204" spans="1:9">
      <c r="A1204" s="195"/>
      <c r="B1204" s="195" t="s">
        <v>207</v>
      </c>
      <c r="C1204"/>
      <c r="D1204" s="197" t="s">
        <v>216</v>
      </c>
      <c r="E1204" s="197" t="s">
        <v>273</v>
      </c>
      <c r="F1204" s="197" t="s">
        <v>62</v>
      </c>
      <c r="G1204" s="197" t="s">
        <v>56</v>
      </c>
      <c r="H1204" s="209" t="s">
        <v>415</v>
      </c>
      <c r="I1204" s="209" t="s">
        <v>415</v>
      </c>
    </row>
    <row r="1205" spans="1:9">
      <c r="A1205" s="195"/>
      <c r="B1205" s="196" t="s">
        <v>222</v>
      </c>
      <c r="C1205"/>
      <c r="D1205" s="197" t="s">
        <v>216</v>
      </c>
      <c r="E1205" s="197" t="s">
        <v>273</v>
      </c>
      <c r="F1205" s="197" t="s">
        <v>62</v>
      </c>
      <c r="G1205" s="197" t="s">
        <v>424</v>
      </c>
      <c r="H1205" s="209" t="s">
        <v>415</v>
      </c>
      <c r="I1205" s="209" t="s">
        <v>415</v>
      </c>
    </row>
    <row r="1206" spans="1:9">
      <c r="A1206" s="195"/>
      <c r="B1206" s="195" t="s">
        <v>205</v>
      </c>
      <c r="C1206"/>
      <c r="D1206" s="197" t="s">
        <v>216</v>
      </c>
      <c r="E1206" s="197" t="s">
        <v>273</v>
      </c>
      <c r="F1206" s="197" t="s">
        <v>193</v>
      </c>
      <c r="G1206" s="197" t="s">
        <v>270</v>
      </c>
      <c r="H1206" s="209" t="s">
        <v>415</v>
      </c>
      <c r="I1206" s="209" t="s">
        <v>415</v>
      </c>
    </row>
    <row r="1207" spans="1:9">
      <c r="A1207" s="195"/>
      <c r="B1207" s="195" t="s">
        <v>206</v>
      </c>
      <c r="C1207"/>
      <c r="D1207" s="197" t="s">
        <v>160</v>
      </c>
      <c r="E1207" s="197" t="s">
        <v>252</v>
      </c>
      <c r="F1207" s="197" t="s">
        <v>122</v>
      </c>
      <c r="G1207" s="197" t="s">
        <v>270</v>
      </c>
      <c r="H1207" s="209" t="s">
        <v>415</v>
      </c>
      <c r="I1207" s="209" t="s">
        <v>415</v>
      </c>
    </row>
    <row r="1208" spans="1:9">
      <c r="A1208" s="195"/>
      <c r="B1208" s="195" t="s">
        <v>207</v>
      </c>
      <c r="C1208"/>
      <c r="D1208" s="197" t="s">
        <v>215</v>
      </c>
      <c r="E1208" s="197" t="s">
        <v>252</v>
      </c>
      <c r="F1208" s="197" t="s">
        <v>62</v>
      </c>
      <c r="G1208" s="197" t="s">
        <v>270</v>
      </c>
      <c r="H1208" s="209" t="s">
        <v>415</v>
      </c>
      <c r="I1208" s="209" t="s">
        <v>415</v>
      </c>
    </row>
    <row r="1209" spans="1:9">
      <c r="A1209" s="195"/>
      <c r="B1209" s="196" t="s">
        <v>223</v>
      </c>
      <c r="C1209"/>
      <c r="D1209" s="197" t="s">
        <v>280</v>
      </c>
      <c r="E1209" s="197" t="s">
        <v>252</v>
      </c>
      <c r="F1209" s="197" t="s">
        <v>62</v>
      </c>
      <c r="G1209" s="197" t="s">
        <v>270</v>
      </c>
      <c r="H1209" s="209" t="s">
        <v>415</v>
      </c>
      <c r="I1209" s="209" t="s">
        <v>415</v>
      </c>
    </row>
    <row r="1210" spans="1:9">
      <c r="A1210" s="195"/>
      <c r="B1210" s="195" t="s">
        <v>205</v>
      </c>
      <c r="C1210"/>
      <c r="D1210" s="197" t="s">
        <v>127</v>
      </c>
      <c r="E1210" s="197" t="s">
        <v>252</v>
      </c>
      <c r="F1210" s="197" t="s">
        <v>62</v>
      </c>
      <c r="G1210" s="197" t="s">
        <v>270</v>
      </c>
      <c r="H1210" s="209" t="s">
        <v>415</v>
      </c>
      <c r="I1210" s="209" t="s">
        <v>415</v>
      </c>
    </row>
    <row r="1211" spans="1:9">
      <c r="A1211" s="195"/>
      <c r="B1211" s="195" t="s">
        <v>206</v>
      </c>
      <c r="C1211"/>
      <c r="D1211" s="197"/>
      <c r="E1211" s="197" t="s">
        <v>252</v>
      </c>
      <c r="F1211" s="197" t="s">
        <v>62</v>
      </c>
      <c r="G1211" s="197" t="s">
        <v>270</v>
      </c>
      <c r="H1211" s="209" t="s">
        <v>415</v>
      </c>
      <c r="I1211" s="209" t="s">
        <v>415</v>
      </c>
    </row>
    <row r="1212" spans="1:9">
      <c r="A1212" s="195"/>
      <c r="B1212" s="195" t="s">
        <v>207</v>
      </c>
      <c r="C1212"/>
      <c r="D1212" s="197"/>
      <c r="E1212" s="197" t="s">
        <v>252</v>
      </c>
      <c r="F1212" s="197" t="s">
        <v>62</v>
      </c>
      <c r="G1212" s="197" t="s">
        <v>270</v>
      </c>
      <c r="H1212" s="209" t="s">
        <v>415</v>
      </c>
      <c r="I1212" s="209" t="s">
        <v>415</v>
      </c>
    </row>
    <row r="1213" spans="1:9">
      <c r="A1213" s="195"/>
      <c r="B1213" s="196" t="s">
        <v>225</v>
      </c>
      <c r="C1213"/>
      <c r="D1213" s="197"/>
      <c r="E1213" s="197" t="s">
        <v>252</v>
      </c>
      <c r="F1213" s="197" t="s">
        <v>62</v>
      </c>
      <c r="G1213" s="197" t="s">
        <v>270</v>
      </c>
      <c r="H1213" s="209" t="s">
        <v>415</v>
      </c>
      <c r="I1213" s="209" t="s">
        <v>415</v>
      </c>
    </row>
    <row r="1214" spans="1:9">
      <c r="A1214" s="195"/>
      <c r="B1214" s="195" t="s">
        <v>205</v>
      </c>
      <c r="C1214"/>
      <c r="D1214" s="197"/>
      <c r="E1214" s="197"/>
      <c r="F1214" s="197" t="s">
        <v>62</v>
      </c>
      <c r="G1214" s="197" t="s">
        <v>270</v>
      </c>
      <c r="H1214" s="209" t="s">
        <v>415</v>
      </c>
      <c r="I1214" s="209" t="s">
        <v>415</v>
      </c>
    </row>
    <row r="1215" spans="1:9">
      <c r="A1215" s="195"/>
      <c r="B1215" s="195" t="s">
        <v>206</v>
      </c>
      <c r="C1215"/>
      <c r="D1215" s="197"/>
      <c r="E1215" s="197"/>
      <c r="F1215" s="197" t="s">
        <v>62</v>
      </c>
      <c r="G1215" s="197" t="s">
        <v>270</v>
      </c>
      <c r="H1215" s="209" t="s">
        <v>415</v>
      </c>
      <c r="I1215" s="209" t="s">
        <v>415</v>
      </c>
    </row>
    <row r="1216" spans="1:9">
      <c r="A1216" s="195"/>
      <c r="B1216" s="195" t="s">
        <v>207</v>
      </c>
      <c r="C1216"/>
      <c r="D1216" s="197"/>
      <c r="E1216" s="197"/>
      <c r="F1216" s="197" t="s">
        <v>62</v>
      </c>
      <c r="G1216" s="197" t="s">
        <v>270</v>
      </c>
      <c r="H1216" s="209" t="s">
        <v>415</v>
      </c>
      <c r="I1216" s="209" t="s">
        <v>415</v>
      </c>
    </row>
    <row r="1217" spans="1:12">
      <c r="A1217" s="195"/>
      <c r="B1217" s="196" t="s">
        <v>226</v>
      </c>
      <c r="C1217"/>
      <c r="D1217" s="197"/>
      <c r="E1217" s="197"/>
      <c r="F1217" s="197"/>
      <c r="G1217" s="197" t="s">
        <v>270</v>
      </c>
      <c r="H1217" s="209"/>
      <c r="I1217" s="209"/>
    </row>
    <row r="1218" spans="1:12">
      <c r="A1218" s="195"/>
      <c r="B1218" s="195" t="s">
        <v>205</v>
      </c>
      <c r="C1218"/>
      <c r="D1218" s="197"/>
      <c r="E1218" s="197"/>
      <c r="F1218" s="197"/>
      <c r="G1218" s="197" t="s">
        <v>270</v>
      </c>
      <c r="H1218" s="209"/>
      <c r="I1218" s="209"/>
    </row>
    <row r="1219" spans="1:12">
      <c r="A1219" s="195"/>
      <c r="B1219" s="195" t="s">
        <v>206</v>
      </c>
      <c r="C1219"/>
      <c r="D1219" s="197"/>
      <c r="E1219" s="197"/>
      <c r="F1219" s="197"/>
      <c r="G1219" s="197" t="s">
        <v>270</v>
      </c>
      <c r="H1219" s="209"/>
      <c r="I1219" s="209"/>
    </row>
    <row r="1220" spans="1:12">
      <c r="A1220" s="195"/>
      <c r="B1220" s="195" t="s">
        <v>207</v>
      </c>
      <c r="C1220"/>
      <c r="D1220" s="197"/>
      <c r="E1220" s="197"/>
      <c r="F1220" s="197"/>
      <c r="G1220" s="197" t="s">
        <v>270</v>
      </c>
      <c r="H1220" s="209"/>
      <c r="I1220" s="209"/>
    </row>
    <row r="1221" spans="1:12">
      <c r="A1221" s="195"/>
      <c r="B1221" s="196" t="s">
        <v>227</v>
      </c>
      <c r="C1221"/>
      <c r="D1221" s="197"/>
      <c r="E1221" s="197"/>
      <c r="F1221" s="197"/>
      <c r="G1221" s="197"/>
      <c r="H1221" s="209"/>
      <c r="I1221" s="209"/>
      <c r="K1221"/>
    </row>
    <row r="1222" spans="1:12" ht="29.25" thickBot="1">
      <c r="A1222" s="182" t="str">
        <f>"回収シフト  第"&amp;ROUNDUP(DAY(B1225)/7,0)  &amp;"  "&amp;TEXT(B1225,"aaaa")</f>
        <v>回収シフト  第4  火曜日</v>
      </c>
      <c r="B1222" s="183"/>
      <c r="C1222" s="183"/>
      <c r="D1222" s="183"/>
      <c r="E1222" s="183"/>
      <c r="F1222" s="183"/>
      <c r="G1222" s="184"/>
      <c r="H1222" s="184"/>
      <c r="I1222" s="184"/>
      <c r="K1222" s="183"/>
      <c r="L1222" s="183"/>
    </row>
    <row r="1223" spans="1:12" ht="15.75" thickBot="1">
      <c r="A1223"/>
      <c r="B1223"/>
      <c r="C1223"/>
      <c r="D1223" s="186" t="s">
        <v>201</v>
      </c>
      <c r="E1223" s="186" t="s">
        <v>202</v>
      </c>
      <c r="F1223" s="186" t="s">
        <v>203</v>
      </c>
      <c r="G1223" s="186" t="s">
        <v>204</v>
      </c>
      <c r="H1223" s="186" t="s">
        <v>267</v>
      </c>
      <c r="I1223" s="217" t="s">
        <v>267</v>
      </c>
      <c r="K1223" s="230" t="s">
        <v>257</v>
      </c>
      <c r="L1223" s="231"/>
    </row>
    <row r="1224" spans="1:12">
      <c r="A1224" s="187"/>
      <c r="B1224" s="188">
        <v>46119</v>
      </c>
      <c r="C1224" s="187"/>
      <c r="D1224" s="189" t="s">
        <v>859</v>
      </c>
      <c r="E1224" s="189" t="s">
        <v>910</v>
      </c>
      <c r="F1224" s="189" t="s">
        <v>360</v>
      </c>
      <c r="G1224" s="189" t="s">
        <v>857</v>
      </c>
      <c r="H1224" s="189" t="s">
        <v>852</v>
      </c>
      <c r="I1224" s="218" t="s">
        <v>852</v>
      </c>
      <c r="K1224" s="232" t="s">
        <v>258</v>
      </c>
      <c r="L1224" s="190" t="str">
        <f ca="1">_xlfn.XLOOKUP($B1225,シフト抽出!$19:$19,シフト抽出!$20:$20,"該当なし",0,1)</f>
        <v/>
      </c>
    </row>
    <row r="1225" spans="1:12" ht="19.5" thickBot="1">
      <c r="A1225"/>
      <c r="B1225" s="191">
        <f>B1172+1</f>
        <v>46140</v>
      </c>
      <c r="C1225" s="192"/>
      <c r="D1225" s="193"/>
      <c r="E1225" s="193"/>
      <c r="F1225" s="193"/>
      <c r="G1225" s="193"/>
      <c r="H1225" s="193"/>
      <c r="I1225" s="219"/>
      <c r="K1225" s="233"/>
      <c r="L1225" s="194" t="str">
        <f ca="1">_xlfn.XLOOKUP($B1225,シフト抽出!$19:$19,シフト抽出!$21:$21,"該当なし",0,1)</f>
        <v/>
      </c>
    </row>
    <row r="1226" spans="1:12">
      <c r="A1226" s="195"/>
      <c r="B1226" s="196">
        <v>0.25</v>
      </c>
      <c r="C1226"/>
      <c r="D1226" s="197"/>
      <c r="E1226" s="196"/>
      <c r="F1226" s="197"/>
      <c r="G1226" s="197"/>
      <c r="H1226" s="197"/>
      <c r="I1226" s="209"/>
      <c r="K1226" s="234" t="s">
        <v>259</v>
      </c>
      <c r="L1226" s="198" t="str">
        <f ca="1">_xlfn.XLOOKUP($B1225,シフト抽出!$19:$19,シフト抽出!$23:$23,"該当なし",0,1)</f>
        <v/>
      </c>
    </row>
    <row r="1227" spans="1:12" ht="15.75" thickBot="1">
      <c r="A1227" s="195"/>
      <c r="B1227" s="195" t="s">
        <v>205</v>
      </c>
      <c r="C1227"/>
      <c r="D1227" s="197"/>
      <c r="E1227" s="197" t="s">
        <v>911</v>
      </c>
      <c r="F1227" s="197"/>
      <c r="G1227" s="197"/>
      <c r="H1227" s="197"/>
      <c r="I1227" s="209"/>
      <c r="K1227" s="235"/>
      <c r="L1227" s="199" t="str">
        <f ca="1">_xlfn.XLOOKUP($B1225,シフト抽出!$19:$19,シフト抽出!$24:$24,"該当なし",0,1)</f>
        <v/>
      </c>
    </row>
    <row r="1228" spans="1:12">
      <c r="A1228" s="195"/>
      <c r="B1228" s="195" t="s">
        <v>206</v>
      </c>
      <c r="C1228"/>
      <c r="D1228" s="197"/>
      <c r="E1228" s="197"/>
      <c r="F1228" s="197"/>
      <c r="G1228" s="197"/>
      <c r="H1228" s="197"/>
      <c r="I1228" s="209"/>
      <c r="K1228" s="224" t="s">
        <v>260</v>
      </c>
      <c r="L1228" s="200" t="str">
        <f ca="1">_xlfn.XLOOKUP($B1225,シフト抽出!$19:$19,シフト抽出!$26:$26,"該当なし",0,1)</f>
        <v/>
      </c>
    </row>
    <row r="1229" spans="1:12">
      <c r="A1229" s="195"/>
      <c r="B1229" s="195" t="s">
        <v>207</v>
      </c>
      <c r="C1229"/>
      <c r="D1229" s="197"/>
      <c r="E1229" s="197"/>
      <c r="F1229" s="197"/>
      <c r="G1229" s="197"/>
      <c r="H1229" s="197"/>
      <c r="I1229" s="209"/>
      <c r="K1229" s="225"/>
      <c r="L1229" s="201" t="str">
        <f ca="1">_xlfn.XLOOKUP($B1225,シフト抽出!$19:$19,シフト抽出!$27:$27,"該当なし",0,1)</f>
        <v/>
      </c>
    </row>
    <row r="1230" spans="1:12">
      <c r="A1230" s="195"/>
      <c r="B1230" s="202" t="s">
        <v>208</v>
      </c>
      <c r="C1230"/>
      <c r="D1230" s="197" t="s">
        <v>4</v>
      </c>
      <c r="E1230" s="197" t="s">
        <v>4</v>
      </c>
      <c r="F1230" s="197"/>
      <c r="G1230" s="197" t="s">
        <v>4</v>
      </c>
      <c r="H1230" s="197"/>
      <c r="I1230" s="209"/>
      <c r="J1230" s="203"/>
      <c r="K1230" s="225"/>
      <c r="L1230" s="201" t="str">
        <f ca="1">_xlfn.XLOOKUP($B1225,シフト抽出!$19:$19,シフト抽出!$28:$28,"該当なし",0,1)</f>
        <v/>
      </c>
    </row>
    <row r="1231" spans="1:12" ht="15.75" thickBot="1">
      <c r="A1231" s="195"/>
      <c r="B1231" s="195" t="s">
        <v>205</v>
      </c>
      <c r="C1231"/>
      <c r="D1231" s="197" t="s">
        <v>414</v>
      </c>
      <c r="E1231" s="197" t="s">
        <v>420</v>
      </c>
      <c r="F1231" s="197" t="s">
        <v>851</v>
      </c>
      <c r="G1231" s="197" t="s">
        <v>22</v>
      </c>
      <c r="H1231" s="197"/>
      <c r="I1231" s="209"/>
      <c r="J1231" s="203"/>
      <c r="K1231" s="226"/>
      <c r="L1231" s="204" t="str">
        <f ca="1">_xlfn.XLOOKUP($B1225,シフト抽出!$19:$19,シフト抽出!$29:$29,"該当なし",0,1)</f>
        <v/>
      </c>
    </row>
    <row r="1232" spans="1:12" ht="15.75" thickBot="1">
      <c r="A1232" s="195"/>
      <c r="B1232" s="195" t="s">
        <v>206</v>
      </c>
      <c r="C1232"/>
      <c r="D1232" s="197" t="s">
        <v>414</v>
      </c>
      <c r="E1232" s="197" t="s">
        <v>420</v>
      </c>
      <c r="F1232" s="197" t="s">
        <v>851</v>
      </c>
      <c r="G1232" s="197" t="s">
        <v>22</v>
      </c>
      <c r="H1232" s="197"/>
      <c r="I1232" s="209"/>
      <c r="K1232" s="205" t="s">
        <v>261</v>
      </c>
      <c r="L1232" s="205">
        <f>_xlfn.XLOOKUP($B1225,予定表!B:B,予定表!R:R,"該当なし",0,1)</f>
        <v>0</v>
      </c>
    </row>
    <row r="1233" spans="1:12">
      <c r="A1233" s="195"/>
      <c r="B1233" s="195" t="s">
        <v>207</v>
      </c>
      <c r="C1233"/>
      <c r="D1233" s="197" t="s">
        <v>414</v>
      </c>
      <c r="E1233" s="197" t="s">
        <v>420</v>
      </c>
      <c r="F1233" s="197" t="s">
        <v>851</v>
      </c>
      <c r="G1233" s="197" t="s">
        <v>268</v>
      </c>
      <c r="H1233" s="197"/>
      <c r="I1233" s="209"/>
      <c r="K1233" s="227" t="s">
        <v>262</v>
      </c>
      <c r="L1233" s="206">
        <f>_xlfn.XLOOKUP($B1225,予定表!$B:$B,予定表!E:E,"該当なし",0,1)</f>
        <v>0</v>
      </c>
    </row>
    <row r="1234" spans="1:12">
      <c r="A1234" s="195"/>
      <c r="B1234" s="196" t="s">
        <v>209</v>
      </c>
      <c r="C1234"/>
      <c r="D1234" s="197" t="s">
        <v>414</v>
      </c>
      <c r="E1234" s="197" t="s">
        <v>420</v>
      </c>
      <c r="F1234" s="197" t="s">
        <v>851</v>
      </c>
      <c r="G1234" s="197" t="s">
        <v>268</v>
      </c>
      <c r="H1234" s="197" t="s">
        <v>60</v>
      </c>
      <c r="I1234" s="209" t="s">
        <v>60</v>
      </c>
      <c r="K1234" s="228"/>
      <c r="L1234" s="207">
        <f>_xlfn.XLOOKUP($B1225,予定表!$B:$B,予定表!F:F,"該当なし",0,1)</f>
        <v>0</v>
      </c>
    </row>
    <row r="1235" spans="1:12">
      <c r="A1235" s="195"/>
      <c r="B1235" s="195" t="s">
        <v>205</v>
      </c>
      <c r="C1235"/>
      <c r="D1235" s="197" t="s">
        <v>414</v>
      </c>
      <c r="E1235" s="197" t="s">
        <v>420</v>
      </c>
      <c r="F1235" s="197" t="s">
        <v>851</v>
      </c>
      <c r="G1235" s="197" t="s">
        <v>268</v>
      </c>
      <c r="H1235" s="197" t="s">
        <v>60</v>
      </c>
      <c r="I1235" s="209" t="s">
        <v>60</v>
      </c>
      <c r="K1235" s="228"/>
      <c r="L1235" s="207">
        <f>_xlfn.XLOOKUP($B1225,予定表!$B:$B,予定表!G:G,"該当なし",0,1)</f>
        <v>0</v>
      </c>
    </row>
    <row r="1236" spans="1:12">
      <c r="A1236" s="195"/>
      <c r="B1236" s="195" t="s">
        <v>206</v>
      </c>
      <c r="C1236"/>
      <c r="D1236" s="197" t="s">
        <v>214</v>
      </c>
      <c r="E1236" s="197" t="s">
        <v>273</v>
      </c>
      <c r="F1236" s="197"/>
      <c r="G1236" s="197" t="s">
        <v>268</v>
      </c>
      <c r="H1236" s="197" t="s">
        <v>60</v>
      </c>
      <c r="I1236" s="209" t="s">
        <v>60</v>
      </c>
      <c r="K1236" s="228"/>
      <c r="L1236" s="207" t="str">
        <f>_xlfn.XLOOKUP($B1225,予定表!$B:$B,予定表!H:H,"該当なし",0,1)</f>
        <v>富士ロジ三田</v>
      </c>
    </row>
    <row r="1237" spans="1:12">
      <c r="A1237" s="195"/>
      <c r="B1237" s="195" t="s">
        <v>207</v>
      </c>
      <c r="C1237"/>
      <c r="D1237" s="197" t="s">
        <v>214</v>
      </c>
      <c r="E1237" s="197" t="s">
        <v>273</v>
      </c>
      <c r="F1237" s="197"/>
      <c r="G1237" s="197" t="s">
        <v>169</v>
      </c>
      <c r="H1237" s="197" t="s">
        <v>60</v>
      </c>
      <c r="I1237" s="209" t="s">
        <v>60</v>
      </c>
      <c r="K1237" s="228"/>
      <c r="L1237" s="207" t="str">
        <f>_xlfn.XLOOKUP($B1225,予定表!$B:$B,予定表!I:I,"該当なし",0,1)</f>
        <v/>
      </c>
    </row>
    <row r="1238" spans="1:12">
      <c r="A1238" s="195"/>
      <c r="B1238" s="196" t="s">
        <v>212</v>
      </c>
      <c r="C1238"/>
      <c r="D1238" s="197" t="s">
        <v>214</v>
      </c>
      <c r="E1238" s="197" t="s">
        <v>273</v>
      </c>
      <c r="F1238" s="197"/>
      <c r="G1238" s="197" t="s">
        <v>169</v>
      </c>
      <c r="H1238" s="197"/>
      <c r="I1238" s="209"/>
      <c r="K1238" s="228"/>
      <c r="L1238" s="207" t="str">
        <f>_xlfn.XLOOKUP($B1225,予定表!$B:$B,予定表!J:J,"該当なし",0,1)</f>
        <v/>
      </c>
    </row>
    <row r="1239" spans="1:12">
      <c r="A1239" s="195"/>
      <c r="B1239" s="195" t="s">
        <v>205</v>
      </c>
      <c r="C1239"/>
      <c r="D1239" s="197" t="s">
        <v>353</v>
      </c>
      <c r="E1239" s="197" t="s">
        <v>228</v>
      </c>
      <c r="F1239" s="197"/>
      <c r="G1239" s="197" t="s">
        <v>169</v>
      </c>
      <c r="H1239" s="197" t="s">
        <v>848</v>
      </c>
      <c r="I1239" s="209" t="s">
        <v>848</v>
      </c>
      <c r="K1239" s="228"/>
      <c r="L1239" s="207" t="str">
        <f>_xlfn.XLOOKUP($B1225,予定表!$B:$B,予定表!K:K,"該当なし",0,1)</f>
        <v/>
      </c>
    </row>
    <row r="1240" spans="1:12">
      <c r="A1240" s="195"/>
      <c r="B1240" s="195" t="s">
        <v>206</v>
      </c>
      <c r="C1240"/>
      <c r="D1240" s="197" t="s">
        <v>353</v>
      </c>
      <c r="E1240" s="197" t="s">
        <v>228</v>
      </c>
      <c r="F1240" s="197"/>
      <c r="G1240" s="197" t="s">
        <v>169</v>
      </c>
      <c r="H1240" s="197" t="s">
        <v>848</v>
      </c>
      <c r="I1240" s="209" t="s">
        <v>848</v>
      </c>
      <c r="K1240" s="228"/>
      <c r="L1240" s="207" t="str">
        <f>_xlfn.XLOOKUP($B1225,予定表!$B:$B,予定表!L:L,"該当なし",0,1)</f>
        <v/>
      </c>
    </row>
    <row r="1241" spans="1:12" ht="15.75" thickBot="1">
      <c r="A1241" s="195"/>
      <c r="B1241" s="195" t="s">
        <v>207</v>
      </c>
      <c r="C1241"/>
      <c r="D1241" s="197" t="s">
        <v>353</v>
      </c>
      <c r="E1241" s="197" t="s">
        <v>228</v>
      </c>
      <c r="F1241" s="197"/>
      <c r="G1241" s="197" t="s">
        <v>169</v>
      </c>
      <c r="H1241" s="197" t="s">
        <v>848</v>
      </c>
      <c r="I1241" s="209" t="s">
        <v>848</v>
      </c>
      <c r="K1241" s="229"/>
      <c r="L1241" s="204" t="str">
        <f>_xlfn.XLOOKUP($A1222,ﾘｽﾄマスタ!$U$8:$U$17,ﾘｽﾄマスタ!$V$8:$V$17,"",0)</f>
        <v>東冷厚木,ﾏﾙﾅｶ</v>
      </c>
    </row>
    <row r="1242" spans="1:12" ht="15.75" thickBot="1">
      <c r="A1242" s="195"/>
      <c r="B1242" s="196" t="s">
        <v>251</v>
      </c>
      <c r="C1242"/>
      <c r="D1242" s="197" t="s">
        <v>761</v>
      </c>
      <c r="E1242" s="197" t="s">
        <v>228</v>
      </c>
      <c r="F1242" s="197"/>
      <c r="G1242" s="197" t="s">
        <v>279</v>
      </c>
      <c r="H1242" s="197" t="s">
        <v>848</v>
      </c>
      <c r="I1242" s="209" t="s">
        <v>848</v>
      </c>
      <c r="K1242" s="208" t="s">
        <v>277</v>
      </c>
      <c r="L1242" s="208" t="str">
        <f ca="1">_xlfn.XLOOKUP($B1225,シフト抽出!$19:$19,シフト抽出!$30:$30,"該当なし",0,1)</f>
        <v/>
      </c>
    </row>
    <row r="1243" spans="1:12">
      <c r="A1243" s="195"/>
      <c r="B1243" s="195" t="s">
        <v>205</v>
      </c>
      <c r="C1243"/>
      <c r="D1243" s="197" t="s">
        <v>761</v>
      </c>
      <c r="E1243" s="197" t="s">
        <v>228</v>
      </c>
      <c r="F1243" s="197"/>
      <c r="G1243" s="197" t="s">
        <v>279</v>
      </c>
      <c r="H1243" s="197" t="s">
        <v>848</v>
      </c>
      <c r="I1243" s="209" t="s">
        <v>848</v>
      </c>
    </row>
    <row r="1244" spans="1:12">
      <c r="A1244" s="195"/>
      <c r="B1244" s="195" t="s">
        <v>206</v>
      </c>
      <c r="C1244"/>
      <c r="D1244" s="197" t="s">
        <v>761</v>
      </c>
      <c r="E1244" s="197" t="s">
        <v>263</v>
      </c>
      <c r="F1244" s="197" t="s">
        <v>51</v>
      </c>
      <c r="G1244" s="197" t="s">
        <v>279</v>
      </c>
      <c r="H1244" s="197" t="s">
        <v>229</v>
      </c>
      <c r="I1244" s="209" t="s">
        <v>229</v>
      </c>
    </row>
    <row r="1245" spans="1:12">
      <c r="A1245" s="195"/>
      <c r="B1245" s="195" t="s">
        <v>207</v>
      </c>
      <c r="C1245"/>
      <c r="D1245" s="197" t="s">
        <v>761</v>
      </c>
      <c r="E1245" s="197" t="s">
        <v>263</v>
      </c>
      <c r="F1245" s="197" t="s">
        <v>51</v>
      </c>
      <c r="G1245" s="197" t="s">
        <v>279</v>
      </c>
      <c r="H1245" s="197" t="s">
        <v>229</v>
      </c>
      <c r="I1245" s="209" t="s">
        <v>229</v>
      </c>
    </row>
    <row r="1246" spans="1:12">
      <c r="A1246" s="195"/>
      <c r="B1246" s="196" t="s">
        <v>217</v>
      </c>
      <c r="C1246"/>
      <c r="D1246" s="197" t="s">
        <v>88</v>
      </c>
      <c r="E1246" s="197" t="s">
        <v>263</v>
      </c>
      <c r="F1246" s="197" t="s">
        <v>51</v>
      </c>
      <c r="G1246" s="197" t="s">
        <v>279</v>
      </c>
      <c r="H1246" s="197" t="s">
        <v>230</v>
      </c>
      <c r="I1246" s="209" t="s">
        <v>230</v>
      </c>
    </row>
    <row r="1247" spans="1:12">
      <c r="A1247" s="195"/>
      <c r="B1247" s="195" t="s">
        <v>205</v>
      </c>
      <c r="C1247"/>
      <c r="D1247" s="197" t="s">
        <v>88</v>
      </c>
      <c r="E1247" s="197" t="s">
        <v>426</v>
      </c>
      <c r="F1247" s="197" t="s">
        <v>51</v>
      </c>
      <c r="G1247" s="197"/>
      <c r="H1247" s="197" t="s">
        <v>230</v>
      </c>
      <c r="I1247" s="209" t="s">
        <v>230</v>
      </c>
    </row>
    <row r="1248" spans="1:12">
      <c r="A1248" s="195"/>
      <c r="B1248" s="195" t="s">
        <v>206</v>
      </c>
      <c r="C1248"/>
      <c r="D1248" s="197" t="s">
        <v>160</v>
      </c>
      <c r="E1248" s="197" t="s">
        <v>426</v>
      </c>
      <c r="F1248" s="197"/>
      <c r="G1248" s="197"/>
      <c r="H1248" s="197" t="s">
        <v>230</v>
      </c>
      <c r="I1248" s="209" t="s">
        <v>230</v>
      </c>
    </row>
    <row r="1249" spans="1:9">
      <c r="A1249" s="195"/>
      <c r="B1249" s="195" t="s">
        <v>207</v>
      </c>
      <c r="C1249"/>
      <c r="D1249" s="197"/>
      <c r="E1249" s="197" t="s">
        <v>426</v>
      </c>
      <c r="F1249" s="197"/>
      <c r="G1249" s="197"/>
      <c r="H1249" s="197" t="s">
        <v>230</v>
      </c>
      <c r="I1249" s="209" t="s">
        <v>230</v>
      </c>
    </row>
    <row r="1250" spans="1:9">
      <c r="A1250" s="195"/>
      <c r="B1250" s="196" t="s">
        <v>219</v>
      </c>
      <c r="C1250"/>
      <c r="D1250" s="197"/>
      <c r="E1250" s="197" t="s">
        <v>426</v>
      </c>
      <c r="F1250" s="197"/>
      <c r="G1250" s="197"/>
      <c r="H1250" s="197" t="s">
        <v>230</v>
      </c>
      <c r="I1250" s="209" t="s">
        <v>230</v>
      </c>
    </row>
    <row r="1251" spans="1:9">
      <c r="A1251" s="195"/>
      <c r="B1251" s="195" t="s">
        <v>205</v>
      </c>
      <c r="C1251"/>
      <c r="D1251" s="197"/>
      <c r="E1251" s="197"/>
      <c r="F1251" s="197"/>
      <c r="G1251" s="197"/>
      <c r="H1251" s="197" t="s">
        <v>230</v>
      </c>
      <c r="I1251" s="209" t="s">
        <v>230</v>
      </c>
    </row>
    <row r="1252" spans="1:9">
      <c r="A1252" s="195"/>
      <c r="B1252" s="195" t="s">
        <v>206</v>
      </c>
      <c r="C1252"/>
      <c r="D1252" s="197"/>
      <c r="E1252" s="197"/>
      <c r="F1252" s="197"/>
      <c r="G1252" s="197"/>
      <c r="H1252" s="197"/>
      <c r="I1252" s="209"/>
    </row>
    <row r="1253" spans="1:9">
      <c r="A1253" s="195"/>
      <c r="B1253" s="195" t="s">
        <v>207</v>
      </c>
      <c r="C1253"/>
      <c r="D1253" s="197"/>
      <c r="E1253" s="197"/>
      <c r="F1253" s="197"/>
      <c r="G1253" s="197"/>
      <c r="H1253" s="197"/>
      <c r="I1253" s="209"/>
    </row>
    <row r="1254" spans="1:9">
      <c r="A1254" s="195"/>
      <c r="B1254" s="196" t="s">
        <v>220</v>
      </c>
      <c r="C1254"/>
      <c r="D1254" s="197"/>
      <c r="E1254" s="197"/>
      <c r="F1254" s="197"/>
      <c r="G1254" s="197"/>
      <c r="H1254" s="197"/>
      <c r="I1254" s="209"/>
    </row>
    <row r="1255" spans="1:9">
      <c r="A1255" s="195"/>
      <c r="B1255" s="195" t="s">
        <v>205</v>
      </c>
      <c r="C1255"/>
      <c r="D1255" s="197" t="s">
        <v>114</v>
      </c>
      <c r="E1255" s="197" t="s">
        <v>393</v>
      </c>
      <c r="F1255" s="197" t="s">
        <v>62</v>
      </c>
      <c r="G1255" s="197" t="s">
        <v>56</v>
      </c>
      <c r="H1255" s="197" t="s">
        <v>390</v>
      </c>
      <c r="I1255" s="209" t="s">
        <v>390</v>
      </c>
    </row>
    <row r="1256" spans="1:9">
      <c r="A1256" s="195"/>
      <c r="B1256" s="195" t="s">
        <v>206</v>
      </c>
      <c r="C1256"/>
      <c r="D1256" s="197" t="s">
        <v>114</v>
      </c>
      <c r="E1256" s="197" t="s">
        <v>393</v>
      </c>
      <c r="F1256" s="197" t="s">
        <v>62</v>
      </c>
      <c r="G1256" s="197" t="s">
        <v>56</v>
      </c>
      <c r="H1256" s="197" t="s">
        <v>390</v>
      </c>
      <c r="I1256" s="209" t="s">
        <v>390</v>
      </c>
    </row>
    <row r="1257" spans="1:9">
      <c r="A1257" s="195"/>
      <c r="B1257" s="195" t="s">
        <v>207</v>
      </c>
      <c r="C1257"/>
      <c r="D1257" s="197" t="s">
        <v>129</v>
      </c>
      <c r="E1257" s="197" t="s">
        <v>393</v>
      </c>
      <c r="F1257" s="197" t="s">
        <v>62</v>
      </c>
      <c r="G1257" s="197" t="s">
        <v>56</v>
      </c>
      <c r="H1257" s="197" t="s">
        <v>892</v>
      </c>
      <c r="I1257" s="209" t="s">
        <v>892</v>
      </c>
    </row>
    <row r="1258" spans="1:9">
      <c r="A1258" s="195"/>
      <c r="B1258" s="196" t="s">
        <v>222</v>
      </c>
      <c r="C1258"/>
      <c r="D1258" s="197" t="s">
        <v>129</v>
      </c>
      <c r="E1258" s="197" t="s">
        <v>252</v>
      </c>
      <c r="F1258" s="197" t="s">
        <v>62</v>
      </c>
      <c r="G1258" s="197" t="s">
        <v>56</v>
      </c>
      <c r="H1258" s="197" t="s">
        <v>231</v>
      </c>
      <c r="I1258" s="209" t="s">
        <v>231</v>
      </c>
    </row>
    <row r="1259" spans="1:9">
      <c r="A1259" s="195"/>
      <c r="B1259" s="195" t="s">
        <v>205</v>
      </c>
      <c r="C1259"/>
      <c r="D1259" s="197" t="s">
        <v>129</v>
      </c>
      <c r="E1259" s="197" t="s">
        <v>252</v>
      </c>
      <c r="F1259" s="197" t="s">
        <v>62</v>
      </c>
      <c r="G1259" s="197"/>
      <c r="H1259" s="197" t="s">
        <v>232</v>
      </c>
      <c r="I1259" s="209" t="s">
        <v>232</v>
      </c>
    </row>
    <row r="1260" spans="1:9">
      <c r="A1260" s="195"/>
      <c r="B1260" s="195" t="s">
        <v>206</v>
      </c>
      <c r="C1260"/>
      <c r="D1260" s="197"/>
      <c r="E1260" s="197" t="s">
        <v>252</v>
      </c>
      <c r="F1260" s="197" t="s">
        <v>62</v>
      </c>
      <c r="G1260" s="197" t="s">
        <v>270</v>
      </c>
      <c r="H1260" s="197" t="s">
        <v>211</v>
      </c>
      <c r="I1260" s="209" t="s">
        <v>211</v>
      </c>
    </row>
    <row r="1261" spans="1:9">
      <c r="A1261" s="195"/>
      <c r="B1261" s="195" t="s">
        <v>207</v>
      </c>
      <c r="C1261"/>
      <c r="D1261" s="197" t="s">
        <v>515</v>
      </c>
      <c r="E1261" s="197" t="s">
        <v>252</v>
      </c>
      <c r="F1261" s="197" t="s">
        <v>62</v>
      </c>
      <c r="G1261" s="197" t="s">
        <v>270</v>
      </c>
      <c r="H1261" s="197" t="s">
        <v>211</v>
      </c>
      <c r="I1261" s="209" t="s">
        <v>211</v>
      </c>
    </row>
    <row r="1262" spans="1:9">
      <c r="A1262" s="195"/>
      <c r="B1262" s="196" t="s">
        <v>223</v>
      </c>
      <c r="C1262"/>
      <c r="D1262" s="197" t="s">
        <v>515</v>
      </c>
      <c r="E1262" s="197" t="s">
        <v>252</v>
      </c>
      <c r="F1262" s="197" t="s">
        <v>62</v>
      </c>
      <c r="G1262" s="197" t="s">
        <v>270</v>
      </c>
      <c r="H1262" s="197"/>
      <c r="I1262" s="209"/>
    </row>
    <row r="1263" spans="1:9">
      <c r="A1263" s="195"/>
      <c r="B1263" s="195" t="s">
        <v>205</v>
      </c>
      <c r="C1263"/>
      <c r="D1263" s="197" t="s">
        <v>515</v>
      </c>
      <c r="E1263" s="197" t="s">
        <v>252</v>
      </c>
      <c r="F1263" s="197" t="s">
        <v>62</v>
      </c>
      <c r="G1263" s="197" t="s">
        <v>270</v>
      </c>
      <c r="H1263" s="197" t="s">
        <v>856</v>
      </c>
      <c r="I1263" s="209" t="s">
        <v>856</v>
      </c>
    </row>
    <row r="1264" spans="1:9">
      <c r="A1264" s="195"/>
      <c r="B1264" s="195" t="s">
        <v>206</v>
      </c>
      <c r="C1264"/>
      <c r="D1264" s="197" t="s">
        <v>269</v>
      </c>
      <c r="E1264" s="197" t="s">
        <v>252</v>
      </c>
      <c r="F1264" s="197" t="s">
        <v>62</v>
      </c>
      <c r="G1264" s="197" t="s">
        <v>270</v>
      </c>
      <c r="H1264" s="197" t="s">
        <v>856</v>
      </c>
      <c r="I1264" s="209" t="s">
        <v>856</v>
      </c>
    </row>
    <row r="1265" spans="1:12">
      <c r="A1265" s="195"/>
      <c r="B1265" s="195" t="s">
        <v>207</v>
      </c>
      <c r="C1265"/>
      <c r="D1265" s="197" t="s">
        <v>269</v>
      </c>
      <c r="E1265" s="197" t="s">
        <v>252</v>
      </c>
      <c r="F1265" s="197" t="s">
        <v>62</v>
      </c>
      <c r="G1265" s="197" t="s">
        <v>270</v>
      </c>
      <c r="H1265" s="197" t="s">
        <v>856</v>
      </c>
      <c r="I1265" s="209" t="s">
        <v>856</v>
      </c>
    </row>
    <row r="1266" spans="1:12">
      <c r="A1266" s="195"/>
      <c r="B1266" s="196" t="s">
        <v>225</v>
      </c>
      <c r="C1266"/>
      <c r="D1266" s="197" t="s">
        <v>269</v>
      </c>
      <c r="E1266" s="197" t="s">
        <v>252</v>
      </c>
      <c r="F1266" s="197" t="s">
        <v>62</v>
      </c>
      <c r="G1266" s="197" t="s">
        <v>270</v>
      </c>
      <c r="H1266" s="197" t="s">
        <v>856</v>
      </c>
      <c r="I1266" s="209" t="s">
        <v>856</v>
      </c>
    </row>
    <row r="1267" spans="1:12">
      <c r="A1267" s="195"/>
      <c r="B1267" s="195" t="s">
        <v>205</v>
      </c>
      <c r="C1267"/>
      <c r="D1267" s="197" t="s">
        <v>475</v>
      </c>
      <c r="E1267" s="197" t="s">
        <v>252</v>
      </c>
      <c r="F1267" s="197" t="s">
        <v>62</v>
      </c>
      <c r="G1267" s="197" t="s">
        <v>270</v>
      </c>
      <c r="H1267" s="209" t="s">
        <v>856</v>
      </c>
      <c r="I1267" s="209" t="s">
        <v>856</v>
      </c>
    </row>
    <row r="1268" spans="1:12">
      <c r="A1268" s="195"/>
      <c r="B1268" s="195" t="s">
        <v>206</v>
      </c>
      <c r="C1268"/>
      <c r="D1268" s="197" t="s">
        <v>361</v>
      </c>
      <c r="E1268" s="197" t="s">
        <v>252</v>
      </c>
      <c r="F1268" s="197" t="s">
        <v>62</v>
      </c>
      <c r="G1268" s="197" t="s">
        <v>270</v>
      </c>
      <c r="H1268" s="209" t="s">
        <v>856</v>
      </c>
      <c r="I1268" s="209" t="s">
        <v>856</v>
      </c>
    </row>
    <row r="1269" spans="1:12">
      <c r="A1269" s="195"/>
      <c r="B1269" s="195" t="s">
        <v>207</v>
      </c>
      <c r="C1269"/>
      <c r="D1269" s="197"/>
      <c r="E1269" s="197"/>
      <c r="F1269" s="197"/>
      <c r="G1269" s="197"/>
      <c r="H1269" s="209"/>
      <c r="I1269" s="209"/>
    </row>
    <row r="1270" spans="1:12">
      <c r="A1270" s="195"/>
      <c r="B1270" s="196" t="s">
        <v>226</v>
      </c>
      <c r="C1270"/>
      <c r="D1270" s="197"/>
      <c r="E1270" s="197"/>
      <c r="F1270" s="197"/>
      <c r="G1270" s="197"/>
      <c r="H1270" s="209"/>
      <c r="I1270" s="209"/>
    </row>
    <row r="1271" spans="1:12">
      <c r="A1271" s="195"/>
      <c r="B1271" s="195" t="s">
        <v>205</v>
      </c>
      <c r="C1271"/>
      <c r="D1271" s="197"/>
      <c r="E1271" s="197"/>
      <c r="F1271" s="197"/>
      <c r="G1271" s="197"/>
      <c r="H1271" s="209"/>
      <c r="I1271" s="209"/>
    </row>
    <row r="1272" spans="1:12">
      <c r="A1272" s="195"/>
      <c r="B1272" s="195" t="s">
        <v>206</v>
      </c>
      <c r="C1272"/>
      <c r="D1272" s="197"/>
      <c r="E1272" s="197"/>
      <c r="F1272" s="197"/>
      <c r="G1272" s="197"/>
      <c r="H1272" s="209"/>
      <c r="I1272" s="209"/>
    </row>
    <row r="1273" spans="1:12">
      <c r="A1273" s="195"/>
      <c r="B1273" s="195" t="s">
        <v>207</v>
      </c>
      <c r="C1273"/>
      <c r="D1273" s="197"/>
      <c r="E1273" s="197"/>
      <c r="F1273" s="197"/>
      <c r="G1273" s="197"/>
      <c r="H1273" s="209"/>
      <c r="I1273" s="209"/>
    </row>
    <row r="1274" spans="1:12">
      <c r="A1274" s="195"/>
      <c r="B1274" s="196" t="s">
        <v>227</v>
      </c>
      <c r="C1274"/>
      <c r="D1274" s="197"/>
      <c r="E1274" s="197"/>
      <c r="F1274" s="197"/>
      <c r="G1274" s="197"/>
      <c r="H1274" s="209"/>
      <c r="I1274" s="209"/>
      <c r="K1274"/>
    </row>
    <row r="1275" spans="1:12" ht="29.25" thickBot="1">
      <c r="A1275" s="182" t="str">
        <f>"回収シフト  第"&amp;ROUNDUP(DAY(B1278)/7,0)  &amp;"  "&amp;TEXT(B1278,"aaaa")</f>
        <v>回収シフト  第5  水曜日</v>
      </c>
      <c r="B1275" s="183"/>
      <c r="C1275" s="183"/>
      <c r="D1275" s="183"/>
      <c r="E1275" s="183"/>
      <c r="F1275" s="183"/>
      <c r="G1275" s="184"/>
      <c r="H1275" s="184"/>
      <c r="I1275" s="184"/>
      <c r="K1275" s="183"/>
      <c r="L1275" s="183"/>
    </row>
    <row r="1276" spans="1:12" ht="15.75" thickBot="1">
      <c r="A1276"/>
      <c r="B1276"/>
      <c r="C1276"/>
      <c r="D1276" s="186" t="s">
        <v>201</v>
      </c>
      <c r="E1276" s="186" t="s">
        <v>202</v>
      </c>
      <c r="F1276" s="186" t="s">
        <v>203</v>
      </c>
      <c r="G1276" s="186" t="s">
        <v>204</v>
      </c>
      <c r="H1276" s="186" t="s">
        <v>267</v>
      </c>
      <c r="I1276" s="217" t="s">
        <v>267</v>
      </c>
      <c r="K1276" s="230" t="s">
        <v>257</v>
      </c>
      <c r="L1276" s="231"/>
    </row>
    <row r="1277" spans="1:12">
      <c r="A1277" s="187"/>
      <c r="B1277" s="188">
        <v>46119</v>
      </c>
      <c r="C1277" s="187"/>
      <c r="D1277" s="189"/>
      <c r="E1277" s="189"/>
      <c r="F1277" s="189"/>
      <c r="G1277" s="189"/>
      <c r="H1277" s="189"/>
      <c r="I1277" s="218"/>
      <c r="K1277" s="232" t="s">
        <v>258</v>
      </c>
      <c r="L1277" s="190" t="str">
        <f ca="1">_xlfn.XLOOKUP($B1278,シフト抽出!$19:$19,シフト抽出!$20:$20,"該当なし",0,1)</f>
        <v/>
      </c>
    </row>
    <row r="1278" spans="1:12" ht="19.5" thickBot="1">
      <c r="A1278"/>
      <c r="B1278" s="191">
        <f>B1225+1</f>
        <v>46141</v>
      </c>
      <c r="C1278" s="192"/>
      <c r="D1278" s="193"/>
      <c r="E1278" s="193"/>
      <c r="F1278" s="193"/>
      <c r="G1278" s="193"/>
      <c r="H1278" s="193"/>
      <c r="I1278" s="219"/>
      <c r="K1278" s="233"/>
      <c r="L1278" s="194" t="str">
        <f ca="1">_xlfn.XLOOKUP($B1278,シフト抽出!$19:$19,シフト抽出!$21:$21,"該当なし",0,1)</f>
        <v/>
      </c>
    </row>
    <row r="1279" spans="1:12">
      <c r="A1279" s="195"/>
      <c r="B1279" s="196">
        <v>0.25</v>
      </c>
      <c r="C1279"/>
      <c r="D1279" s="197"/>
      <c r="E1279" s="196"/>
      <c r="F1279" s="197"/>
      <c r="G1279" s="197"/>
      <c r="H1279" s="197"/>
      <c r="I1279" s="209"/>
      <c r="K1279" s="234" t="s">
        <v>259</v>
      </c>
      <c r="L1279" s="198" t="str">
        <f ca="1">_xlfn.XLOOKUP($B1278,シフト抽出!$19:$19,シフト抽出!$23:$23,"該当なし",0,1)</f>
        <v/>
      </c>
    </row>
    <row r="1280" spans="1:12" ht="15.75" thickBot="1">
      <c r="A1280" s="195"/>
      <c r="B1280" s="195" t="s">
        <v>205</v>
      </c>
      <c r="C1280"/>
      <c r="D1280" s="197"/>
      <c r="E1280" s="197"/>
      <c r="F1280" s="197"/>
      <c r="G1280" s="197"/>
      <c r="H1280" s="197"/>
      <c r="I1280" s="209"/>
      <c r="K1280" s="235"/>
      <c r="L1280" s="199" t="str">
        <f ca="1">_xlfn.XLOOKUP($B1278,シフト抽出!$19:$19,シフト抽出!$24:$24,"該当なし",0,1)</f>
        <v/>
      </c>
    </row>
    <row r="1281" spans="1:12">
      <c r="A1281" s="195"/>
      <c r="B1281" s="195" t="s">
        <v>206</v>
      </c>
      <c r="C1281"/>
      <c r="D1281" s="197"/>
      <c r="E1281" s="197"/>
      <c r="F1281" s="197"/>
      <c r="G1281" s="197"/>
      <c r="H1281" s="197"/>
      <c r="I1281" s="209"/>
      <c r="K1281" s="224" t="s">
        <v>260</v>
      </c>
      <c r="L1281" s="200" t="str">
        <f ca="1">_xlfn.XLOOKUP($B1278,シフト抽出!$19:$19,シフト抽出!$26:$26,"該当なし",0,1)</f>
        <v/>
      </c>
    </row>
    <row r="1282" spans="1:12">
      <c r="A1282" s="195"/>
      <c r="B1282" s="195" t="s">
        <v>207</v>
      </c>
      <c r="C1282"/>
      <c r="D1282" s="197"/>
      <c r="E1282" s="197"/>
      <c r="F1282" s="197"/>
      <c r="G1282" s="197"/>
      <c r="H1282" s="197"/>
      <c r="I1282" s="209"/>
      <c r="K1282" s="225"/>
      <c r="L1282" s="201" t="str">
        <f ca="1">_xlfn.XLOOKUP($B1278,シフト抽出!$19:$19,シフト抽出!$27:$27,"該当なし",0,1)</f>
        <v/>
      </c>
    </row>
    <row r="1283" spans="1:12">
      <c r="A1283" s="195"/>
      <c r="B1283" s="202" t="s">
        <v>208</v>
      </c>
      <c r="C1283"/>
      <c r="D1283" s="197" t="s">
        <v>851</v>
      </c>
      <c r="E1283" s="197"/>
      <c r="F1283" s="197"/>
      <c r="G1283" s="197" t="s">
        <v>22</v>
      </c>
      <c r="H1283" s="197"/>
      <c r="I1283" s="209"/>
      <c r="J1283" s="203"/>
      <c r="K1283" s="225"/>
      <c r="L1283" s="201" t="str">
        <f ca="1">_xlfn.XLOOKUP($B1278,シフト抽出!$19:$19,シフト抽出!$28:$28,"該当なし",0,1)</f>
        <v/>
      </c>
    </row>
    <row r="1284" spans="1:12" ht="15.75" thickBot="1">
      <c r="A1284" s="195"/>
      <c r="B1284" s="195" t="s">
        <v>205</v>
      </c>
      <c r="C1284"/>
      <c r="D1284" s="197" t="s">
        <v>851</v>
      </c>
      <c r="E1284" s="197"/>
      <c r="F1284" s="197"/>
      <c r="G1284" s="197" t="s">
        <v>22</v>
      </c>
      <c r="H1284" s="197"/>
      <c r="I1284" s="209"/>
      <c r="J1284" s="203"/>
      <c r="K1284" s="226"/>
      <c r="L1284" s="204" t="str">
        <f ca="1">_xlfn.XLOOKUP($B1278,シフト抽出!$19:$19,シフト抽出!$29:$29,"該当なし",0,1)</f>
        <v/>
      </c>
    </row>
    <row r="1285" spans="1:12" ht="15.75" thickBot="1">
      <c r="A1285" s="195"/>
      <c r="B1285" s="195" t="s">
        <v>206</v>
      </c>
      <c r="C1285"/>
      <c r="D1285" s="197" t="s">
        <v>851</v>
      </c>
      <c r="E1285" s="197"/>
      <c r="F1285" s="197"/>
      <c r="G1285" s="197" t="s">
        <v>793</v>
      </c>
      <c r="H1285" s="197"/>
      <c r="I1285" s="209"/>
      <c r="K1285" s="205" t="s">
        <v>261</v>
      </c>
      <c r="L1285" s="205">
        <f>_xlfn.XLOOKUP($B1278,予定表!B:B,予定表!R:R,"該当なし",0,1)</f>
        <v>0</v>
      </c>
    </row>
    <row r="1286" spans="1:12">
      <c r="A1286" s="195"/>
      <c r="B1286" s="195" t="s">
        <v>207</v>
      </c>
      <c r="C1286"/>
      <c r="D1286" s="197" t="s">
        <v>851</v>
      </c>
      <c r="E1286" s="197"/>
      <c r="F1286" s="197"/>
      <c r="G1286" s="197" t="s">
        <v>793</v>
      </c>
      <c r="H1286" s="197"/>
      <c r="I1286" s="209"/>
      <c r="K1286" s="227" t="s">
        <v>262</v>
      </c>
      <c r="L1286" s="206">
        <f>_xlfn.XLOOKUP($B1278,予定表!$B:$B,予定表!E:E,"該当なし",0,1)</f>
        <v>0</v>
      </c>
    </row>
    <row r="1287" spans="1:12">
      <c r="A1287" s="195"/>
      <c r="B1287" s="196" t="s">
        <v>209</v>
      </c>
      <c r="C1287"/>
      <c r="D1287" s="197" t="s">
        <v>851</v>
      </c>
      <c r="E1287" s="197"/>
      <c r="F1287" s="197"/>
      <c r="G1287" s="197" t="s">
        <v>268</v>
      </c>
      <c r="H1287" s="197"/>
      <c r="I1287" s="209"/>
      <c r="K1287" s="228"/>
      <c r="L1287" s="207">
        <f>_xlfn.XLOOKUP($B1278,予定表!$B:$B,予定表!F:F,"該当なし",0,1)</f>
        <v>0</v>
      </c>
    </row>
    <row r="1288" spans="1:12">
      <c r="A1288" s="195"/>
      <c r="B1288" s="195" t="s">
        <v>205</v>
      </c>
      <c r="C1288"/>
      <c r="D1288" s="197" t="s">
        <v>851</v>
      </c>
      <c r="E1288" s="197"/>
      <c r="F1288" s="197"/>
      <c r="G1288" s="197" t="s">
        <v>268</v>
      </c>
      <c r="H1288" s="197"/>
      <c r="I1288" s="209"/>
      <c r="K1288" s="228"/>
      <c r="L1288" s="207">
        <f>_xlfn.XLOOKUP($B1278,予定表!$B:$B,予定表!G:G,"該当なし",0,1)</f>
        <v>0</v>
      </c>
    </row>
    <row r="1289" spans="1:12">
      <c r="A1289" s="195"/>
      <c r="B1289" s="195" t="s">
        <v>206</v>
      </c>
      <c r="C1289"/>
      <c r="D1289" s="197"/>
      <c r="E1289" s="197"/>
      <c r="F1289" s="197"/>
      <c r="G1289" s="197" t="s">
        <v>268</v>
      </c>
      <c r="H1289" s="197"/>
      <c r="I1289" s="209"/>
      <c r="K1289" s="228"/>
      <c r="L1289" s="207" t="str">
        <f>_xlfn.XLOOKUP($B1278,予定表!$B:$B,予定表!H:H,"該当なし",0,1)</f>
        <v>富士ロジ三田</v>
      </c>
    </row>
    <row r="1290" spans="1:12">
      <c r="A1290" s="195"/>
      <c r="B1290" s="195" t="s">
        <v>207</v>
      </c>
      <c r="C1290"/>
      <c r="D1290" s="197" t="s">
        <v>273</v>
      </c>
      <c r="E1290" s="197"/>
      <c r="F1290" s="197"/>
      <c r="G1290" s="197" t="s">
        <v>268</v>
      </c>
      <c r="H1290" s="197"/>
      <c r="I1290" s="209"/>
      <c r="K1290" s="228"/>
      <c r="L1290" s="207" t="str">
        <f>_xlfn.XLOOKUP($B1278,予定表!$B:$B,予定表!I:I,"該当なし",0,1)</f>
        <v/>
      </c>
    </row>
    <row r="1291" spans="1:12">
      <c r="A1291" s="195"/>
      <c r="B1291" s="196" t="s">
        <v>212</v>
      </c>
      <c r="C1291"/>
      <c r="D1291" s="197" t="s">
        <v>273</v>
      </c>
      <c r="E1291" s="197"/>
      <c r="F1291" s="197"/>
      <c r="G1291" s="197" t="s">
        <v>268</v>
      </c>
      <c r="H1291" s="197"/>
      <c r="I1291" s="209"/>
      <c r="K1291" s="228"/>
      <c r="L1291" s="207" t="str">
        <f>_xlfn.XLOOKUP($B1278,予定表!$B:$B,予定表!J:J,"該当なし",0,1)</f>
        <v/>
      </c>
    </row>
    <row r="1292" spans="1:12">
      <c r="A1292" s="195"/>
      <c r="B1292" s="195" t="s">
        <v>205</v>
      </c>
      <c r="C1292"/>
      <c r="D1292" s="197" t="s">
        <v>273</v>
      </c>
      <c r="E1292" s="197"/>
      <c r="F1292" s="197"/>
      <c r="G1292" s="197" t="s">
        <v>515</v>
      </c>
      <c r="H1292" s="197"/>
      <c r="I1292" s="209"/>
      <c r="K1292" s="228"/>
      <c r="L1292" s="207" t="str">
        <f>_xlfn.XLOOKUP($B1278,予定表!$B:$B,予定表!K:K,"該当なし",0,1)</f>
        <v/>
      </c>
    </row>
    <row r="1293" spans="1:12">
      <c r="A1293" s="195"/>
      <c r="B1293" s="195" t="s">
        <v>206</v>
      </c>
      <c r="C1293"/>
      <c r="D1293" s="197" t="s">
        <v>273</v>
      </c>
      <c r="E1293" s="197"/>
      <c r="F1293" s="197"/>
      <c r="G1293" s="197" t="s">
        <v>515</v>
      </c>
      <c r="H1293" s="197"/>
      <c r="I1293" s="209"/>
      <c r="K1293" s="228"/>
      <c r="L1293" s="207" t="str">
        <f>_xlfn.XLOOKUP($B1278,予定表!$B:$B,予定表!L:L,"該当なし",0,1)</f>
        <v/>
      </c>
    </row>
    <row r="1294" spans="1:12" ht="15.75" thickBot="1">
      <c r="A1294" s="195"/>
      <c r="B1294" s="195" t="s">
        <v>207</v>
      </c>
      <c r="C1294"/>
      <c r="D1294" s="197" t="s">
        <v>273</v>
      </c>
      <c r="E1294" s="197"/>
      <c r="F1294" s="197"/>
      <c r="G1294" s="197" t="s">
        <v>515</v>
      </c>
      <c r="H1294" s="197"/>
      <c r="I1294" s="209"/>
      <c r="K1294" s="229"/>
      <c r="L1294" s="204" t="str">
        <f>_xlfn.XLOOKUP($A1275,ﾘｽﾄマスタ!$U$8:$U$17,ﾘｽﾄマスタ!$V$8:$V$17,"",0)</f>
        <v/>
      </c>
    </row>
    <row r="1295" spans="1:12" ht="15.75" thickBot="1">
      <c r="A1295" s="195"/>
      <c r="B1295" s="196" t="s">
        <v>251</v>
      </c>
      <c r="C1295"/>
      <c r="D1295" s="197" t="s">
        <v>214</v>
      </c>
      <c r="E1295" s="197"/>
      <c r="F1295" s="197"/>
      <c r="G1295" s="197" t="s">
        <v>515</v>
      </c>
      <c r="H1295" s="197"/>
      <c r="I1295" s="209"/>
      <c r="K1295" s="208" t="s">
        <v>277</v>
      </c>
      <c r="L1295" s="208" t="str">
        <f ca="1">_xlfn.XLOOKUP($B1278,シフト抽出!$19:$19,シフト抽出!$30:$30,"該当なし",0,1)</f>
        <v/>
      </c>
    </row>
    <row r="1296" spans="1:12">
      <c r="A1296" s="195"/>
      <c r="B1296" s="195" t="s">
        <v>205</v>
      </c>
      <c r="C1296"/>
      <c r="D1296" s="197" t="s">
        <v>214</v>
      </c>
      <c r="E1296" s="197"/>
      <c r="F1296" s="197"/>
      <c r="G1296" s="197" t="s">
        <v>446</v>
      </c>
      <c r="H1296" s="197"/>
      <c r="I1296" s="209"/>
    </row>
    <row r="1297" spans="1:9">
      <c r="A1297" s="195"/>
      <c r="B1297" s="195" t="s">
        <v>206</v>
      </c>
      <c r="C1297"/>
      <c r="D1297" s="197" t="s">
        <v>214</v>
      </c>
      <c r="E1297" s="197"/>
      <c r="F1297" s="197"/>
      <c r="G1297" s="197" t="s">
        <v>446</v>
      </c>
      <c r="H1297" s="197"/>
      <c r="I1297" s="209"/>
    </row>
    <row r="1298" spans="1:9">
      <c r="A1298" s="195"/>
      <c r="B1298" s="195" t="s">
        <v>207</v>
      </c>
      <c r="C1298"/>
      <c r="D1298" s="197" t="s">
        <v>214</v>
      </c>
      <c r="E1298" s="197"/>
      <c r="F1298" s="197"/>
      <c r="G1298" s="197" t="s">
        <v>446</v>
      </c>
      <c r="H1298" s="197"/>
      <c r="I1298" s="209"/>
    </row>
    <row r="1299" spans="1:9">
      <c r="A1299" s="195"/>
      <c r="B1299" s="196" t="s">
        <v>217</v>
      </c>
      <c r="C1299"/>
      <c r="D1299" s="197" t="s">
        <v>761</v>
      </c>
      <c r="E1299" s="197"/>
      <c r="F1299" s="197"/>
      <c r="G1299" s="197" t="s">
        <v>114</v>
      </c>
      <c r="H1299" s="197"/>
      <c r="I1299" s="209"/>
    </row>
    <row r="1300" spans="1:9">
      <c r="A1300" s="195"/>
      <c r="B1300" s="195" t="s">
        <v>205</v>
      </c>
      <c r="C1300"/>
      <c r="D1300" s="197" t="s">
        <v>761</v>
      </c>
      <c r="E1300" s="197"/>
      <c r="F1300" s="197"/>
      <c r="G1300" s="197" t="s">
        <v>114</v>
      </c>
      <c r="H1300" s="197"/>
      <c r="I1300" s="209"/>
    </row>
    <row r="1301" spans="1:9">
      <c r="A1301" s="195"/>
      <c r="B1301" s="195" t="s">
        <v>206</v>
      </c>
      <c r="C1301"/>
      <c r="D1301" s="197" t="s">
        <v>761</v>
      </c>
      <c r="E1301" s="197"/>
      <c r="F1301" s="197"/>
      <c r="G1301" s="197" t="s">
        <v>114</v>
      </c>
      <c r="H1301" s="197"/>
      <c r="I1301" s="209"/>
    </row>
    <row r="1302" spans="1:9">
      <c r="A1302" s="195"/>
      <c r="B1302" s="195" t="s">
        <v>207</v>
      </c>
      <c r="C1302"/>
      <c r="D1302" s="197" t="s">
        <v>224</v>
      </c>
      <c r="E1302" s="197"/>
      <c r="F1302" s="197"/>
      <c r="G1302" s="197"/>
      <c r="H1302" s="197"/>
      <c r="I1302" s="209"/>
    </row>
    <row r="1303" spans="1:9">
      <c r="A1303" s="195"/>
      <c r="B1303" s="196" t="s">
        <v>219</v>
      </c>
      <c r="C1303"/>
      <c r="D1303" s="197" t="s">
        <v>224</v>
      </c>
      <c r="E1303" s="197"/>
      <c r="F1303" s="197"/>
      <c r="G1303" s="197"/>
      <c r="H1303" s="197"/>
      <c r="I1303" s="209"/>
    </row>
    <row r="1304" spans="1:9">
      <c r="A1304" s="195"/>
      <c r="B1304" s="195" t="s">
        <v>205</v>
      </c>
      <c r="C1304"/>
      <c r="D1304" s="197" t="s">
        <v>224</v>
      </c>
      <c r="E1304" s="197"/>
      <c r="F1304" s="197"/>
      <c r="G1304" s="197"/>
      <c r="H1304" s="197"/>
      <c r="I1304" s="209"/>
    </row>
    <row r="1305" spans="1:9">
      <c r="A1305" s="195"/>
      <c r="B1305" s="195" t="s">
        <v>206</v>
      </c>
      <c r="C1305"/>
      <c r="D1305" s="197"/>
      <c r="E1305" s="197"/>
      <c r="F1305" s="197"/>
      <c r="G1305" s="197"/>
      <c r="H1305" s="197"/>
      <c r="I1305" s="209"/>
    </row>
    <row r="1306" spans="1:9">
      <c r="A1306" s="195"/>
      <c r="B1306" s="195" t="s">
        <v>207</v>
      </c>
      <c r="C1306"/>
      <c r="D1306" s="197"/>
      <c r="E1306" s="197"/>
      <c r="F1306" s="197"/>
      <c r="G1306" s="197"/>
      <c r="H1306" s="197"/>
      <c r="I1306" s="209"/>
    </row>
    <row r="1307" spans="1:9">
      <c r="A1307" s="195"/>
      <c r="B1307" s="196" t="s">
        <v>220</v>
      </c>
      <c r="C1307"/>
      <c r="D1307" s="197"/>
      <c r="E1307" s="197"/>
      <c r="F1307" s="197"/>
      <c r="G1307" s="197"/>
      <c r="H1307" s="197"/>
      <c r="I1307" s="209"/>
    </row>
    <row r="1308" spans="1:9">
      <c r="A1308" s="195"/>
      <c r="B1308" s="195" t="s">
        <v>205</v>
      </c>
      <c r="C1308"/>
      <c r="D1308" s="197" t="s">
        <v>759</v>
      </c>
      <c r="E1308" s="197"/>
      <c r="F1308" s="197"/>
      <c r="G1308" s="197"/>
      <c r="H1308" s="197"/>
      <c r="I1308" s="209"/>
    </row>
    <row r="1309" spans="1:9">
      <c r="A1309" s="195"/>
      <c r="B1309" s="195" t="s">
        <v>206</v>
      </c>
      <c r="C1309"/>
      <c r="D1309" s="197" t="s">
        <v>759</v>
      </c>
      <c r="E1309" s="197"/>
      <c r="F1309" s="197"/>
      <c r="G1309" s="197"/>
      <c r="H1309" s="197"/>
      <c r="I1309" s="209"/>
    </row>
    <row r="1310" spans="1:9">
      <c r="A1310" s="195"/>
      <c r="B1310" s="195" t="s">
        <v>207</v>
      </c>
      <c r="C1310"/>
      <c r="D1310" s="197" t="s">
        <v>759</v>
      </c>
      <c r="E1310" s="197"/>
      <c r="F1310" s="197"/>
      <c r="G1310" s="197"/>
      <c r="H1310" s="197"/>
      <c r="I1310" s="209"/>
    </row>
    <row r="1311" spans="1:9">
      <c r="A1311" s="195"/>
      <c r="B1311" s="196" t="s">
        <v>222</v>
      </c>
      <c r="C1311"/>
      <c r="D1311" s="197" t="s">
        <v>366</v>
      </c>
      <c r="E1311" s="197"/>
      <c r="F1311" s="197"/>
      <c r="G1311" s="197"/>
      <c r="H1311" s="197"/>
      <c r="I1311" s="209"/>
    </row>
    <row r="1312" spans="1:9">
      <c r="A1312" s="195"/>
      <c r="B1312" s="195" t="s">
        <v>205</v>
      </c>
      <c r="C1312"/>
      <c r="D1312" s="197" t="s">
        <v>366</v>
      </c>
      <c r="E1312" s="197"/>
      <c r="F1312" s="197"/>
      <c r="G1312" s="197" t="s">
        <v>270</v>
      </c>
      <c r="H1312" s="197"/>
      <c r="I1312" s="209"/>
    </row>
    <row r="1313" spans="1:12">
      <c r="A1313" s="195"/>
      <c r="B1313" s="195" t="s">
        <v>206</v>
      </c>
      <c r="C1313"/>
      <c r="D1313" s="197" t="s">
        <v>366</v>
      </c>
      <c r="E1313" s="197"/>
      <c r="F1313" s="197"/>
      <c r="G1313" s="197" t="s">
        <v>270</v>
      </c>
      <c r="H1313" s="197"/>
      <c r="I1313" s="209"/>
    </row>
    <row r="1314" spans="1:12">
      <c r="A1314" s="195"/>
      <c r="B1314" s="195" t="s">
        <v>207</v>
      </c>
      <c r="C1314"/>
      <c r="D1314" s="197" t="s">
        <v>216</v>
      </c>
      <c r="E1314" s="197"/>
      <c r="F1314" s="197"/>
      <c r="G1314" s="197" t="s">
        <v>270</v>
      </c>
      <c r="H1314" s="197"/>
      <c r="I1314" s="209"/>
    </row>
    <row r="1315" spans="1:12">
      <c r="A1315" s="195"/>
      <c r="B1315" s="196" t="s">
        <v>223</v>
      </c>
      <c r="C1315"/>
      <c r="D1315" s="197" t="s">
        <v>216</v>
      </c>
      <c r="E1315" s="197"/>
      <c r="F1315" s="197"/>
      <c r="G1315" s="197" t="s">
        <v>270</v>
      </c>
      <c r="H1315" s="197"/>
      <c r="I1315" s="209"/>
    </row>
    <row r="1316" spans="1:12">
      <c r="A1316" s="195"/>
      <c r="B1316" s="195" t="s">
        <v>205</v>
      </c>
      <c r="C1316"/>
      <c r="D1316" s="197" t="s">
        <v>216</v>
      </c>
      <c r="E1316" s="197"/>
      <c r="F1316" s="197"/>
      <c r="G1316" s="197" t="s">
        <v>270</v>
      </c>
      <c r="H1316" s="197"/>
      <c r="I1316" s="209"/>
    </row>
    <row r="1317" spans="1:12">
      <c r="A1317" s="195"/>
      <c r="B1317" s="195" t="s">
        <v>206</v>
      </c>
      <c r="C1317"/>
      <c r="D1317" s="197" t="s">
        <v>216</v>
      </c>
      <c r="E1317" s="197"/>
      <c r="F1317" s="197"/>
      <c r="G1317" s="197" t="s">
        <v>270</v>
      </c>
      <c r="H1317" s="197"/>
      <c r="I1317" s="209"/>
    </row>
    <row r="1318" spans="1:12">
      <c r="A1318" s="195"/>
      <c r="B1318" s="195" t="s">
        <v>207</v>
      </c>
      <c r="C1318"/>
      <c r="D1318" s="197" t="s">
        <v>523</v>
      </c>
      <c r="E1318" s="197"/>
      <c r="F1318" s="197"/>
      <c r="G1318" s="197" t="s">
        <v>270</v>
      </c>
      <c r="H1318" s="197"/>
      <c r="I1318" s="209"/>
    </row>
    <row r="1319" spans="1:12">
      <c r="A1319" s="195"/>
      <c r="B1319" s="196" t="s">
        <v>225</v>
      </c>
      <c r="C1319"/>
      <c r="D1319" s="197" t="s">
        <v>523</v>
      </c>
      <c r="E1319" s="197"/>
      <c r="F1319" s="197"/>
      <c r="G1319" s="197" t="s">
        <v>270</v>
      </c>
      <c r="H1319" s="197"/>
      <c r="I1319" s="209"/>
    </row>
    <row r="1320" spans="1:12">
      <c r="A1320" s="195"/>
      <c r="B1320" s="195" t="s">
        <v>205</v>
      </c>
      <c r="C1320"/>
      <c r="D1320" s="197" t="s">
        <v>878</v>
      </c>
      <c r="E1320" s="197"/>
      <c r="F1320" s="197"/>
      <c r="G1320" s="197" t="s">
        <v>270</v>
      </c>
      <c r="H1320" s="197"/>
      <c r="I1320" s="209"/>
    </row>
    <row r="1321" spans="1:12">
      <c r="A1321" s="195"/>
      <c r="B1321" s="195" t="s">
        <v>206</v>
      </c>
      <c r="C1321"/>
      <c r="D1321" s="197" t="s">
        <v>878</v>
      </c>
      <c r="E1321" s="197"/>
      <c r="F1321" s="197"/>
      <c r="G1321" s="197" t="s">
        <v>270</v>
      </c>
      <c r="H1321" s="197"/>
      <c r="I1321" s="209"/>
    </row>
    <row r="1322" spans="1:12">
      <c r="A1322" s="195"/>
      <c r="B1322" s="195" t="s">
        <v>207</v>
      </c>
      <c r="C1322"/>
      <c r="D1322" s="197" t="s">
        <v>878</v>
      </c>
      <c r="E1322" s="197"/>
      <c r="F1322" s="197"/>
      <c r="G1322" s="197" t="s">
        <v>270</v>
      </c>
      <c r="H1322" s="197"/>
      <c r="I1322" s="209"/>
    </row>
    <row r="1323" spans="1:12">
      <c r="A1323" s="195"/>
      <c r="B1323" s="196" t="s">
        <v>226</v>
      </c>
      <c r="C1323"/>
      <c r="D1323" s="197"/>
      <c r="E1323" s="197"/>
      <c r="F1323" s="197"/>
      <c r="G1323" s="197" t="s">
        <v>270</v>
      </c>
      <c r="H1323" s="209"/>
      <c r="I1323" s="209"/>
    </row>
    <row r="1324" spans="1:12">
      <c r="A1324" s="195"/>
      <c r="B1324" s="195" t="s">
        <v>205</v>
      </c>
      <c r="C1324"/>
      <c r="D1324" s="197"/>
      <c r="E1324" s="197"/>
      <c r="F1324" s="197"/>
      <c r="G1324" s="197"/>
      <c r="H1324" s="209"/>
      <c r="I1324" s="209"/>
    </row>
    <row r="1325" spans="1:12">
      <c r="A1325" s="195"/>
      <c r="B1325" s="195" t="s">
        <v>206</v>
      </c>
      <c r="C1325"/>
      <c r="D1325" s="197"/>
      <c r="E1325" s="197"/>
      <c r="F1325" s="197"/>
      <c r="G1325" s="197"/>
      <c r="H1325" s="209"/>
      <c r="I1325" s="209"/>
    </row>
    <row r="1326" spans="1:12">
      <c r="A1326" s="195"/>
      <c r="B1326" s="195" t="s">
        <v>207</v>
      </c>
      <c r="C1326"/>
      <c r="D1326" s="197"/>
      <c r="E1326" s="197"/>
      <c r="F1326" s="197"/>
      <c r="G1326" s="197"/>
      <c r="H1326" s="209"/>
      <c r="I1326" s="209"/>
    </row>
    <row r="1327" spans="1:12">
      <c r="A1327" s="195"/>
      <c r="B1327" s="196" t="s">
        <v>227</v>
      </c>
      <c r="C1327"/>
      <c r="D1327" s="197"/>
      <c r="E1327" s="197"/>
      <c r="F1327" s="197"/>
      <c r="G1327" s="197"/>
      <c r="H1327" s="209"/>
      <c r="I1327" s="209"/>
      <c r="K1327"/>
    </row>
    <row r="1328" spans="1:12" ht="29.25" thickBot="1">
      <c r="A1328" s="182" t="str">
        <f>"回収シフト  第"&amp;ROUNDUP(DAY(B1331)/7,0)  &amp;"  "&amp;TEXT(B1331,"aaaa")</f>
        <v>回収シフト  第5  木曜日</v>
      </c>
      <c r="B1328" s="183"/>
      <c r="C1328" s="183"/>
      <c r="D1328" s="183"/>
      <c r="E1328" s="183"/>
      <c r="F1328" s="183"/>
      <c r="G1328" s="184"/>
      <c r="H1328" s="184"/>
      <c r="I1328" s="184"/>
      <c r="K1328" s="183"/>
      <c r="L1328" s="183"/>
    </row>
    <row r="1329" spans="1:12" ht="15.75" thickBot="1">
      <c r="A1329"/>
      <c r="B1329"/>
      <c r="C1329"/>
      <c r="D1329" s="186" t="s">
        <v>201</v>
      </c>
      <c r="E1329" s="186" t="s">
        <v>202</v>
      </c>
      <c r="F1329" s="186" t="s">
        <v>203</v>
      </c>
      <c r="G1329" s="186" t="s">
        <v>204</v>
      </c>
      <c r="H1329" s="186" t="s">
        <v>267</v>
      </c>
      <c r="I1329" s="217" t="s">
        <v>267</v>
      </c>
      <c r="K1329" s="230" t="s">
        <v>257</v>
      </c>
      <c r="L1329" s="231"/>
    </row>
    <row r="1330" spans="1:12">
      <c r="A1330" s="187"/>
      <c r="B1330" s="188">
        <v>46119</v>
      </c>
      <c r="C1330" s="187"/>
      <c r="D1330" s="189" t="s">
        <v>863</v>
      </c>
      <c r="E1330" s="189" t="s">
        <v>910</v>
      </c>
      <c r="F1330" s="189" t="s">
        <v>276</v>
      </c>
      <c r="G1330" s="189" t="s">
        <v>857</v>
      </c>
      <c r="H1330" s="189" t="s">
        <v>852</v>
      </c>
      <c r="I1330" s="218" t="s">
        <v>852</v>
      </c>
      <c r="K1330" s="232" t="s">
        <v>258</v>
      </c>
      <c r="L1330" s="190" t="str">
        <f ca="1">_xlfn.XLOOKUP($B1331,シフト抽出!$19:$19,シフト抽出!$20:$20,"該当なし",0,1)</f>
        <v/>
      </c>
    </row>
    <row r="1331" spans="1:12" ht="19.5" thickBot="1">
      <c r="A1331"/>
      <c r="B1331" s="191">
        <f>B1278+1</f>
        <v>46142</v>
      </c>
      <c r="C1331" s="192"/>
      <c r="D1331" s="193"/>
      <c r="E1331" s="193"/>
      <c r="F1331" s="193"/>
      <c r="G1331" s="193"/>
      <c r="H1331" s="193"/>
      <c r="I1331" s="219"/>
      <c r="K1331" s="233"/>
      <c r="L1331" s="194" t="str">
        <f ca="1">_xlfn.XLOOKUP($B1331,シフト抽出!$19:$19,シフト抽出!$21:$21,"該当なし",0,1)</f>
        <v/>
      </c>
    </row>
    <row r="1332" spans="1:12">
      <c r="A1332" s="195"/>
      <c r="B1332" s="196">
        <v>0.25</v>
      </c>
      <c r="C1332"/>
      <c r="D1332" s="197"/>
      <c r="E1332" s="196"/>
      <c r="F1332" s="197"/>
      <c r="G1332" s="197"/>
      <c r="H1332" s="197"/>
      <c r="I1332" s="209"/>
      <c r="K1332" s="234" t="s">
        <v>259</v>
      </c>
      <c r="L1332" s="198" t="str">
        <f ca="1">_xlfn.XLOOKUP($B1331,シフト抽出!$19:$19,シフト抽出!$23:$23,"該当なし",0,1)</f>
        <v/>
      </c>
    </row>
    <row r="1333" spans="1:12" ht="15.75" thickBot="1">
      <c r="A1333" s="195"/>
      <c r="B1333" s="195" t="s">
        <v>205</v>
      </c>
      <c r="C1333"/>
      <c r="D1333" s="197"/>
      <c r="E1333" s="197"/>
      <c r="F1333" s="197"/>
      <c r="G1333" s="197"/>
      <c r="H1333" s="197"/>
      <c r="I1333" s="209"/>
      <c r="K1333" s="235"/>
      <c r="L1333" s="199" t="str">
        <f ca="1">_xlfn.XLOOKUP($B1331,シフト抽出!$19:$19,シフト抽出!$24:$24,"該当なし",0,1)</f>
        <v/>
      </c>
    </row>
    <row r="1334" spans="1:12">
      <c r="A1334" s="195"/>
      <c r="B1334" s="195" t="s">
        <v>206</v>
      </c>
      <c r="C1334"/>
      <c r="D1334" s="197"/>
      <c r="E1334" s="197" t="s">
        <v>913</v>
      </c>
      <c r="F1334" s="197"/>
      <c r="G1334" s="197"/>
      <c r="H1334" s="197"/>
      <c r="I1334" s="209"/>
      <c r="K1334" s="224" t="s">
        <v>260</v>
      </c>
      <c r="L1334" s="200" t="str">
        <f ca="1">_xlfn.XLOOKUP($B1331,シフト抽出!$19:$19,シフト抽出!$26:$26,"該当なし",0,1)</f>
        <v/>
      </c>
    </row>
    <row r="1335" spans="1:12">
      <c r="A1335" s="195"/>
      <c r="B1335" s="195" t="s">
        <v>207</v>
      </c>
      <c r="C1335"/>
      <c r="D1335" s="197"/>
      <c r="E1335" s="197"/>
      <c r="F1335" s="197"/>
      <c r="G1335" s="197"/>
      <c r="H1335" s="197"/>
      <c r="I1335" s="209"/>
      <c r="K1335" s="225"/>
      <c r="L1335" s="201" t="str">
        <f ca="1">_xlfn.XLOOKUP($B1331,シフト抽出!$19:$19,シフト抽出!$27:$27,"該当なし",0,1)</f>
        <v/>
      </c>
    </row>
    <row r="1336" spans="1:12">
      <c r="A1336" s="195"/>
      <c r="B1336" s="202" t="s">
        <v>208</v>
      </c>
      <c r="C1336"/>
      <c r="D1336" s="197" t="s">
        <v>4</v>
      </c>
      <c r="E1336" s="197" t="s">
        <v>4</v>
      </c>
      <c r="F1336" s="197"/>
      <c r="G1336" s="197" t="s">
        <v>4</v>
      </c>
      <c r="H1336" s="197"/>
      <c r="I1336" s="209"/>
      <c r="J1336" s="203"/>
      <c r="K1336" s="225"/>
      <c r="L1336" s="201" t="str">
        <f ca="1">_xlfn.XLOOKUP($B1331,シフト抽出!$19:$19,シフト抽出!$28:$28,"該当なし",0,1)</f>
        <v/>
      </c>
    </row>
    <row r="1337" spans="1:12" ht="15.75" thickBot="1">
      <c r="A1337" s="195"/>
      <c r="B1337" s="195" t="s">
        <v>205</v>
      </c>
      <c r="C1337"/>
      <c r="D1337" s="197" t="s">
        <v>851</v>
      </c>
      <c r="E1337" s="197" t="s">
        <v>421</v>
      </c>
      <c r="F1337" s="197"/>
      <c r="G1337" s="197" t="s">
        <v>22</v>
      </c>
      <c r="H1337" s="197"/>
      <c r="I1337" s="209"/>
      <c r="J1337" s="203"/>
      <c r="K1337" s="226"/>
      <c r="L1337" s="204" t="str">
        <f ca="1">_xlfn.XLOOKUP($B1331,シフト抽出!$19:$19,シフト抽出!$29:$29,"該当なし",0,1)</f>
        <v/>
      </c>
    </row>
    <row r="1338" spans="1:12" ht="15.75" thickBot="1">
      <c r="A1338" s="195"/>
      <c r="B1338" s="195" t="s">
        <v>206</v>
      </c>
      <c r="C1338"/>
      <c r="D1338" s="197" t="s">
        <v>851</v>
      </c>
      <c r="E1338" s="197" t="s">
        <v>421</v>
      </c>
      <c r="F1338" s="197"/>
      <c r="G1338" s="197" t="s">
        <v>22</v>
      </c>
      <c r="H1338" s="197"/>
      <c r="I1338" s="209"/>
      <c r="K1338" s="205" t="s">
        <v>261</v>
      </c>
      <c r="L1338" s="205">
        <f>_xlfn.XLOOKUP($B1331,予定表!B:B,予定表!R:R,"該当なし",0,1)</f>
        <v>0</v>
      </c>
    </row>
    <row r="1339" spans="1:12">
      <c r="A1339" s="195"/>
      <c r="B1339" s="195" t="s">
        <v>207</v>
      </c>
      <c r="C1339"/>
      <c r="D1339" s="197" t="s">
        <v>851</v>
      </c>
      <c r="E1339" s="197" t="s">
        <v>421</v>
      </c>
      <c r="F1339" s="197"/>
      <c r="G1339" s="197" t="s">
        <v>22</v>
      </c>
      <c r="H1339" s="197"/>
      <c r="I1339" s="209"/>
      <c r="K1339" s="227" t="s">
        <v>262</v>
      </c>
      <c r="L1339" s="206" t="str">
        <f>_xlfn.XLOOKUP($B1331,予定表!$B:$B,予定表!E:E,"該当なし",0,1)</f>
        <v>イシダ制作所</v>
      </c>
    </row>
    <row r="1340" spans="1:12">
      <c r="A1340" s="195"/>
      <c r="B1340" s="196" t="s">
        <v>209</v>
      </c>
      <c r="C1340"/>
      <c r="D1340" s="197" t="s">
        <v>851</v>
      </c>
      <c r="E1340" s="197" t="s">
        <v>421</v>
      </c>
      <c r="F1340" s="197" t="s">
        <v>510</v>
      </c>
      <c r="G1340" s="197" t="s">
        <v>22</v>
      </c>
      <c r="H1340" s="197" t="s">
        <v>510</v>
      </c>
      <c r="I1340" s="209" t="s">
        <v>510</v>
      </c>
      <c r="K1340" s="228"/>
      <c r="L1340" s="207" t="str">
        <f>_xlfn.XLOOKUP($B1331,予定表!$B:$B,予定表!F:F,"該当なし",0,1)</f>
        <v>ディーミング</v>
      </c>
    </row>
    <row r="1341" spans="1:12">
      <c r="A1341" s="195"/>
      <c r="B1341" s="195" t="s">
        <v>205</v>
      </c>
      <c r="C1341"/>
      <c r="D1341" s="197" t="s">
        <v>214</v>
      </c>
      <c r="E1341" s="197" t="s">
        <v>421</v>
      </c>
      <c r="F1341" s="197" t="s">
        <v>510</v>
      </c>
      <c r="G1341" s="197" t="s">
        <v>268</v>
      </c>
      <c r="H1341" s="197" t="s">
        <v>510</v>
      </c>
      <c r="I1341" s="209" t="s">
        <v>510</v>
      </c>
      <c r="K1341" s="228"/>
      <c r="L1341" s="207">
        <f>_xlfn.XLOOKUP($B1331,予定表!$B:$B,予定表!G:G,"該当なし",0,1)</f>
        <v>0</v>
      </c>
    </row>
    <row r="1342" spans="1:12">
      <c r="A1342" s="195"/>
      <c r="B1342" s="195" t="s">
        <v>206</v>
      </c>
      <c r="C1342"/>
      <c r="D1342" s="197" t="s">
        <v>214</v>
      </c>
      <c r="E1342" s="197" t="s">
        <v>273</v>
      </c>
      <c r="F1342" s="197" t="s">
        <v>510</v>
      </c>
      <c r="G1342" s="197" t="s">
        <v>268</v>
      </c>
      <c r="H1342" s="197" t="s">
        <v>510</v>
      </c>
      <c r="I1342" s="209" t="s">
        <v>510</v>
      </c>
      <c r="K1342" s="228"/>
      <c r="L1342" s="207" t="str">
        <f>_xlfn.XLOOKUP($B1331,予定表!$B:$B,予定表!H:H,"該当なし",0,1)</f>
        <v>富士ロジ三田</v>
      </c>
    </row>
    <row r="1343" spans="1:12">
      <c r="A1343" s="195"/>
      <c r="B1343" s="195" t="s">
        <v>207</v>
      </c>
      <c r="C1343"/>
      <c r="D1343" s="197" t="s">
        <v>214</v>
      </c>
      <c r="E1343" s="197" t="s">
        <v>273</v>
      </c>
      <c r="F1343" s="197" t="s">
        <v>510</v>
      </c>
      <c r="G1343" s="197" t="s">
        <v>268</v>
      </c>
      <c r="H1343" s="197" t="s">
        <v>510</v>
      </c>
      <c r="I1343" s="209" t="s">
        <v>510</v>
      </c>
      <c r="K1343" s="228"/>
      <c r="L1343" s="207" t="str">
        <f>_xlfn.XLOOKUP($B1331,予定表!$B:$B,予定表!I:I,"該当なし",0,1)</f>
        <v/>
      </c>
    </row>
    <row r="1344" spans="1:12">
      <c r="A1344" s="195"/>
      <c r="B1344" s="196" t="s">
        <v>212</v>
      </c>
      <c r="C1344"/>
      <c r="D1344" s="197" t="s">
        <v>761</v>
      </c>
      <c r="E1344" s="197" t="s">
        <v>273</v>
      </c>
      <c r="F1344" s="197" t="s">
        <v>510</v>
      </c>
      <c r="G1344" s="197" t="s">
        <v>268</v>
      </c>
      <c r="H1344" s="197" t="s">
        <v>510</v>
      </c>
      <c r="I1344" s="209" t="s">
        <v>510</v>
      </c>
      <c r="K1344" s="228"/>
      <c r="L1344" s="207" t="str">
        <f>_xlfn.XLOOKUP($B1331,予定表!$B:$B,予定表!J:J,"該当なし",0,1)</f>
        <v/>
      </c>
    </row>
    <row r="1345" spans="1:12">
      <c r="A1345" s="195"/>
      <c r="B1345" s="195" t="s">
        <v>205</v>
      </c>
      <c r="C1345"/>
      <c r="D1345" s="197" t="s">
        <v>761</v>
      </c>
      <c r="E1345" s="197" t="s">
        <v>228</v>
      </c>
      <c r="F1345" s="197" t="s">
        <v>510</v>
      </c>
      <c r="G1345" s="197" t="s">
        <v>268</v>
      </c>
      <c r="H1345" s="197" t="s">
        <v>510</v>
      </c>
      <c r="I1345" s="209" t="s">
        <v>510</v>
      </c>
      <c r="K1345" s="228"/>
      <c r="L1345" s="207" t="str">
        <f>_xlfn.XLOOKUP($B1331,予定表!$B:$B,予定表!K:K,"該当なし",0,1)</f>
        <v/>
      </c>
    </row>
    <row r="1346" spans="1:12">
      <c r="A1346" s="195"/>
      <c r="B1346" s="195" t="s">
        <v>206</v>
      </c>
      <c r="C1346"/>
      <c r="D1346" s="197" t="s">
        <v>761</v>
      </c>
      <c r="E1346" s="197" t="s">
        <v>228</v>
      </c>
      <c r="F1346" s="197" t="s">
        <v>510</v>
      </c>
      <c r="G1346" s="197" t="s">
        <v>268</v>
      </c>
      <c r="H1346" s="197" t="s">
        <v>510</v>
      </c>
      <c r="I1346" s="209" t="s">
        <v>510</v>
      </c>
      <c r="K1346" s="228"/>
      <c r="L1346" s="207" t="str">
        <f>_xlfn.XLOOKUP($B1331,予定表!$B:$B,予定表!L:L,"該当なし",0,1)</f>
        <v/>
      </c>
    </row>
    <row r="1347" spans="1:12" ht="15.75" thickBot="1">
      <c r="A1347" s="195"/>
      <c r="B1347" s="195" t="s">
        <v>207</v>
      </c>
      <c r="C1347"/>
      <c r="D1347" s="197" t="s">
        <v>761</v>
      </c>
      <c r="E1347" s="197" t="s">
        <v>228</v>
      </c>
      <c r="F1347" s="197" t="s">
        <v>510</v>
      </c>
      <c r="G1347" s="197" t="s">
        <v>268</v>
      </c>
      <c r="H1347" s="197" t="s">
        <v>510</v>
      </c>
      <c r="I1347" s="209" t="s">
        <v>510</v>
      </c>
      <c r="K1347" s="229"/>
      <c r="L1347" s="204" t="str">
        <f>_xlfn.XLOOKUP($A1328,ﾘｽﾄマスタ!$U$8:$U$17,ﾘｽﾄマスタ!$V$8:$V$17,"",0)</f>
        <v/>
      </c>
    </row>
    <row r="1348" spans="1:12" ht="15.75" thickBot="1">
      <c r="A1348" s="195"/>
      <c r="B1348" s="196" t="s">
        <v>251</v>
      </c>
      <c r="C1348"/>
      <c r="D1348" s="197" t="s">
        <v>416</v>
      </c>
      <c r="E1348" s="197" t="s">
        <v>228</v>
      </c>
      <c r="F1348" s="197" t="s">
        <v>510</v>
      </c>
      <c r="G1348" s="197" t="s">
        <v>268</v>
      </c>
      <c r="H1348" s="197" t="s">
        <v>510</v>
      </c>
      <c r="I1348" s="209" t="s">
        <v>510</v>
      </c>
      <c r="K1348" s="208" t="s">
        <v>277</v>
      </c>
      <c r="L1348" s="208" t="str">
        <f ca="1">_xlfn.XLOOKUP($B1331,シフト抽出!$19:$19,シフト抽出!$30:$30,"該当なし",0,1)</f>
        <v/>
      </c>
    </row>
    <row r="1349" spans="1:12">
      <c r="A1349" s="195"/>
      <c r="B1349" s="195" t="s">
        <v>205</v>
      </c>
      <c r="C1349"/>
      <c r="D1349" s="197" t="s">
        <v>771</v>
      </c>
      <c r="E1349" s="197" t="s">
        <v>228</v>
      </c>
      <c r="F1349" s="197" t="s">
        <v>510</v>
      </c>
      <c r="G1349" s="197" t="s">
        <v>169</v>
      </c>
      <c r="H1349" s="197" t="s">
        <v>510</v>
      </c>
      <c r="I1349" s="209" t="s">
        <v>510</v>
      </c>
    </row>
    <row r="1350" spans="1:12">
      <c r="A1350" s="195"/>
      <c r="B1350" s="195" t="s">
        <v>206</v>
      </c>
      <c r="C1350"/>
      <c r="D1350" s="197" t="s">
        <v>416</v>
      </c>
      <c r="E1350" s="197" t="s">
        <v>263</v>
      </c>
      <c r="F1350" s="197"/>
      <c r="G1350" s="197" t="s">
        <v>169</v>
      </c>
      <c r="H1350" s="197"/>
      <c r="I1350" s="209"/>
    </row>
    <row r="1351" spans="1:12">
      <c r="A1351" s="195"/>
      <c r="B1351" s="195" t="s">
        <v>207</v>
      </c>
      <c r="C1351"/>
      <c r="D1351" s="197" t="s">
        <v>416</v>
      </c>
      <c r="E1351" s="197" t="s">
        <v>263</v>
      </c>
      <c r="F1351" s="197" t="s">
        <v>51</v>
      </c>
      <c r="G1351" s="197" t="s">
        <v>169</v>
      </c>
      <c r="H1351" s="197"/>
      <c r="I1351" s="209"/>
    </row>
    <row r="1352" spans="1:12">
      <c r="A1352" s="195"/>
      <c r="B1352" s="196" t="s">
        <v>217</v>
      </c>
      <c r="C1352"/>
      <c r="D1352" s="197" t="s">
        <v>416</v>
      </c>
      <c r="E1352" s="197" t="s">
        <v>263</v>
      </c>
      <c r="F1352" s="197" t="s">
        <v>51</v>
      </c>
      <c r="G1352" s="197" t="s">
        <v>169</v>
      </c>
      <c r="H1352" s="197"/>
      <c r="I1352" s="209"/>
    </row>
    <row r="1353" spans="1:12">
      <c r="A1353" s="195"/>
      <c r="B1353" s="195" t="s">
        <v>205</v>
      </c>
      <c r="C1353"/>
      <c r="D1353" s="197" t="s">
        <v>416</v>
      </c>
      <c r="E1353" s="197" t="s">
        <v>848</v>
      </c>
      <c r="F1353" s="197" t="s">
        <v>51</v>
      </c>
      <c r="G1353" s="197" t="s">
        <v>169</v>
      </c>
      <c r="H1353" s="197"/>
      <c r="I1353" s="209"/>
    </row>
    <row r="1354" spans="1:12">
      <c r="A1354" s="195"/>
      <c r="B1354" s="195" t="s">
        <v>206</v>
      </c>
      <c r="C1354"/>
      <c r="D1354" s="197"/>
      <c r="E1354" s="197" t="s">
        <v>848</v>
      </c>
      <c r="F1354" s="197" t="s">
        <v>51</v>
      </c>
      <c r="G1354" s="197" t="s">
        <v>278</v>
      </c>
      <c r="H1354" s="197"/>
      <c r="I1354" s="209"/>
    </row>
    <row r="1355" spans="1:12">
      <c r="A1355" s="195"/>
      <c r="B1355" s="195" t="s">
        <v>207</v>
      </c>
      <c r="C1355"/>
      <c r="D1355" s="197"/>
      <c r="E1355" s="197" t="s">
        <v>848</v>
      </c>
      <c r="F1355" s="197" t="s">
        <v>51</v>
      </c>
      <c r="G1355" s="197" t="s">
        <v>278</v>
      </c>
      <c r="H1355" s="197"/>
      <c r="I1355" s="209"/>
    </row>
    <row r="1356" spans="1:12">
      <c r="A1356" s="195"/>
      <c r="B1356" s="196" t="s">
        <v>219</v>
      </c>
      <c r="C1356"/>
      <c r="D1356" s="197"/>
      <c r="E1356" s="197" t="s">
        <v>848</v>
      </c>
      <c r="F1356" s="197"/>
      <c r="G1356" s="197"/>
      <c r="H1356" s="197"/>
      <c r="I1356" s="209"/>
    </row>
    <row r="1357" spans="1:12">
      <c r="A1357" s="195"/>
      <c r="B1357" s="195" t="s">
        <v>205</v>
      </c>
      <c r="C1357"/>
      <c r="D1357" s="197"/>
      <c r="E1357" s="197" t="s">
        <v>848</v>
      </c>
      <c r="F1357" s="197"/>
      <c r="G1357" s="197"/>
      <c r="H1357" s="197"/>
      <c r="I1357" s="209"/>
    </row>
    <row r="1358" spans="1:12">
      <c r="A1358" s="195"/>
      <c r="B1358" s="195" t="s">
        <v>206</v>
      </c>
      <c r="C1358"/>
      <c r="D1358" s="197"/>
      <c r="E1358" s="197"/>
      <c r="F1358" s="197"/>
      <c r="G1358" s="197"/>
      <c r="H1358" s="197"/>
      <c r="I1358" s="209"/>
    </row>
    <row r="1359" spans="1:12">
      <c r="A1359" s="195"/>
      <c r="B1359" s="195" t="s">
        <v>207</v>
      </c>
      <c r="C1359"/>
      <c r="D1359" s="197"/>
      <c r="E1359" s="197"/>
      <c r="F1359" s="197"/>
      <c r="G1359" s="197"/>
      <c r="H1359" s="197"/>
      <c r="I1359" s="209"/>
    </row>
    <row r="1360" spans="1:12">
      <c r="A1360" s="195"/>
      <c r="B1360" s="196" t="s">
        <v>220</v>
      </c>
      <c r="C1360"/>
      <c r="D1360" s="197"/>
      <c r="E1360" s="197"/>
      <c r="F1360" s="197"/>
      <c r="G1360" s="197"/>
      <c r="H1360" s="197"/>
      <c r="I1360" s="209"/>
    </row>
    <row r="1361" spans="1:9">
      <c r="A1361" s="195"/>
      <c r="B1361" s="195" t="s">
        <v>205</v>
      </c>
      <c r="C1361"/>
      <c r="D1361" s="197" t="s">
        <v>129</v>
      </c>
      <c r="E1361" s="197" t="s">
        <v>95</v>
      </c>
      <c r="F1361" s="197" t="s">
        <v>160</v>
      </c>
      <c r="G1361" s="197" t="s">
        <v>56</v>
      </c>
      <c r="H1361" s="197" t="s">
        <v>230</v>
      </c>
      <c r="I1361" s="209" t="s">
        <v>230</v>
      </c>
    </row>
    <row r="1362" spans="1:9">
      <c r="A1362" s="195"/>
      <c r="B1362" s="195" t="s">
        <v>206</v>
      </c>
      <c r="C1362"/>
      <c r="D1362" s="197" t="s">
        <v>129</v>
      </c>
      <c r="E1362" s="197" t="s">
        <v>95</v>
      </c>
      <c r="F1362" s="197" t="s">
        <v>160</v>
      </c>
      <c r="G1362" s="197" t="s">
        <v>56</v>
      </c>
      <c r="H1362" s="197" t="s">
        <v>230</v>
      </c>
      <c r="I1362" s="209" t="s">
        <v>230</v>
      </c>
    </row>
    <row r="1363" spans="1:9">
      <c r="A1363" s="195"/>
      <c r="B1363" s="195" t="s">
        <v>207</v>
      </c>
      <c r="C1363"/>
      <c r="D1363" s="197" t="s">
        <v>129</v>
      </c>
      <c r="E1363" s="197" t="s">
        <v>95</v>
      </c>
      <c r="F1363" s="197" t="s">
        <v>252</v>
      </c>
      <c r="G1363" s="197" t="s">
        <v>56</v>
      </c>
      <c r="H1363" s="197" t="s">
        <v>230</v>
      </c>
      <c r="I1363" s="209" t="s">
        <v>230</v>
      </c>
    </row>
    <row r="1364" spans="1:9">
      <c r="A1364" s="195"/>
      <c r="B1364" s="196" t="s">
        <v>222</v>
      </c>
      <c r="C1364"/>
      <c r="D1364" s="197" t="s">
        <v>129</v>
      </c>
      <c r="E1364" s="197" t="s">
        <v>95</v>
      </c>
      <c r="F1364" s="197" t="s">
        <v>252</v>
      </c>
      <c r="G1364" s="197" t="s">
        <v>56</v>
      </c>
      <c r="H1364" s="197" t="s">
        <v>229</v>
      </c>
      <c r="I1364" s="209" t="s">
        <v>229</v>
      </c>
    </row>
    <row r="1365" spans="1:9">
      <c r="A1365" s="195"/>
      <c r="B1365" s="195" t="s">
        <v>205</v>
      </c>
      <c r="C1365"/>
      <c r="D1365" s="197" t="s">
        <v>129</v>
      </c>
      <c r="E1365" s="197" t="s">
        <v>95</v>
      </c>
      <c r="F1365" s="197" t="s">
        <v>252</v>
      </c>
      <c r="G1365" s="197"/>
      <c r="H1365" s="197" t="s">
        <v>229</v>
      </c>
      <c r="I1365" s="209" t="s">
        <v>229</v>
      </c>
    </row>
    <row r="1366" spans="1:9">
      <c r="A1366" s="195"/>
      <c r="B1366" s="195" t="s">
        <v>206</v>
      </c>
      <c r="C1366"/>
      <c r="D1366" s="197"/>
      <c r="E1366" s="197" t="s">
        <v>95</v>
      </c>
      <c r="F1366" s="197" t="s">
        <v>252</v>
      </c>
      <c r="G1366" s="197" t="s">
        <v>270</v>
      </c>
      <c r="H1366" s="197" t="s">
        <v>848</v>
      </c>
      <c r="I1366" s="209" t="s">
        <v>848</v>
      </c>
    </row>
    <row r="1367" spans="1:9">
      <c r="A1367" s="195"/>
      <c r="B1367" s="195" t="s">
        <v>207</v>
      </c>
      <c r="C1367"/>
      <c r="D1367" s="197" t="s">
        <v>515</v>
      </c>
      <c r="E1367" s="197" t="s">
        <v>95</v>
      </c>
      <c r="F1367" s="197" t="s">
        <v>252</v>
      </c>
      <c r="G1367" s="197" t="s">
        <v>270</v>
      </c>
      <c r="H1367" s="197" t="s">
        <v>848</v>
      </c>
      <c r="I1367" s="209" t="s">
        <v>848</v>
      </c>
    </row>
    <row r="1368" spans="1:9">
      <c r="A1368" s="195"/>
      <c r="B1368" s="196" t="s">
        <v>223</v>
      </c>
      <c r="C1368"/>
      <c r="D1368" s="197" t="s">
        <v>515</v>
      </c>
      <c r="E1368" s="197" t="s">
        <v>95</v>
      </c>
      <c r="F1368" s="197" t="s">
        <v>252</v>
      </c>
      <c r="G1368" s="197" t="s">
        <v>270</v>
      </c>
      <c r="H1368" s="197" t="s">
        <v>848</v>
      </c>
      <c r="I1368" s="209" t="s">
        <v>848</v>
      </c>
    </row>
    <row r="1369" spans="1:9">
      <c r="A1369" s="195"/>
      <c r="B1369" s="195" t="s">
        <v>205</v>
      </c>
      <c r="C1369"/>
      <c r="D1369" s="197" t="s">
        <v>269</v>
      </c>
      <c r="E1369" s="197" t="s">
        <v>95</v>
      </c>
      <c r="F1369" s="197" t="s">
        <v>252</v>
      </c>
      <c r="G1369" s="197" t="s">
        <v>270</v>
      </c>
      <c r="H1369" s="197" t="s">
        <v>848</v>
      </c>
      <c r="I1369" s="209" t="s">
        <v>848</v>
      </c>
    </row>
    <row r="1370" spans="1:9">
      <c r="A1370" s="195"/>
      <c r="B1370" s="195" t="s">
        <v>206</v>
      </c>
      <c r="C1370"/>
      <c r="D1370" s="197" t="s">
        <v>269</v>
      </c>
      <c r="E1370" s="197" t="s">
        <v>95</v>
      </c>
      <c r="F1370" s="197" t="s">
        <v>252</v>
      </c>
      <c r="G1370" s="197" t="s">
        <v>270</v>
      </c>
      <c r="H1370" s="197" t="s">
        <v>848</v>
      </c>
      <c r="I1370" s="209" t="s">
        <v>848</v>
      </c>
    </row>
    <row r="1371" spans="1:9">
      <c r="A1371" s="195"/>
      <c r="B1371" s="195" t="s">
        <v>207</v>
      </c>
      <c r="C1371"/>
      <c r="D1371" s="197" t="s">
        <v>362</v>
      </c>
      <c r="E1371" s="197" t="s">
        <v>95</v>
      </c>
      <c r="F1371" s="197" t="s">
        <v>252</v>
      </c>
      <c r="G1371" s="197" t="s">
        <v>270</v>
      </c>
      <c r="H1371" s="197"/>
      <c r="I1371" s="209"/>
    </row>
    <row r="1372" spans="1:9">
      <c r="A1372" s="195"/>
      <c r="B1372" s="196" t="s">
        <v>225</v>
      </c>
      <c r="C1372"/>
      <c r="D1372" s="197" t="s">
        <v>237</v>
      </c>
      <c r="E1372" s="197" t="s">
        <v>95</v>
      </c>
      <c r="F1372" s="197"/>
      <c r="G1372" s="197" t="s">
        <v>270</v>
      </c>
      <c r="H1372" s="197"/>
      <c r="I1372" s="209"/>
    </row>
    <row r="1373" spans="1:9">
      <c r="A1373" s="195"/>
      <c r="B1373" s="195" t="s">
        <v>205</v>
      </c>
      <c r="C1373"/>
      <c r="D1373" s="197" t="s">
        <v>236</v>
      </c>
      <c r="E1373" s="197" t="s">
        <v>95</v>
      </c>
      <c r="F1373" s="197"/>
      <c r="G1373" s="197" t="s">
        <v>270</v>
      </c>
      <c r="H1373" s="209"/>
      <c r="I1373" s="209"/>
    </row>
    <row r="1374" spans="1:9">
      <c r="A1374" s="195"/>
      <c r="B1374" s="195" t="s">
        <v>206</v>
      </c>
      <c r="C1374"/>
      <c r="D1374" s="197" t="s">
        <v>193</v>
      </c>
      <c r="E1374" s="197" t="s">
        <v>95</v>
      </c>
      <c r="F1374" s="197"/>
      <c r="G1374" s="197" t="s">
        <v>270</v>
      </c>
      <c r="H1374" s="209"/>
      <c r="I1374" s="209"/>
    </row>
    <row r="1375" spans="1:9">
      <c r="A1375" s="195"/>
      <c r="B1375" s="195" t="s">
        <v>207</v>
      </c>
      <c r="C1375"/>
      <c r="D1375" s="197"/>
      <c r="E1375" s="197"/>
      <c r="F1375" s="197"/>
      <c r="G1375" s="197" t="s">
        <v>270</v>
      </c>
      <c r="H1375" s="209"/>
      <c r="I1375" s="209"/>
    </row>
    <row r="1376" spans="1:9">
      <c r="A1376" s="195"/>
      <c r="B1376" s="196" t="s">
        <v>226</v>
      </c>
      <c r="C1376"/>
      <c r="D1376" s="197"/>
      <c r="E1376" s="197"/>
      <c r="F1376" s="197"/>
      <c r="G1376" s="197"/>
      <c r="H1376" s="209"/>
      <c r="I1376" s="209"/>
    </row>
    <row r="1377" spans="1:12">
      <c r="A1377" s="195"/>
      <c r="B1377" s="195" t="s">
        <v>205</v>
      </c>
      <c r="C1377"/>
      <c r="D1377" s="197"/>
      <c r="E1377" s="197"/>
      <c r="F1377" s="197"/>
      <c r="G1377" s="197"/>
      <c r="H1377" s="209"/>
      <c r="I1377" s="209"/>
    </row>
    <row r="1378" spans="1:12">
      <c r="A1378" s="195"/>
      <c r="B1378" s="195" t="s">
        <v>206</v>
      </c>
      <c r="C1378"/>
      <c r="D1378" s="197"/>
      <c r="E1378" s="197"/>
      <c r="F1378" s="197"/>
      <c r="G1378" s="197"/>
      <c r="H1378" s="209"/>
      <c r="I1378" s="209"/>
    </row>
    <row r="1379" spans="1:12">
      <c r="A1379" s="195"/>
      <c r="B1379" s="195" t="s">
        <v>207</v>
      </c>
      <c r="C1379"/>
      <c r="D1379" s="197"/>
      <c r="E1379" s="197"/>
      <c r="F1379" s="197"/>
      <c r="G1379" s="197"/>
      <c r="H1379" s="209"/>
      <c r="I1379" s="209"/>
    </row>
    <row r="1380" spans="1:12">
      <c r="A1380" s="195"/>
      <c r="B1380" s="196" t="s">
        <v>227</v>
      </c>
      <c r="C1380"/>
      <c r="D1380" s="197"/>
      <c r="E1380" s="197"/>
      <c r="F1380" s="197"/>
      <c r="G1380" s="197"/>
      <c r="H1380" s="209"/>
      <c r="I1380" s="209"/>
      <c r="K1380"/>
    </row>
    <row r="1381" spans="1:12" ht="29.25" thickBot="1">
      <c r="A1381" s="182" t="str">
        <f>"回収シフト  第"&amp;ROUNDUP(DAY(B1384)/7,0)  &amp;"  "&amp;TEXT(B1384,"aaaa")</f>
        <v>回収シフト  第1  金曜日</v>
      </c>
      <c r="B1381" s="183"/>
      <c r="C1381" s="183"/>
      <c r="D1381" s="183"/>
      <c r="E1381" s="183"/>
      <c r="F1381" s="183"/>
      <c r="G1381" s="184"/>
      <c r="H1381" s="184"/>
      <c r="I1381" s="184"/>
      <c r="K1381" s="183"/>
      <c r="L1381" s="183"/>
    </row>
    <row r="1382" spans="1:12" ht="15.75" thickBot="1">
      <c r="A1382"/>
      <c r="B1382"/>
      <c r="C1382"/>
      <c r="D1382" s="186" t="s">
        <v>201</v>
      </c>
      <c r="E1382" s="186" t="s">
        <v>202</v>
      </c>
      <c r="F1382" s="186" t="s">
        <v>203</v>
      </c>
      <c r="G1382" s="186" t="s">
        <v>204</v>
      </c>
      <c r="H1382" s="186" t="s">
        <v>267</v>
      </c>
      <c r="I1382" s="217" t="s">
        <v>267</v>
      </c>
      <c r="K1382" s="230" t="s">
        <v>257</v>
      </c>
      <c r="L1382" s="231"/>
    </row>
    <row r="1383" spans="1:12">
      <c r="A1383" s="187"/>
      <c r="B1383" s="188">
        <v>46119</v>
      </c>
      <c r="C1383" s="187"/>
      <c r="D1383" s="189" t="s">
        <v>858</v>
      </c>
      <c r="E1383" s="189" t="s">
        <v>917</v>
      </c>
      <c r="F1383" s="189" t="s">
        <v>360</v>
      </c>
      <c r="G1383" s="189" t="s">
        <v>857</v>
      </c>
      <c r="H1383" s="189" t="s">
        <v>852</v>
      </c>
      <c r="I1383" s="218" t="s">
        <v>852</v>
      </c>
      <c r="K1383" s="232" t="s">
        <v>258</v>
      </c>
      <c r="L1383" s="190" t="str">
        <f ca="1">_xlfn.XLOOKUP($B1384,シフト抽出!$19:$19,シフト抽出!$20:$20,"該当なし",0,1)</f>
        <v/>
      </c>
    </row>
    <row r="1384" spans="1:12" ht="19.5" thickBot="1">
      <c r="A1384"/>
      <c r="B1384" s="191">
        <f>B1331+1</f>
        <v>46143</v>
      </c>
      <c r="C1384" s="192"/>
      <c r="D1384" s="193"/>
      <c r="E1384" s="193"/>
      <c r="F1384" s="193"/>
      <c r="G1384" s="193"/>
      <c r="H1384" s="193"/>
      <c r="I1384" s="219"/>
      <c r="K1384" s="233"/>
      <c r="L1384" s="194" t="str">
        <f ca="1">_xlfn.XLOOKUP($B1384,シフト抽出!$19:$19,シフト抽出!$21:$21,"該当なし",0,1)</f>
        <v/>
      </c>
    </row>
    <row r="1385" spans="1:12">
      <c r="A1385" s="195"/>
      <c r="B1385" s="196">
        <v>0.25</v>
      </c>
      <c r="C1385"/>
      <c r="D1385" s="197"/>
      <c r="E1385" s="196"/>
      <c r="F1385" s="197"/>
      <c r="G1385" s="197"/>
      <c r="H1385" s="197"/>
      <c r="I1385" s="209"/>
      <c r="K1385" s="234" t="s">
        <v>259</v>
      </c>
      <c r="L1385" s="198" t="str">
        <f ca="1">_xlfn.XLOOKUP($B1384,シフト抽出!$19:$19,シフト抽出!$23:$23,"該当なし",0,1)</f>
        <v/>
      </c>
    </row>
    <row r="1386" spans="1:12" ht="15.75" thickBot="1">
      <c r="A1386" s="195"/>
      <c r="B1386" s="195" t="s">
        <v>205</v>
      </c>
      <c r="C1386"/>
      <c r="D1386" s="197"/>
      <c r="E1386" s="197"/>
      <c r="F1386" s="197"/>
      <c r="G1386" s="197"/>
      <c r="H1386" s="197"/>
      <c r="I1386" s="209"/>
      <c r="K1386" s="235"/>
      <c r="L1386" s="199" t="str">
        <f ca="1">_xlfn.XLOOKUP($B1384,シフト抽出!$19:$19,シフト抽出!$24:$24,"該当なし",0,1)</f>
        <v/>
      </c>
    </row>
    <row r="1387" spans="1:12">
      <c r="A1387" s="195"/>
      <c r="B1387" s="195" t="s">
        <v>206</v>
      </c>
      <c r="C1387"/>
      <c r="D1387" s="197" t="s">
        <v>238</v>
      </c>
      <c r="E1387" s="197"/>
      <c r="F1387" s="197" t="s">
        <v>916</v>
      </c>
      <c r="G1387" s="197"/>
      <c r="H1387" s="197"/>
      <c r="I1387" s="209"/>
      <c r="K1387" s="224" t="s">
        <v>260</v>
      </c>
      <c r="L1387" s="200" t="str">
        <f ca="1">_xlfn.XLOOKUP($B1384,シフト抽出!$19:$19,シフト抽出!$26:$26,"該当なし",0,1)</f>
        <v/>
      </c>
    </row>
    <row r="1388" spans="1:12">
      <c r="A1388" s="195"/>
      <c r="B1388" s="195" t="s">
        <v>207</v>
      </c>
      <c r="C1388"/>
      <c r="D1388" s="197" t="s">
        <v>238</v>
      </c>
      <c r="E1388" s="197"/>
      <c r="F1388" s="197"/>
      <c r="G1388" s="197"/>
      <c r="H1388" s="197"/>
      <c r="I1388" s="209"/>
      <c r="K1388" s="225"/>
      <c r="L1388" s="201" t="str">
        <f ca="1">_xlfn.XLOOKUP($B1384,シフト抽出!$19:$19,シフト抽出!$27:$27,"該当なし",0,1)</f>
        <v/>
      </c>
    </row>
    <row r="1389" spans="1:12">
      <c r="A1389" s="195"/>
      <c r="B1389" s="202" t="s">
        <v>208</v>
      </c>
      <c r="C1389"/>
      <c r="D1389" s="197" t="s">
        <v>238</v>
      </c>
      <c r="E1389" s="197" t="s">
        <v>4</v>
      </c>
      <c r="F1389" s="197" t="s">
        <v>851</v>
      </c>
      <c r="G1389" s="197" t="s">
        <v>22</v>
      </c>
      <c r="H1389" s="197"/>
      <c r="I1389" s="209"/>
      <c r="J1389" s="203"/>
      <c r="K1389" s="225"/>
      <c r="L1389" s="201" t="str">
        <f ca="1">_xlfn.XLOOKUP($B1384,シフト抽出!$19:$19,シフト抽出!$28:$28,"該当なし",0,1)</f>
        <v/>
      </c>
    </row>
    <row r="1390" spans="1:12" ht="15.75" thickBot="1">
      <c r="A1390" s="195"/>
      <c r="B1390" s="195" t="s">
        <v>205</v>
      </c>
      <c r="C1390"/>
      <c r="D1390" s="197" t="s">
        <v>238</v>
      </c>
      <c r="E1390" s="197" t="s">
        <v>420</v>
      </c>
      <c r="F1390" s="197" t="s">
        <v>851</v>
      </c>
      <c r="G1390" s="197" t="s">
        <v>22</v>
      </c>
      <c r="H1390" s="197"/>
      <c r="I1390" s="209"/>
      <c r="J1390" s="203"/>
      <c r="K1390" s="226"/>
      <c r="L1390" s="204" t="str">
        <f ca="1">_xlfn.XLOOKUP($B1384,シフト抽出!$19:$19,シフト抽出!$29:$29,"該当なし",0,1)</f>
        <v/>
      </c>
    </row>
    <row r="1391" spans="1:12" ht="15.75" thickBot="1">
      <c r="A1391" s="195"/>
      <c r="B1391" s="195" t="s">
        <v>206</v>
      </c>
      <c r="C1391"/>
      <c r="D1391" s="197" t="s">
        <v>238</v>
      </c>
      <c r="E1391" s="197" t="s">
        <v>420</v>
      </c>
      <c r="F1391" s="197" t="s">
        <v>851</v>
      </c>
      <c r="G1391" s="197" t="s">
        <v>788</v>
      </c>
      <c r="H1391" s="197"/>
      <c r="I1391" s="209"/>
      <c r="K1391" s="205" t="s">
        <v>261</v>
      </c>
      <c r="L1391" s="205">
        <f>_xlfn.XLOOKUP($B1384,予定表!B:B,予定表!R:R,"該当なし",0,1)</f>
        <v>0</v>
      </c>
    </row>
    <row r="1392" spans="1:12">
      <c r="A1392" s="195"/>
      <c r="B1392" s="195" t="s">
        <v>207</v>
      </c>
      <c r="C1392"/>
      <c r="D1392" s="197" t="s">
        <v>238</v>
      </c>
      <c r="E1392" s="197" t="s">
        <v>420</v>
      </c>
      <c r="F1392" s="197" t="s">
        <v>851</v>
      </c>
      <c r="G1392" s="197" t="s">
        <v>788</v>
      </c>
      <c r="H1392" s="197"/>
      <c r="I1392" s="209"/>
      <c r="K1392" s="227" t="s">
        <v>262</v>
      </c>
      <c r="L1392" s="206" t="str">
        <f>_xlfn.XLOOKUP($B1384,予定表!$B:$B,予定表!E:E,"該当なし",0,1)</f>
        <v>ジャクソン</v>
      </c>
    </row>
    <row r="1393" spans="1:12">
      <c r="A1393" s="195"/>
      <c r="B1393" s="196" t="s">
        <v>209</v>
      </c>
      <c r="C1393"/>
      <c r="D1393" s="197"/>
      <c r="E1393" s="197" t="s">
        <v>420</v>
      </c>
      <c r="F1393" s="197" t="s">
        <v>851</v>
      </c>
      <c r="G1393" s="197" t="s">
        <v>268</v>
      </c>
      <c r="H1393" s="197" t="s">
        <v>4</v>
      </c>
      <c r="I1393" s="209" t="s">
        <v>4</v>
      </c>
      <c r="K1393" s="228"/>
      <c r="L1393" s="207">
        <f>_xlfn.XLOOKUP($B1384,予定表!$B:$B,予定表!F:F,"該当なし",0,1)</f>
        <v>0</v>
      </c>
    </row>
    <row r="1394" spans="1:12">
      <c r="A1394" s="195"/>
      <c r="B1394" s="195" t="s">
        <v>205</v>
      </c>
      <c r="C1394"/>
      <c r="D1394" s="197" t="s">
        <v>264</v>
      </c>
      <c r="E1394" s="197" t="s">
        <v>420</v>
      </c>
      <c r="F1394" s="197"/>
      <c r="G1394" s="197" t="s">
        <v>268</v>
      </c>
      <c r="H1394" s="197" t="s">
        <v>60</v>
      </c>
      <c r="I1394" s="209" t="s">
        <v>60</v>
      </c>
      <c r="K1394" s="228"/>
      <c r="L1394" s="207">
        <f>_xlfn.XLOOKUP($B1384,予定表!$B:$B,予定表!G:G,"該当なし",0,1)</f>
        <v>0</v>
      </c>
    </row>
    <row r="1395" spans="1:12">
      <c r="A1395" s="195"/>
      <c r="B1395" s="195" t="s">
        <v>206</v>
      </c>
      <c r="C1395"/>
      <c r="D1395" s="197" t="s">
        <v>914</v>
      </c>
      <c r="E1395" s="197" t="s">
        <v>420</v>
      </c>
      <c r="F1395" s="197" t="s">
        <v>111</v>
      </c>
      <c r="G1395" s="197" t="s">
        <v>268</v>
      </c>
      <c r="H1395" s="197" t="s">
        <v>60</v>
      </c>
      <c r="I1395" s="209" t="s">
        <v>60</v>
      </c>
      <c r="K1395" s="228"/>
      <c r="L1395" s="207" t="str">
        <f>_xlfn.XLOOKUP($B1384,予定表!$B:$B,予定表!H:H,"該当なし",0,1)</f>
        <v>富士ロジ三田</v>
      </c>
    </row>
    <row r="1396" spans="1:12">
      <c r="A1396" s="195"/>
      <c r="B1396" s="195" t="s">
        <v>207</v>
      </c>
      <c r="C1396"/>
      <c r="D1396" s="197" t="s">
        <v>425</v>
      </c>
      <c r="E1396" s="197" t="s">
        <v>414</v>
      </c>
      <c r="F1396" s="197" t="s">
        <v>111</v>
      </c>
      <c r="G1396" s="197" t="s">
        <v>268</v>
      </c>
      <c r="H1396" s="197" t="s">
        <v>60</v>
      </c>
      <c r="I1396" s="209" t="s">
        <v>60</v>
      </c>
      <c r="K1396" s="228"/>
      <c r="L1396" s="207" t="str">
        <f>_xlfn.XLOOKUP($B1384,予定表!$B:$B,予定表!I:I,"該当なし",0,1)</f>
        <v/>
      </c>
    </row>
    <row r="1397" spans="1:12">
      <c r="A1397" s="195"/>
      <c r="B1397" s="196" t="s">
        <v>212</v>
      </c>
      <c r="C1397"/>
      <c r="D1397" s="197" t="s">
        <v>240</v>
      </c>
      <c r="E1397" s="197" t="s">
        <v>414</v>
      </c>
      <c r="F1397" s="197" t="s">
        <v>111</v>
      </c>
      <c r="G1397" s="197" t="s">
        <v>268</v>
      </c>
      <c r="H1397" s="197"/>
      <c r="I1397" s="209"/>
      <c r="K1397" s="228"/>
      <c r="L1397" s="207" t="str">
        <f>_xlfn.XLOOKUP($B1384,予定表!$B:$B,予定表!J:J,"該当なし",0,1)</f>
        <v/>
      </c>
    </row>
    <row r="1398" spans="1:12">
      <c r="A1398" s="195"/>
      <c r="B1398" s="195" t="s">
        <v>205</v>
      </c>
      <c r="C1398"/>
      <c r="D1398" s="197" t="s">
        <v>214</v>
      </c>
      <c r="E1398" s="197" t="s">
        <v>414</v>
      </c>
      <c r="F1398" s="197" t="s">
        <v>111</v>
      </c>
      <c r="G1398" s="197" t="s">
        <v>268</v>
      </c>
      <c r="H1398" s="197" t="s">
        <v>848</v>
      </c>
      <c r="I1398" s="209" t="s">
        <v>848</v>
      </c>
      <c r="K1398" s="228"/>
      <c r="L1398" s="207" t="str">
        <f>_xlfn.XLOOKUP($B1384,予定表!$B:$B,予定表!K:K,"該当なし",0,1)</f>
        <v/>
      </c>
    </row>
    <row r="1399" spans="1:12">
      <c r="A1399" s="195"/>
      <c r="B1399" s="195" t="s">
        <v>206</v>
      </c>
      <c r="C1399"/>
      <c r="D1399" s="197" t="s">
        <v>214</v>
      </c>
      <c r="E1399" s="197" t="s">
        <v>414</v>
      </c>
      <c r="F1399" s="197" t="s">
        <v>111</v>
      </c>
      <c r="G1399" s="197" t="s">
        <v>515</v>
      </c>
      <c r="H1399" s="197" t="s">
        <v>848</v>
      </c>
      <c r="I1399" s="209" t="s">
        <v>848</v>
      </c>
      <c r="K1399" s="228"/>
      <c r="L1399" s="207" t="str">
        <f>_xlfn.XLOOKUP($B1384,予定表!$B:$B,予定表!L:L,"該当なし",0,1)</f>
        <v/>
      </c>
    </row>
    <row r="1400" spans="1:12" ht="15.75" thickBot="1">
      <c r="A1400" s="195"/>
      <c r="B1400" s="195" t="s">
        <v>207</v>
      </c>
      <c r="C1400"/>
      <c r="D1400" s="197" t="s">
        <v>214</v>
      </c>
      <c r="E1400" s="197" t="s">
        <v>854</v>
      </c>
      <c r="F1400" s="197" t="s">
        <v>111</v>
      </c>
      <c r="G1400" s="197" t="s">
        <v>515</v>
      </c>
      <c r="H1400" s="197" t="s">
        <v>848</v>
      </c>
      <c r="I1400" s="209" t="s">
        <v>848</v>
      </c>
      <c r="K1400" s="229"/>
      <c r="L1400" s="204" t="str">
        <f>_xlfn.XLOOKUP($A1381,ﾘｽﾄマスタ!$U$8:$U$17,ﾘｽﾄマスタ!$V$8:$V$17,"",0)</f>
        <v/>
      </c>
    </row>
    <row r="1401" spans="1:12" ht="15.75" thickBot="1">
      <c r="A1401" s="195"/>
      <c r="B1401" s="196" t="s">
        <v>251</v>
      </c>
      <c r="C1401"/>
      <c r="D1401" s="197" t="s">
        <v>214</v>
      </c>
      <c r="E1401" s="197" t="s">
        <v>854</v>
      </c>
      <c r="F1401" s="197" t="s">
        <v>111</v>
      </c>
      <c r="G1401" s="197" t="s">
        <v>870</v>
      </c>
      <c r="H1401" s="197" t="s">
        <v>848</v>
      </c>
      <c r="I1401" s="209" t="s">
        <v>848</v>
      </c>
      <c r="K1401" s="208" t="s">
        <v>277</v>
      </c>
      <c r="L1401" s="208" t="str">
        <f ca="1">_xlfn.XLOOKUP($B1384,シフト抽出!$19:$19,シフト抽出!$30:$30,"該当なし",0,1)</f>
        <v/>
      </c>
    </row>
    <row r="1402" spans="1:12">
      <c r="A1402" s="195"/>
      <c r="B1402" s="195" t="s">
        <v>205</v>
      </c>
      <c r="C1402"/>
      <c r="D1402" s="197" t="s">
        <v>915</v>
      </c>
      <c r="E1402" s="197" t="s">
        <v>854</v>
      </c>
      <c r="F1402" s="197" t="s">
        <v>111</v>
      </c>
      <c r="G1402" s="197" t="s">
        <v>446</v>
      </c>
      <c r="H1402" s="197" t="s">
        <v>848</v>
      </c>
      <c r="I1402" s="209" t="s">
        <v>848</v>
      </c>
    </row>
    <row r="1403" spans="1:12">
      <c r="A1403" s="195"/>
      <c r="B1403" s="195" t="s">
        <v>206</v>
      </c>
      <c r="C1403"/>
      <c r="D1403" s="197" t="s">
        <v>252</v>
      </c>
      <c r="E1403" s="197" t="s">
        <v>854</v>
      </c>
      <c r="F1403" s="197" t="s">
        <v>111</v>
      </c>
      <c r="G1403" s="197" t="s">
        <v>446</v>
      </c>
      <c r="H1403" s="197" t="s">
        <v>848</v>
      </c>
      <c r="I1403" s="209" t="s">
        <v>848</v>
      </c>
    </row>
    <row r="1404" spans="1:12">
      <c r="A1404" s="195"/>
      <c r="B1404" s="195" t="s">
        <v>207</v>
      </c>
      <c r="C1404"/>
      <c r="D1404" s="197" t="s">
        <v>252</v>
      </c>
      <c r="E1404" s="197" t="s">
        <v>216</v>
      </c>
      <c r="F1404" s="197" t="s">
        <v>111</v>
      </c>
      <c r="G1404" s="197" t="s">
        <v>114</v>
      </c>
      <c r="H1404" s="197" t="s">
        <v>848</v>
      </c>
      <c r="I1404" s="209" t="s">
        <v>848</v>
      </c>
    </row>
    <row r="1405" spans="1:12">
      <c r="A1405" s="195"/>
      <c r="B1405" s="196" t="s">
        <v>217</v>
      </c>
      <c r="C1405"/>
      <c r="D1405" s="197" t="s">
        <v>252</v>
      </c>
      <c r="E1405" s="197" t="s">
        <v>216</v>
      </c>
      <c r="F1405" s="197" t="s">
        <v>111</v>
      </c>
      <c r="G1405" s="197" t="s">
        <v>114</v>
      </c>
      <c r="H1405" s="197" t="s">
        <v>848</v>
      </c>
      <c r="I1405" s="209" t="s">
        <v>848</v>
      </c>
    </row>
    <row r="1406" spans="1:12">
      <c r="A1406" s="195"/>
      <c r="B1406" s="195" t="s">
        <v>205</v>
      </c>
      <c r="C1406"/>
      <c r="D1406" s="197" t="s">
        <v>252</v>
      </c>
      <c r="E1406" s="197" t="s">
        <v>216</v>
      </c>
      <c r="F1406" s="197"/>
      <c r="G1406" s="197" t="s">
        <v>51</v>
      </c>
      <c r="H1406" s="197" t="s">
        <v>848</v>
      </c>
      <c r="I1406" s="209" t="s">
        <v>848</v>
      </c>
    </row>
    <row r="1407" spans="1:12">
      <c r="A1407" s="195"/>
      <c r="B1407" s="195" t="s">
        <v>206</v>
      </c>
      <c r="C1407"/>
      <c r="D1407" s="197" t="s">
        <v>252</v>
      </c>
      <c r="E1407" s="197" t="s">
        <v>216</v>
      </c>
      <c r="F1407" s="197"/>
      <c r="G1407" s="197" t="s">
        <v>51</v>
      </c>
      <c r="H1407" s="197" t="s">
        <v>848</v>
      </c>
      <c r="I1407" s="209" t="s">
        <v>848</v>
      </c>
    </row>
    <row r="1408" spans="1:12">
      <c r="A1408" s="195"/>
      <c r="B1408" s="195" t="s">
        <v>207</v>
      </c>
      <c r="C1408"/>
      <c r="D1408" s="197" t="s">
        <v>252</v>
      </c>
      <c r="E1408" s="197" t="s">
        <v>216</v>
      </c>
      <c r="F1408" s="197"/>
      <c r="G1408" s="197" t="s">
        <v>51</v>
      </c>
      <c r="H1408" s="197"/>
      <c r="I1408" s="209"/>
    </row>
    <row r="1409" spans="1:9">
      <c r="A1409" s="195"/>
      <c r="B1409" s="196" t="s">
        <v>219</v>
      </c>
      <c r="C1409"/>
      <c r="D1409" s="197" t="s">
        <v>252</v>
      </c>
      <c r="E1409" s="197" t="s">
        <v>216</v>
      </c>
      <c r="F1409" s="197"/>
      <c r="G1409" s="197" t="s">
        <v>51</v>
      </c>
      <c r="H1409" s="197"/>
      <c r="I1409" s="209"/>
    </row>
    <row r="1410" spans="1:9">
      <c r="A1410" s="195"/>
      <c r="B1410" s="195" t="s">
        <v>205</v>
      </c>
      <c r="C1410"/>
      <c r="D1410" s="197"/>
      <c r="E1410" s="197"/>
      <c r="F1410" s="197"/>
      <c r="G1410" s="197"/>
      <c r="H1410" s="197"/>
      <c r="I1410" s="209"/>
    </row>
    <row r="1411" spans="1:9">
      <c r="A1411" s="195"/>
      <c r="B1411" s="195" t="s">
        <v>206</v>
      </c>
      <c r="C1411"/>
      <c r="D1411" s="197"/>
      <c r="E1411" s="197"/>
      <c r="F1411" s="197"/>
      <c r="G1411" s="197"/>
      <c r="H1411" s="197"/>
      <c r="I1411" s="209"/>
    </row>
    <row r="1412" spans="1:9">
      <c r="A1412" s="195"/>
      <c r="B1412" s="195" t="s">
        <v>207</v>
      </c>
      <c r="C1412"/>
      <c r="D1412" s="197"/>
      <c r="E1412" s="197"/>
      <c r="F1412" s="197"/>
      <c r="G1412" s="197"/>
      <c r="H1412" s="197"/>
      <c r="I1412" s="209"/>
    </row>
    <row r="1413" spans="1:9">
      <c r="A1413" s="195"/>
      <c r="B1413" s="196" t="s">
        <v>220</v>
      </c>
      <c r="C1413"/>
      <c r="D1413" s="197"/>
      <c r="E1413" s="197"/>
      <c r="F1413" s="197"/>
      <c r="G1413" s="197"/>
      <c r="H1413" s="197" t="s">
        <v>231</v>
      </c>
      <c r="I1413" s="209" t="s">
        <v>231</v>
      </c>
    </row>
    <row r="1414" spans="1:9">
      <c r="A1414" s="195"/>
      <c r="B1414" s="195" t="s">
        <v>205</v>
      </c>
      <c r="C1414"/>
      <c r="D1414" s="197" t="s">
        <v>224</v>
      </c>
      <c r="E1414" s="197" t="s">
        <v>273</v>
      </c>
      <c r="F1414" s="197" t="s">
        <v>759</v>
      </c>
      <c r="G1414" s="197" t="s">
        <v>56</v>
      </c>
      <c r="H1414" s="197" t="s">
        <v>231</v>
      </c>
      <c r="I1414" s="209" t="s">
        <v>231</v>
      </c>
    </row>
    <row r="1415" spans="1:9">
      <c r="A1415" s="195"/>
      <c r="B1415" s="195" t="s">
        <v>206</v>
      </c>
      <c r="C1415"/>
      <c r="D1415" s="197" t="s">
        <v>224</v>
      </c>
      <c r="E1415" s="197" t="s">
        <v>273</v>
      </c>
      <c r="F1415" s="197" t="s">
        <v>759</v>
      </c>
      <c r="G1415" s="197" t="s">
        <v>56</v>
      </c>
      <c r="H1415" s="197" t="s">
        <v>211</v>
      </c>
      <c r="I1415" s="209" t="s">
        <v>211</v>
      </c>
    </row>
    <row r="1416" spans="1:9">
      <c r="A1416" s="195"/>
      <c r="B1416" s="195" t="s">
        <v>207</v>
      </c>
      <c r="C1416"/>
      <c r="D1416" s="197" t="s">
        <v>224</v>
      </c>
      <c r="E1416" s="197" t="s">
        <v>273</v>
      </c>
      <c r="F1416" s="197" t="s">
        <v>759</v>
      </c>
      <c r="G1416" s="197" t="s">
        <v>56</v>
      </c>
      <c r="H1416" s="197" t="s">
        <v>211</v>
      </c>
      <c r="I1416" s="209" t="s">
        <v>211</v>
      </c>
    </row>
    <row r="1417" spans="1:9">
      <c r="A1417" s="195"/>
      <c r="B1417" s="196" t="s">
        <v>222</v>
      </c>
      <c r="C1417"/>
      <c r="D1417" s="197" t="s">
        <v>224</v>
      </c>
      <c r="E1417" s="197" t="s">
        <v>266</v>
      </c>
      <c r="F1417" s="197" t="s">
        <v>761</v>
      </c>
      <c r="G1417" s="197"/>
      <c r="H1417" s="197"/>
      <c r="I1417" s="209"/>
    </row>
    <row r="1418" spans="1:9">
      <c r="A1418" s="195"/>
      <c r="B1418" s="195" t="s">
        <v>205</v>
      </c>
      <c r="C1418"/>
      <c r="D1418" s="197" t="s">
        <v>88</v>
      </c>
      <c r="E1418" s="197" t="s">
        <v>266</v>
      </c>
      <c r="F1418" s="197" t="s">
        <v>761</v>
      </c>
      <c r="G1418" s="197" t="s">
        <v>270</v>
      </c>
      <c r="H1418" s="197" t="s">
        <v>856</v>
      </c>
      <c r="I1418" s="209" t="s">
        <v>856</v>
      </c>
    </row>
    <row r="1419" spans="1:9">
      <c r="A1419" s="195"/>
      <c r="B1419" s="195" t="s">
        <v>206</v>
      </c>
      <c r="C1419"/>
      <c r="D1419" s="197" t="s">
        <v>280</v>
      </c>
      <c r="E1419" s="197" t="s">
        <v>266</v>
      </c>
      <c r="F1419" s="197" t="s">
        <v>761</v>
      </c>
      <c r="G1419" s="197" t="s">
        <v>270</v>
      </c>
      <c r="H1419" s="197" t="s">
        <v>856</v>
      </c>
      <c r="I1419" s="209" t="s">
        <v>856</v>
      </c>
    </row>
    <row r="1420" spans="1:9">
      <c r="A1420" s="195"/>
      <c r="B1420" s="195" t="s">
        <v>207</v>
      </c>
      <c r="C1420"/>
      <c r="D1420" s="197" t="s">
        <v>160</v>
      </c>
      <c r="E1420" s="197" t="s">
        <v>252</v>
      </c>
      <c r="F1420" s="197" t="s">
        <v>761</v>
      </c>
      <c r="G1420" s="197" t="s">
        <v>270</v>
      </c>
      <c r="H1420" s="197" t="s">
        <v>856</v>
      </c>
      <c r="I1420" s="209" t="s">
        <v>856</v>
      </c>
    </row>
    <row r="1421" spans="1:9">
      <c r="A1421" s="195"/>
      <c r="B1421" s="196" t="s">
        <v>223</v>
      </c>
      <c r="C1421"/>
      <c r="D1421" s="197" t="s">
        <v>215</v>
      </c>
      <c r="E1421" s="197" t="s">
        <v>252</v>
      </c>
      <c r="F1421" s="197" t="s">
        <v>761</v>
      </c>
      <c r="G1421" s="197" t="s">
        <v>270</v>
      </c>
      <c r="H1421" s="197" t="s">
        <v>856</v>
      </c>
      <c r="I1421" s="209" t="s">
        <v>856</v>
      </c>
    </row>
    <row r="1422" spans="1:9">
      <c r="A1422" s="195"/>
      <c r="B1422" s="195" t="s">
        <v>205</v>
      </c>
      <c r="C1422"/>
      <c r="D1422" s="197" t="s">
        <v>423</v>
      </c>
      <c r="E1422" s="197" t="s">
        <v>252</v>
      </c>
      <c r="F1422" s="197" t="s">
        <v>761</v>
      </c>
      <c r="G1422" s="197" t="s">
        <v>270</v>
      </c>
      <c r="H1422" s="197" t="s">
        <v>856</v>
      </c>
      <c r="I1422" s="209" t="s">
        <v>856</v>
      </c>
    </row>
    <row r="1423" spans="1:9">
      <c r="A1423" s="195"/>
      <c r="B1423" s="195" t="s">
        <v>206</v>
      </c>
      <c r="C1423"/>
      <c r="D1423" s="197" t="s">
        <v>588</v>
      </c>
      <c r="E1423" s="197" t="s">
        <v>252</v>
      </c>
      <c r="F1423" s="197" t="s">
        <v>761</v>
      </c>
      <c r="G1423" s="197" t="s">
        <v>270</v>
      </c>
      <c r="H1423" s="197" t="s">
        <v>856</v>
      </c>
      <c r="I1423" s="209" t="s">
        <v>856</v>
      </c>
    </row>
    <row r="1424" spans="1:9">
      <c r="A1424" s="195"/>
      <c r="B1424" s="195" t="s">
        <v>207</v>
      </c>
      <c r="C1424"/>
      <c r="D1424" s="197" t="s">
        <v>127</v>
      </c>
      <c r="E1424" s="197" t="s">
        <v>252</v>
      </c>
      <c r="F1424" s="197"/>
      <c r="G1424" s="197" t="s">
        <v>270</v>
      </c>
      <c r="H1424" s="197" t="s">
        <v>856</v>
      </c>
      <c r="I1424" s="209" t="s">
        <v>856</v>
      </c>
    </row>
    <row r="1425" spans="1:12">
      <c r="A1425" s="195"/>
      <c r="B1425" s="196" t="s">
        <v>225</v>
      </c>
      <c r="C1425"/>
      <c r="D1425" s="197"/>
      <c r="E1425" s="197" t="s">
        <v>252</v>
      </c>
      <c r="F1425" s="197" t="s">
        <v>62</v>
      </c>
      <c r="G1425" s="197" t="s">
        <v>270</v>
      </c>
      <c r="H1425" s="197" t="s">
        <v>415</v>
      </c>
      <c r="I1425" s="209" t="s">
        <v>415</v>
      </c>
    </row>
    <row r="1426" spans="1:12">
      <c r="A1426" s="195"/>
      <c r="B1426" s="195" t="s">
        <v>205</v>
      </c>
      <c r="C1426"/>
      <c r="D1426" s="197"/>
      <c r="E1426" s="197" t="s">
        <v>252</v>
      </c>
      <c r="F1426" s="197" t="s">
        <v>62</v>
      </c>
      <c r="G1426" s="197" t="s">
        <v>270</v>
      </c>
      <c r="H1426" s="209" t="s">
        <v>415</v>
      </c>
      <c r="I1426" s="209" t="s">
        <v>415</v>
      </c>
    </row>
    <row r="1427" spans="1:12">
      <c r="A1427" s="195"/>
      <c r="B1427" s="195" t="s">
        <v>206</v>
      </c>
      <c r="C1427"/>
      <c r="D1427" s="197"/>
      <c r="E1427" s="197" t="s">
        <v>252</v>
      </c>
      <c r="F1427" s="197" t="s">
        <v>62</v>
      </c>
      <c r="G1427" s="197" t="s">
        <v>270</v>
      </c>
      <c r="H1427" s="209" t="s">
        <v>415</v>
      </c>
      <c r="I1427" s="209" t="s">
        <v>415</v>
      </c>
    </row>
    <row r="1428" spans="1:12">
      <c r="A1428" s="195"/>
      <c r="B1428" s="195" t="s">
        <v>207</v>
      </c>
      <c r="C1428"/>
      <c r="D1428" s="197"/>
      <c r="E1428" s="197" t="s">
        <v>252</v>
      </c>
      <c r="F1428" s="197" t="s">
        <v>62</v>
      </c>
      <c r="G1428" s="197" t="s">
        <v>270</v>
      </c>
      <c r="H1428" s="209" t="s">
        <v>415</v>
      </c>
      <c r="I1428" s="209" t="s">
        <v>415</v>
      </c>
    </row>
    <row r="1429" spans="1:12">
      <c r="A1429" s="195"/>
      <c r="B1429" s="196" t="s">
        <v>226</v>
      </c>
      <c r="C1429"/>
      <c r="D1429" s="197"/>
      <c r="E1429" s="197"/>
      <c r="F1429" s="197"/>
      <c r="G1429" s="197" t="s">
        <v>270</v>
      </c>
      <c r="H1429" s="209"/>
      <c r="I1429" s="209"/>
    </row>
    <row r="1430" spans="1:12">
      <c r="A1430" s="195"/>
      <c r="B1430" s="195" t="s">
        <v>205</v>
      </c>
      <c r="C1430"/>
      <c r="D1430" s="197"/>
      <c r="E1430" s="197"/>
      <c r="F1430" s="197"/>
      <c r="G1430" s="197" t="s">
        <v>270</v>
      </c>
      <c r="H1430" s="209"/>
      <c r="I1430" s="209"/>
    </row>
    <row r="1431" spans="1:12">
      <c r="A1431" s="195"/>
      <c r="B1431" s="195" t="s">
        <v>206</v>
      </c>
      <c r="C1431"/>
      <c r="D1431" s="197"/>
      <c r="E1431" s="197"/>
      <c r="F1431" s="197"/>
      <c r="G1431" s="197" t="s">
        <v>270</v>
      </c>
      <c r="H1431" s="209"/>
      <c r="I1431" s="209"/>
    </row>
    <row r="1432" spans="1:12">
      <c r="A1432" s="195"/>
      <c r="B1432" s="195" t="s">
        <v>207</v>
      </c>
      <c r="C1432"/>
      <c r="D1432" s="197"/>
      <c r="E1432" s="197"/>
      <c r="F1432" s="197"/>
      <c r="G1432" s="197" t="s">
        <v>270</v>
      </c>
      <c r="H1432" s="209"/>
      <c r="I1432" s="209"/>
    </row>
    <row r="1433" spans="1:12">
      <c r="A1433" s="195"/>
      <c r="B1433" s="196" t="s">
        <v>227</v>
      </c>
      <c r="C1433"/>
      <c r="D1433" s="197"/>
      <c r="E1433" s="197"/>
      <c r="F1433" s="197"/>
      <c r="G1433" s="197"/>
      <c r="H1433" s="209"/>
      <c r="I1433" s="209"/>
      <c r="K1433"/>
    </row>
    <row r="1434" spans="1:12" ht="29.25" thickBot="1">
      <c r="A1434" s="182" t="str">
        <f>"回収シフト  第"&amp;ROUNDUP(DAY(B1437)/7,0)  &amp;"  "&amp;TEXT(B1437,"aaaa")</f>
        <v>回収シフト  第1  土曜日</v>
      </c>
      <c r="B1434" s="183"/>
      <c r="C1434" s="183"/>
      <c r="D1434" s="183"/>
      <c r="E1434" s="183"/>
      <c r="F1434" s="183"/>
      <c r="G1434" s="184"/>
      <c r="H1434" s="184"/>
      <c r="I1434" s="184"/>
      <c r="K1434" s="183"/>
      <c r="L1434" s="183"/>
    </row>
    <row r="1435" spans="1:12" ht="15.75" thickBot="1">
      <c r="A1435"/>
      <c r="B1435"/>
      <c r="C1435"/>
      <c r="D1435" s="186" t="s">
        <v>201</v>
      </c>
      <c r="E1435" s="186" t="s">
        <v>202</v>
      </c>
      <c r="F1435" s="186" t="s">
        <v>203</v>
      </c>
      <c r="G1435" s="186" t="s">
        <v>204</v>
      </c>
      <c r="H1435" s="186" t="s">
        <v>267</v>
      </c>
      <c r="I1435" s="217" t="s">
        <v>267</v>
      </c>
      <c r="K1435" s="230" t="s">
        <v>257</v>
      </c>
      <c r="L1435" s="231"/>
    </row>
    <row r="1436" spans="1:12">
      <c r="A1436" s="187"/>
      <c r="B1436" s="188">
        <v>46119</v>
      </c>
      <c r="C1436" s="187"/>
      <c r="D1436" s="189"/>
      <c r="E1436" s="189"/>
      <c r="F1436" s="189"/>
      <c r="G1436" s="189"/>
      <c r="H1436" s="189"/>
      <c r="I1436" s="218"/>
      <c r="K1436" s="232" t="s">
        <v>258</v>
      </c>
      <c r="L1436" s="190" t="str">
        <f ca="1">_xlfn.XLOOKUP($B1437,シフト抽出!$19:$19,シフト抽出!$20:$20,"該当なし",0,1)</f>
        <v/>
      </c>
    </row>
    <row r="1437" spans="1:12" ht="19.5" thickBot="1">
      <c r="A1437"/>
      <c r="B1437" s="191">
        <f>B1384+1</f>
        <v>46144</v>
      </c>
      <c r="C1437" s="192"/>
      <c r="D1437" s="193"/>
      <c r="E1437" s="193"/>
      <c r="F1437" s="193"/>
      <c r="G1437" s="193"/>
      <c r="H1437" s="193"/>
      <c r="I1437" s="219"/>
      <c r="K1437" s="233"/>
      <c r="L1437" s="194" t="str">
        <f ca="1">_xlfn.XLOOKUP($B1437,シフト抽出!$19:$19,シフト抽出!$21:$21,"該当なし",0,1)</f>
        <v/>
      </c>
    </row>
    <row r="1438" spans="1:12">
      <c r="A1438" s="195"/>
      <c r="B1438" s="196">
        <v>0.25</v>
      </c>
      <c r="C1438"/>
      <c r="D1438" s="197"/>
      <c r="E1438" s="196"/>
      <c r="F1438" s="197"/>
      <c r="G1438" s="197"/>
      <c r="H1438" s="197"/>
      <c r="I1438" s="209"/>
      <c r="K1438" s="234" t="s">
        <v>259</v>
      </c>
      <c r="L1438" s="198" t="str">
        <f ca="1">_xlfn.XLOOKUP($B1437,シフト抽出!$19:$19,シフト抽出!$23:$23,"該当なし",0,1)</f>
        <v/>
      </c>
    </row>
    <row r="1439" spans="1:12" ht="15.75" thickBot="1">
      <c r="A1439" s="195"/>
      <c r="B1439" s="195" t="s">
        <v>205</v>
      </c>
      <c r="C1439"/>
      <c r="D1439" s="197"/>
      <c r="E1439" s="197"/>
      <c r="F1439" s="197"/>
      <c r="G1439" s="197"/>
      <c r="H1439" s="197"/>
      <c r="I1439" s="209"/>
      <c r="K1439" s="235"/>
      <c r="L1439" s="199" t="str">
        <f ca="1">_xlfn.XLOOKUP($B1437,シフト抽出!$19:$19,シフト抽出!$24:$24,"該当なし",0,1)</f>
        <v/>
      </c>
    </row>
    <row r="1440" spans="1:12">
      <c r="A1440" s="195"/>
      <c r="B1440" s="195" t="s">
        <v>206</v>
      </c>
      <c r="C1440"/>
      <c r="D1440" s="197"/>
      <c r="E1440" s="197"/>
      <c r="F1440" s="197"/>
      <c r="G1440" s="197"/>
      <c r="H1440" s="197"/>
      <c r="I1440" s="209"/>
      <c r="K1440" s="224" t="s">
        <v>260</v>
      </c>
      <c r="L1440" s="200" t="str">
        <f ca="1">_xlfn.XLOOKUP($B1437,シフト抽出!$19:$19,シフト抽出!$26:$26,"該当なし",0,1)</f>
        <v/>
      </c>
    </row>
    <row r="1441" spans="1:12">
      <c r="A1441" s="195"/>
      <c r="B1441" s="195" t="s">
        <v>207</v>
      </c>
      <c r="C1441"/>
      <c r="D1441" s="197"/>
      <c r="E1441" s="197"/>
      <c r="F1441" s="197"/>
      <c r="G1441" s="197"/>
      <c r="H1441" s="197"/>
      <c r="I1441" s="209"/>
      <c r="K1441" s="225"/>
      <c r="L1441" s="201" t="str">
        <f ca="1">_xlfn.XLOOKUP($B1437,シフト抽出!$19:$19,シフト抽出!$27:$27,"該当なし",0,1)</f>
        <v/>
      </c>
    </row>
    <row r="1442" spans="1:12">
      <c r="A1442" s="195"/>
      <c r="B1442" s="202" t="s">
        <v>208</v>
      </c>
      <c r="C1442"/>
      <c r="D1442" s="197"/>
      <c r="E1442" s="197"/>
      <c r="F1442" s="197"/>
      <c r="G1442" s="197"/>
      <c r="H1442" s="197"/>
      <c r="I1442" s="209"/>
      <c r="J1442" s="203"/>
      <c r="K1442" s="225"/>
      <c r="L1442" s="201" t="str">
        <f ca="1">_xlfn.XLOOKUP($B1437,シフト抽出!$19:$19,シフト抽出!$28:$28,"該当なし",0,1)</f>
        <v/>
      </c>
    </row>
    <row r="1443" spans="1:12" ht="15.75" thickBot="1">
      <c r="A1443" s="195"/>
      <c r="B1443" s="195" t="s">
        <v>205</v>
      </c>
      <c r="C1443"/>
      <c r="D1443" s="197"/>
      <c r="E1443" s="197"/>
      <c r="F1443" s="197"/>
      <c r="G1443" s="197"/>
      <c r="H1443" s="197"/>
      <c r="I1443" s="209"/>
      <c r="J1443" s="203"/>
      <c r="K1443" s="226"/>
      <c r="L1443" s="204" t="str">
        <f ca="1">_xlfn.XLOOKUP($B1437,シフト抽出!$19:$19,シフト抽出!$29:$29,"該当なし",0,1)</f>
        <v/>
      </c>
    </row>
    <row r="1444" spans="1:12" ht="15.75" thickBot="1">
      <c r="A1444" s="195"/>
      <c r="B1444" s="195" t="s">
        <v>206</v>
      </c>
      <c r="C1444"/>
      <c r="D1444" s="197"/>
      <c r="E1444" s="197"/>
      <c r="F1444" s="197"/>
      <c r="G1444" s="197"/>
      <c r="H1444" s="197"/>
      <c r="I1444" s="209"/>
      <c r="K1444" s="205" t="s">
        <v>261</v>
      </c>
      <c r="L1444" s="205">
        <f>_xlfn.XLOOKUP($B1437,予定表!B:B,予定表!R:R,"該当なし",0,1)</f>
        <v>0</v>
      </c>
    </row>
    <row r="1445" spans="1:12">
      <c r="A1445" s="195"/>
      <c r="B1445" s="195" t="s">
        <v>207</v>
      </c>
      <c r="C1445"/>
      <c r="D1445" s="197"/>
      <c r="E1445" s="197"/>
      <c r="F1445" s="197"/>
      <c r="G1445" s="197"/>
      <c r="H1445" s="197"/>
      <c r="I1445" s="209"/>
      <c r="K1445" s="227" t="s">
        <v>262</v>
      </c>
      <c r="L1445" s="206">
        <f>_xlfn.XLOOKUP($B1437,予定表!$B:$B,予定表!E:E,"該当なし",0,1)</f>
        <v>0</v>
      </c>
    </row>
    <row r="1446" spans="1:12">
      <c r="A1446" s="195"/>
      <c r="B1446" s="196" t="s">
        <v>209</v>
      </c>
      <c r="C1446"/>
      <c r="D1446" s="197" t="s">
        <v>4</v>
      </c>
      <c r="E1446" s="197" t="s">
        <v>4</v>
      </c>
      <c r="F1446" s="197"/>
      <c r="G1446" s="197"/>
      <c r="H1446" s="197"/>
      <c r="I1446" s="209"/>
      <c r="K1446" s="228"/>
      <c r="L1446" s="207">
        <f>_xlfn.XLOOKUP($B1437,予定表!$B:$B,予定表!F:F,"該当なし",0,1)</f>
        <v>0</v>
      </c>
    </row>
    <row r="1447" spans="1:12">
      <c r="A1447" s="195"/>
      <c r="B1447" s="195" t="s">
        <v>205</v>
      </c>
      <c r="C1447"/>
      <c r="D1447" s="197" t="s">
        <v>268</v>
      </c>
      <c r="E1447" s="197" t="s">
        <v>22</v>
      </c>
      <c r="F1447" s="197"/>
      <c r="G1447" s="197"/>
      <c r="H1447" s="197"/>
      <c r="I1447" s="209"/>
      <c r="K1447" s="228"/>
      <c r="L1447" s="207">
        <f>_xlfn.XLOOKUP($B1437,予定表!$B:$B,予定表!G:G,"該当なし",0,1)</f>
        <v>0</v>
      </c>
    </row>
    <row r="1448" spans="1:12">
      <c r="A1448" s="195"/>
      <c r="B1448" s="195" t="s">
        <v>206</v>
      </c>
      <c r="C1448"/>
      <c r="D1448" s="197" t="s">
        <v>268</v>
      </c>
      <c r="E1448" s="197" t="s">
        <v>22</v>
      </c>
      <c r="F1448" s="197"/>
      <c r="G1448" s="197"/>
      <c r="H1448" s="197"/>
      <c r="I1448" s="209"/>
      <c r="K1448" s="228"/>
      <c r="L1448" s="207">
        <f>_xlfn.XLOOKUP($B1437,予定表!$B:$B,予定表!H:H,"該当なし",0,1)</f>
        <v>0</v>
      </c>
    </row>
    <row r="1449" spans="1:12">
      <c r="A1449" s="195"/>
      <c r="B1449" s="195" t="s">
        <v>207</v>
      </c>
      <c r="C1449"/>
      <c r="D1449" s="197" t="s">
        <v>268</v>
      </c>
      <c r="E1449" s="197" t="s">
        <v>793</v>
      </c>
      <c r="F1449" s="197"/>
      <c r="G1449" s="197"/>
      <c r="H1449" s="197"/>
      <c r="I1449" s="209"/>
      <c r="K1449" s="228"/>
      <c r="L1449" s="207" t="str">
        <f>_xlfn.XLOOKUP($B1437,予定表!$B:$B,予定表!I:I,"該当なし",0,1)</f>
        <v/>
      </c>
    </row>
    <row r="1450" spans="1:12">
      <c r="A1450" s="195"/>
      <c r="B1450" s="196" t="s">
        <v>212</v>
      </c>
      <c r="C1450"/>
      <c r="D1450" s="197" t="s">
        <v>268</v>
      </c>
      <c r="E1450" s="197" t="s">
        <v>241</v>
      </c>
      <c r="F1450" s="197"/>
      <c r="G1450" s="197"/>
      <c r="H1450" s="197"/>
      <c r="I1450" s="209"/>
      <c r="K1450" s="228"/>
      <c r="L1450" s="207" t="str">
        <f>_xlfn.XLOOKUP($B1437,予定表!$B:$B,予定表!J:J,"該当なし",0,1)</f>
        <v/>
      </c>
    </row>
    <row r="1451" spans="1:12">
      <c r="A1451" s="195"/>
      <c r="B1451" s="195" t="s">
        <v>205</v>
      </c>
      <c r="C1451"/>
      <c r="D1451" s="197" t="s">
        <v>268</v>
      </c>
      <c r="E1451" s="197" t="s">
        <v>241</v>
      </c>
      <c r="F1451" s="197"/>
      <c r="G1451" s="197"/>
      <c r="H1451" s="197"/>
      <c r="I1451" s="209"/>
      <c r="K1451" s="228"/>
      <c r="L1451" s="207" t="str">
        <f>_xlfn.XLOOKUP($B1437,予定表!$B:$B,予定表!K:K,"該当なし",0,1)</f>
        <v/>
      </c>
    </row>
    <row r="1452" spans="1:12">
      <c r="A1452" s="195"/>
      <c r="B1452" s="195" t="s">
        <v>206</v>
      </c>
      <c r="C1452"/>
      <c r="D1452" s="197" t="s">
        <v>515</v>
      </c>
      <c r="E1452" s="197" t="s">
        <v>244</v>
      </c>
      <c r="F1452" s="197"/>
      <c r="G1452" s="197"/>
      <c r="H1452" s="197"/>
      <c r="I1452" s="209"/>
      <c r="K1452" s="228"/>
      <c r="L1452" s="207" t="str">
        <f>_xlfn.XLOOKUP($B1437,予定表!$B:$B,予定表!L:L,"該当なし",0,1)</f>
        <v/>
      </c>
    </row>
    <row r="1453" spans="1:12" ht="15.75" thickBot="1">
      <c r="A1453" s="195"/>
      <c r="B1453" s="195" t="s">
        <v>207</v>
      </c>
      <c r="C1453"/>
      <c r="D1453" s="197" t="s">
        <v>515</v>
      </c>
      <c r="E1453" s="197" t="s">
        <v>244</v>
      </c>
      <c r="F1453" s="197"/>
      <c r="G1453" s="197"/>
      <c r="H1453" s="197"/>
      <c r="I1453" s="209"/>
      <c r="K1453" s="229"/>
      <c r="L1453" s="204" t="str">
        <f>_xlfn.XLOOKUP($A1434,ﾘｽﾄマスタ!$U$8:$U$17,ﾘｽﾄマスタ!$V$8:$V$17,"",0)</f>
        <v/>
      </c>
    </row>
    <row r="1454" spans="1:12" ht="15.75" thickBot="1">
      <c r="A1454" s="195"/>
      <c r="B1454" s="196" t="s">
        <v>251</v>
      </c>
      <c r="C1454"/>
      <c r="D1454" s="197" t="s">
        <v>515</v>
      </c>
      <c r="E1454" s="197" t="s">
        <v>114</v>
      </c>
      <c r="F1454" s="197"/>
      <c r="G1454" s="197"/>
      <c r="H1454" s="197"/>
      <c r="I1454" s="209"/>
      <c r="K1454" s="208" t="s">
        <v>277</v>
      </c>
      <c r="L1454" s="208" t="str">
        <f ca="1">_xlfn.XLOOKUP($B1437,シフト抽出!$19:$19,シフト抽出!$30:$30,"該当なし",0,1)</f>
        <v/>
      </c>
    </row>
    <row r="1455" spans="1:12">
      <c r="A1455" s="195"/>
      <c r="B1455" s="195" t="s">
        <v>205</v>
      </c>
      <c r="C1455"/>
      <c r="D1455" s="197" t="s">
        <v>242</v>
      </c>
      <c r="E1455" s="197" t="s">
        <v>114</v>
      </c>
      <c r="F1455" s="197"/>
      <c r="G1455" s="197"/>
      <c r="H1455" s="197"/>
      <c r="I1455" s="209"/>
    </row>
    <row r="1456" spans="1:12">
      <c r="A1456" s="195"/>
      <c r="B1456" s="195" t="s">
        <v>206</v>
      </c>
      <c r="C1456"/>
      <c r="D1456" s="197" t="s">
        <v>242</v>
      </c>
      <c r="E1456" s="197" t="s">
        <v>114</v>
      </c>
      <c r="F1456" s="197"/>
      <c r="G1456" s="197"/>
      <c r="H1456" s="197"/>
      <c r="I1456" s="209"/>
    </row>
    <row r="1457" spans="1:9">
      <c r="A1457" s="195"/>
      <c r="B1457" s="195" t="s">
        <v>207</v>
      </c>
      <c r="C1457"/>
      <c r="D1457" s="197" t="s">
        <v>242</v>
      </c>
      <c r="E1457" s="197" t="s">
        <v>114</v>
      </c>
      <c r="F1457" s="197"/>
      <c r="G1457" s="197"/>
      <c r="H1457" s="197"/>
      <c r="I1457" s="209"/>
    </row>
    <row r="1458" spans="1:9">
      <c r="A1458" s="195"/>
      <c r="B1458" s="196" t="s">
        <v>217</v>
      </c>
      <c r="C1458"/>
      <c r="D1458" s="197" t="s">
        <v>242</v>
      </c>
      <c r="E1458" s="197"/>
      <c r="F1458" s="197"/>
      <c r="G1458" s="197"/>
      <c r="H1458" s="197"/>
      <c r="I1458" s="209"/>
    </row>
    <row r="1459" spans="1:9">
      <c r="A1459" s="195"/>
      <c r="B1459" s="195" t="s">
        <v>205</v>
      </c>
      <c r="C1459"/>
      <c r="D1459" s="197" t="s">
        <v>242</v>
      </c>
      <c r="E1459" s="197"/>
      <c r="F1459" s="197"/>
      <c r="G1459" s="197"/>
      <c r="H1459" s="197"/>
      <c r="I1459" s="209"/>
    </row>
    <row r="1460" spans="1:9">
      <c r="A1460" s="195"/>
      <c r="B1460" s="195" t="s">
        <v>206</v>
      </c>
      <c r="C1460"/>
      <c r="D1460" s="197" t="s">
        <v>242</v>
      </c>
      <c r="E1460" s="197"/>
      <c r="F1460" s="197"/>
      <c r="G1460" s="197"/>
      <c r="H1460" s="197"/>
      <c r="I1460" s="209"/>
    </row>
    <row r="1461" spans="1:9">
      <c r="A1461" s="195"/>
      <c r="B1461" s="195" t="s">
        <v>207</v>
      </c>
      <c r="C1461"/>
      <c r="D1461" s="197"/>
      <c r="E1461" s="197"/>
      <c r="F1461" s="197"/>
      <c r="G1461" s="197"/>
      <c r="H1461" s="197"/>
      <c r="I1461" s="209"/>
    </row>
    <row r="1462" spans="1:9">
      <c r="A1462" s="195"/>
      <c r="B1462" s="196" t="s">
        <v>219</v>
      </c>
      <c r="C1462"/>
      <c r="D1462" s="197"/>
      <c r="E1462" s="197"/>
      <c r="F1462" s="197"/>
      <c r="G1462" s="197"/>
      <c r="H1462" s="197"/>
      <c r="I1462" s="209"/>
    </row>
    <row r="1463" spans="1:9">
      <c r="A1463" s="195"/>
      <c r="B1463" s="195" t="s">
        <v>205</v>
      </c>
      <c r="C1463"/>
      <c r="D1463" s="197"/>
      <c r="E1463" s="197"/>
      <c r="F1463" s="197"/>
      <c r="G1463" s="197"/>
      <c r="H1463" s="197"/>
      <c r="I1463" s="209"/>
    </row>
    <row r="1464" spans="1:9">
      <c r="A1464" s="195"/>
      <c r="B1464" s="195" t="s">
        <v>206</v>
      </c>
      <c r="C1464"/>
      <c r="D1464" s="197"/>
      <c r="E1464" s="197"/>
      <c r="F1464" s="197"/>
      <c r="G1464" s="197"/>
      <c r="H1464" s="197"/>
      <c r="I1464" s="209"/>
    </row>
    <row r="1465" spans="1:9">
      <c r="A1465" s="195"/>
      <c r="B1465" s="195" t="s">
        <v>207</v>
      </c>
      <c r="C1465"/>
      <c r="D1465" s="197"/>
      <c r="E1465" s="197"/>
      <c r="F1465" s="197"/>
      <c r="G1465" s="197"/>
      <c r="H1465" s="197"/>
      <c r="I1465" s="209"/>
    </row>
    <row r="1466" spans="1:9">
      <c r="A1466" s="195"/>
      <c r="B1466" s="196" t="s">
        <v>220</v>
      </c>
      <c r="C1466"/>
      <c r="D1466" s="197" t="s">
        <v>7</v>
      </c>
      <c r="E1466" s="197" t="s">
        <v>7</v>
      </c>
      <c r="F1466" s="189"/>
      <c r="G1466" s="189"/>
      <c r="H1466" s="197"/>
      <c r="I1466" s="209"/>
    </row>
    <row r="1467" spans="1:9">
      <c r="A1467" s="195"/>
      <c r="B1467" s="195" t="s">
        <v>205</v>
      </c>
      <c r="C1467"/>
      <c r="D1467" s="197" t="s">
        <v>886</v>
      </c>
      <c r="E1467" s="197" t="s">
        <v>851</v>
      </c>
      <c r="F1467" s="197"/>
      <c r="G1467" s="197"/>
      <c r="H1467" s="197"/>
      <c r="I1467" s="209"/>
    </row>
    <row r="1468" spans="1:9">
      <c r="A1468" s="195"/>
      <c r="B1468" s="195" t="s">
        <v>206</v>
      </c>
      <c r="C1468"/>
      <c r="D1468" s="197" t="s">
        <v>886</v>
      </c>
      <c r="E1468" s="197" t="s">
        <v>851</v>
      </c>
      <c r="F1468" s="197"/>
      <c r="G1468" s="197"/>
      <c r="H1468" s="197"/>
      <c r="I1468" s="209"/>
    </row>
    <row r="1469" spans="1:9">
      <c r="A1469" s="195"/>
      <c r="B1469" s="195" t="s">
        <v>207</v>
      </c>
      <c r="C1469"/>
      <c r="D1469" s="197" t="s">
        <v>886</v>
      </c>
      <c r="E1469" s="197" t="s">
        <v>228</v>
      </c>
      <c r="F1469" s="197"/>
      <c r="G1469" s="197"/>
      <c r="H1469" s="197"/>
      <c r="I1469" s="209"/>
    </row>
    <row r="1470" spans="1:9">
      <c r="A1470" s="195"/>
      <c r="B1470" s="196" t="s">
        <v>222</v>
      </c>
      <c r="C1470"/>
      <c r="D1470" s="197" t="s">
        <v>886</v>
      </c>
      <c r="E1470" s="197" t="s">
        <v>228</v>
      </c>
      <c r="F1470" s="197"/>
      <c r="G1470" s="197"/>
      <c r="H1470" s="197"/>
      <c r="I1470" s="209"/>
    </row>
    <row r="1471" spans="1:9">
      <c r="A1471" s="195"/>
      <c r="B1471" s="195" t="s">
        <v>205</v>
      </c>
      <c r="C1471"/>
      <c r="D1471" s="197"/>
      <c r="E1471" s="197" t="s">
        <v>228</v>
      </c>
      <c r="F1471" s="197"/>
      <c r="G1471" s="197"/>
      <c r="H1471" s="197"/>
      <c r="I1471" s="209"/>
    </row>
    <row r="1472" spans="1:9">
      <c r="A1472" s="195"/>
      <c r="B1472" s="195" t="s">
        <v>206</v>
      </c>
      <c r="C1472"/>
      <c r="D1472" s="197" t="s">
        <v>270</v>
      </c>
      <c r="E1472" s="197" t="s">
        <v>228</v>
      </c>
      <c r="F1472" s="197"/>
      <c r="G1472" s="197"/>
      <c r="H1472" s="197"/>
      <c r="I1472" s="209"/>
    </row>
    <row r="1473" spans="1:12">
      <c r="A1473" s="195"/>
      <c r="B1473" s="195" t="s">
        <v>207</v>
      </c>
      <c r="C1473"/>
      <c r="D1473" s="197" t="s">
        <v>270</v>
      </c>
      <c r="E1473" s="197" t="s">
        <v>228</v>
      </c>
      <c r="F1473" s="197"/>
      <c r="G1473" s="197"/>
      <c r="H1473" s="197"/>
      <c r="I1473" s="209"/>
    </row>
    <row r="1474" spans="1:12">
      <c r="A1474" s="195"/>
      <c r="B1474" s="196" t="s">
        <v>223</v>
      </c>
      <c r="C1474"/>
      <c r="D1474" s="197" t="s">
        <v>270</v>
      </c>
      <c r="E1474" s="197" t="s">
        <v>228</v>
      </c>
      <c r="F1474" s="197"/>
      <c r="G1474" s="197"/>
      <c r="H1474" s="197"/>
      <c r="I1474" s="209"/>
    </row>
    <row r="1475" spans="1:12">
      <c r="A1475" s="195"/>
      <c r="B1475" s="195" t="s">
        <v>205</v>
      </c>
      <c r="C1475"/>
      <c r="D1475" s="197" t="s">
        <v>270</v>
      </c>
      <c r="E1475" s="197" t="s">
        <v>273</v>
      </c>
      <c r="F1475" s="197"/>
      <c r="G1475" s="197"/>
      <c r="H1475" s="197"/>
      <c r="I1475" s="209"/>
    </row>
    <row r="1476" spans="1:12">
      <c r="A1476" s="195"/>
      <c r="B1476" s="195" t="s">
        <v>206</v>
      </c>
      <c r="C1476"/>
      <c r="D1476" s="197" t="s">
        <v>270</v>
      </c>
      <c r="E1476" s="197" t="s">
        <v>273</v>
      </c>
      <c r="F1476" s="197"/>
      <c r="G1476" s="197"/>
      <c r="H1476" s="197"/>
      <c r="I1476" s="209"/>
    </row>
    <row r="1477" spans="1:12">
      <c r="A1477" s="195"/>
      <c r="B1477" s="195" t="s">
        <v>207</v>
      </c>
      <c r="C1477"/>
      <c r="D1477" s="197" t="s">
        <v>270</v>
      </c>
      <c r="E1477" s="197" t="s">
        <v>273</v>
      </c>
      <c r="F1477" s="197"/>
      <c r="G1477" s="197"/>
      <c r="H1477" s="197"/>
      <c r="I1477" s="209"/>
    </row>
    <row r="1478" spans="1:12">
      <c r="A1478" s="195"/>
      <c r="B1478" s="196" t="s">
        <v>225</v>
      </c>
      <c r="C1478"/>
      <c r="D1478" s="197" t="s">
        <v>270</v>
      </c>
      <c r="E1478" s="197" t="s">
        <v>263</v>
      </c>
      <c r="F1478" s="197"/>
      <c r="G1478" s="197"/>
      <c r="H1478" s="197"/>
      <c r="I1478" s="209"/>
    </row>
    <row r="1479" spans="1:12">
      <c r="A1479" s="195"/>
      <c r="B1479" s="195" t="s">
        <v>205</v>
      </c>
      <c r="C1479"/>
      <c r="D1479" s="197" t="s">
        <v>270</v>
      </c>
      <c r="E1479" s="197" t="s">
        <v>263</v>
      </c>
      <c r="F1479" s="197"/>
      <c r="G1479" s="197"/>
      <c r="H1479" s="209"/>
      <c r="I1479" s="209"/>
    </row>
    <row r="1480" spans="1:12">
      <c r="A1480" s="195"/>
      <c r="B1480" s="195" t="s">
        <v>206</v>
      </c>
      <c r="C1480"/>
      <c r="D1480" s="197" t="s">
        <v>270</v>
      </c>
      <c r="E1480" s="197" t="s">
        <v>263</v>
      </c>
      <c r="F1480" s="197"/>
      <c r="G1480" s="197"/>
      <c r="H1480" s="209"/>
      <c r="I1480" s="209"/>
    </row>
    <row r="1481" spans="1:12">
      <c r="A1481" s="195"/>
      <c r="B1481" s="195" t="s">
        <v>207</v>
      </c>
      <c r="C1481"/>
      <c r="D1481" s="197" t="s">
        <v>270</v>
      </c>
      <c r="E1481" s="197" t="s">
        <v>263</v>
      </c>
      <c r="F1481" s="197"/>
      <c r="G1481" s="197"/>
      <c r="H1481" s="209"/>
      <c r="I1481" s="209"/>
    </row>
    <row r="1482" spans="1:12">
      <c r="A1482" s="195"/>
      <c r="B1482" s="196" t="s">
        <v>226</v>
      </c>
      <c r="C1482"/>
      <c r="D1482" s="197" t="s">
        <v>270</v>
      </c>
      <c r="E1482" s="197"/>
      <c r="F1482" s="197"/>
      <c r="G1482" s="197"/>
      <c r="H1482" s="209"/>
      <c r="I1482" s="209"/>
    </row>
    <row r="1483" spans="1:12">
      <c r="A1483" s="195"/>
      <c r="B1483" s="195" t="s">
        <v>205</v>
      </c>
      <c r="C1483"/>
      <c r="D1483" s="197" t="s">
        <v>270</v>
      </c>
      <c r="E1483" s="197"/>
      <c r="F1483" s="197"/>
      <c r="G1483" s="197"/>
      <c r="H1483" s="209"/>
      <c r="I1483" s="209"/>
    </row>
    <row r="1484" spans="1:12">
      <c r="A1484" s="195"/>
      <c r="B1484" s="195" t="s">
        <v>206</v>
      </c>
      <c r="C1484"/>
      <c r="D1484" s="197" t="s">
        <v>270</v>
      </c>
      <c r="E1484" s="197"/>
      <c r="F1484" s="197"/>
      <c r="G1484" s="197"/>
      <c r="H1484" s="209"/>
      <c r="I1484" s="209"/>
    </row>
    <row r="1485" spans="1:12">
      <c r="A1485" s="195"/>
      <c r="B1485" s="195" t="s">
        <v>207</v>
      </c>
      <c r="C1485"/>
      <c r="D1485" s="197" t="s">
        <v>270</v>
      </c>
      <c r="E1485" s="197"/>
      <c r="F1485" s="197"/>
      <c r="G1485" s="197"/>
      <c r="H1485" s="209"/>
      <c r="I1485" s="209"/>
    </row>
    <row r="1486" spans="1:12">
      <c r="A1486" s="195"/>
      <c r="B1486" s="196" t="s">
        <v>227</v>
      </c>
      <c r="C1486"/>
      <c r="D1486" s="197"/>
      <c r="E1486" s="197"/>
      <c r="F1486" s="197"/>
      <c r="G1486" s="197"/>
      <c r="H1486" s="209"/>
      <c r="I1486" s="209"/>
      <c r="K1486"/>
    </row>
    <row r="1487" spans="1:12" ht="29.25" thickBot="1">
      <c r="A1487" s="182" t="str">
        <f>"回収シフト  第"&amp;ROUNDUP(DAY(B1490)/7,0)  &amp;"  "&amp;TEXT(B1490,"aaaa")</f>
        <v>回収シフト  第1  月曜日</v>
      </c>
      <c r="B1487" s="183"/>
      <c r="C1487" s="183"/>
      <c r="D1487" s="183"/>
      <c r="E1487" s="183"/>
      <c r="F1487" s="183"/>
      <c r="G1487" s="184"/>
      <c r="H1487" s="184"/>
      <c r="I1487" s="184"/>
      <c r="K1487" s="183"/>
      <c r="L1487" s="183"/>
    </row>
    <row r="1488" spans="1:12" ht="15.75" thickBot="1">
      <c r="A1488"/>
      <c r="B1488"/>
      <c r="C1488"/>
      <c r="D1488" s="186" t="s">
        <v>201</v>
      </c>
      <c r="E1488" s="186" t="s">
        <v>202</v>
      </c>
      <c r="F1488" s="186" t="s">
        <v>203</v>
      </c>
      <c r="G1488" s="186" t="s">
        <v>204</v>
      </c>
      <c r="H1488" s="186" t="s">
        <v>267</v>
      </c>
      <c r="I1488" s="217" t="s">
        <v>267</v>
      </c>
      <c r="K1488" s="230" t="s">
        <v>257</v>
      </c>
      <c r="L1488" s="231"/>
    </row>
    <row r="1489" spans="1:12">
      <c r="A1489" s="187"/>
      <c r="B1489" s="188">
        <v>45495</v>
      </c>
      <c r="C1489" s="187"/>
      <c r="D1489" s="189"/>
      <c r="E1489" s="189"/>
      <c r="F1489" s="189"/>
      <c r="G1489" s="189"/>
      <c r="H1489" s="189"/>
      <c r="I1489" s="218"/>
      <c r="K1489" s="232" t="s">
        <v>258</v>
      </c>
      <c r="L1489" s="190" t="str">
        <f ca="1">_xlfn.XLOOKUP($B1490,シフト抽出!$19:$19,シフト抽出!$20:$20,"該当なし",0,1)</f>
        <v/>
      </c>
    </row>
    <row r="1490" spans="1:12" ht="19.5" thickBot="1">
      <c r="A1490"/>
      <c r="B1490" s="191">
        <f>B1437+2</f>
        <v>46146</v>
      </c>
      <c r="C1490" s="192" t="e">
        <v>#REF!</v>
      </c>
      <c r="D1490" s="193"/>
      <c r="E1490" s="193"/>
      <c r="F1490" s="193"/>
      <c r="G1490" s="193"/>
      <c r="H1490" s="193"/>
      <c r="I1490" s="219"/>
      <c r="K1490" s="233"/>
      <c r="L1490" s="194" t="str">
        <f ca="1">_xlfn.XLOOKUP($B1490,シフト抽出!$19:$19,シフト抽出!$21:$21,"該当なし",0,1)</f>
        <v/>
      </c>
    </row>
    <row r="1491" spans="1:12">
      <c r="A1491" s="195"/>
      <c r="B1491" s="196">
        <v>0.25</v>
      </c>
      <c r="C1491"/>
      <c r="D1491" s="197"/>
      <c r="E1491" s="196"/>
      <c r="F1491" s="197"/>
      <c r="G1491" s="197"/>
      <c r="H1491" s="197"/>
      <c r="I1491" s="209"/>
      <c r="K1491" s="234" t="s">
        <v>259</v>
      </c>
      <c r="L1491" s="198" t="str">
        <f ca="1">_xlfn.XLOOKUP($B1490,シフト抽出!$19:$19,シフト抽出!$23:$23,"該当なし",0,1)</f>
        <v/>
      </c>
    </row>
    <row r="1492" spans="1:12" ht="15.75" thickBot="1">
      <c r="A1492" s="195"/>
      <c r="B1492" s="195" t="s">
        <v>205</v>
      </c>
      <c r="C1492"/>
      <c r="D1492" s="197"/>
      <c r="E1492" s="197"/>
      <c r="F1492" s="197"/>
      <c r="G1492" s="197"/>
      <c r="H1492" s="197"/>
      <c r="I1492" s="209"/>
      <c r="K1492" s="235"/>
      <c r="L1492" s="199" t="str">
        <f ca="1">_xlfn.XLOOKUP($B1490,シフト抽出!$19:$19,シフト抽出!$24:$24,"該当なし",0,1)</f>
        <v/>
      </c>
    </row>
    <row r="1493" spans="1:12">
      <c r="A1493" s="195"/>
      <c r="B1493" s="195" t="s">
        <v>206</v>
      </c>
      <c r="C1493"/>
      <c r="D1493" s="197"/>
      <c r="E1493" s="197"/>
      <c r="F1493" s="197"/>
      <c r="G1493" s="197"/>
      <c r="H1493" s="197"/>
      <c r="I1493" s="209"/>
      <c r="K1493" s="224" t="s">
        <v>260</v>
      </c>
      <c r="L1493" s="200" t="str">
        <f ca="1">_xlfn.XLOOKUP($B1490,シフト抽出!$19:$19,シフト抽出!$26:$26,"該当なし",0,1)</f>
        <v/>
      </c>
    </row>
    <row r="1494" spans="1:12">
      <c r="A1494" s="195"/>
      <c r="B1494" s="195" t="s">
        <v>207</v>
      </c>
      <c r="C1494"/>
      <c r="D1494" s="197"/>
      <c r="E1494" s="197"/>
      <c r="F1494" s="197"/>
      <c r="G1494" s="197"/>
      <c r="H1494" s="197"/>
      <c r="I1494" s="209"/>
      <c r="K1494" s="225"/>
      <c r="L1494" s="201" t="str">
        <f ca="1">_xlfn.XLOOKUP($B1490,シフト抽出!$19:$19,シフト抽出!$27:$27,"該当なし",0,1)</f>
        <v/>
      </c>
    </row>
    <row r="1495" spans="1:12">
      <c r="A1495" s="195"/>
      <c r="B1495" s="202" t="s">
        <v>208</v>
      </c>
      <c r="C1495"/>
      <c r="D1495" s="197"/>
      <c r="E1495" s="197"/>
      <c r="F1495" s="197"/>
      <c r="G1495" s="197"/>
      <c r="H1495" s="197"/>
      <c r="I1495" s="209"/>
      <c r="J1495" s="203"/>
      <c r="K1495" s="225"/>
      <c r="L1495" s="201" t="str">
        <f ca="1">_xlfn.XLOOKUP($B1490,シフト抽出!$19:$19,シフト抽出!$28:$28,"該当なし",0,1)</f>
        <v/>
      </c>
    </row>
    <row r="1496" spans="1:12" ht="15.75" thickBot="1">
      <c r="A1496" s="195"/>
      <c r="B1496" s="195" t="s">
        <v>205</v>
      </c>
      <c r="C1496"/>
      <c r="D1496" s="197"/>
      <c r="E1496" s="197"/>
      <c r="F1496" s="197"/>
      <c r="G1496" s="197"/>
      <c r="H1496" s="197"/>
      <c r="I1496" s="209"/>
      <c r="J1496" s="203"/>
      <c r="K1496" s="226"/>
      <c r="L1496" s="204" t="str">
        <f ca="1">_xlfn.XLOOKUP($B1490,シフト抽出!$19:$19,シフト抽出!$29:$29,"該当なし",0,1)</f>
        <v/>
      </c>
    </row>
    <row r="1497" spans="1:12" ht="15.75" thickBot="1">
      <c r="A1497" s="195"/>
      <c r="B1497" s="195" t="s">
        <v>206</v>
      </c>
      <c r="C1497"/>
      <c r="D1497" s="197"/>
      <c r="E1497" s="197"/>
      <c r="F1497" s="197"/>
      <c r="G1497" s="197"/>
      <c r="H1497" s="197"/>
      <c r="I1497" s="209"/>
      <c r="K1497" s="205" t="s">
        <v>261</v>
      </c>
      <c r="L1497" s="205">
        <f>_xlfn.XLOOKUP($B1490,予定表!B:B,予定表!R:R,"該当なし",0,1)</f>
        <v>0</v>
      </c>
    </row>
    <row r="1498" spans="1:12">
      <c r="A1498" s="195"/>
      <c r="B1498" s="195" t="s">
        <v>207</v>
      </c>
      <c r="C1498"/>
      <c r="D1498" s="197"/>
      <c r="E1498" s="197"/>
      <c r="F1498" s="197"/>
      <c r="G1498" s="197"/>
      <c r="H1498" s="197"/>
      <c r="I1498" s="209"/>
      <c r="K1498" s="227" t="s">
        <v>262</v>
      </c>
      <c r="L1498" s="206">
        <f>_xlfn.XLOOKUP($B1490,予定表!$B:$B,予定表!E:E,"該当なし",0,1)</f>
        <v>0</v>
      </c>
    </row>
    <row r="1499" spans="1:12">
      <c r="A1499" s="195"/>
      <c r="B1499" s="196" t="s">
        <v>209</v>
      </c>
      <c r="C1499"/>
      <c r="D1499" s="197" t="s">
        <v>851</v>
      </c>
      <c r="E1499" s="197"/>
      <c r="F1499" s="197"/>
      <c r="G1499" s="197" t="s">
        <v>793</v>
      </c>
      <c r="H1499" s="197"/>
      <c r="I1499" s="209"/>
      <c r="K1499" s="228"/>
      <c r="L1499" s="207">
        <f>_xlfn.XLOOKUP($B1490,予定表!$B:$B,予定表!F:F,"該当なし",0,1)</f>
        <v>0</v>
      </c>
    </row>
    <row r="1500" spans="1:12">
      <c r="A1500" s="195"/>
      <c r="B1500" s="195" t="s">
        <v>205</v>
      </c>
      <c r="C1500"/>
      <c r="D1500" s="197" t="s">
        <v>851</v>
      </c>
      <c r="E1500" s="197"/>
      <c r="F1500" s="197"/>
      <c r="G1500" s="197" t="s">
        <v>793</v>
      </c>
      <c r="H1500" s="197"/>
      <c r="I1500" s="209"/>
      <c r="K1500" s="228"/>
      <c r="L1500" s="207">
        <f>_xlfn.XLOOKUP($B1490,予定表!$B:$B,予定表!G:G,"該当なし",0,1)</f>
        <v>0</v>
      </c>
    </row>
    <row r="1501" spans="1:12">
      <c r="A1501" s="195"/>
      <c r="B1501" s="195" t="s">
        <v>206</v>
      </c>
      <c r="C1501"/>
      <c r="D1501" s="197" t="s">
        <v>851</v>
      </c>
      <c r="E1501" s="197"/>
      <c r="F1501" s="197"/>
      <c r="G1501" s="197" t="s">
        <v>268</v>
      </c>
      <c r="H1501" s="197"/>
      <c r="I1501" s="209"/>
      <c r="K1501" s="228"/>
      <c r="L1501" s="207">
        <f>_xlfn.XLOOKUP($B1490,予定表!$B:$B,予定表!H:H,"該当なし",0,1)</f>
        <v>0</v>
      </c>
    </row>
    <row r="1502" spans="1:12">
      <c r="A1502" s="195"/>
      <c r="B1502" s="195" t="s">
        <v>207</v>
      </c>
      <c r="C1502"/>
      <c r="D1502" s="197" t="s">
        <v>851</v>
      </c>
      <c r="E1502" s="197"/>
      <c r="F1502" s="197"/>
      <c r="G1502" s="197" t="s">
        <v>268</v>
      </c>
      <c r="H1502" s="197"/>
      <c r="I1502" s="209"/>
      <c r="K1502" s="228"/>
      <c r="L1502" s="207" t="str">
        <f>_xlfn.XLOOKUP($B1490,予定表!$B:$B,予定表!I:I,"該当なし",0,1)</f>
        <v/>
      </c>
    </row>
    <row r="1503" spans="1:12">
      <c r="A1503" s="195"/>
      <c r="B1503" s="196" t="s">
        <v>212</v>
      </c>
      <c r="C1503"/>
      <c r="D1503" s="197" t="s">
        <v>848</v>
      </c>
      <c r="E1503" s="197"/>
      <c r="F1503" s="197"/>
      <c r="G1503" s="197" t="s">
        <v>268</v>
      </c>
      <c r="H1503" s="197"/>
      <c r="I1503" s="209"/>
      <c r="K1503" s="228"/>
      <c r="L1503" s="207" t="str">
        <f>_xlfn.XLOOKUP($B1490,予定表!$B:$B,予定表!J:J,"該当なし",0,1)</f>
        <v/>
      </c>
    </row>
    <row r="1504" spans="1:12">
      <c r="A1504" s="195"/>
      <c r="B1504" s="195" t="s">
        <v>205</v>
      </c>
      <c r="C1504"/>
      <c r="D1504" s="197" t="s">
        <v>848</v>
      </c>
      <c r="E1504" s="197"/>
      <c r="F1504" s="197"/>
      <c r="G1504" s="197" t="s">
        <v>268</v>
      </c>
      <c r="H1504" s="197"/>
      <c r="I1504" s="209"/>
      <c r="K1504" s="228"/>
      <c r="L1504" s="207" t="str">
        <f>_xlfn.XLOOKUP($B1490,予定表!$B:$B,予定表!K:K,"該当なし",0,1)</f>
        <v/>
      </c>
    </row>
    <row r="1505" spans="1:12">
      <c r="A1505" s="195"/>
      <c r="B1505" s="195" t="s">
        <v>206</v>
      </c>
      <c r="C1505"/>
      <c r="D1505" s="197" t="s">
        <v>848</v>
      </c>
      <c r="E1505" s="197"/>
      <c r="F1505" s="197"/>
      <c r="G1505" s="197" t="s">
        <v>268</v>
      </c>
      <c r="H1505" s="197"/>
      <c r="I1505" s="209"/>
      <c r="K1505" s="228"/>
      <c r="L1505" s="207" t="str">
        <f>_xlfn.XLOOKUP($B1490,予定表!$B:$B,予定表!L:L,"該当なし",0,1)</f>
        <v/>
      </c>
    </row>
    <row r="1506" spans="1:12" ht="15.75" thickBot="1">
      <c r="A1506" s="195"/>
      <c r="B1506" s="195" t="s">
        <v>207</v>
      </c>
      <c r="C1506"/>
      <c r="D1506" s="197" t="s">
        <v>848</v>
      </c>
      <c r="E1506" s="197"/>
      <c r="F1506" s="197"/>
      <c r="G1506" s="197" t="s">
        <v>268</v>
      </c>
      <c r="H1506" s="197"/>
      <c r="I1506" s="209"/>
      <c r="K1506" s="229"/>
      <c r="L1506" s="204" t="str">
        <f>_xlfn.XLOOKUP($A1487,ﾘｽﾄマスタ!$U$8:$U$17,ﾘｽﾄマスタ!$V$8:$V$17,"",0)</f>
        <v>㈱ｱｸﾃｨｵ・春うららか</v>
      </c>
    </row>
    <row r="1507" spans="1:12" ht="15.75" thickBot="1">
      <c r="A1507" s="195"/>
      <c r="B1507" s="196" t="s">
        <v>251</v>
      </c>
      <c r="C1507"/>
      <c r="D1507" s="197" t="s">
        <v>273</v>
      </c>
      <c r="E1507" s="197"/>
      <c r="F1507" s="197"/>
      <c r="G1507" s="197" t="s">
        <v>446</v>
      </c>
      <c r="H1507" s="197"/>
      <c r="I1507" s="209"/>
      <c r="K1507" s="208" t="s">
        <v>277</v>
      </c>
      <c r="L1507" s="208" t="str">
        <f ca="1">_xlfn.XLOOKUP($B1490,シフト抽出!$19:$19,シフト抽出!$30:$30,"該当なし",0,1)</f>
        <v/>
      </c>
    </row>
    <row r="1508" spans="1:12">
      <c r="A1508" s="195"/>
      <c r="B1508" s="195" t="s">
        <v>205</v>
      </c>
      <c r="C1508"/>
      <c r="D1508" s="197" t="s">
        <v>273</v>
      </c>
      <c r="E1508" s="197"/>
      <c r="F1508" s="197"/>
      <c r="G1508" s="197" t="s">
        <v>446</v>
      </c>
      <c r="H1508" s="197"/>
      <c r="I1508" s="209"/>
    </row>
    <row r="1509" spans="1:12">
      <c r="A1509" s="195"/>
      <c r="B1509" s="195" t="s">
        <v>206</v>
      </c>
      <c r="C1509"/>
      <c r="D1509" s="197" t="s">
        <v>273</v>
      </c>
      <c r="E1509" s="197"/>
      <c r="F1509" s="197"/>
      <c r="G1509" s="197" t="s">
        <v>446</v>
      </c>
      <c r="H1509" s="197"/>
      <c r="I1509" s="209"/>
    </row>
    <row r="1510" spans="1:12">
      <c r="A1510" s="195"/>
      <c r="B1510" s="195" t="s">
        <v>207</v>
      </c>
      <c r="C1510"/>
      <c r="D1510" s="197" t="s">
        <v>273</v>
      </c>
      <c r="E1510" s="197"/>
      <c r="F1510" s="197"/>
      <c r="G1510" s="197" t="s">
        <v>446</v>
      </c>
      <c r="H1510" s="197"/>
      <c r="I1510" s="209"/>
    </row>
    <row r="1511" spans="1:12">
      <c r="A1511" s="195"/>
      <c r="B1511" s="196" t="s">
        <v>217</v>
      </c>
      <c r="C1511"/>
      <c r="D1511" s="197" t="s">
        <v>229</v>
      </c>
      <c r="E1511" s="197"/>
      <c r="F1511" s="197"/>
      <c r="G1511" s="197"/>
      <c r="H1511" s="197"/>
      <c r="I1511" s="209"/>
    </row>
    <row r="1512" spans="1:12">
      <c r="A1512" s="195"/>
      <c r="B1512" s="195" t="s">
        <v>205</v>
      </c>
      <c r="C1512"/>
      <c r="D1512" s="197" t="s">
        <v>230</v>
      </c>
      <c r="E1512" s="197"/>
      <c r="F1512" s="197"/>
      <c r="G1512" s="197"/>
      <c r="H1512" s="197"/>
      <c r="I1512" s="209"/>
    </row>
    <row r="1513" spans="1:12">
      <c r="A1513" s="195"/>
      <c r="B1513" s="195" t="s">
        <v>206</v>
      </c>
      <c r="C1513"/>
      <c r="D1513" s="197" t="s">
        <v>230</v>
      </c>
      <c r="E1513" s="197"/>
      <c r="F1513" s="197"/>
      <c r="G1513" s="197"/>
      <c r="H1513" s="197"/>
      <c r="I1513" s="209"/>
    </row>
    <row r="1514" spans="1:12">
      <c r="A1514" s="195"/>
      <c r="B1514" s="195" t="s">
        <v>207</v>
      </c>
      <c r="C1514"/>
      <c r="D1514" s="197" t="s">
        <v>230</v>
      </c>
      <c r="E1514" s="197"/>
      <c r="F1514" s="197"/>
      <c r="G1514" s="197"/>
      <c r="H1514" s="197"/>
      <c r="I1514" s="209"/>
    </row>
    <row r="1515" spans="1:12">
      <c r="A1515" s="195"/>
      <c r="B1515" s="196" t="s">
        <v>219</v>
      </c>
      <c r="C1515"/>
      <c r="D1515" s="197" t="s">
        <v>230</v>
      </c>
      <c r="E1515" s="197"/>
      <c r="F1515" s="197"/>
      <c r="G1515" s="197"/>
      <c r="H1515" s="197"/>
      <c r="I1515" s="209"/>
    </row>
    <row r="1516" spans="1:12">
      <c r="A1516" s="195"/>
      <c r="B1516" s="195" t="s">
        <v>205</v>
      </c>
      <c r="C1516"/>
      <c r="D1516" s="197" t="s">
        <v>230</v>
      </c>
      <c r="E1516" s="197"/>
      <c r="F1516" s="197"/>
      <c r="G1516" s="197"/>
      <c r="H1516" s="197"/>
      <c r="I1516" s="209"/>
    </row>
    <row r="1517" spans="1:12">
      <c r="A1517" s="195"/>
      <c r="B1517" s="195" t="s">
        <v>206</v>
      </c>
      <c r="C1517"/>
      <c r="D1517" s="197"/>
      <c r="E1517" s="197"/>
      <c r="F1517" s="197"/>
      <c r="G1517" s="197"/>
      <c r="H1517" s="197"/>
      <c r="I1517" s="209"/>
    </row>
    <row r="1518" spans="1:12">
      <c r="A1518" s="195"/>
      <c r="B1518" s="195" t="s">
        <v>207</v>
      </c>
      <c r="C1518"/>
      <c r="D1518" s="197"/>
      <c r="E1518" s="197"/>
      <c r="F1518" s="197"/>
      <c r="G1518" s="197"/>
      <c r="H1518" s="197"/>
      <c r="I1518" s="209"/>
    </row>
    <row r="1519" spans="1:12">
      <c r="A1519" s="195"/>
      <c r="B1519" s="196" t="s">
        <v>220</v>
      </c>
      <c r="C1519"/>
      <c r="D1519" s="197" t="s">
        <v>248</v>
      </c>
      <c r="E1519" s="197"/>
      <c r="F1519" s="197"/>
      <c r="G1519" s="197"/>
      <c r="H1519" s="197"/>
      <c r="I1519" s="209"/>
    </row>
    <row r="1520" spans="1:12">
      <c r="A1520" s="195"/>
      <c r="B1520" s="195" t="s">
        <v>205</v>
      </c>
      <c r="C1520"/>
      <c r="D1520" s="197"/>
      <c r="E1520" s="197"/>
      <c r="F1520" s="197"/>
      <c r="G1520" s="197" t="s">
        <v>114</v>
      </c>
      <c r="H1520" s="197"/>
      <c r="I1520" s="209"/>
    </row>
    <row r="1521" spans="1:9">
      <c r="A1521" s="195"/>
      <c r="B1521" s="195" t="s">
        <v>206</v>
      </c>
      <c r="C1521"/>
      <c r="D1521" s="197" t="s">
        <v>759</v>
      </c>
      <c r="E1521" s="197"/>
      <c r="F1521" s="197"/>
      <c r="G1521" s="197" t="s">
        <v>114</v>
      </c>
      <c r="H1521" s="197"/>
      <c r="I1521" s="209"/>
    </row>
    <row r="1522" spans="1:9">
      <c r="A1522" s="195"/>
      <c r="B1522" s="195" t="s">
        <v>207</v>
      </c>
      <c r="C1522"/>
      <c r="D1522" s="197" t="s">
        <v>759</v>
      </c>
      <c r="E1522" s="197"/>
      <c r="F1522" s="197"/>
      <c r="G1522" s="197" t="s">
        <v>114</v>
      </c>
      <c r="H1522" s="197"/>
      <c r="I1522" s="209"/>
    </row>
    <row r="1523" spans="1:9">
      <c r="A1523" s="195"/>
      <c r="B1523" s="196" t="s">
        <v>222</v>
      </c>
      <c r="C1523"/>
      <c r="D1523" s="197" t="s">
        <v>759</v>
      </c>
      <c r="E1523" s="197"/>
      <c r="F1523" s="197"/>
      <c r="G1523" s="197"/>
      <c r="H1523" s="197"/>
      <c r="I1523" s="209"/>
    </row>
    <row r="1524" spans="1:9">
      <c r="A1524" s="195"/>
      <c r="B1524" s="195" t="s">
        <v>205</v>
      </c>
      <c r="C1524"/>
      <c r="D1524" s="197" t="s">
        <v>759</v>
      </c>
      <c r="E1524" s="197"/>
      <c r="F1524" s="197"/>
      <c r="G1524" s="197" t="s">
        <v>270</v>
      </c>
      <c r="H1524" s="197"/>
      <c r="I1524" s="209"/>
    </row>
    <row r="1525" spans="1:9">
      <c r="A1525" s="195"/>
      <c r="B1525" s="195" t="s">
        <v>206</v>
      </c>
      <c r="C1525"/>
      <c r="D1525" s="197" t="s">
        <v>216</v>
      </c>
      <c r="E1525" s="197"/>
      <c r="F1525" s="197"/>
      <c r="G1525" s="197" t="s">
        <v>270</v>
      </c>
      <c r="H1525" s="197"/>
      <c r="I1525" s="209"/>
    </row>
    <row r="1526" spans="1:9">
      <c r="A1526" s="195"/>
      <c r="B1526" s="195" t="s">
        <v>207</v>
      </c>
      <c r="C1526"/>
      <c r="D1526" s="197" t="s">
        <v>216</v>
      </c>
      <c r="E1526" s="197"/>
      <c r="F1526" s="197"/>
      <c r="G1526" s="197" t="s">
        <v>270</v>
      </c>
      <c r="H1526" s="197"/>
      <c r="I1526" s="209"/>
    </row>
    <row r="1527" spans="1:9">
      <c r="A1527" s="195"/>
      <c r="B1527" s="196" t="s">
        <v>223</v>
      </c>
      <c r="C1527"/>
      <c r="D1527" s="197" t="s">
        <v>216</v>
      </c>
      <c r="E1527" s="197"/>
      <c r="F1527" s="197"/>
      <c r="G1527" s="197" t="s">
        <v>270</v>
      </c>
      <c r="H1527" s="197"/>
      <c r="I1527" s="209"/>
    </row>
    <row r="1528" spans="1:9">
      <c r="A1528" s="195"/>
      <c r="B1528" s="195" t="s">
        <v>205</v>
      </c>
      <c r="C1528"/>
      <c r="D1528" s="197" t="s">
        <v>216</v>
      </c>
      <c r="E1528" s="197"/>
      <c r="F1528" s="197"/>
      <c r="G1528" s="197" t="s">
        <v>270</v>
      </c>
      <c r="H1528" s="197"/>
      <c r="I1528" s="209"/>
    </row>
    <row r="1529" spans="1:9">
      <c r="A1529" s="195"/>
      <c r="B1529" s="195" t="s">
        <v>206</v>
      </c>
      <c r="C1529"/>
      <c r="D1529" s="197" t="s">
        <v>216</v>
      </c>
      <c r="E1529" s="197"/>
      <c r="F1529" s="197"/>
      <c r="G1529" s="197" t="s">
        <v>270</v>
      </c>
      <c r="H1529" s="197"/>
      <c r="I1529" s="209"/>
    </row>
    <row r="1530" spans="1:9">
      <c r="A1530" s="195"/>
      <c r="B1530" s="195" t="s">
        <v>207</v>
      </c>
      <c r="C1530"/>
      <c r="D1530" s="197" t="s">
        <v>216</v>
      </c>
      <c r="E1530" s="197"/>
      <c r="F1530" s="197"/>
      <c r="G1530" s="197" t="s">
        <v>270</v>
      </c>
      <c r="H1530" s="197"/>
      <c r="I1530" s="209"/>
    </row>
    <row r="1531" spans="1:9">
      <c r="A1531" s="195"/>
      <c r="B1531" s="196" t="s">
        <v>225</v>
      </c>
      <c r="C1531"/>
      <c r="D1531" s="197"/>
      <c r="E1531" s="197"/>
      <c r="F1531" s="197"/>
      <c r="G1531" s="197" t="s">
        <v>270</v>
      </c>
      <c r="H1531" s="197"/>
      <c r="I1531" s="209"/>
    </row>
    <row r="1532" spans="1:9">
      <c r="A1532" s="195"/>
      <c r="B1532" s="195" t="s">
        <v>205</v>
      </c>
      <c r="C1532"/>
      <c r="D1532" s="197"/>
      <c r="E1532" s="197"/>
      <c r="F1532" s="197"/>
      <c r="G1532" s="197" t="s">
        <v>270</v>
      </c>
      <c r="H1532" s="197"/>
      <c r="I1532" s="209"/>
    </row>
    <row r="1533" spans="1:9">
      <c r="A1533" s="195"/>
      <c r="B1533" s="195" t="s">
        <v>206</v>
      </c>
      <c r="C1533"/>
      <c r="D1533" s="197"/>
      <c r="E1533" s="197"/>
      <c r="F1533" s="197"/>
      <c r="G1533" s="197" t="s">
        <v>270</v>
      </c>
      <c r="H1533" s="197"/>
      <c r="I1533" s="209"/>
    </row>
    <row r="1534" spans="1:9">
      <c r="A1534" s="195"/>
      <c r="B1534" s="195" t="s">
        <v>207</v>
      </c>
      <c r="C1534"/>
      <c r="D1534" s="197"/>
      <c r="E1534" s="197"/>
      <c r="F1534" s="197"/>
      <c r="G1534" s="197" t="s">
        <v>270</v>
      </c>
      <c r="H1534" s="197"/>
      <c r="I1534" s="209"/>
    </row>
    <row r="1535" spans="1:9">
      <c r="A1535" s="195"/>
      <c r="B1535" s="196" t="s">
        <v>226</v>
      </c>
      <c r="C1535"/>
      <c r="D1535" s="197"/>
      <c r="E1535" s="197"/>
      <c r="F1535" s="197"/>
      <c r="G1535" s="197" t="s">
        <v>270</v>
      </c>
      <c r="H1535" s="197"/>
      <c r="I1535" s="209"/>
    </row>
    <row r="1536" spans="1:9">
      <c r="A1536" s="195"/>
      <c r="B1536" s="195" t="s">
        <v>205</v>
      </c>
      <c r="C1536"/>
      <c r="D1536" s="197"/>
      <c r="E1536" s="197"/>
      <c r="F1536" s="197"/>
      <c r="G1536" s="197" t="s">
        <v>270</v>
      </c>
      <c r="H1536" s="197"/>
      <c r="I1536" s="209"/>
    </row>
    <row r="1537" spans="1:12">
      <c r="A1537" s="195"/>
      <c r="B1537" s="195" t="s">
        <v>206</v>
      </c>
      <c r="C1537"/>
      <c r="D1537" s="197"/>
      <c r="E1537" s="197"/>
      <c r="F1537" s="197"/>
      <c r="G1537" s="197" t="s">
        <v>270</v>
      </c>
      <c r="H1537" s="197"/>
      <c r="I1537" s="209"/>
    </row>
    <row r="1538" spans="1:12">
      <c r="A1538" s="195"/>
      <c r="B1538" s="195" t="s">
        <v>207</v>
      </c>
      <c r="C1538"/>
      <c r="D1538" s="197"/>
      <c r="E1538" s="197"/>
      <c r="F1538" s="197"/>
      <c r="G1538" s="197" t="s">
        <v>270</v>
      </c>
      <c r="H1538" s="209"/>
      <c r="I1538" s="209"/>
    </row>
    <row r="1539" spans="1:12">
      <c r="A1539" s="195"/>
      <c r="B1539" s="196" t="s">
        <v>227</v>
      </c>
      <c r="C1539"/>
      <c r="D1539" s="197"/>
      <c r="E1539" s="197"/>
      <c r="F1539" s="197"/>
      <c r="G1539" s="197"/>
      <c r="H1539" s="209"/>
      <c r="I1539" s="209"/>
      <c r="K1539"/>
    </row>
    <row r="1540" spans="1:12" ht="29.25" thickBot="1">
      <c r="A1540" s="182" t="str">
        <f>"回収シフト  第"&amp;ROUNDUP(DAY(B1543)/7,0)  &amp;"  "&amp;TEXT(B1543,"aaaa")</f>
        <v>回収シフト  第1  火曜日</v>
      </c>
      <c r="B1540" s="183"/>
      <c r="C1540" s="183"/>
      <c r="D1540" s="183"/>
      <c r="E1540" s="183"/>
      <c r="F1540" s="183"/>
      <c r="G1540" s="184"/>
      <c r="H1540" s="184"/>
      <c r="I1540" s="184"/>
      <c r="K1540" s="183"/>
      <c r="L1540" s="183"/>
    </row>
    <row r="1541" spans="1:12" ht="15.75" thickBot="1">
      <c r="A1541"/>
      <c r="B1541"/>
      <c r="C1541"/>
      <c r="D1541" s="186" t="s">
        <v>201</v>
      </c>
      <c r="E1541" s="186" t="s">
        <v>202</v>
      </c>
      <c r="F1541" s="186" t="s">
        <v>203</v>
      </c>
      <c r="G1541" s="186" t="s">
        <v>204</v>
      </c>
      <c r="H1541" s="186" t="s">
        <v>267</v>
      </c>
      <c r="I1541" s="217" t="s">
        <v>267</v>
      </c>
      <c r="K1541" s="230" t="s">
        <v>257</v>
      </c>
      <c r="L1541" s="231"/>
    </row>
    <row r="1542" spans="1:12">
      <c r="A1542" s="187"/>
      <c r="B1542" s="188">
        <v>46119</v>
      </c>
      <c r="C1542" s="187"/>
      <c r="D1542" s="189"/>
      <c r="E1542" s="189"/>
      <c r="F1542" s="189"/>
      <c r="G1542" s="189"/>
      <c r="H1542" s="189"/>
      <c r="I1542" s="218"/>
      <c r="K1542" s="232" t="s">
        <v>258</v>
      </c>
      <c r="L1542" s="190" t="str">
        <f ca="1">_xlfn.XLOOKUP($B1543,シフト抽出!$19:$19,シフト抽出!$20:$20,"該当なし",0,1)</f>
        <v/>
      </c>
    </row>
    <row r="1543" spans="1:12" ht="19.5" thickBot="1">
      <c r="A1543"/>
      <c r="B1543" s="191">
        <f>B1490+1</f>
        <v>46147</v>
      </c>
      <c r="C1543" s="192"/>
      <c r="D1543" s="193"/>
      <c r="E1543" s="193"/>
      <c r="F1543" s="193"/>
      <c r="G1543" s="193"/>
      <c r="H1543" s="193"/>
      <c r="I1543" s="219"/>
      <c r="K1543" s="233"/>
      <c r="L1543" s="194" t="str">
        <f ca="1">_xlfn.XLOOKUP($B1543,シフト抽出!$19:$19,シフト抽出!$21:$21,"該当なし",0,1)</f>
        <v/>
      </c>
    </row>
    <row r="1544" spans="1:12">
      <c r="A1544" s="195"/>
      <c r="B1544" s="196">
        <v>0.25</v>
      </c>
      <c r="C1544"/>
      <c r="D1544" s="197"/>
      <c r="E1544" s="196"/>
      <c r="F1544" s="197"/>
      <c r="G1544" s="197"/>
      <c r="H1544" s="197"/>
      <c r="I1544" s="209"/>
      <c r="K1544" s="234" t="s">
        <v>259</v>
      </c>
      <c r="L1544" s="198" t="str">
        <f ca="1">_xlfn.XLOOKUP($B1543,シフト抽出!$19:$19,シフト抽出!$23:$23,"該当なし",0,1)</f>
        <v/>
      </c>
    </row>
    <row r="1545" spans="1:12" ht="15.75" thickBot="1">
      <c r="A1545" s="195"/>
      <c r="B1545" s="195" t="s">
        <v>205</v>
      </c>
      <c r="C1545"/>
      <c r="D1545" s="197"/>
      <c r="E1545" s="197"/>
      <c r="F1545" s="197"/>
      <c r="G1545" s="197"/>
      <c r="H1545" s="197"/>
      <c r="I1545" s="209"/>
      <c r="K1545" s="235"/>
      <c r="L1545" s="199" t="str">
        <f ca="1">_xlfn.XLOOKUP($B1543,シフト抽出!$19:$19,シフト抽出!$24:$24,"該当なし",0,1)</f>
        <v/>
      </c>
    </row>
    <row r="1546" spans="1:12">
      <c r="A1546" s="195"/>
      <c r="B1546" s="195" t="s">
        <v>206</v>
      </c>
      <c r="C1546"/>
      <c r="D1546" s="197"/>
      <c r="E1546" s="197"/>
      <c r="F1546" s="197"/>
      <c r="G1546" s="197"/>
      <c r="H1546" s="197"/>
      <c r="I1546" s="209"/>
      <c r="K1546" s="224" t="s">
        <v>260</v>
      </c>
      <c r="L1546" s="200" t="str">
        <f ca="1">_xlfn.XLOOKUP($B1543,シフト抽出!$19:$19,シフト抽出!$26:$26,"該当なし",0,1)</f>
        <v/>
      </c>
    </row>
    <row r="1547" spans="1:12">
      <c r="A1547" s="195"/>
      <c r="B1547" s="195" t="s">
        <v>207</v>
      </c>
      <c r="C1547"/>
      <c r="D1547" s="197"/>
      <c r="E1547" s="197"/>
      <c r="F1547" s="197"/>
      <c r="G1547" s="197"/>
      <c r="H1547" s="197"/>
      <c r="I1547" s="209"/>
      <c r="K1547" s="225"/>
      <c r="L1547" s="201" t="str">
        <f ca="1">_xlfn.XLOOKUP($B1543,シフト抽出!$19:$19,シフト抽出!$27:$27,"該当なし",0,1)</f>
        <v/>
      </c>
    </row>
    <row r="1548" spans="1:12">
      <c r="A1548" s="195"/>
      <c r="B1548" s="202" t="s">
        <v>208</v>
      </c>
      <c r="C1548"/>
      <c r="D1548" s="197"/>
      <c r="E1548" s="197"/>
      <c r="F1548" s="197"/>
      <c r="G1548" s="197"/>
      <c r="H1548" s="197"/>
      <c r="I1548" s="209"/>
      <c r="J1548" s="203"/>
      <c r="K1548" s="225"/>
      <c r="L1548" s="201" t="str">
        <f ca="1">_xlfn.XLOOKUP($B1543,シフト抽出!$19:$19,シフト抽出!$28:$28,"該当なし",0,1)</f>
        <v/>
      </c>
    </row>
    <row r="1549" spans="1:12" ht="15.75" thickBot="1">
      <c r="A1549" s="195"/>
      <c r="B1549" s="195" t="s">
        <v>205</v>
      </c>
      <c r="C1549"/>
      <c r="D1549" s="197"/>
      <c r="E1549" s="197"/>
      <c r="F1549" s="197"/>
      <c r="G1549" s="197"/>
      <c r="H1549" s="197"/>
      <c r="I1549" s="209"/>
      <c r="J1549" s="203"/>
      <c r="K1549" s="226"/>
      <c r="L1549" s="204" t="str">
        <f ca="1">_xlfn.XLOOKUP($B1543,シフト抽出!$19:$19,シフト抽出!$29:$29,"該当なし",0,1)</f>
        <v/>
      </c>
    </row>
    <row r="1550" spans="1:12" ht="15.75" thickBot="1">
      <c r="A1550" s="195"/>
      <c r="B1550" s="195" t="s">
        <v>206</v>
      </c>
      <c r="C1550"/>
      <c r="D1550" s="197"/>
      <c r="E1550" s="197"/>
      <c r="F1550" s="197"/>
      <c r="G1550" s="197"/>
      <c r="H1550" s="197"/>
      <c r="I1550" s="209"/>
      <c r="K1550" s="205" t="s">
        <v>261</v>
      </c>
      <c r="L1550" s="205">
        <f>_xlfn.XLOOKUP($B1543,予定表!B:B,予定表!R:R,"該当なし",0,1)</f>
        <v>0</v>
      </c>
    </row>
    <row r="1551" spans="1:12">
      <c r="A1551" s="195"/>
      <c r="B1551" s="195" t="s">
        <v>207</v>
      </c>
      <c r="C1551"/>
      <c r="D1551" s="197"/>
      <c r="E1551" s="197"/>
      <c r="F1551" s="197"/>
      <c r="G1551" s="197"/>
      <c r="H1551" s="197"/>
      <c r="I1551" s="209"/>
      <c r="K1551" s="227" t="s">
        <v>262</v>
      </c>
      <c r="L1551" s="206">
        <f>_xlfn.XLOOKUP($B1543,予定表!$B:$B,予定表!E:E,"該当なし",0,1)</f>
        <v>0</v>
      </c>
    </row>
    <row r="1552" spans="1:12">
      <c r="A1552" s="195"/>
      <c r="B1552" s="196" t="s">
        <v>209</v>
      </c>
      <c r="C1552"/>
      <c r="D1552" s="197" t="s">
        <v>273</v>
      </c>
      <c r="E1552" s="197"/>
      <c r="F1552" s="197"/>
      <c r="G1552" s="197" t="s">
        <v>4</v>
      </c>
      <c r="H1552" s="197"/>
      <c r="I1552" s="209"/>
      <c r="K1552" s="228"/>
      <c r="L1552" s="207">
        <f>_xlfn.XLOOKUP($B1543,予定表!$B:$B,予定表!F:F,"該当なし",0,1)</f>
        <v>0</v>
      </c>
    </row>
    <row r="1553" spans="1:12">
      <c r="A1553" s="195"/>
      <c r="B1553" s="195" t="s">
        <v>205</v>
      </c>
      <c r="C1553"/>
      <c r="D1553" s="197" t="s">
        <v>273</v>
      </c>
      <c r="E1553" s="197"/>
      <c r="F1553" s="197"/>
      <c r="G1553" s="197" t="s">
        <v>268</v>
      </c>
      <c r="H1553" s="197"/>
      <c r="I1553" s="209"/>
      <c r="K1553" s="228"/>
      <c r="L1553" s="207">
        <f>_xlfn.XLOOKUP($B1543,予定表!$B:$B,予定表!G:G,"該当なし",0,1)</f>
        <v>0</v>
      </c>
    </row>
    <row r="1554" spans="1:12">
      <c r="A1554" s="195"/>
      <c r="B1554" s="195" t="s">
        <v>206</v>
      </c>
      <c r="C1554"/>
      <c r="D1554" s="197" t="s">
        <v>273</v>
      </c>
      <c r="E1554" s="197"/>
      <c r="F1554" s="197"/>
      <c r="G1554" s="197" t="s">
        <v>268</v>
      </c>
      <c r="H1554" s="197"/>
      <c r="I1554" s="209"/>
      <c r="K1554" s="228"/>
      <c r="L1554" s="207">
        <f>_xlfn.XLOOKUP($B1543,予定表!$B:$B,予定表!H:H,"該当なし",0,1)</f>
        <v>0</v>
      </c>
    </row>
    <row r="1555" spans="1:12">
      <c r="A1555" s="195"/>
      <c r="B1555" s="195" t="s">
        <v>207</v>
      </c>
      <c r="C1555"/>
      <c r="D1555" s="197" t="s">
        <v>416</v>
      </c>
      <c r="E1555" s="197"/>
      <c r="F1555" s="197"/>
      <c r="G1555" s="197" t="s">
        <v>268</v>
      </c>
      <c r="H1555" s="197"/>
      <c r="I1555" s="209"/>
      <c r="K1555" s="228"/>
      <c r="L1555" s="207" t="str">
        <f>_xlfn.XLOOKUP($B1543,予定表!$B:$B,予定表!I:I,"該当なし",0,1)</f>
        <v/>
      </c>
    </row>
    <row r="1556" spans="1:12">
      <c r="A1556" s="195"/>
      <c r="B1556" s="196" t="s">
        <v>212</v>
      </c>
      <c r="C1556"/>
      <c r="D1556" s="197" t="s">
        <v>629</v>
      </c>
      <c r="E1556" s="197"/>
      <c r="F1556" s="197"/>
      <c r="G1556" s="197" t="s">
        <v>268</v>
      </c>
      <c r="H1556" s="197"/>
      <c r="I1556" s="209"/>
      <c r="K1556" s="228"/>
      <c r="L1556" s="207" t="str">
        <f>_xlfn.XLOOKUP($B1543,予定表!$B:$B,予定表!J:J,"該当なし",0,1)</f>
        <v/>
      </c>
    </row>
    <row r="1557" spans="1:12">
      <c r="A1557" s="195"/>
      <c r="B1557" s="195" t="s">
        <v>205</v>
      </c>
      <c r="C1557"/>
      <c r="D1557" s="197" t="s">
        <v>228</v>
      </c>
      <c r="E1557" s="197"/>
      <c r="F1557" s="197"/>
      <c r="G1557" s="197" t="s">
        <v>268</v>
      </c>
      <c r="H1557" s="197"/>
      <c r="I1557" s="209"/>
      <c r="K1557" s="228"/>
      <c r="L1557" s="207" t="str">
        <f>_xlfn.XLOOKUP($B1543,予定表!$B:$B,予定表!K:K,"該当なし",0,1)</f>
        <v/>
      </c>
    </row>
    <row r="1558" spans="1:12">
      <c r="A1558" s="195"/>
      <c r="B1558" s="195" t="s">
        <v>206</v>
      </c>
      <c r="C1558"/>
      <c r="D1558" s="197" t="s">
        <v>228</v>
      </c>
      <c r="E1558" s="197"/>
      <c r="F1558" s="197"/>
      <c r="G1558" s="197" t="s">
        <v>268</v>
      </c>
      <c r="H1558" s="197"/>
      <c r="I1558" s="209"/>
      <c r="K1558" s="228"/>
      <c r="L1558" s="207" t="str">
        <f>_xlfn.XLOOKUP($B1543,予定表!$B:$B,予定表!L:L,"該当なし",0,1)</f>
        <v/>
      </c>
    </row>
    <row r="1559" spans="1:12" ht="15.75" thickBot="1">
      <c r="A1559" s="195"/>
      <c r="B1559" s="195" t="s">
        <v>207</v>
      </c>
      <c r="C1559"/>
      <c r="D1559" s="197" t="s">
        <v>228</v>
      </c>
      <c r="E1559" s="197"/>
      <c r="F1559" s="197"/>
      <c r="G1559" s="197" t="s">
        <v>268</v>
      </c>
      <c r="H1559" s="197"/>
      <c r="I1559" s="209"/>
      <c r="K1559" s="229"/>
      <c r="L1559" s="204" t="str">
        <f>_xlfn.XLOOKUP($A1540,ﾘｽﾄマスタ!$U$8:$U$17,ﾘｽﾄマスタ!$V$8:$V$17,"",0)</f>
        <v xml:space="preserve"> ﾃﾞｼﾞﾌﾟﾛ(偶数月)</v>
      </c>
    </row>
    <row r="1560" spans="1:12" ht="15.75" thickBot="1">
      <c r="A1560" s="195"/>
      <c r="B1560" s="196" t="s">
        <v>251</v>
      </c>
      <c r="C1560"/>
      <c r="D1560" s="197" t="s">
        <v>228</v>
      </c>
      <c r="E1560" s="197"/>
      <c r="F1560" s="197"/>
      <c r="G1560" s="197" t="s">
        <v>515</v>
      </c>
      <c r="H1560" s="197"/>
      <c r="I1560" s="209"/>
      <c r="K1560" s="208" t="s">
        <v>277</v>
      </c>
      <c r="L1560" s="208" t="str">
        <f ca="1">_xlfn.XLOOKUP($B1543,シフト抽出!$19:$19,シフト抽出!$30:$30,"該当なし",0,1)</f>
        <v/>
      </c>
    </row>
    <row r="1561" spans="1:12">
      <c r="A1561" s="195"/>
      <c r="B1561" s="195" t="s">
        <v>205</v>
      </c>
      <c r="C1561"/>
      <c r="D1561" s="197" t="s">
        <v>228</v>
      </c>
      <c r="E1561" s="197"/>
      <c r="F1561" s="197"/>
      <c r="G1561" s="197" t="s">
        <v>515</v>
      </c>
      <c r="H1561" s="197"/>
      <c r="I1561" s="209"/>
    </row>
    <row r="1562" spans="1:12">
      <c r="A1562" s="195"/>
      <c r="B1562" s="195" t="s">
        <v>206</v>
      </c>
      <c r="C1562"/>
      <c r="D1562" s="197" t="s">
        <v>263</v>
      </c>
      <c r="E1562" s="197"/>
      <c r="F1562" s="197"/>
      <c r="G1562" s="197" t="s">
        <v>515</v>
      </c>
      <c r="H1562" s="197"/>
      <c r="I1562" s="209"/>
    </row>
    <row r="1563" spans="1:12">
      <c r="A1563" s="195"/>
      <c r="B1563" s="195" t="s">
        <v>207</v>
      </c>
      <c r="C1563"/>
      <c r="D1563" s="197" t="s">
        <v>263</v>
      </c>
      <c r="E1563" s="197"/>
      <c r="F1563" s="197"/>
      <c r="G1563" s="197" t="s">
        <v>515</v>
      </c>
      <c r="H1563" s="197"/>
      <c r="I1563" s="209"/>
    </row>
    <row r="1564" spans="1:12">
      <c r="A1564" s="195"/>
      <c r="B1564" s="196" t="s">
        <v>217</v>
      </c>
      <c r="C1564"/>
      <c r="D1564" s="197" t="s">
        <v>263</v>
      </c>
      <c r="E1564" s="197"/>
      <c r="F1564" s="197"/>
      <c r="G1564" s="197" t="s">
        <v>515</v>
      </c>
      <c r="H1564" s="197"/>
      <c r="I1564" s="209"/>
    </row>
    <row r="1565" spans="1:12">
      <c r="A1565" s="195"/>
      <c r="B1565" s="195" t="s">
        <v>205</v>
      </c>
      <c r="C1565"/>
      <c r="D1565" s="197" t="s">
        <v>263</v>
      </c>
      <c r="E1565" s="197"/>
      <c r="F1565" s="197"/>
      <c r="G1565" s="197" t="s">
        <v>361</v>
      </c>
      <c r="H1565" s="197"/>
      <c r="I1565" s="209"/>
    </row>
    <row r="1566" spans="1:12">
      <c r="A1566" s="195"/>
      <c r="B1566" s="195" t="s">
        <v>206</v>
      </c>
      <c r="C1566"/>
      <c r="D1566" s="197" t="s">
        <v>263</v>
      </c>
      <c r="E1566" s="197"/>
      <c r="F1566" s="197"/>
      <c r="G1566" s="197" t="s">
        <v>114</v>
      </c>
      <c r="H1566" s="197"/>
      <c r="I1566" s="209"/>
    </row>
    <row r="1567" spans="1:12">
      <c r="A1567" s="195"/>
      <c r="B1567" s="195" t="s">
        <v>207</v>
      </c>
      <c r="C1567"/>
      <c r="D1567" s="197"/>
      <c r="E1567" s="197"/>
      <c r="F1567" s="197"/>
      <c r="G1567" s="197" t="s">
        <v>114</v>
      </c>
      <c r="H1567" s="197"/>
      <c r="I1567" s="209"/>
    </row>
    <row r="1568" spans="1:12">
      <c r="A1568" s="195"/>
      <c r="B1568" s="196" t="s">
        <v>219</v>
      </c>
      <c r="C1568"/>
      <c r="D1568" s="197"/>
      <c r="E1568" s="197"/>
      <c r="F1568" s="197"/>
      <c r="G1568" s="197"/>
      <c r="H1568" s="197"/>
      <c r="I1568" s="209"/>
    </row>
    <row r="1569" spans="1:9">
      <c r="A1569" s="195"/>
      <c r="B1569" s="195" t="s">
        <v>205</v>
      </c>
      <c r="C1569"/>
      <c r="D1569" s="197"/>
      <c r="E1569" s="197"/>
      <c r="F1569" s="197"/>
      <c r="G1569" s="197"/>
      <c r="H1569" s="197"/>
      <c r="I1569" s="209"/>
    </row>
    <row r="1570" spans="1:9">
      <c r="A1570" s="195"/>
      <c r="B1570" s="195" t="s">
        <v>206</v>
      </c>
      <c r="C1570"/>
      <c r="D1570" s="197"/>
      <c r="E1570" s="197"/>
      <c r="F1570" s="197"/>
      <c r="G1570" s="197"/>
      <c r="H1570" s="197"/>
      <c r="I1570" s="209"/>
    </row>
    <row r="1571" spans="1:9">
      <c r="A1571" s="195"/>
      <c r="B1571" s="195" t="s">
        <v>207</v>
      </c>
      <c r="C1571"/>
      <c r="D1571" s="197"/>
      <c r="E1571" s="197"/>
      <c r="F1571" s="197"/>
      <c r="G1571" s="197"/>
      <c r="H1571" s="197"/>
      <c r="I1571" s="209"/>
    </row>
    <row r="1572" spans="1:9">
      <c r="A1572" s="195"/>
      <c r="B1572" s="196" t="s">
        <v>220</v>
      </c>
      <c r="C1572"/>
      <c r="D1572" s="197"/>
      <c r="E1572" s="197"/>
      <c r="F1572" s="197"/>
      <c r="G1572" s="197"/>
      <c r="H1572" s="197"/>
      <c r="I1572" s="209"/>
    </row>
    <row r="1573" spans="1:9">
      <c r="A1573" s="195"/>
      <c r="B1573" s="195" t="s">
        <v>205</v>
      </c>
      <c r="C1573"/>
      <c r="D1573" s="197"/>
      <c r="E1573" s="197"/>
      <c r="F1573" s="197"/>
      <c r="G1573" s="197" t="s">
        <v>4</v>
      </c>
      <c r="H1573" s="197"/>
      <c r="I1573" s="209"/>
    </row>
    <row r="1574" spans="1:9">
      <c r="A1574" s="195"/>
      <c r="B1574" s="195" t="s">
        <v>206</v>
      </c>
      <c r="C1574"/>
      <c r="D1574" s="197" t="s">
        <v>851</v>
      </c>
      <c r="E1574" s="197"/>
      <c r="F1574" s="197"/>
      <c r="G1574" s="197" t="s">
        <v>22</v>
      </c>
      <c r="H1574" s="197"/>
      <c r="I1574" s="209"/>
    </row>
    <row r="1575" spans="1:9">
      <c r="A1575" s="195"/>
      <c r="B1575" s="195" t="s">
        <v>207</v>
      </c>
      <c r="C1575"/>
      <c r="D1575" s="197" t="s">
        <v>851</v>
      </c>
      <c r="E1575" s="197"/>
      <c r="F1575" s="197"/>
      <c r="G1575" s="197" t="s">
        <v>22</v>
      </c>
      <c r="H1575" s="197"/>
      <c r="I1575" s="209"/>
    </row>
    <row r="1576" spans="1:9">
      <c r="A1576" s="195"/>
      <c r="B1576" s="196" t="s">
        <v>222</v>
      </c>
      <c r="C1576"/>
      <c r="D1576" s="197" t="s">
        <v>851</v>
      </c>
      <c r="E1576" s="197"/>
      <c r="F1576" s="197"/>
      <c r="G1576" s="197" t="s">
        <v>22</v>
      </c>
      <c r="H1576" s="197"/>
      <c r="I1576" s="209"/>
    </row>
    <row r="1577" spans="1:9">
      <c r="A1577" s="195"/>
      <c r="B1577" s="195" t="s">
        <v>205</v>
      </c>
      <c r="C1577"/>
      <c r="D1577" s="197" t="s">
        <v>214</v>
      </c>
      <c r="E1577" s="197"/>
      <c r="F1577" s="197"/>
      <c r="G1577" s="197"/>
      <c r="H1577" s="197"/>
      <c r="I1577" s="209"/>
    </row>
    <row r="1578" spans="1:9">
      <c r="A1578" s="195"/>
      <c r="B1578" s="195" t="s">
        <v>206</v>
      </c>
      <c r="C1578"/>
      <c r="D1578" s="197" t="s">
        <v>214</v>
      </c>
      <c r="E1578" s="197"/>
      <c r="F1578" s="197"/>
      <c r="G1578" s="197" t="s">
        <v>270</v>
      </c>
      <c r="H1578" s="197"/>
      <c r="I1578" s="209"/>
    </row>
    <row r="1579" spans="1:9">
      <c r="A1579" s="195"/>
      <c r="B1579" s="195" t="s">
        <v>207</v>
      </c>
      <c r="C1579"/>
      <c r="D1579" s="197" t="s">
        <v>214</v>
      </c>
      <c r="E1579" s="197"/>
      <c r="F1579" s="197"/>
      <c r="G1579" s="197" t="s">
        <v>270</v>
      </c>
      <c r="H1579" s="197"/>
      <c r="I1579" s="209"/>
    </row>
    <row r="1580" spans="1:9">
      <c r="A1580" s="195"/>
      <c r="B1580" s="196" t="s">
        <v>223</v>
      </c>
      <c r="C1580"/>
      <c r="D1580" s="197" t="s">
        <v>214</v>
      </c>
      <c r="E1580" s="197"/>
      <c r="F1580" s="197"/>
      <c r="G1580" s="197" t="s">
        <v>270</v>
      </c>
      <c r="H1580" s="197"/>
      <c r="I1580" s="209"/>
    </row>
    <row r="1581" spans="1:9">
      <c r="A1581" s="195"/>
      <c r="B1581" s="195" t="s">
        <v>205</v>
      </c>
      <c r="C1581"/>
      <c r="D1581" s="197" t="s">
        <v>761</v>
      </c>
      <c r="E1581" s="197"/>
      <c r="F1581" s="197"/>
      <c r="G1581" s="197" t="s">
        <v>270</v>
      </c>
      <c r="H1581" s="197"/>
      <c r="I1581" s="209"/>
    </row>
    <row r="1582" spans="1:9">
      <c r="A1582" s="195"/>
      <c r="B1582" s="195" t="s">
        <v>206</v>
      </c>
      <c r="C1582"/>
      <c r="D1582" s="197" t="s">
        <v>761</v>
      </c>
      <c r="E1582" s="197"/>
      <c r="F1582" s="197"/>
      <c r="G1582" s="197" t="s">
        <v>270</v>
      </c>
      <c r="H1582" s="197"/>
      <c r="I1582" s="209"/>
    </row>
    <row r="1583" spans="1:9">
      <c r="A1583" s="195"/>
      <c r="B1583" s="195" t="s">
        <v>207</v>
      </c>
      <c r="C1583"/>
      <c r="D1583" s="197" t="s">
        <v>761</v>
      </c>
      <c r="E1583" s="197"/>
      <c r="F1583" s="197"/>
      <c r="G1583" s="197" t="s">
        <v>270</v>
      </c>
      <c r="H1583" s="197"/>
      <c r="I1583" s="209"/>
    </row>
    <row r="1584" spans="1:9">
      <c r="A1584" s="195"/>
      <c r="B1584" s="196" t="s">
        <v>225</v>
      </c>
      <c r="C1584"/>
      <c r="D1584" s="197" t="s">
        <v>761</v>
      </c>
      <c r="E1584" s="197"/>
      <c r="F1584" s="197"/>
      <c r="G1584" s="197" t="s">
        <v>270</v>
      </c>
      <c r="H1584" s="197"/>
      <c r="I1584" s="209"/>
    </row>
    <row r="1585" spans="1:12">
      <c r="A1585" s="195"/>
      <c r="B1585" s="195" t="s">
        <v>205</v>
      </c>
      <c r="C1585"/>
      <c r="D1585" s="197" t="s">
        <v>761</v>
      </c>
      <c r="E1585" s="197"/>
      <c r="F1585" s="197"/>
      <c r="G1585" s="197" t="s">
        <v>270</v>
      </c>
      <c r="H1585" s="209"/>
      <c r="I1585" s="209"/>
    </row>
    <row r="1586" spans="1:12">
      <c r="A1586" s="195"/>
      <c r="B1586" s="195" t="s">
        <v>206</v>
      </c>
      <c r="C1586"/>
      <c r="D1586" s="197"/>
      <c r="E1586" s="197"/>
      <c r="F1586" s="197"/>
      <c r="G1586" s="197" t="s">
        <v>270</v>
      </c>
      <c r="H1586" s="209"/>
      <c r="I1586" s="209"/>
    </row>
    <row r="1587" spans="1:12">
      <c r="A1587" s="195"/>
      <c r="B1587" s="195" t="s">
        <v>207</v>
      </c>
      <c r="C1587"/>
      <c r="D1587" s="197"/>
      <c r="E1587" s="197"/>
      <c r="F1587" s="197"/>
      <c r="G1587" s="197"/>
      <c r="H1587" s="209"/>
      <c r="I1587" s="209"/>
    </row>
    <row r="1588" spans="1:12">
      <c r="A1588" s="195"/>
      <c r="B1588" s="196" t="s">
        <v>226</v>
      </c>
      <c r="C1588"/>
      <c r="D1588" s="197"/>
      <c r="E1588" s="197"/>
      <c r="F1588" s="197"/>
      <c r="G1588" s="197"/>
      <c r="H1588" s="209"/>
      <c r="I1588" s="209"/>
    </row>
    <row r="1589" spans="1:12">
      <c r="A1589" s="195"/>
      <c r="B1589" s="195" t="s">
        <v>205</v>
      </c>
      <c r="C1589"/>
      <c r="D1589" s="197"/>
      <c r="E1589" s="197"/>
      <c r="F1589" s="197"/>
      <c r="G1589" s="197"/>
      <c r="H1589" s="209"/>
      <c r="I1589" s="209"/>
    </row>
    <row r="1590" spans="1:12">
      <c r="A1590" s="195"/>
      <c r="B1590" s="195" t="s">
        <v>206</v>
      </c>
      <c r="C1590"/>
      <c r="D1590" s="197"/>
      <c r="E1590" s="197"/>
      <c r="F1590" s="197"/>
      <c r="G1590" s="197"/>
      <c r="H1590" s="209"/>
      <c r="I1590" s="209"/>
    </row>
    <row r="1591" spans="1:12">
      <c r="A1591" s="195"/>
      <c r="B1591" s="195" t="s">
        <v>207</v>
      </c>
      <c r="C1591"/>
      <c r="D1591" s="197"/>
      <c r="E1591" s="197"/>
      <c r="F1591" s="197"/>
      <c r="G1591" s="197"/>
      <c r="H1591" s="209"/>
      <c r="I1591" s="209"/>
    </row>
    <row r="1592" spans="1:12">
      <c r="A1592" s="195"/>
      <c r="B1592" s="196" t="s">
        <v>227</v>
      </c>
      <c r="C1592"/>
      <c r="D1592" s="197"/>
      <c r="E1592" s="197"/>
      <c r="F1592" s="197"/>
      <c r="G1592" s="197"/>
      <c r="H1592" s="209"/>
      <c r="I1592" s="209"/>
      <c r="K1592"/>
    </row>
    <row r="1593" spans="1:12" ht="29.25" thickBot="1">
      <c r="A1593" s="182" t="str">
        <f>"回収シフト  第"&amp;ROUNDUP(DAY(B1596)/7,0)  &amp;"  "&amp;TEXT(B1596,"aaaa")</f>
        <v>回収シフト  第1  水曜日</v>
      </c>
      <c r="B1593" s="183"/>
      <c r="C1593" s="183"/>
      <c r="D1593" s="183"/>
      <c r="E1593" s="183"/>
      <c r="F1593" s="183"/>
      <c r="G1593" s="184"/>
      <c r="H1593" s="184"/>
      <c r="I1593" s="184"/>
      <c r="K1593" s="183"/>
      <c r="L1593" s="183"/>
    </row>
    <row r="1594" spans="1:12" ht="15.75" thickBot="1">
      <c r="A1594"/>
      <c r="B1594"/>
      <c r="C1594"/>
      <c r="D1594" s="186"/>
      <c r="E1594" s="186"/>
      <c r="F1594" s="186"/>
      <c r="G1594" s="186"/>
      <c r="H1594" s="186"/>
      <c r="I1594" s="217"/>
      <c r="K1594" s="230" t="s">
        <v>257</v>
      </c>
      <c r="L1594" s="231"/>
    </row>
    <row r="1595" spans="1:12">
      <c r="A1595" s="187"/>
      <c r="B1595" s="188">
        <v>46119</v>
      </c>
      <c r="C1595" s="187"/>
      <c r="D1595" s="189"/>
      <c r="E1595" s="189"/>
      <c r="F1595" s="189"/>
      <c r="G1595" s="189"/>
      <c r="H1595" s="189"/>
      <c r="I1595" s="218"/>
      <c r="K1595" s="232" t="s">
        <v>258</v>
      </c>
      <c r="L1595" s="190" t="str">
        <f ca="1">_xlfn.XLOOKUP($B1596,シフト抽出!$19:$19,シフト抽出!$20:$20,"該当なし",0,1)</f>
        <v/>
      </c>
    </row>
    <row r="1596" spans="1:12" ht="19.5" thickBot="1">
      <c r="A1596"/>
      <c r="B1596" s="191">
        <f>B1543+1</f>
        <v>46148</v>
      </c>
      <c r="C1596" s="192"/>
      <c r="D1596" s="193"/>
      <c r="E1596" s="193"/>
      <c r="F1596" s="193"/>
      <c r="G1596" s="193"/>
      <c r="H1596" s="193"/>
      <c r="I1596" s="219"/>
      <c r="K1596" s="233"/>
      <c r="L1596" s="194" t="str">
        <f ca="1">_xlfn.XLOOKUP($B1596,シフト抽出!$19:$19,シフト抽出!$21:$21,"該当なし",0,1)</f>
        <v/>
      </c>
    </row>
    <row r="1597" spans="1:12">
      <c r="A1597" s="195"/>
      <c r="B1597" s="196">
        <v>0.25</v>
      </c>
      <c r="C1597"/>
      <c r="D1597" s="197"/>
      <c r="E1597" s="196"/>
      <c r="F1597" s="197"/>
      <c r="G1597" s="197"/>
      <c r="H1597" s="197"/>
      <c r="I1597" s="209"/>
      <c r="K1597" s="234" t="s">
        <v>259</v>
      </c>
      <c r="L1597" s="198" t="str">
        <f ca="1">_xlfn.XLOOKUP($B1596,シフト抽出!$19:$19,シフト抽出!$23:$23,"該当なし",0,1)</f>
        <v/>
      </c>
    </row>
    <row r="1598" spans="1:12" ht="15.75" thickBot="1">
      <c r="A1598" s="195"/>
      <c r="B1598" s="195" t="s">
        <v>205</v>
      </c>
      <c r="C1598"/>
      <c r="D1598" s="197"/>
      <c r="E1598" s="197"/>
      <c r="F1598" s="197"/>
      <c r="G1598" s="197"/>
      <c r="H1598" s="197"/>
      <c r="I1598" s="209"/>
      <c r="K1598" s="235"/>
      <c r="L1598" s="199" t="str">
        <f ca="1">_xlfn.XLOOKUP($B1596,シフト抽出!$19:$19,シフト抽出!$24:$24,"該当なし",0,1)</f>
        <v/>
      </c>
    </row>
    <row r="1599" spans="1:12">
      <c r="A1599" s="195"/>
      <c r="B1599" s="195" t="s">
        <v>206</v>
      </c>
      <c r="C1599"/>
      <c r="D1599" s="197"/>
      <c r="E1599" s="197"/>
      <c r="F1599" s="197"/>
      <c r="G1599" s="197"/>
      <c r="H1599" s="197"/>
      <c r="I1599" s="209"/>
      <c r="K1599" s="224" t="s">
        <v>260</v>
      </c>
      <c r="L1599" s="200" t="str">
        <f ca="1">_xlfn.XLOOKUP($B1596,シフト抽出!$19:$19,シフト抽出!$26:$26,"該当なし",0,1)</f>
        <v/>
      </c>
    </row>
    <row r="1600" spans="1:12">
      <c r="A1600" s="195"/>
      <c r="B1600" s="195" t="s">
        <v>207</v>
      </c>
      <c r="C1600"/>
      <c r="D1600" s="197"/>
      <c r="E1600" s="197"/>
      <c r="F1600" s="197"/>
      <c r="G1600" s="197"/>
      <c r="H1600" s="197"/>
      <c r="I1600" s="209"/>
      <c r="K1600" s="225"/>
      <c r="L1600" s="201" t="str">
        <f ca="1">_xlfn.XLOOKUP($B1596,シフト抽出!$19:$19,シフト抽出!$27:$27,"該当なし",0,1)</f>
        <v/>
      </c>
    </row>
    <row r="1601" spans="1:12">
      <c r="A1601" s="195"/>
      <c r="B1601" s="202" t="s">
        <v>208</v>
      </c>
      <c r="C1601"/>
      <c r="D1601" s="197" t="s">
        <v>851</v>
      </c>
      <c r="E1601" s="197"/>
      <c r="F1601" s="197"/>
      <c r="G1601" s="197"/>
      <c r="H1601" s="197"/>
      <c r="I1601" s="209"/>
      <c r="J1601" s="203"/>
      <c r="K1601" s="225"/>
      <c r="L1601" s="201" t="str">
        <f ca="1">_xlfn.XLOOKUP($B1596,シフト抽出!$19:$19,シフト抽出!$28:$28,"該当なし",0,1)</f>
        <v/>
      </c>
    </row>
    <row r="1602" spans="1:12" ht="15.75" thickBot="1">
      <c r="A1602" s="195"/>
      <c r="B1602" s="195" t="s">
        <v>205</v>
      </c>
      <c r="C1602"/>
      <c r="D1602" s="197" t="s">
        <v>851</v>
      </c>
      <c r="E1602" s="197"/>
      <c r="F1602" s="197"/>
      <c r="G1602" s="197"/>
      <c r="H1602" s="197"/>
      <c r="I1602" s="209"/>
      <c r="J1602" s="203"/>
      <c r="K1602" s="226"/>
      <c r="L1602" s="204" t="str">
        <f ca="1">_xlfn.XLOOKUP($B1596,シフト抽出!$19:$19,シフト抽出!$29:$29,"該当なし",0,1)</f>
        <v/>
      </c>
    </row>
    <row r="1603" spans="1:12" ht="15.75" thickBot="1">
      <c r="A1603" s="195"/>
      <c r="B1603" s="195" t="s">
        <v>206</v>
      </c>
      <c r="C1603"/>
      <c r="D1603" s="197" t="s">
        <v>851</v>
      </c>
      <c r="E1603" s="197"/>
      <c r="F1603" s="197"/>
      <c r="G1603" s="197"/>
      <c r="H1603" s="197"/>
      <c r="I1603" s="209"/>
      <c r="K1603" s="205" t="s">
        <v>261</v>
      </c>
      <c r="L1603" s="205">
        <f>_xlfn.XLOOKUP($B1596,予定表!B:B,予定表!R:R,"該当なし",0,1)</f>
        <v>0</v>
      </c>
    </row>
    <row r="1604" spans="1:12">
      <c r="A1604" s="195"/>
      <c r="B1604" s="195" t="s">
        <v>207</v>
      </c>
      <c r="C1604"/>
      <c r="D1604" s="197" t="s">
        <v>851</v>
      </c>
      <c r="E1604" s="197"/>
      <c r="F1604" s="197"/>
      <c r="G1604" s="197"/>
      <c r="H1604" s="197"/>
      <c r="I1604" s="209"/>
      <c r="K1604" s="227" t="s">
        <v>262</v>
      </c>
      <c r="L1604" s="206">
        <f>_xlfn.XLOOKUP($B1596,予定表!$B:$B,予定表!E:E,"該当なし",0,1)</f>
        <v>0</v>
      </c>
    </row>
    <row r="1605" spans="1:12">
      <c r="A1605" s="195"/>
      <c r="B1605" s="196" t="s">
        <v>209</v>
      </c>
      <c r="C1605"/>
      <c r="D1605" s="197" t="s">
        <v>851</v>
      </c>
      <c r="E1605" s="197"/>
      <c r="F1605" s="197"/>
      <c r="G1605" s="197" t="s">
        <v>793</v>
      </c>
      <c r="H1605" s="197"/>
      <c r="I1605" s="209"/>
      <c r="K1605" s="228"/>
      <c r="L1605" s="207">
        <f>_xlfn.XLOOKUP($B1596,予定表!$B:$B,予定表!F:F,"該当なし",0,1)</f>
        <v>0</v>
      </c>
    </row>
    <row r="1606" spans="1:12">
      <c r="A1606" s="195"/>
      <c r="B1606" s="195" t="s">
        <v>205</v>
      </c>
      <c r="C1606"/>
      <c r="D1606" s="197" t="s">
        <v>851</v>
      </c>
      <c r="E1606" s="197"/>
      <c r="F1606" s="197"/>
      <c r="G1606" s="197" t="s">
        <v>793</v>
      </c>
      <c r="H1606" s="197"/>
      <c r="I1606" s="209"/>
      <c r="K1606" s="228"/>
      <c r="L1606" s="207">
        <f>_xlfn.XLOOKUP($B1596,予定表!$B:$B,予定表!G:G,"該当なし",0,1)</f>
        <v>0</v>
      </c>
    </row>
    <row r="1607" spans="1:12">
      <c r="A1607" s="195"/>
      <c r="B1607" s="195" t="s">
        <v>206</v>
      </c>
      <c r="C1607"/>
      <c r="D1607" s="197"/>
      <c r="E1607" s="197"/>
      <c r="F1607" s="197"/>
      <c r="G1607" s="197" t="s">
        <v>268</v>
      </c>
      <c r="H1607" s="197"/>
      <c r="I1607" s="209"/>
      <c r="K1607" s="228"/>
      <c r="L1607" s="207">
        <f>_xlfn.XLOOKUP($B1596,予定表!$B:$B,予定表!H:H,"該当なし",0,1)</f>
        <v>0</v>
      </c>
    </row>
    <row r="1608" spans="1:12">
      <c r="A1608" s="195"/>
      <c r="B1608" s="195" t="s">
        <v>207</v>
      </c>
      <c r="C1608"/>
      <c r="D1608" s="197" t="s">
        <v>273</v>
      </c>
      <c r="E1608" s="197"/>
      <c r="F1608" s="197"/>
      <c r="G1608" s="197" t="s">
        <v>268</v>
      </c>
      <c r="H1608" s="197"/>
      <c r="I1608" s="209"/>
      <c r="K1608" s="228"/>
      <c r="L1608" s="207" t="str">
        <f>_xlfn.XLOOKUP($B1596,予定表!$B:$B,予定表!I:I,"該当なし",0,1)</f>
        <v/>
      </c>
    </row>
    <row r="1609" spans="1:12">
      <c r="A1609" s="195"/>
      <c r="B1609" s="196" t="s">
        <v>212</v>
      </c>
      <c r="C1609"/>
      <c r="D1609" s="197" t="s">
        <v>273</v>
      </c>
      <c r="E1609" s="197"/>
      <c r="F1609" s="197"/>
      <c r="G1609" s="197" t="s">
        <v>268</v>
      </c>
      <c r="H1609" s="197"/>
      <c r="I1609" s="209"/>
      <c r="K1609" s="228"/>
      <c r="L1609" s="207" t="str">
        <f>_xlfn.XLOOKUP($B1596,予定表!$B:$B,予定表!J:J,"該当なし",0,1)</f>
        <v/>
      </c>
    </row>
    <row r="1610" spans="1:12">
      <c r="A1610" s="195"/>
      <c r="B1610" s="195" t="s">
        <v>205</v>
      </c>
      <c r="C1610"/>
      <c r="D1610" s="197" t="s">
        <v>273</v>
      </c>
      <c r="E1610" s="197"/>
      <c r="F1610" s="197"/>
      <c r="G1610" s="197" t="s">
        <v>515</v>
      </c>
      <c r="H1610" s="197"/>
      <c r="I1610" s="209"/>
      <c r="K1610" s="228"/>
      <c r="L1610" s="207" t="str">
        <f>_xlfn.XLOOKUP($B1596,予定表!$B:$B,予定表!K:K,"該当なし",0,1)</f>
        <v/>
      </c>
    </row>
    <row r="1611" spans="1:12">
      <c r="A1611" s="195"/>
      <c r="B1611" s="195" t="s">
        <v>206</v>
      </c>
      <c r="C1611"/>
      <c r="D1611" s="197" t="s">
        <v>273</v>
      </c>
      <c r="E1611" s="197"/>
      <c r="F1611" s="197"/>
      <c r="G1611" s="197" t="s">
        <v>515</v>
      </c>
      <c r="H1611" s="197"/>
      <c r="I1611" s="209"/>
      <c r="K1611" s="228"/>
      <c r="L1611" s="207" t="str">
        <f>_xlfn.XLOOKUP($B1596,予定表!$B:$B,予定表!L:L,"該当なし",0,1)</f>
        <v/>
      </c>
    </row>
    <row r="1612" spans="1:12" ht="15.75" thickBot="1">
      <c r="A1612" s="195"/>
      <c r="B1612" s="195" t="s">
        <v>207</v>
      </c>
      <c r="C1612"/>
      <c r="D1612" s="197" t="s">
        <v>273</v>
      </c>
      <c r="E1612" s="197"/>
      <c r="F1612" s="197"/>
      <c r="G1612" s="197" t="s">
        <v>515</v>
      </c>
      <c r="H1612" s="197"/>
      <c r="I1612" s="209"/>
      <c r="K1612" s="229"/>
      <c r="L1612" s="204" t="str">
        <f>_xlfn.XLOOKUP($A1593,ﾘｽﾄマスタ!$U$8:$U$17,ﾘｽﾄマスタ!$V$8:$V$17,"",0)</f>
        <v/>
      </c>
    </row>
    <row r="1613" spans="1:12" ht="15.75" thickBot="1">
      <c r="A1613" s="195"/>
      <c r="B1613" s="196" t="s">
        <v>251</v>
      </c>
      <c r="C1613"/>
      <c r="D1613" s="197" t="s">
        <v>214</v>
      </c>
      <c r="E1613" s="197"/>
      <c r="F1613" s="197"/>
      <c r="G1613" s="197" t="s">
        <v>515</v>
      </c>
      <c r="H1613" s="197"/>
      <c r="I1613" s="209"/>
      <c r="K1613" s="208" t="s">
        <v>277</v>
      </c>
      <c r="L1613" s="208" t="str">
        <f ca="1">_xlfn.XLOOKUP($B1596,シフト抽出!$19:$19,シフト抽出!$30:$30,"該当なし",0,1)</f>
        <v/>
      </c>
    </row>
    <row r="1614" spans="1:12">
      <c r="A1614" s="195"/>
      <c r="B1614" s="195" t="s">
        <v>205</v>
      </c>
      <c r="C1614"/>
      <c r="D1614" s="197" t="s">
        <v>214</v>
      </c>
      <c r="E1614" s="197"/>
      <c r="F1614" s="197"/>
      <c r="G1614" s="197" t="s">
        <v>446</v>
      </c>
      <c r="H1614" s="197"/>
      <c r="I1614" s="209"/>
    </row>
    <row r="1615" spans="1:12">
      <c r="A1615" s="195"/>
      <c r="B1615" s="195" t="s">
        <v>206</v>
      </c>
      <c r="C1615"/>
      <c r="D1615" s="197" t="s">
        <v>214</v>
      </c>
      <c r="E1615" s="197"/>
      <c r="F1615" s="197"/>
      <c r="G1615" s="197" t="s">
        <v>446</v>
      </c>
      <c r="H1615" s="197"/>
      <c r="I1615" s="209"/>
    </row>
    <row r="1616" spans="1:12">
      <c r="A1616" s="195"/>
      <c r="B1616" s="195" t="s">
        <v>207</v>
      </c>
      <c r="C1616"/>
      <c r="D1616" s="197" t="s">
        <v>214</v>
      </c>
      <c r="E1616" s="197"/>
      <c r="F1616" s="197"/>
      <c r="G1616" s="197" t="s">
        <v>446</v>
      </c>
      <c r="H1616" s="197"/>
      <c r="I1616" s="209"/>
    </row>
    <row r="1617" spans="1:9">
      <c r="A1617" s="195"/>
      <c r="B1617" s="196" t="s">
        <v>217</v>
      </c>
      <c r="C1617"/>
      <c r="D1617" s="197" t="s">
        <v>761</v>
      </c>
      <c r="E1617" s="197"/>
      <c r="F1617" s="197"/>
      <c r="G1617" s="197" t="s">
        <v>114</v>
      </c>
      <c r="H1617" s="197"/>
      <c r="I1617" s="209"/>
    </row>
    <row r="1618" spans="1:9">
      <c r="A1618" s="195"/>
      <c r="B1618" s="195" t="s">
        <v>205</v>
      </c>
      <c r="C1618"/>
      <c r="D1618" s="197" t="s">
        <v>761</v>
      </c>
      <c r="E1618" s="197"/>
      <c r="F1618" s="197"/>
      <c r="G1618" s="197" t="s">
        <v>114</v>
      </c>
      <c r="H1618" s="197"/>
      <c r="I1618" s="209"/>
    </row>
    <row r="1619" spans="1:9">
      <c r="A1619" s="195"/>
      <c r="B1619" s="195" t="s">
        <v>206</v>
      </c>
      <c r="C1619"/>
      <c r="D1619" s="197" t="s">
        <v>761</v>
      </c>
      <c r="E1619" s="197"/>
      <c r="F1619" s="197"/>
      <c r="G1619" s="197" t="s">
        <v>114</v>
      </c>
      <c r="H1619" s="197"/>
      <c r="I1619" s="209"/>
    </row>
    <row r="1620" spans="1:9">
      <c r="A1620" s="195"/>
      <c r="B1620" s="195" t="s">
        <v>207</v>
      </c>
      <c r="C1620"/>
      <c r="D1620" s="197" t="s">
        <v>224</v>
      </c>
      <c r="E1620" s="197"/>
      <c r="F1620" s="197"/>
      <c r="G1620" s="197"/>
      <c r="H1620" s="197"/>
      <c r="I1620" s="209"/>
    </row>
    <row r="1621" spans="1:9">
      <c r="A1621" s="195"/>
      <c r="B1621" s="196" t="s">
        <v>219</v>
      </c>
      <c r="C1621"/>
      <c r="D1621" s="197" t="s">
        <v>224</v>
      </c>
      <c r="E1621" s="197"/>
      <c r="F1621" s="197"/>
      <c r="G1621" s="197"/>
      <c r="H1621" s="197"/>
      <c r="I1621" s="209"/>
    </row>
    <row r="1622" spans="1:9">
      <c r="A1622" s="195"/>
      <c r="B1622" s="195" t="s">
        <v>205</v>
      </c>
      <c r="C1622"/>
      <c r="D1622" s="197" t="s">
        <v>224</v>
      </c>
      <c r="E1622" s="197"/>
      <c r="F1622" s="197"/>
      <c r="G1622" s="197"/>
      <c r="H1622" s="197"/>
      <c r="I1622" s="209"/>
    </row>
    <row r="1623" spans="1:9">
      <c r="A1623" s="195"/>
      <c r="B1623" s="195" t="s">
        <v>206</v>
      </c>
      <c r="C1623"/>
      <c r="D1623" s="197"/>
      <c r="E1623" s="197"/>
      <c r="F1623" s="197"/>
      <c r="G1623" s="197"/>
      <c r="H1623" s="197"/>
      <c r="I1623" s="209"/>
    </row>
    <row r="1624" spans="1:9">
      <c r="A1624" s="195"/>
      <c r="B1624" s="195" t="s">
        <v>207</v>
      </c>
      <c r="C1624"/>
      <c r="D1624" s="197"/>
      <c r="E1624" s="197"/>
      <c r="F1624" s="197"/>
      <c r="G1624" s="197"/>
      <c r="H1624" s="197"/>
      <c r="I1624" s="209"/>
    </row>
    <row r="1625" spans="1:9">
      <c r="A1625" s="195"/>
      <c r="B1625" s="196" t="s">
        <v>220</v>
      </c>
      <c r="C1625"/>
      <c r="D1625" s="189"/>
      <c r="E1625" s="197"/>
      <c r="F1625" s="197"/>
      <c r="G1625" s="189"/>
      <c r="H1625" s="197"/>
      <c r="I1625" s="209"/>
    </row>
    <row r="1626" spans="1:9">
      <c r="A1626" s="195"/>
      <c r="B1626" s="195" t="s">
        <v>205</v>
      </c>
      <c r="C1626"/>
      <c r="D1626" s="197" t="s">
        <v>759</v>
      </c>
      <c r="E1626" s="197"/>
      <c r="F1626" s="197"/>
      <c r="G1626" s="197" t="s">
        <v>22</v>
      </c>
      <c r="H1626" s="197"/>
      <c r="I1626" s="209"/>
    </row>
    <row r="1627" spans="1:9">
      <c r="A1627" s="195"/>
      <c r="B1627" s="195" t="s">
        <v>206</v>
      </c>
      <c r="C1627"/>
      <c r="D1627" s="197" t="s">
        <v>759</v>
      </c>
      <c r="E1627" s="197"/>
      <c r="F1627" s="197"/>
      <c r="G1627" s="197" t="s">
        <v>22</v>
      </c>
      <c r="H1627" s="197"/>
      <c r="I1627" s="209"/>
    </row>
    <row r="1628" spans="1:9">
      <c r="A1628" s="195"/>
      <c r="B1628" s="195" t="s">
        <v>207</v>
      </c>
      <c r="C1628"/>
      <c r="D1628" s="197" t="s">
        <v>759</v>
      </c>
      <c r="E1628" s="197"/>
      <c r="F1628" s="197"/>
      <c r="G1628" s="197" t="s">
        <v>22</v>
      </c>
      <c r="H1628" s="197"/>
      <c r="I1628" s="209"/>
    </row>
    <row r="1629" spans="1:9">
      <c r="A1629" s="195"/>
      <c r="B1629" s="196" t="s">
        <v>222</v>
      </c>
      <c r="C1629"/>
      <c r="D1629" s="197" t="s">
        <v>366</v>
      </c>
      <c r="E1629" s="197"/>
      <c r="F1629" s="197"/>
      <c r="G1629" s="197" t="s">
        <v>22</v>
      </c>
      <c r="H1629" s="197"/>
      <c r="I1629" s="209"/>
    </row>
    <row r="1630" spans="1:9">
      <c r="A1630" s="195"/>
      <c r="B1630" s="195" t="s">
        <v>205</v>
      </c>
      <c r="C1630"/>
      <c r="D1630" s="197" t="s">
        <v>366</v>
      </c>
      <c r="E1630" s="197"/>
      <c r="F1630" s="197"/>
      <c r="G1630" s="197" t="s">
        <v>270</v>
      </c>
      <c r="H1630" s="197"/>
      <c r="I1630" s="209"/>
    </row>
    <row r="1631" spans="1:9">
      <c r="A1631" s="195"/>
      <c r="B1631" s="195" t="s">
        <v>206</v>
      </c>
      <c r="C1631"/>
      <c r="D1631" s="197" t="s">
        <v>366</v>
      </c>
      <c r="E1631" s="197"/>
      <c r="F1631" s="197"/>
      <c r="G1631" s="197" t="s">
        <v>270</v>
      </c>
      <c r="H1631" s="197"/>
      <c r="I1631" s="209"/>
    </row>
    <row r="1632" spans="1:9">
      <c r="A1632" s="195"/>
      <c r="B1632" s="195" t="s">
        <v>207</v>
      </c>
      <c r="C1632"/>
      <c r="D1632" s="197" t="s">
        <v>216</v>
      </c>
      <c r="E1632" s="197"/>
      <c r="F1632" s="197"/>
      <c r="G1632" s="197" t="s">
        <v>270</v>
      </c>
      <c r="H1632" s="197"/>
      <c r="I1632" s="209"/>
    </row>
    <row r="1633" spans="1:12">
      <c r="A1633" s="195"/>
      <c r="B1633" s="196" t="s">
        <v>223</v>
      </c>
      <c r="C1633"/>
      <c r="D1633" s="197" t="s">
        <v>216</v>
      </c>
      <c r="E1633" s="197"/>
      <c r="F1633" s="197"/>
      <c r="G1633" s="197" t="s">
        <v>270</v>
      </c>
      <c r="H1633" s="197"/>
      <c r="I1633" s="209"/>
    </row>
    <row r="1634" spans="1:12">
      <c r="A1634" s="195"/>
      <c r="B1634" s="195" t="s">
        <v>205</v>
      </c>
      <c r="C1634"/>
      <c r="D1634" s="197" t="s">
        <v>216</v>
      </c>
      <c r="E1634" s="197"/>
      <c r="F1634" s="197"/>
      <c r="G1634" s="197" t="s">
        <v>270</v>
      </c>
      <c r="H1634" s="197"/>
      <c r="I1634" s="209"/>
    </row>
    <row r="1635" spans="1:12">
      <c r="A1635" s="195"/>
      <c r="B1635" s="195" t="s">
        <v>206</v>
      </c>
      <c r="C1635"/>
      <c r="D1635" s="197" t="s">
        <v>216</v>
      </c>
      <c r="E1635" s="197"/>
      <c r="F1635" s="197"/>
      <c r="G1635" s="197" t="s">
        <v>270</v>
      </c>
      <c r="H1635" s="197"/>
      <c r="I1635" s="209"/>
    </row>
    <row r="1636" spans="1:12">
      <c r="A1636" s="195"/>
      <c r="B1636" s="195" t="s">
        <v>207</v>
      </c>
      <c r="C1636"/>
      <c r="D1636" s="197" t="s">
        <v>523</v>
      </c>
      <c r="E1636" s="197"/>
      <c r="F1636" s="197"/>
      <c r="G1636" s="197" t="s">
        <v>270</v>
      </c>
      <c r="H1636" s="197"/>
      <c r="I1636" s="209"/>
    </row>
    <row r="1637" spans="1:12">
      <c r="A1637" s="195"/>
      <c r="B1637" s="196" t="s">
        <v>225</v>
      </c>
      <c r="C1637"/>
      <c r="D1637" s="197" t="s">
        <v>523</v>
      </c>
      <c r="E1637" s="197"/>
      <c r="F1637" s="197"/>
      <c r="G1637" s="197" t="s">
        <v>270</v>
      </c>
      <c r="H1637" s="197"/>
      <c r="I1637" s="209"/>
    </row>
    <row r="1638" spans="1:12">
      <c r="A1638" s="195"/>
      <c r="B1638" s="195" t="s">
        <v>205</v>
      </c>
      <c r="C1638"/>
      <c r="D1638" s="197" t="s">
        <v>878</v>
      </c>
      <c r="E1638" s="197"/>
      <c r="F1638" s="197"/>
      <c r="G1638" s="197" t="s">
        <v>270</v>
      </c>
      <c r="H1638" s="209"/>
      <c r="I1638" s="209"/>
    </row>
    <row r="1639" spans="1:12">
      <c r="A1639" s="195"/>
      <c r="B1639" s="195" t="s">
        <v>206</v>
      </c>
      <c r="C1639"/>
      <c r="D1639" s="197" t="s">
        <v>878</v>
      </c>
      <c r="E1639" s="197"/>
      <c r="F1639" s="197"/>
      <c r="G1639" s="197" t="s">
        <v>270</v>
      </c>
      <c r="H1639" s="209"/>
      <c r="I1639" s="209"/>
    </row>
    <row r="1640" spans="1:12">
      <c r="A1640" s="195"/>
      <c r="B1640" s="195" t="s">
        <v>207</v>
      </c>
      <c r="C1640"/>
      <c r="D1640" s="197" t="s">
        <v>878</v>
      </c>
      <c r="E1640" s="197"/>
      <c r="F1640" s="197"/>
      <c r="G1640" s="197" t="s">
        <v>270</v>
      </c>
      <c r="H1640" s="209"/>
      <c r="I1640" s="209"/>
    </row>
    <row r="1641" spans="1:12">
      <c r="A1641" s="195"/>
      <c r="B1641" s="196" t="s">
        <v>226</v>
      </c>
      <c r="C1641"/>
      <c r="D1641" s="197"/>
      <c r="E1641" s="197"/>
      <c r="F1641" s="197"/>
      <c r="G1641" s="197"/>
      <c r="H1641" s="209"/>
      <c r="I1641" s="209"/>
    </row>
    <row r="1642" spans="1:12">
      <c r="A1642" s="195"/>
      <c r="B1642" s="195" t="s">
        <v>205</v>
      </c>
      <c r="C1642"/>
      <c r="D1642" s="197"/>
      <c r="E1642" s="197"/>
      <c r="F1642" s="197"/>
      <c r="G1642" s="197"/>
      <c r="H1642" s="209"/>
      <c r="I1642" s="209"/>
    </row>
    <row r="1643" spans="1:12">
      <c r="A1643" s="195"/>
      <c r="B1643" s="195" t="s">
        <v>206</v>
      </c>
      <c r="C1643"/>
      <c r="D1643" s="197"/>
      <c r="E1643" s="197"/>
      <c r="F1643" s="197"/>
      <c r="G1643" s="197"/>
      <c r="H1643" s="209"/>
      <c r="I1643" s="209"/>
    </row>
    <row r="1644" spans="1:12">
      <c r="A1644" s="195"/>
      <c r="B1644" s="195" t="s">
        <v>207</v>
      </c>
      <c r="C1644"/>
      <c r="D1644" s="197"/>
      <c r="E1644" s="197"/>
      <c r="F1644" s="197"/>
      <c r="G1644" s="197"/>
      <c r="H1644" s="209"/>
      <c r="I1644" s="209"/>
    </row>
    <row r="1645" spans="1:12">
      <c r="A1645" s="195"/>
      <c r="B1645" s="196" t="s">
        <v>227</v>
      </c>
      <c r="C1645"/>
      <c r="D1645" s="197"/>
      <c r="E1645" s="197"/>
      <c r="F1645" s="197"/>
      <c r="G1645" s="197"/>
      <c r="H1645" s="209"/>
      <c r="I1645" s="209"/>
      <c r="K1645"/>
    </row>
    <row r="1646" spans="1:12" ht="29.25" thickBot="1">
      <c r="A1646" s="182" t="str">
        <f>"回収シフト  第"&amp;ROUNDUP(DAY(B1649)/7,0)  &amp;"  "&amp;TEXT(B1649,"aaaa")</f>
        <v>回収シフト  第1  木曜日</v>
      </c>
      <c r="B1646" s="183"/>
      <c r="C1646" s="183"/>
      <c r="D1646" s="183"/>
      <c r="E1646" s="183"/>
      <c r="F1646" s="183"/>
      <c r="G1646" s="184"/>
      <c r="H1646" s="184"/>
      <c r="I1646" s="184"/>
      <c r="K1646" s="183"/>
      <c r="L1646" s="183"/>
    </row>
    <row r="1647" spans="1:12" ht="15.75" thickBot="1">
      <c r="A1647"/>
      <c r="B1647"/>
      <c r="C1647"/>
      <c r="D1647" s="186" t="s">
        <v>201</v>
      </c>
      <c r="E1647" s="186" t="s">
        <v>202</v>
      </c>
      <c r="F1647" s="186" t="s">
        <v>203</v>
      </c>
      <c r="G1647" s="186" t="s">
        <v>204</v>
      </c>
      <c r="H1647" s="186" t="s">
        <v>267</v>
      </c>
      <c r="I1647" s="217" t="s">
        <v>267</v>
      </c>
      <c r="K1647" s="230" t="s">
        <v>257</v>
      </c>
      <c r="L1647" s="231"/>
    </row>
    <row r="1648" spans="1:12">
      <c r="A1648" s="187"/>
      <c r="B1648" s="188">
        <v>46119</v>
      </c>
      <c r="C1648" s="187"/>
      <c r="D1648" s="189" t="s">
        <v>863</v>
      </c>
      <c r="E1648" s="189" t="s">
        <v>248</v>
      </c>
      <c r="F1648" s="189" t="s">
        <v>276</v>
      </c>
      <c r="G1648" s="189" t="s">
        <v>918</v>
      </c>
      <c r="H1648" s="189" t="s">
        <v>852</v>
      </c>
      <c r="I1648" s="218" t="s">
        <v>852</v>
      </c>
      <c r="K1648" s="232" t="s">
        <v>258</v>
      </c>
      <c r="L1648" s="190" t="str">
        <f ca="1">_xlfn.XLOOKUP($B1649,シフト抽出!$19:$19,シフト抽出!$20:$20,"該当なし",0,1)</f>
        <v/>
      </c>
    </row>
    <row r="1649" spans="1:12" ht="19.5" thickBot="1">
      <c r="A1649"/>
      <c r="B1649" s="191">
        <f>B1596+1</f>
        <v>46149</v>
      </c>
      <c r="C1649" s="192"/>
      <c r="D1649" s="193"/>
      <c r="E1649" s="193"/>
      <c r="F1649" s="193"/>
      <c r="G1649" s="193"/>
      <c r="H1649" s="193"/>
      <c r="I1649" s="219"/>
      <c r="K1649" s="233"/>
      <c r="L1649" s="194" t="str">
        <f ca="1">_xlfn.XLOOKUP($B1649,シフト抽出!$19:$19,シフト抽出!$21:$21,"該当なし",0,1)</f>
        <v/>
      </c>
    </row>
    <row r="1650" spans="1:12">
      <c r="A1650" s="195"/>
      <c r="B1650" s="196">
        <v>0.25</v>
      </c>
      <c r="C1650"/>
      <c r="D1650" s="197"/>
      <c r="E1650" s="196"/>
      <c r="F1650" s="197"/>
      <c r="G1650" s="197"/>
      <c r="H1650" s="197"/>
      <c r="I1650" s="209"/>
      <c r="K1650" s="234" t="s">
        <v>259</v>
      </c>
      <c r="L1650" s="198" t="str">
        <f ca="1">_xlfn.XLOOKUP($B1649,シフト抽出!$19:$19,シフト抽出!$23:$23,"該当なし",0,1)</f>
        <v/>
      </c>
    </row>
    <row r="1651" spans="1:12" ht="15.75" thickBot="1">
      <c r="A1651" s="195"/>
      <c r="B1651" s="195" t="s">
        <v>205</v>
      </c>
      <c r="C1651"/>
      <c r="D1651" s="197"/>
      <c r="E1651" s="197"/>
      <c r="F1651" s="197"/>
      <c r="G1651" s="197"/>
      <c r="H1651" s="197"/>
      <c r="I1651" s="209"/>
      <c r="K1651" s="235"/>
      <c r="L1651" s="199" t="str">
        <f ca="1">_xlfn.XLOOKUP($B1649,シフト抽出!$19:$19,シフト抽出!$24:$24,"該当なし",0,1)</f>
        <v/>
      </c>
    </row>
    <row r="1652" spans="1:12">
      <c r="A1652" s="195"/>
      <c r="B1652" s="195" t="s">
        <v>206</v>
      </c>
      <c r="C1652"/>
      <c r="D1652" s="197"/>
      <c r="E1652" s="197"/>
      <c r="F1652" s="197"/>
      <c r="G1652" s="197"/>
      <c r="H1652" s="197"/>
      <c r="I1652" s="209"/>
      <c r="K1652" s="224" t="s">
        <v>260</v>
      </c>
      <c r="L1652" s="200" t="str">
        <f ca="1">_xlfn.XLOOKUP($B1649,シフト抽出!$19:$19,シフト抽出!$26:$26,"該当なし",0,1)</f>
        <v/>
      </c>
    </row>
    <row r="1653" spans="1:12">
      <c r="A1653" s="195"/>
      <c r="B1653" s="195" t="s">
        <v>207</v>
      </c>
      <c r="C1653"/>
      <c r="D1653" s="197"/>
      <c r="E1653" s="197"/>
      <c r="F1653" s="197"/>
      <c r="G1653" s="197"/>
      <c r="H1653" s="197"/>
      <c r="I1653" s="209"/>
      <c r="K1653" s="225"/>
      <c r="L1653" s="201" t="str">
        <f ca="1">_xlfn.XLOOKUP($B1649,シフト抽出!$19:$19,シフト抽出!$27:$27,"該当なし",0,1)</f>
        <v/>
      </c>
    </row>
    <row r="1654" spans="1:12">
      <c r="A1654" s="195"/>
      <c r="B1654" s="202" t="s">
        <v>208</v>
      </c>
      <c r="C1654"/>
      <c r="D1654" s="197" t="s">
        <v>4</v>
      </c>
      <c r="E1654" s="197" t="s">
        <v>4</v>
      </c>
      <c r="F1654" s="197"/>
      <c r="G1654" s="197" t="s">
        <v>4</v>
      </c>
      <c r="H1654" s="197"/>
      <c r="I1654" s="209"/>
      <c r="J1654" s="203"/>
      <c r="K1654" s="225"/>
      <c r="L1654" s="201" t="str">
        <f ca="1">_xlfn.XLOOKUP($B1649,シフト抽出!$19:$19,シフト抽出!$28:$28,"該当なし",0,1)</f>
        <v/>
      </c>
    </row>
    <row r="1655" spans="1:12" ht="15.75" thickBot="1">
      <c r="A1655" s="195"/>
      <c r="B1655" s="195" t="s">
        <v>205</v>
      </c>
      <c r="C1655"/>
      <c r="D1655" s="197" t="s">
        <v>414</v>
      </c>
      <c r="E1655" s="197" t="s">
        <v>421</v>
      </c>
      <c r="F1655" s="197" t="s">
        <v>62</v>
      </c>
      <c r="G1655" s="197" t="s">
        <v>22</v>
      </c>
      <c r="H1655" s="197"/>
      <c r="I1655" s="209"/>
      <c r="J1655" s="203"/>
      <c r="K1655" s="226"/>
      <c r="L1655" s="204" t="str">
        <f ca="1">_xlfn.XLOOKUP($B1649,シフト抽出!$19:$19,シフト抽出!$29:$29,"該当なし",0,1)</f>
        <v/>
      </c>
    </row>
    <row r="1656" spans="1:12" ht="15.75" thickBot="1">
      <c r="A1656" s="195"/>
      <c r="B1656" s="195" t="s">
        <v>206</v>
      </c>
      <c r="C1656"/>
      <c r="D1656" s="197" t="s">
        <v>414</v>
      </c>
      <c r="E1656" s="197" t="s">
        <v>421</v>
      </c>
      <c r="F1656" s="197" t="s">
        <v>62</v>
      </c>
      <c r="G1656" s="197" t="s">
        <v>22</v>
      </c>
      <c r="H1656" s="197"/>
      <c r="I1656" s="209"/>
      <c r="K1656" s="205" t="s">
        <v>261</v>
      </c>
      <c r="L1656" s="205">
        <f>_xlfn.XLOOKUP($B1649,予定表!B:B,予定表!R:R,"該当なし",0,1)</f>
        <v>0</v>
      </c>
    </row>
    <row r="1657" spans="1:12">
      <c r="A1657" s="195"/>
      <c r="B1657" s="195" t="s">
        <v>207</v>
      </c>
      <c r="C1657"/>
      <c r="D1657" s="197" t="s">
        <v>414</v>
      </c>
      <c r="E1657" s="197" t="s">
        <v>421</v>
      </c>
      <c r="F1657" s="197" t="s">
        <v>62</v>
      </c>
      <c r="G1657" s="197" t="s">
        <v>22</v>
      </c>
      <c r="H1657" s="197"/>
      <c r="I1657" s="209"/>
      <c r="K1657" s="227" t="s">
        <v>262</v>
      </c>
      <c r="L1657" s="206" t="str">
        <f>_xlfn.XLOOKUP($B1649,予定表!$B:$B,予定表!E:E,"該当なし",0,1)</f>
        <v>小田急切符</v>
      </c>
    </row>
    <row r="1658" spans="1:12">
      <c r="A1658" s="195"/>
      <c r="B1658" s="196" t="s">
        <v>209</v>
      </c>
      <c r="C1658"/>
      <c r="D1658" s="197" t="s">
        <v>414</v>
      </c>
      <c r="E1658" s="197" t="s">
        <v>421</v>
      </c>
      <c r="F1658" s="197" t="s">
        <v>62</v>
      </c>
      <c r="G1658" s="197" t="s">
        <v>268</v>
      </c>
      <c r="H1658" s="197" t="s">
        <v>4</v>
      </c>
      <c r="I1658" s="209" t="s">
        <v>4</v>
      </c>
      <c r="K1658" s="228"/>
      <c r="L1658" s="207">
        <f>_xlfn.XLOOKUP($B1649,予定表!$B:$B,予定表!F:F,"該当なし",0,1)</f>
        <v>0</v>
      </c>
    </row>
    <row r="1659" spans="1:12">
      <c r="A1659" s="195"/>
      <c r="B1659" s="195" t="s">
        <v>205</v>
      </c>
      <c r="C1659"/>
      <c r="D1659" s="197" t="s">
        <v>414</v>
      </c>
      <c r="E1659" s="197" t="s">
        <v>421</v>
      </c>
      <c r="F1659" s="197" t="s">
        <v>62</v>
      </c>
      <c r="G1659" s="197" t="s">
        <v>268</v>
      </c>
      <c r="H1659" s="197" t="s">
        <v>60</v>
      </c>
      <c r="I1659" s="209" t="s">
        <v>60</v>
      </c>
      <c r="K1659" s="228"/>
      <c r="L1659" s="207">
        <f>_xlfn.XLOOKUP($B1649,予定表!$B:$B,予定表!G:G,"該当なし",0,1)</f>
        <v>0</v>
      </c>
    </row>
    <row r="1660" spans="1:12">
      <c r="A1660" s="195"/>
      <c r="B1660" s="195" t="s">
        <v>206</v>
      </c>
      <c r="C1660"/>
      <c r="D1660" s="197" t="s">
        <v>214</v>
      </c>
      <c r="E1660" s="197" t="s">
        <v>629</v>
      </c>
      <c r="F1660" s="197" t="s">
        <v>62</v>
      </c>
      <c r="G1660" s="197" t="s">
        <v>268</v>
      </c>
      <c r="H1660" s="197" t="s">
        <v>60</v>
      </c>
      <c r="I1660" s="209" t="s">
        <v>60</v>
      </c>
      <c r="K1660" s="228"/>
      <c r="L1660" s="207">
        <f>_xlfn.XLOOKUP($B1649,予定表!$B:$B,予定表!H:H,"該当なし",0,1)</f>
        <v>0</v>
      </c>
    </row>
    <row r="1661" spans="1:12">
      <c r="A1661" s="195"/>
      <c r="B1661" s="195" t="s">
        <v>207</v>
      </c>
      <c r="C1661"/>
      <c r="D1661" s="197" t="s">
        <v>214</v>
      </c>
      <c r="E1661" s="197" t="s">
        <v>273</v>
      </c>
      <c r="F1661" s="197" t="s">
        <v>62</v>
      </c>
      <c r="G1661" s="197" t="s">
        <v>268</v>
      </c>
      <c r="H1661" s="197" t="s">
        <v>60</v>
      </c>
      <c r="I1661" s="209" t="s">
        <v>60</v>
      </c>
      <c r="K1661" s="228"/>
      <c r="L1661" s="207" t="str">
        <f>_xlfn.XLOOKUP($B1649,予定表!$B:$B,予定表!I:I,"該当なし",0,1)</f>
        <v/>
      </c>
    </row>
    <row r="1662" spans="1:12">
      <c r="A1662" s="195"/>
      <c r="B1662" s="196" t="s">
        <v>212</v>
      </c>
      <c r="C1662"/>
      <c r="D1662" s="197" t="s">
        <v>214</v>
      </c>
      <c r="E1662" s="197" t="s">
        <v>273</v>
      </c>
      <c r="F1662" s="197" t="s">
        <v>62</v>
      </c>
      <c r="G1662" s="197" t="s">
        <v>268</v>
      </c>
      <c r="H1662" s="197"/>
      <c r="I1662" s="209"/>
      <c r="K1662" s="228"/>
      <c r="L1662" s="207" t="str">
        <f>_xlfn.XLOOKUP($B1649,予定表!$B:$B,予定表!J:J,"該当なし",0,1)</f>
        <v/>
      </c>
    </row>
    <row r="1663" spans="1:12">
      <c r="A1663" s="195"/>
      <c r="B1663" s="195" t="s">
        <v>205</v>
      </c>
      <c r="C1663"/>
      <c r="D1663" s="197" t="s">
        <v>214</v>
      </c>
      <c r="E1663" s="197" t="s">
        <v>228</v>
      </c>
      <c r="F1663" s="197" t="s">
        <v>62</v>
      </c>
      <c r="G1663" s="197" t="s">
        <v>268</v>
      </c>
      <c r="H1663" s="197" t="s">
        <v>416</v>
      </c>
      <c r="I1663" s="209" t="s">
        <v>416</v>
      </c>
      <c r="K1663" s="228"/>
      <c r="L1663" s="207" t="str">
        <f>_xlfn.XLOOKUP($B1649,予定表!$B:$B,予定表!K:K,"該当なし",0,1)</f>
        <v/>
      </c>
    </row>
    <row r="1664" spans="1:12">
      <c r="A1664" s="195"/>
      <c r="B1664" s="195" t="s">
        <v>206</v>
      </c>
      <c r="C1664"/>
      <c r="D1664" s="197" t="s">
        <v>851</v>
      </c>
      <c r="E1664" s="197" t="s">
        <v>228</v>
      </c>
      <c r="F1664" s="197" t="s">
        <v>62</v>
      </c>
      <c r="G1664" s="197" t="s">
        <v>268</v>
      </c>
      <c r="H1664" s="197" t="s">
        <v>919</v>
      </c>
      <c r="I1664" s="209" t="s">
        <v>919</v>
      </c>
      <c r="K1664" s="228"/>
      <c r="L1664" s="207" t="str">
        <f>_xlfn.XLOOKUP($B1649,予定表!$B:$B,予定表!L:L,"該当なし",0,1)</f>
        <v/>
      </c>
    </row>
    <row r="1665" spans="1:12" ht="15.75" thickBot="1">
      <c r="A1665" s="195"/>
      <c r="B1665" s="195" t="s">
        <v>207</v>
      </c>
      <c r="C1665"/>
      <c r="D1665" s="197" t="s">
        <v>851</v>
      </c>
      <c r="E1665" s="197" t="s">
        <v>228</v>
      </c>
      <c r="F1665" s="197" t="s">
        <v>62</v>
      </c>
      <c r="G1665" s="197" t="s">
        <v>268</v>
      </c>
      <c r="H1665" s="197" t="s">
        <v>416</v>
      </c>
      <c r="I1665" s="209" t="s">
        <v>416</v>
      </c>
      <c r="K1665" s="229"/>
      <c r="L1665" s="204" t="str">
        <f>_xlfn.XLOOKUP($A1646,ﾘｽﾄマスタ!$U$8:$U$17,ﾘｽﾄマスタ!$V$8:$V$17,"",0)</f>
        <v/>
      </c>
    </row>
    <row r="1666" spans="1:12" ht="15.75" thickBot="1">
      <c r="A1666" s="195"/>
      <c r="B1666" s="196" t="s">
        <v>251</v>
      </c>
      <c r="C1666"/>
      <c r="D1666" s="197" t="s">
        <v>851</v>
      </c>
      <c r="E1666" s="197" t="s">
        <v>228</v>
      </c>
      <c r="F1666" s="197" t="s">
        <v>62</v>
      </c>
      <c r="G1666" s="197" t="s">
        <v>268</v>
      </c>
      <c r="H1666" s="197" t="s">
        <v>416</v>
      </c>
      <c r="I1666" s="209" t="s">
        <v>416</v>
      </c>
      <c r="K1666" s="208" t="s">
        <v>277</v>
      </c>
      <c r="L1666" s="208" t="str">
        <f ca="1">_xlfn.XLOOKUP($B1649,シフト抽出!$19:$19,シフト抽出!$30:$30,"該当なし",0,1)</f>
        <v/>
      </c>
    </row>
    <row r="1667" spans="1:12">
      <c r="A1667" s="195"/>
      <c r="B1667" s="195" t="s">
        <v>205</v>
      </c>
      <c r="C1667"/>
      <c r="D1667" s="197" t="s">
        <v>851</v>
      </c>
      <c r="E1667" s="197" t="s">
        <v>228</v>
      </c>
      <c r="F1667" s="197" t="s">
        <v>62</v>
      </c>
      <c r="G1667" s="197" t="s">
        <v>169</v>
      </c>
      <c r="H1667" s="197" t="s">
        <v>416</v>
      </c>
      <c r="I1667" s="209" t="s">
        <v>416</v>
      </c>
    </row>
    <row r="1668" spans="1:12">
      <c r="A1668" s="195"/>
      <c r="B1668" s="195" t="s">
        <v>206</v>
      </c>
      <c r="C1668"/>
      <c r="D1668" s="197" t="s">
        <v>114</v>
      </c>
      <c r="E1668" s="197" t="s">
        <v>263</v>
      </c>
      <c r="F1668" s="197" t="s">
        <v>62</v>
      </c>
      <c r="G1668" s="197" t="s">
        <v>169</v>
      </c>
      <c r="H1668" s="197" t="s">
        <v>416</v>
      </c>
      <c r="I1668" s="209" t="s">
        <v>416</v>
      </c>
    </row>
    <row r="1669" spans="1:12">
      <c r="A1669" s="195"/>
      <c r="B1669" s="195" t="s">
        <v>207</v>
      </c>
      <c r="C1669"/>
      <c r="D1669" s="197" t="s">
        <v>114</v>
      </c>
      <c r="E1669" s="197" t="s">
        <v>263</v>
      </c>
      <c r="F1669" s="197" t="s">
        <v>62</v>
      </c>
      <c r="G1669" s="197" t="s">
        <v>169</v>
      </c>
      <c r="H1669" s="197" t="s">
        <v>416</v>
      </c>
      <c r="I1669" s="209" t="s">
        <v>416</v>
      </c>
    </row>
    <row r="1670" spans="1:12">
      <c r="A1670" s="195"/>
      <c r="B1670" s="196" t="s">
        <v>217</v>
      </c>
      <c r="C1670"/>
      <c r="D1670" s="197" t="s">
        <v>51</v>
      </c>
      <c r="E1670" s="197" t="s">
        <v>263</v>
      </c>
      <c r="F1670" s="197" t="s">
        <v>62</v>
      </c>
      <c r="G1670" s="197" t="s">
        <v>169</v>
      </c>
      <c r="H1670" s="197" t="s">
        <v>416</v>
      </c>
      <c r="I1670" s="209" t="s">
        <v>416</v>
      </c>
    </row>
    <row r="1671" spans="1:12">
      <c r="A1671" s="195"/>
      <c r="B1671" s="195" t="s">
        <v>205</v>
      </c>
      <c r="C1671"/>
      <c r="D1671" s="197" t="s">
        <v>51</v>
      </c>
      <c r="E1671" s="197" t="s">
        <v>848</v>
      </c>
      <c r="F1671" s="197" t="s">
        <v>62</v>
      </c>
      <c r="G1671" s="197" t="s">
        <v>169</v>
      </c>
      <c r="H1671" s="197" t="s">
        <v>416</v>
      </c>
      <c r="I1671" s="209" t="s">
        <v>416</v>
      </c>
    </row>
    <row r="1672" spans="1:12">
      <c r="A1672" s="195"/>
      <c r="B1672" s="195" t="s">
        <v>206</v>
      </c>
      <c r="C1672"/>
      <c r="D1672" s="197" t="s">
        <v>51</v>
      </c>
      <c r="E1672" s="197" t="s">
        <v>848</v>
      </c>
      <c r="F1672" s="197" t="s">
        <v>62</v>
      </c>
      <c r="G1672" s="197" t="s">
        <v>278</v>
      </c>
      <c r="H1672" s="197" t="s">
        <v>416</v>
      </c>
      <c r="I1672" s="209" t="s">
        <v>416</v>
      </c>
    </row>
    <row r="1673" spans="1:12">
      <c r="A1673" s="195"/>
      <c r="B1673" s="195" t="s">
        <v>207</v>
      </c>
      <c r="C1673"/>
      <c r="D1673" s="197" t="s">
        <v>51</v>
      </c>
      <c r="E1673" s="197" t="s">
        <v>848</v>
      </c>
      <c r="F1673" s="197" t="s">
        <v>62</v>
      </c>
      <c r="G1673" s="197" t="s">
        <v>278</v>
      </c>
      <c r="H1673" s="197" t="s">
        <v>416</v>
      </c>
      <c r="I1673" s="209" t="s">
        <v>416</v>
      </c>
    </row>
    <row r="1674" spans="1:12">
      <c r="A1674" s="195"/>
      <c r="B1674" s="196" t="s">
        <v>219</v>
      </c>
      <c r="C1674"/>
      <c r="D1674" s="197"/>
      <c r="E1674" s="197" t="s">
        <v>848</v>
      </c>
      <c r="F1674" s="197"/>
      <c r="G1674" s="197"/>
      <c r="H1674" s="197"/>
      <c r="I1674" s="209"/>
    </row>
    <row r="1675" spans="1:12">
      <c r="A1675" s="195"/>
      <c r="B1675" s="195" t="s">
        <v>205</v>
      </c>
      <c r="C1675"/>
      <c r="D1675" s="197"/>
      <c r="E1675" s="197" t="s">
        <v>848</v>
      </c>
      <c r="F1675" s="197"/>
      <c r="G1675" s="197"/>
      <c r="H1675" s="197"/>
      <c r="I1675" s="209"/>
    </row>
    <row r="1676" spans="1:12">
      <c r="A1676" s="195"/>
      <c r="B1676" s="195" t="s">
        <v>206</v>
      </c>
      <c r="C1676"/>
      <c r="D1676" s="197"/>
      <c r="E1676" s="197"/>
      <c r="F1676" s="197"/>
      <c r="G1676" s="197"/>
      <c r="H1676" s="197"/>
      <c r="I1676" s="209"/>
    </row>
    <row r="1677" spans="1:12">
      <c r="A1677" s="195"/>
      <c r="B1677" s="195" t="s">
        <v>207</v>
      </c>
      <c r="C1677"/>
      <c r="D1677" s="197"/>
      <c r="E1677" s="197"/>
      <c r="F1677" s="197"/>
      <c r="G1677" s="197"/>
      <c r="H1677" s="197"/>
      <c r="I1677" s="209"/>
    </row>
    <row r="1678" spans="1:12">
      <c r="A1678" s="195"/>
      <c r="B1678" s="196" t="s">
        <v>220</v>
      </c>
      <c r="C1678"/>
      <c r="D1678" s="197"/>
      <c r="E1678" s="197"/>
      <c r="F1678" s="197"/>
      <c r="G1678" s="189" t="s">
        <v>921</v>
      </c>
      <c r="H1678" s="197"/>
      <c r="I1678" s="209"/>
    </row>
    <row r="1679" spans="1:12">
      <c r="A1679" s="195"/>
      <c r="B1679" s="195" t="s">
        <v>205</v>
      </c>
      <c r="C1679"/>
      <c r="D1679" s="197" t="s">
        <v>129</v>
      </c>
      <c r="E1679" s="197" t="s">
        <v>95</v>
      </c>
      <c r="F1679" s="197" t="s">
        <v>160</v>
      </c>
      <c r="G1679" s="197" t="s">
        <v>56</v>
      </c>
      <c r="H1679" s="197" t="s">
        <v>230</v>
      </c>
      <c r="I1679" s="209" t="s">
        <v>230</v>
      </c>
    </row>
    <row r="1680" spans="1:12">
      <c r="A1680" s="195"/>
      <c r="B1680" s="195" t="s">
        <v>206</v>
      </c>
      <c r="C1680"/>
      <c r="D1680" s="197" t="s">
        <v>129</v>
      </c>
      <c r="E1680" s="197" t="s">
        <v>95</v>
      </c>
      <c r="F1680" s="197" t="s">
        <v>160</v>
      </c>
      <c r="G1680" s="197" t="s">
        <v>56</v>
      </c>
      <c r="H1680" s="197" t="s">
        <v>230</v>
      </c>
      <c r="I1680" s="209" t="s">
        <v>230</v>
      </c>
    </row>
    <row r="1681" spans="1:9">
      <c r="A1681" s="195"/>
      <c r="B1681" s="195" t="s">
        <v>207</v>
      </c>
      <c r="C1681"/>
      <c r="D1681" s="197" t="s">
        <v>129</v>
      </c>
      <c r="E1681" s="197" t="s">
        <v>95</v>
      </c>
      <c r="F1681" s="197" t="s">
        <v>160</v>
      </c>
      <c r="G1681" s="197" t="s">
        <v>56</v>
      </c>
      <c r="H1681" s="197" t="s">
        <v>230</v>
      </c>
      <c r="I1681" s="209" t="s">
        <v>230</v>
      </c>
    </row>
    <row r="1682" spans="1:9">
      <c r="A1682" s="195"/>
      <c r="B1682" s="196" t="s">
        <v>222</v>
      </c>
      <c r="C1682"/>
      <c r="D1682" s="197" t="s">
        <v>129</v>
      </c>
      <c r="E1682" s="197" t="s">
        <v>95</v>
      </c>
      <c r="F1682" s="197" t="s">
        <v>252</v>
      </c>
      <c r="G1682" s="197" t="s">
        <v>56</v>
      </c>
      <c r="H1682" s="197" t="s">
        <v>229</v>
      </c>
      <c r="I1682" s="209" t="s">
        <v>229</v>
      </c>
    </row>
    <row r="1683" spans="1:9">
      <c r="A1683" s="195"/>
      <c r="B1683" s="195" t="s">
        <v>205</v>
      </c>
      <c r="C1683"/>
      <c r="D1683" s="197" t="s">
        <v>129</v>
      </c>
      <c r="E1683" s="197" t="s">
        <v>95</v>
      </c>
      <c r="F1683" s="197" t="s">
        <v>252</v>
      </c>
      <c r="G1683" s="197"/>
      <c r="H1683" s="197" t="s">
        <v>229</v>
      </c>
      <c r="I1683" s="209" t="s">
        <v>229</v>
      </c>
    </row>
    <row r="1684" spans="1:9">
      <c r="A1684" s="195"/>
      <c r="B1684" s="195" t="s">
        <v>206</v>
      </c>
      <c r="C1684"/>
      <c r="D1684" s="197"/>
      <c r="E1684" s="197" t="s">
        <v>95</v>
      </c>
      <c r="F1684" s="197" t="s">
        <v>252</v>
      </c>
      <c r="G1684" s="197" t="s">
        <v>270</v>
      </c>
      <c r="H1684" s="197" t="s">
        <v>848</v>
      </c>
      <c r="I1684" s="209" t="s">
        <v>848</v>
      </c>
    </row>
    <row r="1685" spans="1:9">
      <c r="A1685" s="195"/>
      <c r="B1685" s="195" t="s">
        <v>207</v>
      </c>
      <c r="C1685"/>
      <c r="D1685" s="197" t="s">
        <v>515</v>
      </c>
      <c r="E1685" s="197" t="s">
        <v>95</v>
      </c>
      <c r="F1685" s="197" t="s">
        <v>252</v>
      </c>
      <c r="G1685" s="197" t="s">
        <v>270</v>
      </c>
      <c r="H1685" s="197" t="s">
        <v>848</v>
      </c>
      <c r="I1685" s="209" t="s">
        <v>848</v>
      </c>
    </row>
    <row r="1686" spans="1:9">
      <c r="A1686" s="195"/>
      <c r="B1686" s="196" t="s">
        <v>223</v>
      </c>
      <c r="C1686"/>
      <c r="D1686" s="197" t="s">
        <v>515</v>
      </c>
      <c r="E1686" s="197" t="s">
        <v>95</v>
      </c>
      <c r="F1686" s="197" t="s">
        <v>252</v>
      </c>
      <c r="G1686" s="197" t="s">
        <v>270</v>
      </c>
      <c r="H1686" s="197" t="s">
        <v>848</v>
      </c>
      <c r="I1686" s="209" t="s">
        <v>848</v>
      </c>
    </row>
    <row r="1687" spans="1:9">
      <c r="A1687" s="195"/>
      <c r="B1687" s="195" t="s">
        <v>205</v>
      </c>
      <c r="C1687"/>
      <c r="D1687" s="197" t="s">
        <v>515</v>
      </c>
      <c r="E1687" s="197" t="s">
        <v>95</v>
      </c>
      <c r="F1687" s="197" t="s">
        <v>252</v>
      </c>
      <c r="G1687" s="197" t="s">
        <v>270</v>
      </c>
      <c r="H1687" s="197" t="s">
        <v>848</v>
      </c>
      <c r="I1687" s="209" t="s">
        <v>848</v>
      </c>
    </row>
    <row r="1688" spans="1:9">
      <c r="A1688" s="195"/>
      <c r="B1688" s="195" t="s">
        <v>206</v>
      </c>
      <c r="C1688"/>
      <c r="D1688" s="197" t="s">
        <v>269</v>
      </c>
      <c r="E1688" s="197" t="s">
        <v>95</v>
      </c>
      <c r="F1688" s="197" t="s">
        <v>252</v>
      </c>
      <c r="G1688" s="197" t="s">
        <v>270</v>
      </c>
      <c r="H1688" s="197" t="s">
        <v>848</v>
      </c>
      <c r="I1688" s="209" t="s">
        <v>848</v>
      </c>
    </row>
    <row r="1689" spans="1:9">
      <c r="A1689" s="195"/>
      <c r="B1689" s="195" t="s">
        <v>207</v>
      </c>
      <c r="C1689"/>
      <c r="D1689" s="197" t="s">
        <v>269</v>
      </c>
      <c r="E1689" s="197" t="s">
        <v>95</v>
      </c>
      <c r="F1689" s="197" t="s">
        <v>252</v>
      </c>
      <c r="G1689" s="197" t="s">
        <v>270</v>
      </c>
      <c r="H1689" s="197" t="s">
        <v>848</v>
      </c>
      <c r="I1689" s="209" t="s">
        <v>848</v>
      </c>
    </row>
    <row r="1690" spans="1:9">
      <c r="A1690" s="195"/>
      <c r="B1690" s="196" t="s">
        <v>225</v>
      </c>
      <c r="C1690"/>
      <c r="D1690" s="197" t="s">
        <v>237</v>
      </c>
      <c r="E1690" s="197" t="s">
        <v>95</v>
      </c>
      <c r="F1690" s="197" t="s">
        <v>252</v>
      </c>
      <c r="G1690" s="197" t="s">
        <v>270</v>
      </c>
      <c r="H1690" s="197" t="s">
        <v>415</v>
      </c>
      <c r="I1690" s="209" t="s">
        <v>415</v>
      </c>
    </row>
    <row r="1691" spans="1:9">
      <c r="A1691" s="195"/>
      <c r="B1691" s="195" t="s">
        <v>205</v>
      </c>
      <c r="C1691"/>
      <c r="D1691" s="197" t="s">
        <v>237</v>
      </c>
      <c r="E1691" s="197" t="s">
        <v>95</v>
      </c>
      <c r="F1691" s="197" t="s">
        <v>252</v>
      </c>
      <c r="G1691" s="197" t="s">
        <v>270</v>
      </c>
      <c r="H1691" s="209" t="s">
        <v>415</v>
      </c>
      <c r="I1691" s="209" t="s">
        <v>415</v>
      </c>
    </row>
    <row r="1692" spans="1:9">
      <c r="A1692" s="195"/>
      <c r="B1692" s="195" t="s">
        <v>206</v>
      </c>
      <c r="C1692"/>
      <c r="D1692" s="197" t="s">
        <v>236</v>
      </c>
      <c r="E1692" s="197"/>
      <c r="F1692" s="197"/>
      <c r="G1692" s="197" t="s">
        <v>270</v>
      </c>
      <c r="H1692" s="209" t="s">
        <v>415</v>
      </c>
      <c r="I1692" s="209" t="s">
        <v>415</v>
      </c>
    </row>
    <row r="1693" spans="1:9">
      <c r="A1693" s="195"/>
      <c r="B1693" s="195" t="s">
        <v>207</v>
      </c>
      <c r="C1693"/>
      <c r="D1693" s="197" t="s">
        <v>193</v>
      </c>
      <c r="E1693" s="197"/>
      <c r="F1693" s="197"/>
      <c r="G1693" s="197" t="s">
        <v>270</v>
      </c>
      <c r="H1693" s="209" t="s">
        <v>415</v>
      </c>
      <c r="I1693" s="209" t="s">
        <v>415</v>
      </c>
    </row>
    <row r="1694" spans="1:9">
      <c r="A1694" s="195"/>
      <c r="B1694" s="196" t="s">
        <v>226</v>
      </c>
      <c r="C1694"/>
      <c r="D1694" s="197"/>
      <c r="E1694" s="197"/>
      <c r="F1694" s="197"/>
      <c r="G1694" s="197"/>
      <c r="H1694" s="209"/>
      <c r="I1694" s="209"/>
    </row>
    <row r="1695" spans="1:9">
      <c r="A1695" s="195"/>
      <c r="B1695" s="195" t="s">
        <v>205</v>
      </c>
      <c r="C1695"/>
      <c r="D1695" s="197"/>
      <c r="E1695" s="197"/>
      <c r="F1695" s="197"/>
      <c r="G1695" s="197"/>
      <c r="H1695" s="209"/>
      <c r="I1695" s="209"/>
    </row>
    <row r="1696" spans="1:9">
      <c r="A1696" s="195"/>
      <c r="B1696" s="195" t="s">
        <v>206</v>
      </c>
      <c r="C1696"/>
      <c r="D1696" s="197"/>
      <c r="E1696" s="197"/>
      <c r="F1696" s="197"/>
      <c r="G1696" s="197"/>
      <c r="H1696" s="209"/>
      <c r="I1696" s="209"/>
    </row>
    <row r="1697" spans="1:12">
      <c r="A1697" s="195"/>
      <c r="B1697" s="195" t="s">
        <v>207</v>
      </c>
      <c r="C1697"/>
      <c r="D1697" s="197"/>
      <c r="E1697" s="197"/>
      <c r="F1697" s="197"/>
      <c r="G1697" s="197"/>
      <c r="H1697" s="209"/>
      <c r="I1697" s="209"/>
    </row>
    <row r="1698" spans="1:12">
      <c r="A1698" s="195"/>
      <c r="B1698" s="196" t="s">
        <v>227</v>
      </c>
      <c r="C1698"/>
      <c r="D1698" s="197"/>
      <c r="E1698" s="197"/>
      <c r="F1698" s="197"/>
      <c r="G1698" s="197"/>
      <c r="H1698" s="209"/>
      <c r="I1698" s="209"/>
      <c r="K1698"/>
    </row>
    <row r="1699" spans="1:12" ht="29.25" thickBot="1">
      <c r="A1699" s="182" t="str">
        <f>"回収シフト  第"&amp;ROUNDUP(DAY(B1702)/7,0)  &amp;"  "&amp;TEXT(B1702,"aaaa")</f>
        <v>回収シフト  第2  金曜日</v>
      </c>
      <c r="B1699" s="183"/>
      <c r="C1699" s="183"/>
      <c r="D1699" s="183"/>
      <c r="E1699" s="183"/>
      <c r="F1699" s="183"/>
      <c r="G1699" s="184"/>
      <c r="H1699" s="184"/>
      <c r="I1699" s="184"/>
      <c r="K1699" s="183"/>
      <c r="L1699" s="183"/>
    </row>
    <row r="1700" spans="1:12" ht="15.75" thickBot="1">
      <c r="A1700"/>
      <c r="B1700"/>
      <c r="C1700"/>
      <c r="D1700" s="186" t="s">
        <v>201</v>
      </c>
      <c r="E1700" s="186" t="s">
        <v>202</v>
      </c>
      <c r="F1700" s="186" t="s">
        <v>203</v>
      </c>
      <c r="G1700" s="186" t="s">
        <v>204</v>
      </c>
      <c r="H1700" s="186" t="s">
        <v>267</v>
      </c>
      <c r="I1700" s="217" t="s">
        <v>267</v>
      </c>
      <c r="K1700" s="230" t="s">
        <v>257</v>
      </c>
      <c r="L1700" s="231"/>
    </row>
    <row r="1701" spans="1:12">
      <c r="A1701" s="187"/>
      <c r="B1701" s="188">
        <v>46119</v>
      </c>
      <c r="C1701" s="187"/>
      <c r="D1701" s="189" t="s">
        <v>922</v>
      </c>
      <c r="E1701" s="189" t="s">
        <v>248</v>
      </c>
      <c r="F1701" s="189" t="s">
        <v>276</v>
      </c>
      <c r="G1701" s="189" t="s">
        <v>925</v>
      </c>
      <c r="H1701" s="189" t="s">
        <v>852</v>
      </c>
      <c r="I1701" s="218" t="s">
        <v>852</v>
      </c>
      <c r="K1701" s="232" t="s">
        <v>258</v>
      </c>
      <c r="L1701" s="190" t="str">
        <f ca="1">_xlfn.XLOOKUP($B1702,シフト抽出!$19:$19,シフト抽出!$20:$20,"該当なし",0,1)</f>
        <v/>
      </c>
    </row>
    <row r="1702" spans="1:12" ht="19.5" thickBot="1">
      <c r="A1702"/>
      <c r="B1702" s="191">
        <f>B1649+1</f>
        <v>46150</v>
      </c>
      <c r="C1702" s="192"/>
      <c r="D1702" s="193"/>
      <c r="E1702" s="193"/>
      <c r="F1702" s="193"/>
      <c r="G1702" s="193"/>
      <c r="H1702" s="193"/>
      <c r="I1702" s="219"/>
      <c r="K1702" s="233"/>
      <c r="L1702" s="194" t="str">
        <f ca="1">_xlfn.XLOOKUP($B1702,シフト抽出!$19:$19,シフト抽出!$21:$21,"該当なし",0,1)</f>
        <v/>
      </c>
    </row>
    <row r="1703" spans="1:12">
      <c r="A1703" s="195"/>
      <c r="B1703" s="196">
        <v>0.25</v>
      </c>
      <c r="C1703"/>
      <c r="D1703" s="197"/>
      <c r="E1703" s="196"/>
      <c r="F1703" s="197"/>
      <c r="G1703" s="197"/>
      <c r="H1703" s="197"/>
      <c r="I1703" s="209"/>
      <c r="K1703" s="234" t="s">
        <v>259</v>
      </c>
      <c r="L1703" s="198" t="str">
        <f ca="1">_xlfn.XLOOKUP($B1702,シフト抽出!$19:$19,シフト抽出!$23:$23,"該当なし",0,1)</f>
        <v/>
      </c>
    </row>
    <row r="1704" spans="1:12" ht="15.75" thickBot="1">
      <c r="A1704" s="195"/>
      <c r="B1704" s="195" t="s">
        <v>205</v>
      </c>
      <c r="C1704"/>
      <c r="D1704" s="197"/>
      <c r="E1704" s="197"/>
      <c r="F1704" s="197"/>
      <c r="G1704" s="197"/>
      <c r="H1704" s="197"/>
      <c r="I1704" s="209"/>
      <c r="K1704" s="235"/>
      <c r="L1704" s="199" t="str">
        <f ca="1">_xlfn.XLOOKUP($B1702,シフト抽出!$19:$19,シフト抽出!$24:$24,"該当なし",0,1)</f>
        <v/>
      </c>
    </row>
    <row r="1705" spans="1:12">
      <c r="A1705" s="195"/>
      <c r="B1705" s="195" t="s">
        <v>206</v>
      </c>
      <c r="C1705"/>
      <c r="D1705" s="197" t="s">
        <v>238</v>
      </c>
      <c r="E1705" s="197"/>
      <c r="F1705" s="197"/>
      <c r="G1705" s="197"/>
      <c r="H1705" s="197"/>
      <c r="I1705" s="209"/>
      <c r="K1705" s="224" t="s">
        <v>260</v>
      </c>
      <c r="L1705" s="200" t="str">
        <f ca="1">_xlfn.XLOOKUP($B1702,シフト抽出!$19:$19,シフト抽出!$26:$26,"該当なし",0,1)</f>
        <v/>
      </c>
    </row>
    <row r="1706" spans="1:12">
      <c r="A1706" s="195"/>
      <c r="B1706" s="195" t="s">
        <v>207</v>
      </c>
      <c r="C1706"/>
      <c r="D1706" s="197" t="s">
        <v>238</v>
      </c>
      <c r="E1706" s="197"/>
      <c r="F1706" s="197"/>
      <c r="G1706" s="197"/>
      <c r="H1706" s="197"/>
      <c r="I1706" s="209"/>
      <c r="K1706" s="225"/>
      <c r="L1706" s="201" t="str">
        <f ca="1">_xlfn.XLOOKUP($B1702,シフト抽出!$19:$19,シフト抽出!$27:$27,"該当なし",0,1)</f>
        <v/>
      </c>
    </row>
    <row r="1707" spans="1:12">
      <c r="A1707" s="195"/>
      <c r="B1707" s="202" t="s">
        <v>208</v>
      </c>
      <c r="C1707"/>
      <c r="D1707" s="197" t="s">
        <v>238</v>
      </c>
      <c r="E1707" s="197" t="s">
        <v>420</v>
      </c>
      <c r="F1707" s="197" t="s">
        <v>851</v>
      </c>
      <c r="G1707" s="197" t="s">
        <v>22</v>
      </c>
      <c r="H1707" s="197"/>
      <c r="I1707" s="209"/>
      <c r="J1707" s="203"/>
      <c r="K1707" s="225"/>
      <c r="L1707" s="201" t="str">
        <f ca="1">_xlfn.XLOOKUP($B1702,シフト抽出!$19:$19,シフト抽出!$28:$28,"該当なし",0,1)</f>
        <v/>
      </c>
    </row>
    <row r="1708" spans="1:12" ht="15.75" thickBot="1">
      <c r="A1708" s="195"/>
      <c r="B1708" s="195" t="s">
        <v>205</v>
      </c>
      <c r="C1708"/>
      <c r="D1708" s="197" t="s">
        <v>238</v>
      </c>
      <c r="E1708" s="197" t="s">
        <v>420</v>
      </c>
      <c r="F1708" s="197" t="s">
        <v>851</v>
      </c>
      <c r="G1708" s="197" t="s">
        <v>22</v>
      </c>
      <c r="H1708" s="197"/>
      <c r="I1708" s="209"/>
      <c r="J1708" s="203"/>
      <c r="K1708" s="226"/>
      <c r="L1708" s="204" t="str">
        <f ca="1">_xlfn.XLOOKUP($B1702,シフト抽出!$19:$19,シフト抽出!$29:$29,"該当なし",0,1)</f>
        <v/>
      </c>
    </row>
    <row r="1709" spans="1:12" ht="15.75" thickBot="1">
      <c r="A1709" s="195"/>
      <c r="B1709" s="195" t="s">
        <v>206</v>
      </c>
      <c r="C1709"/>
      <c r="D1709" s="197" t="s">
        <v>238</v>
      </c>
      <c r="E1709" s="197" t="s">
        <v>420</v>
      </c>
      <c r="F1709" s="197" t="s">
        <v>851</v>
      </c>
      <c r="G1709" s="197" t="s">
        <v>793</v>
      </c>
      <c r="H1709" s="197"/>
      <c r="I1709" s="209"/>
      <c r="K1709" s="205" t="s">
        <v>261</v>
      </c>
      <c r="L1709" s="205">
        <f>_xlfn.XLOOKUP($B1702,予定表!B:B,予定表!R:R,"該当なし",0,1)</f>
        <v>0</v>
      </c>
    </row>
    <row r="1710" spans="1:12">
      <c r="A1710" s="195"/>
      <c r="B1710" s="195" t="s">
        <v>207</v>
      </c>
      <c r="C1710"/>
      <c r="D1710" s="197" t="s">
        <v>238</v>
      </c>
      <c r="E1710" s="197" t="s">
        <v>420</v>
      </c>
      <c r="F1710" s="197" t="s">
        <v>851</v>
      </c>
      <c r="G1710" s="197" t="s">
        <v>793</v>
      </c>
      <c r="H1710" s="197"/>
      <c r="I1710" s="209"/>
      <c r="K1710" s="227" t="s">
        <v>262</v>
      </c>
      <c r="L1710" s="206">
        <f>_xlfn.XLOOKUP($B1702,予定表!$B:$B,予定表!E:E,"該当なし",0,1)</f>
        <v>0</v>
      </c>
    </row>
    <row r="1711" spans="1:12">
      <c r="A1711" s="195"/>
      <c r="B1711" s="196" t="s">
        <v>209</v>
      </c>
      <c r="C1711"/>
      <c r="D1711" s="197"/>
      <c r="E1711" s="197" t="s">
        <v>420</v>
      </c>
      <c r="F1711" s="197" t="s">
        <v>851</v>
      </c>
      <c r="G1711" s="197" t="s">
        <v>268</v>
      </c>
      <c r="H1711" s="197" t="s">
        <v>4</v>
      </c>
      <c r="I1711" s="209" t="s">
        <v>4</v>
      </c>
      <c r="K1711" s="228"/>
      <c r="L1711" s="207" t="str">
        <f>_xlfn.XLOOKUP($B1702,予定表!$B:$B,予定表!F:F,"該当なし",0,1)</f>
        <v>ディーミング</v>
      </c>
    </row>
    <row r="1712" spans="1:12">
      <c r="A1712" s="195"/>
      <c r="B1712" s="195" t="s">
        <v>205</v>
      </c>
      <c r="C1712"/>
      <c r="D1712" s="197" t="s">
        <v>264</v>
      </c>
      <c r="E1712" s="197" t="s">
        <v>420</v>
      </c>
      <c r="F1712" s="197" t="s">
        <v>851</v>
      </c>
      <c r="G1712" s="197" t="s">
        <v>268</v>
      </c>
      <c r="H1712" s="197" t="s">
        <v>60</v>
      </c>
      <c r="I1712" s="209" t="s">
        <v>60</v>
      </c>
      <c r="K1712" s="228"/>
      <c r="L1712" s="207">
        <f>_xlfn.XLOOKUP($B1702,予定表!$B:$B,予定表!G:G,"該当なし",0,1)</f>
        <v>0</v>
      </c>
    </row>
    <row r="1713" spans="1:12">
      <c r="A1713" s="195"/>
      <c r="B1713" s="195" t="s">
        <v>206</v>
      </c>
      <c r="C1713"/>
      <c r="D1713" s="197" t="s">
        <v>239</v>
      </c>
      <c r="E1713" s="197" t="s">
        <v>414</v>
      </c>
      <c r="F1713" s="197" t="s">
        <v>62</v>
      </c>
      <c r="G1713" s="197" t="s">
        <v>268</v>
      </c>
      <c r="H1713" s="197" t="s">
        <v>60</v>
      </c>
      <c r="I1713" s="209" t="s">
        <v>60</v>
      </c>
      <c r="K1713" s="228"/>
      <c r="L1713" s="207">
        <f>_xlfn.XLOOKUP($B1702,予定表!$B:$B,予定表!H:H,"該当なし",0,1)</f>
        <v>0</v>
      </c>
    </row>
    <row r="1714" spans="1:12">
      <c r="A1714" s="195"/>
      <c r="B1714" s="195" t="s">
        <v>207</v>
      </c>
      <c r="C1714"/>
      <c r="D1714" s="197" t="s">
        <v>239</v>
      </c>
      <c r="E1714" s="197" t="s">
        <v>414</v>
      </c>
      <c r="F1714" s="197" t="s">
        <v>62</v>
      </c>
      <c r="G1714" s="197" t="s">
        <v>268</v>
      </c>
      <c r="H1714" s="197" t="s">
        <v>60</v>
      </c>
      <c r="I1714" s="209" t="s">
        <v>60</v>
      </c>
      <c r="K1714" s="228"/>
      <c r="L1714" s="207" t="str">
        <f>_xlfn.XLOOKUP($B1702,予定表!$B:$B,予定表!I:I,"該当なし",0,1)</f>
        <v/>
      </c>
    </row>
    <row r="1715" spans="1:12">
      <c r="A1715" s="195"/>
      <c r="B1715" s="196" t="s">
        <v>212</v>
      </c>
      <c r="C1715"/>
      <c r="D1715" s="197" t="s">
        <v>240</v>
      </c>
      <c r="E1715" s="197" t="s">
        <v>414</v>
      </c>
      <c r="F1715" s="197" t="s">
        <v>62</v>
      </c>
      <c r="G1715" s="197" t="s">
        <v>268</v>
      </c>
      <c r="H1715" s="197"/>
      <c r="I1715" s="209"/>
      <c r="K1715" s="228"/>
      <c r="L1715" s="207" t="str">
        <f>_xlfn.XLOOKUP($B1702,予定表!$B:$B,予定表!J:J,"該当なし",0,1)</f>
        <v/>
      </c>
    </row>
    <row r="1716" spans="1:12">
      <c r="A1716" s="195"/>
      <c r="B1716" s="195" t="s">
        <v>205</v>
      </c>
      <c r="C1716"/>
      <c r="D1716" s="197" t="s">
        <v>240</v>
      </c>
      <c r="E1716" s="197" t="s">
        <v>414</v>
      </c>
      <c r="F1716" s="197" t="s">
        <v>62</v>
      </c>
      <c r="G1716" s="197" t="s">
        <v>268</v>
      </c>
      <c r="H1716" s="197" t="s">
        <v>848</v>
      </c>
      <c r="I1716" s="209" t="s">
        <v>848</v>
      </c>
      <c r="K1716" s="228"/>
      <c r="L1716" s="207" t="str">
        <f>_xlfn.XLOOKUP($B1702,予定表!$B:$B,予定表!K:K,"該当なし",0,1)</f>
        <v/>
      </c>
    </row>
    <row r="1717" spans="1:12">
      <c r="A1717" s="195"/>
      <c r="B1717" s="195" t="s">
        <v>206</v>
      </c>
      <c r="C1717"/>
      <c r="D1717" s="197" t="s">
        <v>353</v>
      </c>
      <c r="E1717" s="197" t="s">
        <v>854</v>
      </c>
      <c r="F1717" s="197" t="s">
        <v>62</v>
      </c>
      <c r="G1717" s="197" t="s">
        <v>515</v>
      </c>
      <c r="H1717" s="197" t="s">
        <v>848</v>
      </c>
      <c r="I1717" s="209" t="s">
        <v>848</v>
      </c>
      <c r="K1717" s="228"/>
      <c r="L1717" s="207" t="str">
        <f>_xlfn.XLOOKUP($B1702,予定表!$B:$B,予定表!L:L,"該当なし",0,1)</f>
        <v/>
      </c>
    </row>
    <row r="1718" spans="1:12" ht="15.75" thickBot="1">
      <c r="A1718" s="195"/>
      <c r="B1718" s="195" t="s">
        <v>207</v>
      </c>
      <c r="C1718"/>
      <c r="D1718" s="197" t="s">
        <v>353</v>
      </c>
      <c r="E1718" s="197" t="s">
        <v>854</v>
      </c>
      <c r="F1718" s="197" t="s">
        <v>62</v>
      </c>
      <c r="G1718" s="197" t="s">
        <v>515</v>
      </c>
      <c r="H1718" s="197" t="s">
        <v>848</v>
      </c>
      <c r="I1718" s="209" t="s">
        <v>848</v>
      </c>
      <c r="K1718" s="229"/>
      <c r="L1718" s="204" t="str">
        <f>_xlfn.XLOOKUP($A1699,ﾘｽﾄマスタ!$U$8:$U$17,ﾘｽﾄマスタ!$V$8:$V$17,"",0)</f>
        <v/>
      </c>
    </row>
    <row r="1719" spans="1:12" ht="15.75" thickBot="1">
      <c r="A1719" s="195"/>
      <c r="B1719" s="196" t="s">
        <v>251</v>
      </c>
      <c r="C1719"/>
      <c r="D1719" s="197" t="s">
        <v>353</v>
      </c>
      <c r="E1719" s="197" t="s">
        <v>854</v>
      </c>
      <c r="F1719" s="197" t="s">
        <v>62</v>
      </c>
      <c r="G1719" s="197" t="s">
        <v>269</v>
      </c>
      <c r="H1719" s="197" t="s">
        <v>848</v>
      </c>
      <c r="I1719" s="209" t="s">
        <v>848</v>
      </c>
      <c r="K1719" s="208" t="s">
        <v>277</v>
      </c>
      <c r="L1719" s="208" t="str">
        <f ca="1">_xlfn.XLOOKUP($B1702,シフト抽出!$19:$19,シフト抽出!$30:$30,"該当なし",0,1)</f>
        <v/>
      </c>
    </row>
    <row r="1720" spans="1:12">
      <c r="A1720" s="195"/>
      <c r="B1720" s="195" t="s">
        <v>205</v>
      </c>
      <c r="C1720"/>
      <c r="D1720" s="197" t="s">
        <v>353</v>
      </c>
      <c r="E1720" s="197" t="s">
        <v>854</v>
      </c>
      <c r="F1720" s="197" t="s">
        <v>62</v>
      </c>
      <c r="G1720" s="197" t="s">
        <v>269</v>
      </c>
      <c r="H1720" s="197" t="s">
        <v>848</v>
      </c>
      <c r="I1720" s="209" t="s">
        <v>848</v>
      </c>
    </row>
    <row r="1721" spans="1:12">
      <c r="A1721" s="195"/>
      <c r="B1721" s="195" t="s">
        <v>206</v>
      </c>
      <c r="C1721"/>
      <c r="D1721" s="197" t="s">
        <v>761</v>
      </c>
      <c r="E1721" s="197" t="s">
        <v>216</v>
      </c>
      <c r="F1721" s="197" t="s">
        <v>51</v>
      </c>
      <c r="G1721" s="197" t="s">
        <v>269</v>
      </c>
      <c r="H1721" s="197" t="s">
        <v>848</v>
      </c>
      <c r="I1721" s="209" t="s">
        <v>848</v>
      </c>
    </row>
    <row r="1722" spans="1:12">
      <c r="A1722" s="195"/>
      <c r="B1722" s="195" t="s">
        <v>207</v>
      </c>
      <c r="C1722"/>
      <c r="D1722" s="197" t="s">
        <v>761</v>
      </c>
      <c r="E1722" s="197" t="s">
        <v>216</v>
      </c>
      <c r="F1722" s="197" t="s">
        <v>51</v>
      </c>
      <c r="G1722" s="197" t="s">
        <v>920</v>
      </c>
      <c r="H1722" s="197" t="s">
        <v>848</v>
      </c>
      <c r="I1722" s="209" t="s">
        <v>848</v>
      </c>
    </row>
    <row r="1723" spans="1:12">
      <c r="A1723" s="195"/>
      <c r="B1723" s="196" t="s">
        <v>217</v>
      </c>
      <c r="C1723"/>
      <c r="D1723" s="197" t="s">
        <v>761</v>
      </c>
      <c r="E1723" s="197" t="s">
        <v>216</v>
      </c>
      <c r="F1723" s="197" t="s">
        <v>51</v>
      </c>
      <c r="G1723" s="197" t="s">
        <v>446</v>
      </c>
      <c r="H1723" s="197" t="s">
        <v>848</v>
      </c>
      <c r="I1723" s="209" t="s">
        <v>848</v>
      </c>
    </row>
    <row r="1724" spans="1:12">
      <c r="A1724" s="195"/>
      <c r="B1724" s="195" t="s">
        <v>205</v>
      </c>
      <c r="C1724"/>
      <c r="D1724" s="197" t="s">
        <v>761</v>
      </c>
      <c r="E1724" s="197" t="s">
        <v>216</v>
      </c>
      <c r="F1724" s="197" t="s">
        <v>51</v>
      </c>
      <c r="G1724" s="197" t="s">
        <v>114</v>
      </c>
      <c r="H1724" s="197" t="s">
        <v>848</v>
      </c>
      <c r="I1724" s="209" t="s">
        <v>848</v>
      </c>
    </row>
    <row r="1725" spans="1:12">
      <c r="A1725" s="195"/>
      <c r="B1725" s="195" t="s">
        <v>206</v>
      </c>
      <c r="C1725"/>
      <c r="D1725" s="197" t="s">
        <v>88</v>
      </c>
      <c r="E1725" s="197" t="s">
        <v>216</v>
      </c>
      <c r="F1725" s="197"/>
      <c r="G1725" s="197" t="s">
        <v>114</v>
      </c>
      <c r="H1725" s="197" t="s">
        <v>848</v>
      </c>
      <c r="I1725" s="209" t="s">
        <v>848</v>
      </c>
    </row>
    <row r="1726" spans="1:12">
      <c r="A1726" s="195"/>
      <c r="B1726" s="195" t="s">
        <v>207</v>
      </c>
      <c r="C1726"/>
      <c r="D1726" s="197" t="s">
        <v>280</v>
      </c>
      <c r="E1726" s="197" t="s">
        <v>216</v>
      </c>
      <c r="F1726" s="197"/>
      <c r="G1726" s="197" t="s">
        <v>114</v>
      </c>
      <c r="H1726" s="197"/>
      <c r="I1726" s="209"/>
    </row>
    <row r="1727" spans="1:12">
      <c r="A1727" s="195"/>
      <c r="B1727" s="196" t="s">
        <v>219</v>
      </c>
      <c r="C1727"/>
      <c r="D1727" s="197" t="s">
        <v>160</v>
      </c>
      <c r="E1727" s="197" t="s">
        <v>216</v>
      </c>
      <c r="F1727" s="197"/>
      <c r="G1727" s="197"/>
      <c r="H1727" s="197"/>
      <c r="I1727" s="209"/>
    </row>
    <row r="1728" spans="1:12">
      <c r="A1728" s="195"/>
      <c r="B1728" s="195" t="s">
        <v>205</v>
      </c>
      <c r="C1728"/>
      <c r="D1728" s="197"/>
      <c r="E1728" s="197" t="s">
        <v>216</v>
      </c>
      <c r="F1728" s="197"/>
      <c r="G1728" s="197"/>
      <c r="H1728" s="197"/>
      <c r="I1728" s="209"/>
    </row>
    <row r="1729" spans="1:9">
      <c r="A1729" s="195"/>
      <c r="B1729" s="195" t="s">
        <v>206</v>
      </c>
      <c r="C1729"/>
      <c r="D1729" s="197"/>
      <c r="E1729" s="197"/>
      <c r="F1729" s="197"/>
      <c r="G1729" s="197"/>
      <c r="H1729" s="197" t="s">
        <v>415</v>
      </c>
      <c r="I1729" s="209" t="s">
        <v>415</v>
      </c>
    </row>
    <row r="1730" spans="1:9">
      <c r="A1730" s="195"/>
      <c r="B1730" s="195" t="s">
        <v>207</v>
      </c>
      <c r="C1730"/>
      <c r="D1730" s="197"/>
      <c r="E1730" s="197"/>
      <c r="F1730" s="197"/>
      <c r="G1730" s="197"/>
      <c r="H1730" s="197" t="s">
        <v>415</v>
      </c>
      <c r="I1730" s="209" t="s">
        <v>415</v>
      </c>
    </row>
    <row r="1731" spans="1:9">
      <c r="A1731" s="195"/>
      <c r="B1731" s="196" t="s">
        <v>220</v>
      </c>
      <c r="C1731"/>
      <c r="D1731" s="189" t="s">
        <v>850</v>
      </c>
      <c r="E1731" s="189"/>
      <c r="F1731" s="189" t="s">
        <v>864</v>
      </c>
      <c r="G1731" s="189" t="s">
        <v>923</v>
      </c>
      <c r="H1731" s="197" t="s">
        <v>231</v>
      </c>
      <c r="I1731" s="209" t="s">
        <v>231</v>
      </c>
    </row>
    <row r="1732" spans="1:9">
      <c r="A1732" s="195"/>
      <c r="B1732" s="195" t="s">
        <v>205</v>
      </c>
      <c r="C1732"/>
      <c r="D1732" s="197" t="s">
        <v>224</v>
      </c>
      <c r="E1732" s="197" t="s">
        <v>273</v>
      </c>
      <c r="F1732" s="197" t="s">
        <v>416</v>
      </c>
      <c r="G1732" s="197" t="s">
        <v>56</v>
      </c>
      <c r="H1732" s="197" t="s">
        <v>231</v>
      </c>
      <c r="I1732" s="209" t="s">
        <v>231</v>
      </c>
    </row>
    <row r="1733" spans="1:9">
      <c r="A1733" s="195"/>
      <c r="B1733" s="195" t="s">
        <v>206</v>
      </c>
      <c r="C1733"/>
      <c r="D1733" s="197" t="s">
        <v>224</v>
      </c>
      <c r="E1733" s="197" t="s">
        <v>273</v>
      </c>
      <c r="F1733" s="210" t="s">
        <v>924</v>
      </c>
      <c r="G1733" s="197" t="s">
        <v>56</v>
      </c>
      <c r="H1733" s="197" t="s">
        <v>211</v>
      </c>
      <c r="I1733" s="209" t="s">
        <v>211</v>
      </c>
    </row>
    <row r="1734" spans="1:9">
      <c r="A1734" s="195"/>
      <c r="B1734" s="195" t="s">
        <v>207</v>
      </c>
      <c r="C1734"/>
      <c r="D1734" s="197" t="s">
        <v>224</v>
      </c>
      <c r="E1734" s="197" t="s">
        <v>273</v>
      </c>
      <c r="F1734" s="197" t="s">
        <v>416</v>
      </c>
      <c r="G1734" s="197" t="s">
        <v>56</v>
      </c>
      <c r="H1734" s="197" t="s">
        <v>211</v>
      </c>
      <c r="I1734" s="209" t="s">
        <v>211</v>
      </c>
    </row>
    <row r="1735" spans="1:9">
      <c r="A1735" s="195"/>
      <c r="B1735" s="196" t="s">
        <v>222</v>
      </c>
      <c r="C1735"/>
      <c r="D1735" s="197" t="s">
        <v>215</v>
      </c>
      <c r="E1735" s="197" t="s">
        <v>266</v>
      </c>
      <c r="F1735" s="197" t="s">
        <v>416</v>
      </c>
      <c r="G1735" s="197"/>
      <c r="H1735" s="197"/>
      <c r="I1735" s="209"/>
    </row>
    <row r="1736" spans="1:9">
      <c r="A1736" s="195"/>
      <c r="B1736" s="195" t="s">
        <v>205</v>
      </c>
      <c r="C1736"/>
      <c r="D1736" s="197" t="s">
        <v>215</v>
      </c>
      <c r="E1736" s="197" t="s">
        <v>266</v>
      </c>
      <c r="F1736" s="197" t="s">
        <v>759</v>
      </c>
      <c r="G1736" s="197" t="s">
        <v>270</v>
      </c>
      <c r="H1736" s="197" t="s">
        <v>856</v>
      </c>
      <c r="I1736" s="209" t="s">
        <v>856</v>
      </c>
    </row>
    <row r="1737" spans="1:9">
      <c r="A1737" s="195"/>
      <c r="B1737" s="195" t="s">
        <v>206</v>
      </c>
      <c r="C1737"/>
      <c r="D1737" s="197" t="s">
        <v>423</v>
      </c>
      <c r="E1737" s="197" t="s">
        <v>266</v>
      </c>
      <c r="F1737" s="197" t="s">
        <v>759</v>
      </c>
      <c r="G1737" s="197" t="s">
        <v>270</v>
      </c>
      <c r="H1737" s="197" t="s">
        <v>856</v>
      </c>
      <c r="I1737" s="209" t="s">
        <v>856</v>
      </c>
    </row>
    <row r="1738" spans="1:9">
      <c r="A1738" s="195"/>
      <c r="B1738" s="195" t="s">
        <v>207</v>
      </c>
      <c r="C1738"/>
      <c r="D1738" s="197" t="s">
        <v>588</v>
      </c>
      <c r="E1738" s="197" t="s">
        <v>266</v>
      </c>
      <c r="F1738" s="197" t="s">
        <v>759</v>
      </c>
      <c r="G1738" s="197" t="s">
        <v>270</v>
      </c>
      <c r="H1738" s="197" t="s">
        <v>856</v>
      </c>
      <c r="I1738" s="209" t="s">
        <v>856</v>
      </c>
    </row>
    <row r="1739" spans="1:9">
      <c r="A1739" s="195"/>
      <c r="B1739" s="196" t="s">
        <v>223</v>
      </c>
      <c r="C1739"/>
      <c r="D1739" s="197" t="s">
        <v>127</v>
      </c>
      <c r="E1739" s="197" t="s">
        <v>252</v>
      </c>
      <c r="F1739" s="197" t="s">
        <v>214</v>
      </c>
      <c r="G1739" s="197" t="s">
        <v>270</v>
      </c>
      <c r="H1739" s="197" t="s">
        <v>856</v>
      </c>
      <c r="I1739" s="209" t="s">
        <v>856</v>
      </c>
    </row>
    <row r="1740" spans="1:9">
      <c r="A1740" s="195"/>
      <c r="B1740" s="195" t="s">
        <v>205</v>
      </c>
      <c r="C1740"/>
      <c r="D1740" s="197"/>
      <c r="E1740" s="197" t="s">
        <v>252</v>
      </c>
      <c r="F1740" s="197" t="s">
        <v>214</v>
      </c>
      <c r="G1740" s="197" t="s">
        <v>270</v>
      </c>
      <c r="H1740" s="197" t="s">
        <v>856</v>
      </c>
      <c r="I1740" s="209" t="s">
        <v>856</v>
      </c>
    </row>
    <row r="1741" spans="1:9">
      <c r="A1741" s="195"/>
      <c r="B1741" s="195" t="s">
        <v>206</v>
      </c>
      <c r="C1741"/>
      <c r="D1741" s="197"/>
      <c r="E1741" s="197" t="s">
        <v>252</v>
      </c>
      <c r="F1741" s="197" t="s">
        <v>214</v>
      </c>
      <c r="G1741" s="197" t="s">
        <v>270</v>
      </c>
      <c r="H1741" s="197" t="s">
        <v>856</v>
      </c>
      <c r="I1741" s="209" t="s">
        <v>856</v>
      </c>
    </row>
    <row r="1742" spans="1:9">
      <c r="A1742" s="195"/>
      <c r="B1742" s="195" t="s">
        <v>207</v>
      </c>
      <c r="C1742"/>
      <c r="D1742" s="197"/>
      <c r="E1742" s="197" t="s">
        <v>252</v>
      </c>
      <c r="F1742" s="197" t="s">
        <v>214</v>
      </c>
      <c r="G1742" s="197" t="s">
        <v>270</v>
      </c>
      <c r="H1742" s="197" t="s">
        <v>856</v>
      </c>
      <c r="I1742" s="209" t="s">
        <v>856</v>
      </c>
    </row>
    <row r="1743" spans="1:9">
      <c r="A1743" s="195"/>
      <c r="B1743" s="196" t="s">
        <v>225</v>
      </c>
      <c r="C1743"/>
      <c r="D1743" s="197"/>
      <c r="E1743" s="197" t="s">
        <v>252</v>
      </c>
      <c r="F1743" s="197" t="s">
        <v>214</v>
      </c>
      <c r="G1743" s="197" t="s">
        <v>270</v>
      </c>
      <c r="H1743" s="197" t="s">
        <v>415</v>
      </c>
      <c r="I1743" s="209" t="s">
        <v>415</v>
      </c>
    </row>
    <row r="1744" spans="1:9">
      <c r="A1744" s="195"/>
      <c r="B1744" s="195" t="s">
        <v>205</v>
      </c>
      <c r="C1744"/>
      <c r="D1744" s="197"/>
      <c r="E1744" s="197" t="s">
        <v>252</v>
      </c>
      <c r="F1744" s="197" t="s">
        <v>214</v>
      </c>
      <c r="G1744" s="197" t="s">
        <v>270</v>
      </c>
      <c r="H1744" s="209" t="s">
        <v>415</v>
      </c>
      <c r="I1744" s="209" t="s">
        <v>415</v>
      </c>
    </row>
    <row r="1745" spans="1:12">
      <c r="A1745" s="195"/>
      <c r="B1745" s="195" t="s">
        <v>206</v>
      </c>
      <c r="C1745"/>
      <c r="D1745" s="197"/>
      <c r="E1745" s="197" t="s">
        <v>252</v>
      </c>
      <c r="F1745" s="197"/>
      <c r="G1745" s="197" t="s">
        <v>270</v>
      </c>
      <c r="H1745" s="209" t="s">
        <v>415</v>
      </c>
      <c r="I1745" s="209" t="s">
        <v>415</v>
      </c>
    </row>
    <row r="1746" spans="1:12">
      <c r="A1746" s="195"/>
      <c r="B1746" s="195" t="s">
        <v>207</v>
      </c>
      <c r="C1746"/>
      <c r="D1746" s="197"/>
      <c r="E1746" s="197" t="s">
        <v>252</v>
      </c>
      <c r="F1746" s="197"/>
      <c r="G1746" s="197" t="s">
        <v>270</v>
      </c>
      <c r="H1746" s="209" t="s">
        <v>415</v>
      </c>
      <c r="I1746" s="209" t="s">
        <v>415</v>
      </c>
    </row>
    <row r="1747" spans="1:12">
      <c r="A1747" s="195"/>
      <c r="B1747" s="196" t="s">
        <v>226</v>
      </c>
      <c r="C1747"/>
      <c r="D1747" s="197"/>
      <c r="E1747" s="197"/>
      <c r="F1747" s="197"/>
      <c r="G1747" s="197" t="s">
        <v>270</v>
      </c>
      <c r="H1747" s="209"/>
      <c r="I1747" s="209"/>
    </row>
    <row r="1748" spans="1:12">
      <c r="A1748" s="195"/>
      <c r="B1748" s="195" t="s">
        <v>205</v>
      </c>
      <c r="C1748"/>
      <c r="D1748" s="197"/>
      <c r="E1748" s="197"/>
      <c r="F1748" s="197"/>
      <c r="G1748" s="197" t="s">
        <v>270</v>
      </c>
      <c r="H1748" s="209"/>
      <c r="I1748" s="209"/>
    </row>
    <row r="1749" spans="1:12">
      <c r="A1749" s="195"/>
      <c r="B1749" s="195" t="s">
        <v>206</v>
      </c>
      <c r="C1749"/>
      <c r="D1749" s="197"/>
      <c r="E1749" s="197"/>
      <c r="F1749" s="197"/>
      <c r="G1749" s="197" t="s">
        <v>270</v>
      </c>
      <c r="H1749" s="209"/>
      <c r="I1749" s="209"/>
    </row>
    <row r="1750" spans="1:12">
      <c r="A1750" s="195"/>
      <c r="B1750" s="195" t="s">
        <v>207</v>
      </c>
      <c r="C1750"/>
      <c r="D1750" s="197"/>
      <c r="E1750" s="197"/>
      <c r="F1750" s="197"/>
      <c r="G1750" s="197" t="s">
        <v>270</v>
      </c>
      <c r="H1750" s="209"/>
      <c r="I1750" s="209"/>
    </row>
    <row r="1751" spans="1:12">
      <c r="A1751" s="195"/>
      <c r="B1751" s="196" t="s">
        <v>227</v>
      </c>
      <c r="C1751"/>
      <c r="D1751" s="197"/>
      <c r="E1751" s="197"/>
      <c r="F1751" s="197"/>
      <c r="G1751" s="197"/>
      <c r="H1751" s="209"/>
      <c r="I1751" s="209"/>
      <c r="K1751"/>
    </row>
    <row r="1752" spans="1:12" ht="29.25" thickBot="1">
      <c r="A1752" s="182" t="str">
        <f>"回収シフト  第"&amp;ROUNDUP(DAY(B1755)/7,0)  &amp;"  "&amp;TEXT(B1755,"aaaa")</f>
        <v>回収シフト  第2  土曜日</v>
      </c>
      <c r="B1752" s="183"/>
      <c r="C1752" s="183"/>
      <c r="D1752" s="183"/>
      <c r="E1752" s="183"/>
      <c r="F1752" s="183"/>
      <c r="G1752" s="184"/>
      <c r="H1752" s="184"/>
      <c r="I1752" s="184"/>
      <c r="K1752" s="183"/>
      <c r="L1752" s="183"/>
    </row>
    <row r="1753" spans="1:12" ht="15.75" thickBot="1">
      <c r="A1753"/>
      <c r="B1753"/>
      <c r="C1753"/>
      <c r="D1753" s="186" t="s">
        <v>201</v>
      </c>
      <c r="E1753" s="186" t="s">
        <v>202</v>
      </c>
      <c r="F1753" s="186" t="s">
        <v>203</v>
      </c>
      <c r="G1753" s="186" t="s">
        <v>204</v>
      </c>
      <c r="H1753" s="186" t="s">
        <v>267</v>
      </c>
      <c r="I1753" s="217" t="s">
        <v>267</v>
      </c>
      <c r="K1753" s="230" t="s">
        <v>257</v>
      </c>
      <c r="L1753" s="231"/>
    </row>
    <row r="1754" spans="1:12">
      <c r="A1754" s="187"/>
      <c r="B1754" s="188">
        <v>46119</v>
      </c>
      <c r="C1754" s="187"/>
      <c r="D1754" s="189"/>
      <c r="E1754" s="189"/>
      <c r="F1754" s="189"/>
      <c r="G1754" s="189"/>
      <c r="H1754" s="189"/>
      <c r="I1754" s="218"/>
      <c r="K1754" s="232" t="s">
        <v>258</v>
      </c>
      <c r="L1754" s="190" t="str">
        <f ca="1">_xlfn.XLOOKUP($B1755,シフト抽出!$19:$19,シフト抽出!$20:$20,"該当なし",0,1)</f>
        <v/>
      </c>
    </row>
    <row r="1755" spans="1:12" ht="19.5" thickBot="1">
      <c r="A1755"/>
      <c r="B1755" s="191">
        <f>B1702+1</f>
        <v>46151</v>
      </c>
      <c r="C1755" s="192"/>
      <c r="D1755" s="193"/>
      <c r="E1755" s="193"/>
      <c r="F1755" s="193"/>
      <c r="G1755" s="193"/>
      <c r="H1755" s="193"/>
      <c r="I1755" s="219"/>
      <c r="K1755" s="233"/>
      <c r="L1755" s="194" t="str">
        <f ca="1">_xlfn.XLOOKUP($B1755,シフト抽出!$19:$19,シフト抽出!$21:$21,"該当なし",0,1)</f>
        <v/>
      </c>
    </row>
    <row r="1756" spans="1:12">
      <c r="A1756" s="195"/>
      <c r="B1756" s="196">
        <v>0.25</v>
      </c>
      <c r="C1756"/>
      <c r="D1756" s="197"/>
      <c r="E1756" s="196"/>
      <c r="F1756" s="197"/>
      <c r="G1756" s="197"/>
      <c r="H1756" s="197"/>
      <c r="I1756" s="209"/>
      <c r="K1756" s="234" t="s">
        <v>259</v>
      </c>
      <c r="L1756" s="198" t="str">
        <f ca="1">_xlfn.XLOOKUP($B1755,シフト抽出!$19:$19,シフト抽出!$23:$23,"該当なし",0,1)</f>
        <v/>
      </c>
    </row>
    <row r="1757" spans="1:12" ht="15.75" thickBot="1">
      <c r="A1757" s="195"/>
      <c r="B1757" s="195" t="s">
        <v>205</v>
      </c>
      <c r="C1757"/>
      <c r="D1757" s="197"/>
      <c r="E1757" s="197"/>
      <c r="F1757" s="197"/>
      <c r="G1757" s="197"/>
      <c r="H1757" s="197"/>
      <c r="I1757" s="209"/>
      <c r="K1757" s="235"/>
      <c r="L1757" s="199" t="str">
        <f ca="1">_xlfn.XLOOKUP($B1755,シフト抽出!$19:$19,シフト抽出!$24:$24,"該当なし",0,1)</f>
        <v/>
      </c>
    </row>
    <row r="1758" spans="1:12">
      <c r="A1758" s="195"/>
      <c r="B1758" s="195" t="s">
        <v>206</v>
      </c>
      <c r="C1758"/>
      <c r="D1758" s="197"/>
      <c r="E1758" s="197"/>
      <c r="F1758" s="197"/>
      <c r="G1758" s="197"/>
      <c r="H1758" s="197"/>
      <c r="I1758" s="209"/>
      <c r="K1758" s="224" t="s">
        <v>260</v>
      </c>
      <c r="L1758" s="200" t="str">
        <f ca="1">_xlfn.XLOOKUP($B1755,シフト抽出!$19:$19,シフト抽出!$26:$26,"該当なし",0,1)</f>
        <v/>
      </c>
    </row>
    <row r="1759" spans="1:12">
      <c r="A1759" s="195"/>
      <c r="B1759" s="195" t="s">
        <v>207</v>
      </c>
      <c r="C1759"/>
      <c r="D1759" s="197"/>
      <c r="E1759" s="197"/>
      <c r="F1759" s="197"/>
      <c r="G1759" s="197"/>
      <c r="H1759" s="197"/>
      <c r="I1759" s="209"/>
      <c r="K1759" s="225"/>
      <c r="L1759" s="201" t="str">
        <f ca="1">_xlfn.XLOOKUP($B1755,シフト抽出!$19:$19,シフト抽出!$27:$27,"該当なし",0,1)</f>
        <v/>
      </c>
    </row>
    <row r="1760" spans="1:12">
      <c r="A1760" s="195"/>
      <c r="B1760" s="202" t="s">
        <v>208</v>
      </c>
      <c r="C1760"/>
      <c r="D1760" s="197"/>
      <c r="E1760" s="197"/>
      <c r="F1760" s="197"/>
      <c r="G1760" s="197"/>
      <c r="H1760" s="197"/>
      <c r="I1760" s="209"/>
      <c r="J1760" s="203"/>
      <c r="K1760" s="225"/>
      <c r="L1760" s="201" t="str">
        <f ca="1">_xlfn.XLOOKUP($B1755,シフト抽出!$19:$19,シフト抽出!$28:$28,"該当なし",0,1)</f>
        <v/>
      </c>
    </row>
    <row r="1761" spans="1:12" ht="15.75" thickBot="1">
      <c r="A1761" s="195"/>
      <c r="B1761" s="195" t="s">
        <v>205</v>
      </c>
      <c r="C1761"/>
      <c r="D1761" s="197"/>
      <c r="E1761" s="197"/>
      <c r="F1761" s="197"/>
      <c r="G1761" s="197"/>
      <c r="H1761" s="197"/>
      <c r="I1761" s="209"/>
      <c r="J1761" s="203"/>
      <c r="K1761" s="226"/>
      <c r="L1761" s="204" t="str">
        <f ca="1">_xlfn.XLOOKUP($B1755,シフト抽出!$19:$19,シフト抽出!$29:$29,"該当なし",0,1)</f>
        <v/>
      </c>
    </row>
    <row r="1762" spans="1:12" ht="15.75" thickBot="1">
      <c r="A1762" s="195"/>
      <c r="B1762" s="195" t="s">
        <v>206</v>
      </c>
      <c r="C1762"/>
      <c r="D1762" s="197"/>
      <c r="E1762" s="197"/>
      <c r="F1762" s="197"/>
      <c r="G1762" s="197"/>
      <c r="H1762" s="197"/>
      <c r="I1762" s="209"/>
      <c r="K1762" s="205" t="s">
        <v>261</v>
      </c>
      <c r="L1762" s="205">
        <f>_xlfn.XLOOKUP($B1755,予定表!B:B,予定表!R:R,"該当なし",0,1)</f>
        <v>0</v>
      </c>
    </row>
    <row r="1763" spans="1:12">
      <c r="A1763" s="195"/>
      <c r="B1763" s="195" t="s">
        <v>207</v>
      </c>
      <c r="C1763"/>
      <c r="D1763" s="197"/>
      <c r="E1763" s="197"/>
      <c r="F1763" s="197"/>
      <c r="G1763" s="197"/>
      <c r="H1763" s="197"/>
      <c r="I1763" s="209"/>
      <c r="K1763" s="227" t="s">
        <v>262</v>
      </c>
      <c r="L1763" s="206">
        <f>_xlfn.XLOOKUP($B1755,予定表!$B:$B,予定表!E:E,"該当なし",0,1)</f>
        <v>0</v>
      </c>
    </row>
    <row r="1764" spans="1:12">
      <c r="A1764" s="195"/>
      <c r="B1764" s="196" t="s">
        <v>209</v>
      </c>
      <c r="C1764"/>
      <c r="D1764" s="197" t="s">
        <v>4</v>
      </c>
      <c r="E1764" s="197" t="s">
        <v>4</v>
      </c>
      <c r="F1764" s="197"/>
      <c r="G1764" s="197"/>
      <c r="H1764" s="197"/>
      <c r="I1764" s="209"/>
      <c r="K1764" s="228"/>
      <c r="L1764" s="207">
        <f>_xlfn.XLOOKUP($B1755,予定表!$B:$B,予定表!F:F,"該当なし",0,1)</f>
        <v>0</v>
      </c>
    </row>
    <row r="1765" spans="1:12">
      <c r="A1765" s="195"/>
      <c r="B1765" s="195" t="s">
        <v>205</v>
      </c>
      <c r="C1765"/>
      <c r="D1765" s="197" t="s">
        <v>268</v>
      </c>
      <c r="E1765" s="197" t="s">
        <v>22</v>
      </c>
      <c r="F1765" s="197"/>
      <c r="G1765" s="197"/>
      <c r="H1765" s="197"/>
      <c r="I1765" s="209"/>
      <c r="K1765" s="228"/>
      <c r="L1765" s="207">
        <f>_xlfn.XLOOKUP($B1755,予定表!$B:$B,予定表!G:G,"該当なし",0,1)</f>
        <v>0</v>
      </c>
    </row>
    <row r="1766" spans="1:12">
      <c r="A1766" s="195"/>
      <c r="B1766" s="195" t="s">
        <v>206</v>
      </c>
      <c r="C1766"/>
      <c r="D1766" s="197" t="s">
        <v>268</v>
      </c>
      <c r="E1766" s="197" t="s">
        <v>416</v>
      </c>
      <c r="F1766" s="197"/>
      <c r="G1766" s="197"/>
      <c r="H1766" s="197"/>
      <c r="I1766" s="209"/>
      <c r="K1766" s="228"/>
      <c r="L1766" s="207">
        <f>_xlfn.XLOOKUP($B1755,予定表!$B:$B,予定表!H:H,"該当なし",0,1)</f>
        <v>0</v>
      </c>
    </row>
    <row r="1767" spans="1:12">
      <c r="A1767" s="195"/>
      <c r="B1767" s="195" t="s">
        <v>207</v>
      </c>
      <c r="C1767"/>
      <c r="D1767" s="197" t="s">
        <v>268</v>
      </c>
      <c r="E1767" s="197" t="s">
        <v>788</v>
      </c>
      <c r="F1767" s="197"/>
      <c r="G1767" s="197"/>
      <c r="H1767" s="197"/>
      <c r="I1767" s="209"/>
      <c r="K1767" s="228"/>
      <c r="L1767" s="207" t="str">
        <f>_xlfn.XLOOKUP($B1755,予定表!$B:$B,予定表!I:I,"該当なし",0,1)</f>
        <v/>
      </c>
    </row>
    <row r="1768" spans="1:12">
      <c r="A1768" s="195"/>
      <c r="B1768" s="196" t="s">
        <v>212</v>
      </c>
      <c r="C1768"/>
      <c r="D1768" s="197" t="s">
        <v>268</v>
      </c>
      <c r="E1768" s="197" t="s">
        <v>241</v>
      </c>
      <c r="F1768" s="197"/>
      <c r="G1768" s="197"/>
      <c r="H1768" s="197"/>
      <c r="I1768" s="209"/>
      <c r="K1768" s="228"/>
      <c r="L1768" s="207" t="str">
        <f>_xlfn.XLOOKUP($B1755,予定表!$B:$B,予定表!J:J,"該当なし",0,1)</f>
        <v/>
      </c>
    </row>
    <row r="1769" spans="1:12">
      <c r="A1769" s="195"/>
      <c r="B1769" s="195" t="s">
        <v>205</v>
      </c>
      <c r="C1769"/>
      <c r="D1769" s="197" t="s">
        <v>268</v>
      </c>
      <c r="E1769" s="197" t="s">
        <v>241</v>
      </c>
      <c r="F1769" s="197"/>
      <c r="G1769" s="197"/>
      <c r="H1769" s="197"/>
      <c r="I1769" s="209"/>
      <c r="K1769" s="228"/>
      <c r="L1769" s="207" t="str">
        <f>_xlfn.XLOOKUP($B1755,予定表!$B:$B,予定表!K:K,"該当なし",0,1)</f>
        <v/>
      </c>
    </row>
    <row r="1770" spans="1:12">
      <c r="A1770" s="195"/>
      <c r="B1770" s="195" t="s">
        <v>206</v>
      </c>
      <c r="C1770"/>
      <c r="D1770" s="197" t="s">
        <v>515</v>
      </c>
      <c r="E1770" s="197" t="s">
        <v>244</v>
      </c>
      <c r="F1770" s="197"/>
      <c r="G1770" s="197"/>
      <c r="H1770" s="197"/>
      <c r="I1770" s="209"/>
      <c r="K1770" s="228"/>
      <c r="L1770" s="207" t="str">
        <f>_xlfn.XLOOKUP($B1755,予定表!$B:$B,予定表!L:L,"該当なし",0,1)</f>
        <v/>
      </c>
    </row>
    <row r="1771" spans="1:12" ht="15.75" thickBot="1">
      <c r="A1771" s="195"/>
      <c r="B1771" s="195" t="s">
        <v>207</v>
      </c>
      <c r="C1771"/>
      <c r="D1771" s="197" t="s">
        <v>515</v>
      </c>
      <c r="E1771" s="197" t="s">
        <v>244</v>
      </c>
      <c r="F1771" s="197"/>
      <c r="G1771" s="197"/>
      <c r="H1771" s="197"/>
      <c r="I1771" s="209"/>
      <c r="K1771" s="229"/>
      <c r="L1771" s="204" t="str">
        <f>_xlfn.XLOOKUP($A1752,ﾘｽﾄマスタ!$U$8:$U$17,ﾘｽﾄマスタ!$V$8:$V$17,"",0)</f>
        <v/>
      </c>
    </row>
    <row r="1772" spans="1:12" ht="15.75" thickBot="1">
      <c r="A1772" s="195"/>
      <c r="B1772" s="196" t="s">
        <v>251</v>
      </c>
      <c r="C1772"/>
      <c r="D1772" s="197" t="s">
        <v>242</v>
      </c>
      <c r="E1772" s="197" t="s">
        <v>114</v>
      </c>
      <c r="F1772" s="197"/>
      <c r="G1772" s="197"/>
      <c r="H1772" s="197"/>
      <c r="I1772" s="209"/>
      <c r="K1772" s="208" t="s">
        <v>277</v>
      </c>
      <c r="L1772" s="208" t="str">
        <f ca="1">_xlfn.XLOOKUP($B1755,シフト抽出!$19:$19,シフト抽出!$30:$30,"該当なし",0,1)</f>
        <v/>
      </c>
    </row>
    <row r="1773" spans="1:12">
      <c r="A1773" s="195"/>
      <c r="B1773" s="195" t="s">
        <v>205</v>
      </c>
      <c r="C1773"/>
      <c r="D1773" s="197" t="s">
        <v>242</v>
      </c>
      <c r="E1773" s="197" t="s">
        <v>114</v>
      </c>
      <c r="F1773" s="197"/>
      <c r="G1773" s="197"/>
      <c r="H1773" s="197"/>
      <c r="I1773" s="209"/>
    </row>
    <row r="1774" spans="1:12">
      <c r="A1774" s="195"/>
      <c r="B1774" s="195" t="s">
        <v>206</v>
      </c>
      <c r="C1774"/>
      <c r="D1774" s="197" t="s">
        <v>242</v>
      </c>
      <c r="E1774" s="197"/>
      <c r="F1774" s="197"/>
      <c r="G1774" s="197"/>
      <c r="H1774" s="197"/>
      <c r="I1774" s="209"/>
    </row>
    <row r="1775" spans="1:12">
      <c r="A1775" s="195"/>
      <c r="B1775" s="195" t="s">
        <v>207</v>
      </c>
      <c r="C1775"/>
      <c r="D1775" s="197" t="s">
        <v>242</v>
      </c>
      <c r="E1775" s="197" t="s">
        <v>851</v>
      </c>
      <c r="F1775" s="197"/>
      <c r="G1775" s="197"/>
      <c r="H1775" s="197"/>
      <c r="I1775" s="209"/>
    </row>
    <row r="1776" spans="1:12">
      <c r="A1776" s="195"/>
      <c r="B1776" s="196" t="s">
        <v>217</v>
      </c>
      <c r="C1776"/>
      <c r="D1776" s="197" t="s">
        <v>242</v>
      </c>
      <c r="E1776" s="197" t="s">
        <v>851</v>
      </c>
      <c r="F1776" s="197"/>
      <c r="G1776" s="197"/>
      <c r="H1776" s="197"/>
      <c r="I1776" s="209"/>
    </row>
    <row r="1777" spans="1:9">
      <c r="A1777" s="195"/>
      <c r="B1777" s="195" t="s">
        <v>205</v>
      </c>
      <c r="C1777"/>
      <c r="D1777" s="197" t="s">
        <v>242</v>
      </c>
      <c r="E1777" s="197" t="s">
        <v>851</v>
      </c>
      <c r="F1777" s="197"/>
      <c r="G1777" s="197"/>
      <c r="H1777" s="197"/>
      <c r="I1777" s="209"/>
    </row>
    <row r="1778" spans="1:9">
      <c r="A1778" s="195"/>
      <c r="B1778" s="195" t="s">
        <v>206</v>
      </c>
      <c r="C1778"/>
      <c r="D1778" s="197"/>
      <c r="E1778" s="197"/>
      <c r="F1778" s="197"/>
      <c r="G1778" s="197"/>
      <c r="H1778" s="197"/>
      <c r="I1778" s="209"/>
    </row>
    <row r="1779" spans="1:9">
      <c r="A1779" s="195"/>
      <c r="B1779" s="195" t="s">
        <v>207</v>
      </c>
      <c r="C1779"/>
      <c r="D1779" s="197"/>
      <c r="E1779" s="197"/>
      <c r="F1779" s="197"/>
      <c r="G1779" s="197"/>
      <c r="H1779" s="197"/>
      <c r="I1779" s="209"/>
    </row>
    <row r="1780" spans="1:9">
      <c r="A1780" s="195"/>
      <c r="B1780" s="196" t="s">
        <v>219</v>
      </c>
      <c r="C1780"/>
      <c r="D1780" s="197"/>
      <c r="E1780" s="197"/>
      <c r="F1780" s="197"/>
      <c r="G1780" s="197"/>
      <c r="H1780" s="197"/>
      <c r="I1780" s="209"/>
    </row>
    <row r="1781" spans="1:9">
      <c r="A1781" s="195"/>
      <c r="B1781" s="195" t="s">
        <v>205</v>
      </c>
      <c r="C1781"/>
      <c r="D1781" s="197"/>
      <c r="E1781" s="197"/>
      <c r="F1781" s="197"/>
      <c r="G1781" s="197"/>
      <c r="H1781" s="197"/>
      <c r="I1781" s="209"/>
    </row>
    <row r="1782" spans="1:9">
      <c r="A1782" s="195"/>
      <c r="B1782" s="195" t="s">
        <v>206</v>
      </c>
      <c r="C1782"/>
      <c r="D1782" s="197"/>
      <c r="E1782" s="197"/>
      <c r="F1782" s="197"/>
      <c r="G1782" s="197"/>
      <c r="H1782" s="197"/>
      <c r="I1782" s="209"/>
    </row>
    <row r="1783" spans="1:9">
      <c r="A1783" s="195"/>
      <c r="B1783" s="195" t="s">
        <v>207</v>
      </c>
      <c r="C1783"/>
      <c r="D1783" s="197"/>
      <c r="E1783" s="197"/>
      <c r="F1783" s="197"/>
      <c r="G1783" s="197"/>
      <c r="H1783" s="197"/>
      <c r="I1783" s="209"/>
    </row>
    <row r="1784" spans="1:9">
      <c r="A1784" s="195"/>
      <c r="B1784" s="196" t="s">
        <v>220</v>
      </c>
      <c r="C1784"/>
      <c r="D1784" s="197"/>
      <c r="E1784" s="197" t="s">
        <v>8</v>
      </c>
      <c r="F1784" s="197"/>
      <c r="G1784" s="197"/>
      <c r="H1784" s="197"/>
      <c r="I1784" s="209"/>
    </row>
    <row r="1785" spans="1:9">
      <c r="A1785" s="195"/>
      <c r="B1785" s="195" t="s">
        <v>205</v>
      </c>
      <c r="C1785"/>
      <c r="D1785" s="197" t="s">
        <v>886</v>
      </c>
      <c r="E1785" s="197" t="s">
        <v>228</v>
      </c>
      <c r="F1785" s="197"/>
      <c r="G1785" s="197"/>
      <c r="H1785" s="197"/>
      <c r="I1785" s="209"/>
    </row>
    <row r="1786" spans="1:9">
      <c r="A1786" s="195"/>
      <c r="B1786" s="195" t="s">
        <v>206</v>
      </c>
      <c r="C1786"/>
      <c r="D1786" s="197" t="s">
        <v>886</v>
      </c>
      <c r="E1786" s="197" t="s">
        <v>228</v>
      </c>
      <c r="F1786" s="197"/>
      <c r="G1786" s="197"/>
      <c r="H1786" s="197"/>
      <c r="I1786" s="209"/>
    </row>
    <row r="1787" spans="1:9">
      <c r="A1787" s="195"/>
      <c r="B1787" s="195" t="s">
        <v>207</v>
      </c>
      <c r="C1787"/>
      <c r="D1787" s="197" t="s">
        <v>886</v>
      </c>
      <c r="E1787" s="197" t="s">
        <v>228</v>
      </c>
      <c r="F1787" s="197"/>
      <c r="G1787" s="197"/>
      <c r="H1787" s="197"/>
      <c r="I1787" s="209"/>
    </row>
    <row r="1788" spans="1:9">
      <c r="A1788" s="195"/>
      <c r="B1788" s="196" t="s">
        <v>222</v>
      </c>
      <c r="C1788"/>
      <c r="D1788" s="197" t="s">
        <v>886</v>
      </c>
      <c r="E1788" s="197" t="s">
        <v>228</v>
      </c>
      <c r="F1788" s="197"/>
      <c r="G1788" s="197"/>
      <c r="H1788" s="197"/>
      <c r="I1788" s="209"/>
    </row>
    <row r="1789" spans="1:9">
      <c r="A1789" s="195"/>
      <c r="B1789" s="195" t="s">
        <v>205</v>
      </c>
      <c r="C1789"/>
      <c r="D1789" s="197"/>
      <c r="E1789" s="197" t="s">
        <v>228</v>
      </c>
      <c r="F1789" s="197"/>
      <c r="G1789" s="197"/>
      <c r="H1789" s="197"/>
      <c r="I1789" s="209"/>
    </row>
    <row r="1790" spans="1:9">
      <c r="A1790" s="195"/>
      <c r="B1790" s="195" t="s">
        <v>206</v>
      </c>
      <c r="C1790"/>
      <c r="D1790" s="197" t="s">
        <v>270</v>
      </c>
      <c r="E1790" s="197" t="s">
        <v>228</v>
      </c>
      <c r="F1790" s="197"/>
      <c r="G1790" s="197"/>
      <c r="H1790" s="197"/>
      <c r="I1790" s="209"/>
    </row>
    <row r="1791" spans="1:9">
      <c r="A1791" s="195"/>
      <c r="B1791" s="195" t="s">
        <v>207</v>
      </c>
      <c r="C1791"/>
      <c r="D1791" s="197" t="s">
        <v>270</v>
      </c>
      <c r="E1791" s="197" t="s">
        <v>228</v>
      </c>
      <c r="F1791" s="197"/>
      <c r="G1791" s="197"/>
      <c r="H1791" s="197"/>
      <c r="I1791" s="209"/>
    </row>
    <row r="1792" spans="1:9">
      <c r="A1792" s="195"/>
      <c r="B1792" s="196" t="s">
        <v>223</v>
      </c>
      <c r="C1792"/>
      <c r="D1792" s="197" t="s">
        <v>270</v>
      </c>
      <c r="E1792" s="197" t="s">
        <v>228</v>
      </c>
      <c r="F1792" s="197"/>
      <c r="G1792" s="197"/>
      <c r="H1792" s="197"/>
      <c r="I1792" s="209"/>
    </row>
    <row r="1793" spans="1:12">
      <c r="A1793" s="195"/>
      <c r="B1793" s="195" t="s">
        <v>205</v>
      </c>
      <c r="C1793"/>
      <c r="D1793" s="197" t="s">
        <v>270</v>
      </c>
      <c r="E1793" s="197" t="s">
        <v>273</v>
      </c>
      <c r="F1793" s="197"/>
      <c r="G1793" s="197"/>
      <c r="H1793" s="197"/>
      <c r="I1793" s="209"/>
    </row>
    <row r="1794" spans="1:12">
      <c r="A1794" s="195"/>
      <c r="B1794" s="195" t="s">
        <v>206</v>
      </c>
      <c r="C1794"/>
      <c r="D1794" s="197" t="s">
        <v>270</v>
      </c>
      <c r="E1794" s="197" t="s">
        <v>273</v>
      </c>
      <c r="F1794" s="197"/>
      <c r="G1794" s="197"/>
      <c r="H1794" s="197"/>
      <c r="I1794" s="209"/>
    </row>
    <row r="1795" spans="1:12">
      <c r="A1795" s="195"/>
      <c r="B1795" s="195" t="s">
        <v>207</v>
      </c>
      <c r="C1795"/>
      <c r="D1795" s="197" t="s">
        <v>270</v>
      </c>
      <c r="E1795" s="197" t="s">
        <v>273</v>
      </c>
      <c r="F1795" s="197"/>
      <c r="G1795" s="197"/>
      <c r="H1795" s="197"/>
      <c r="I1795" s="209"/>
    </row>
    <row r="1796" spans="1:12">
      <c r="A1796" s="195"/>
      <c r="B1796" s="196" t="s">
        <v>225</v>
      </c>
      <c r="C1796"/>
      <c r="D1796" s="197" t="s">
        <v>270</v>
      </c>
      <c r="E1796" s="197" t="s">
        <v>263</v>
      </c>
      <c r="F1796" s="197"/>
      <c r="G1796" s="197"/>
      <c r="H1796" s="197"/>
      <c r="I1796" s="209"/>
    </row>
    <row r="1797" spans="1:12">
      <c r="A1797" s="195"/>
      <c r="B1797" s="195" t="s">
        <v>205</v>
      </c>
      <c r="C1797"/>
      <c r="D1797" s="197" t="s">
        <v>270</v>
      </c>
      <c r="E1797" s="197" t="s">
        <v>263</v>
      </c>
      <c r="F1797" s="197"/>
      <c r="G1797" s="197"/>
      <c r="H1797" s="209"/>
      <c r="I1797" s="209"/>
    </row>
    <row r="1798" spans="1:12">
      <c r="A1798" s="195"/>
      <c r="B1798" s="195" t="s">
        <v>206</v>
      </c>
      <c r="C1798"/>
      <c r="D1798" s="197" t="s">
        <v>270</v>
      </c>
      <c r="E1798" s="197" t="s">
        <v>263</v>
      </c>
      <c r="F1798" s="197"/>
      <c r="G1798" s="197"/>
      <c r="H1798" s="209"/>
      <c r="I1798" s="209"/>
    </row>
    <row r="1799" spans="1:12">
      <c r="A1799" s="195"/>
      <c r="B1799" s="195" t="s">
        <v>207</v>
      </c>
      <c r="C1799"/>
      <c r="D1799" s="197" t="s">
        <v>270</v>
      </c>
      <c r="E1799" s="197" t="s">
        <v>263</v>
      </c>
      <c r="F1799" s="197"/>
      <c r="G1799" s="197"/>
      <c r="H1799" s="209"/>
      <c r="I1799" s="209"/>
    </row>
    <row r="1800" spans="1:12">
      <c r="A1800" s="195"/>
      <c r="B1800" s="196" t="s">
        <v>226</v>
      </c>
      <c r="C1800"/>
      <c r="D1800" s="197" t="s">
        <v>270</v>
      </c>
      <c r="E1800" s="197"/>
      <c r="F1800" s="197"/>
      <c r="G1800" s="197"/>
      <c r="H1800" s="209"/>
      <c r="I1800" s="209"/>
    </row>
    <row r="1801" spans="1:12">
      <c r="A1801" s="195"/>
      <c r="B1801" s="195" t="s">
        <v>205</v>
      </c>
      <c r="C1801"/>
      <c r="D1801" s="197" t="s">
        <v>270</v>
      </c>
      <c r="E1801" s="197"/>
      <c r="F1801" s="197"/>
      <c r="G1801" s="197"/>
      <c r="H1801" s="209"/>
      <c r="I1801" s="209"/>
    </row>
    <row r="1802" spans="1:12">
      <c r="A1802" s="195"/>
      <c r="B1802" s="195" t="s">
        <v>206</v>
      </c>
      <c r="C1802"/>
      <c r="D1802" s="197" t="s">
        <v>270</v>
      </c>
      <c r="E1802" s="197"/>
      <c r="F1802" s="197"/>
      <c r="G1802" s="197"/>
      <c r="H1802" s="209"/>
      <c r="I1802" s="209"/>
    </row>
    <row r="1803" spans="1:12">
      <c r="A1803" s="195"/>
      <c r="B1803" s="195" t="s">
        <v>207</v>
      </c>
      <c r="C1803"/>
      <c r="D1803" s="197" t="s">
        <v>270</v>
      </c>
      <c r="E1803" s="197"/>
      <c r="F1803" s="197"/>
      <c r="G1803" s="197"/>
      <c r="H1803" s="209"/>
      <c r="I1803" s="209"/>
    </row>
    <row r="1804" spans="1:12">
      <c r="A1804" s="195"/>
      <c r="B1804" s="196" t="s">
        <v>227</v>
      </c>
      <c r="C1804"/>
      <c r="D1804" s="197"/>
      <c r="E1804" s="197"/>
      <c r="F1804" s="197"/>
      <c r="G1804" s="197"/>
      <c r="H1804" s="209"/>
      <c r="I1804" s="209"/>
      <c r="K1804"/>
    </row>
    <row r="1805" spans="1:12" ht="29.25" thickBot="1">
      <c r="A1805" s="182" t="str">
        <f>"回収シフト  第"&amp;ROUNDUP(DAY(B1808)/7,0)  &amp;"  "&amp;TEXT(B1808,"aaaa")</f>
        <v>回収シフト  第2  月曜日</v>
      </c>
      <c r="B1805" s="183"/>
      <c r="C1805" s="183"/>
      <c r="D1805" s="183"/>
      <c r="E1805" s="183"/>
      <c r="F1805" s="183"/>
      <c r="G1805" s="184"/>
      <c r="H1805" s="184"/>
      <c r="I1805" s="184"/>
      <c r="K1805" s="183"/>
      <c r="L1805" s="183"/>
    </row>
    <row r="1806" spans="1:12" ht="15.75" thickBot="1">
      <c r="A1806"/>
      <c r="B1806"/>
      <c r="C1806"/>
      <c r="D1806" s="186" t="s">
        <v>201</v>
      </c>
      <c r="E1806" s="186" t="s">
        <v>202</v>
      </c>
      <c r="F1806" s="186" t="s">
        <v>203</v>
      </c>
      <c r="G1806" s="186" t="s">
        <v>204</v>
      </c>
      <c r="H1806" s="186" t="s">
        <v>267</v>
      </c>
      <c r="I1806" s="217" t="s">
        <v>267</v>
      </c>
      <c r="K1806" s="230" t="s">
        <v>257</v>
      </c>
      <c r="L1806" s="231"/>
    </row>
    <row r="1807" spans="1:12">
      <c r="A1807" s="187"/>
      <c r="B1807" s="188">
        <v>45495</v>
      </c>
      <c r="C1807" s="187"/>
      <c r="D1807" s="189" t="s">
        <v>857</v>
      </c>
      <c r="E1807" s="189" t="s">
        <v>247</v>
      </c>
      <c r="F1807" s="189" t="s">
        <v>850</v>
      </c>
      <c r="G1807" s="189" t="s">
        <v>923</v>
      </c>
      <c r="H1807" s="189" t="s">
        <v>852</v>
      </c>
      <c r="I1807" s="218" t="s">
        <v>852</v>
      </c>
      <c r="K1807" s="232" t="s">
        <v>258</v>
      </c>
      <c r="L1807" s="190" t="str">
        <f ca="1">_xlfn.XLOOKUP($B1808,シフト抽出!$19:$19,シフト抽出!$20:$20,"該当なし",0,1)</f>
        <v/>
      </c>
    </row>
    <row r="1808" spans="1:12" ht="19.5" thickBot="1">
      <c r="A1808"/>
      <c r="B1808" s="191">
        <f>B1755+2</f>
        <v>46153</v>
      </c>
      <c r="C1808" s="192" t="e">
        <v>#REF!</v>
      </c>
      <c r="D1808" s="193"/>
      <c r="E1808" s="193"/>
      <c r="F1808" s="193"/>
      <c r="G1808" s="193"/>
      <c r="H1808" s="193"/>
      <c r="I1808" s="219"/>
      <c r="K1808" s="233"/>
      <c r="L1808" s="194" t="str">
        <f ca="1">_xlfn.XLOOKUP($B1808,シフト抽出!$19:$19,シフト抽出!$21:$21,"該当なし",0,1)</f>
        <v/>
      </c>
    </row>
    <row r="1809" spans="1:12">
      <c r="A1809" s="195"/>
      <c r="B1809" s="196">
        <v>0.25</v>
      </c>
      <c r="C1809"/>
      <c r="D1809" s="197"/>
      <c r="E1809" s="196"/>
      <c r="F1809" s="197"/>
      <c r="G1809" s="197"/>
      <c r="H1809" s="197"/>
      <c r="I1809" s="209"/>
      <c r="K1809" s="234" t="s">
        <v>259</v>
      </c>
      <c r="L1809" s="198" t="str">
        <f ca="1">_xlfn.XLOOKUP($B1808,シフト抽出!$19:$19,シフト抽出!$23:$23,"該当なし",0,1)</f>
        <v/>
      </c>
    </row>
    <row r="1810" spans="1:12" ht="15.75" thickBot="1">
      <c r="A1810" s="195"/>
      <c r="B1810" s="195" t="s">
        <v>205</v>
      </c>
      <c r="C1810"/>
      <c r="D1810" s="197"/>
      <c r="E1810" s="197"/>
      <c r="F1810" s="197"/>
      <c r="G1810" s="197"/>
      <c r="H1810" s="197"/>
      <c r="I1810" s="209"/>
      <c r="K1810" s="235"/>
      <c r="L1810" s="199" t="str">
        <f ca="1">_xlfn.XLOOKUP($B1808,シフト抽出!$19:$19,シフト抽出!$24:$24,"該当なし",0,1)</f>
        <v/>
      </c>
    </row>
    <row r="1811" spans="1:12">
      <c r="A1811" s="195"/>
      <c r="B1811" s="195" t="s">
        <v>206</v>
      </c>
      <c r="C1811"/>
      <c r="D1811" s="197"/>
      <c r="E1811" s="197" t="s">
        <v>195</v>
      </c>
      <c r="F1811" s="197"/>
      <c r="G1811" s="197"/>
      <c r="H1811" s="197"/>
      <c r="I1811" s="209"/>
      <c r="K1811" s="224" t="s">
        <v>260</v>
      </c>
      <c r="L1811" s="200" t="str">
        <f ca="1">_xlfn.XLOOKUP($B1808,シフト抽出!$19:$19,シフト抽出!$26:$26,"該当なし",0,1)</f>
        <v/>
      </c>
    </row>
    <row r="1812" spans="1:12">
      <c r="A1812" s="195"/>
      <c r="B1812" s="195" t="s">
        <v>207</v>
      </c>
      <c r="C1812"/>
      <c r="D1812" s="197"/>
      <c r="E1812" s="197"/>
      <c r="F1812" s="197"/>
      <c r="G1812" s="197"/>
      <c r="H1812" s="197"/>
      <c r="I1812" s="209"/>
      <c r="K1812" s="225"/>
      <c r="L1812" s="201" t="str">
        <f ca="1">_xlfn.XLOOKUP($B1808,シフト抽出!$19:$19,シフト抽出!$27:$27,"該当なし",0,1)</f>
        <v/>
      </c>
    </row>
    <row r="1813" spans="1:12">
      <c r="A1813" s="195"/>
      <c r="B1813" s="202" t="s">
        <v>208</v>
      </c>
      <c r="C1813"/>
      <c r="D1813" s="197"/>
      <c r="E1813" s="197"/>
      <c r="F1813" s="197" t="s">
        <v>851</v>
      </c>
      <c r="G1813" s="197"/>
      <c r="H1813" s="197"/>
      <c r="I1813" s="209"/>
      <c r="J1813" s="203"/>
      <c r="K1813" s="225"/>
      <c r="L1813" s="201" t="str">
        <f ca="1">_xlfn.XLOOKUP($B1808,シフト抽出!$19:$19,シフト抽出!$28:$28,"該当なし",0,1)</f>
        <v/>
      </c>
    </row>
    <row r="1814" spans="1:12" ht="15.75" thickBot="1">
      <c r="A1814" s="195"/>
      <c r="B1814" s="195" t="s">
        <v>205</v>
      </c>
      <c r="C1814"/>
      <c r="D1814" s="197"/>
      <c r="E1814" s="197"/>
      <c r="F1814" s="197" t="s">
        <v>851</v>
      </c>
      <c r="G1814" s="197"/>
      <c r="H1814" s="197"/>
      <c r="I1814" s="209"/>
      <c r="J1814" s="203"/>
      <c r="K1814" s="226"/>
      <c r="L1814" s="204" t="str">
        <f ca="1">_xlfn.XLOOKUP($B1808,シフト抽出!$19:$19,シフト抽出!$29:$29,"該当なし",0,1)</f>
        <v/>
      </c>
    </row>
    <row r="1815" spans="1:12" ht="15.75" thickBot="1">
      <c r="A1815" s="195"/>
      <c r="B1815" s="195" t="s">
        <v>206</v>
      </c>
      <c r="C1815"/>
      <c r="D1815" s="197"/>
      <c r="E1815" s="197"/>
      <c r="F1815" s="197" t="s">
        <v>851</v>
      </c>
      <c r="G1815" s="197"/>
      <c r="H1815" s="197"/>
      <c r="I1815" s="209"/>
      <c r="K1815" s="205" t="s">
        <v>261</v>
      </c>
      <c r="L1815" s="205">
        <f>_xlfn.XLOOKUP($B1808,予定表!B:B,予定表!R:R,"該当なし",0,1)</f>
        <v>0</v>
      </c>
    </row>
    <row r="1816" spans="1:12">
      <c r="A1816" s="195"/>
      <c r="B1816" s="195" t="s">
        <v>207</v>
      </c>
      <c r="C1816"/>
      <c r="D1816" s="197"/>
      <c r="E1816" s="197"/>
      <c r="F1816" s="197" t="s">
        <v>851</v>
      </c>
      <c r="G1816" s="197"/>
      <c r="H1816" s="197"/>
      <c r="I1816" s="209"/>
      <c r="K1816" s="227" t="s">
        <v>262</v>
      </c>
      <c r="L1816" s="206" t="str">
        <f>_xlfn.XLOOKUP($B1808,予定表!$B:$B,予定表!E:E,"該当なし",0,1)</f>
        <v>ｱｸﾃｨｵ</v>
      </c>
    </row>
    <row r="1817" spans="1:12">
      <c r="A1817" s="195"/>
      <c r="B1817" s="196" t="s">
        <v>209</v>
      </c>
      <c r="C1817"/>
      <c r="D1817" s="197"/>
      <c r="E1817" s="197"/>
      <c r="F1817" s="197" t="s">
        <v>851</v>
      </c>
      <c r="G1817" s="197"/>
      <c r="H1817" s="197"/>
      <c r="I1817" s="209"/>
      <c r="K1817" s="228"/>
      <c r="L1817" s="207" t="str">
        <f>_xlfn.XLOOKUP($B1808,予定表!$B:$B,予定表!F:F,"該当なし",0,1)</f>
        <v>キョクレイストレッチ</v>
      </c>
    </row>
    <row r="1818" spans="1:12">
      <c r="A1818" s="195"/>
      <c r="B1818" s="195" t="s">
        <v>205</v>
      </c>
      <c r="C1818"/>
      <c r="D1818" s="197" t="s">
        <v>264</v>
      </c>
      <c r="E1818" s="197" t="s">
        <v>414</v>
      </c>
      <c r="F1818" s="197" t="s">
        <v>851</v>
      </c>
      <c r="G1818" s="197" t="s">
        <v>268</v>
      </c>
      <c r="H1818" s="197"/>
      <c r="I1818" s="209"/>
      <c r="K1818" s="228"/>
      <c r="L1818" s="207">
        <f>_xlfn.XLOOKUP($B1808,予定表!$B:$B,予定表!G:G,"該当なし",0,1)</f>
        <v>0</v>
      </c>
    </row>
    <row r="1819" spans="1:12">
      <c r="A1819" s="195"/>
      <c r="B1819" s="195" t="s">
        <v>206</v>
      </c>
      <c r="C1819"/>
      <c r="D1819" s="197" t="s">
        <v>471</v>
      </c>
      <c r="E1819" s="197" t="s">
        <v>414</v>
      </c>
      <c r="F1819" s="197" t="s">
        <v>851</v>
      </c>
      <c r="G1819" s="197" t="s">
        <v>268</v>
      </c>
      <c r="H1819" s="197"/>
      <c r="I1819" s="209"/>
      <c r="K1819" s="228"/>
      <c r="L1819" s="207" t="str">
        <f>_xlfn.XLOOKUP($B1808,予定表!$B:$B,予定表!H:H,"該当なし",0,1)</f>
        <v>資さんうどん</v>
      </c>
    </row>
    <row r="1820" spans="1:12">
      <c r="A1820" s="195"/>
      <c r="B1820" s="195" t="s">
        <v>207</v>
      </c>
      <c r="C1820"/>
      <c r="D1820" s="197" t="s">
        <v>788</v>
      </c>
      <c r="E1820" s="197" t="s">
        <v>414</v>
      </c>
      <c r="F1820" s="197"/>
      <c r="G1820" s="197" t="s">
        <v>268</v>
      </c>
      <c r="H1820" s="197"/>
      <c r="I1820" s="209"/>
      <c r="K1820" s="228"/>
      <c r="L1820" s="207" t="str">
        <f>_xlfn.XLOOKUP($B1808,予定表!$B:$B,予定表!I:I,"該当なし",0,1)</f>
        <v/>
      </c>
    </row>
    <row r="1821" spans="1:12">
      <c r="A1821" s="195"/>
      <c r="B1821" s="196" t="s">
        <v>212</v>
      </c>
      <c r="C1821"/>
      <c r="D1821" s="197" t="s">
        <v>119</v>
      </c>
      <c r="E1821" s="197" t="s">
        <v>414</v>
      </c>
      <c r="F1821" s="197"/>
      <c r="G1821" s="197" t="s">
        <v>268</v>
      </c>
      <c r="H1821" s="197"/>
      <c r="I1821" s="209"/>
      <c r="K1821" s="228"/>
      <c r="L1821" s="207" t="str">
        <f>_xlfn.XLOOKUP($B1808,予定表!$B:$B,予定表!J:J,"該当なし",0,1)</f>
        <v/>
      </c>
    </row>
    <row r="1822" spans="1:12">
      <c r="A1822" s="195"/>
      <c r="B1822" s="195" t="s">
        <v>205</v>
      </c>
      <c r="C1822"/>
      <c r="D1822" s="197" t="s">
        <v>376</v>
      </c>
      <c r="E1822" s="197" t="s">
        <v>414</v>
      </c>
      <c r="F1822" s="197"/>
      <c r="G1822" s="197" t="s">
        <v>268</v>
      </c>
      <c r="H1822" s="197"/>
      <c r="I1822" s="209"/>
      <c r="K1822" s="228"/>
      <c r="L1822" s="207" t="str">
        <f>_xlfn.XLOOKUP($B1808,予定表!$B:$B,予定表!K:K,"該当なし",0,1)</f>
        <v/>
      </c>
    </row>
    <row r="1823" spans="1:12">
      <c r="A1823" s="195"/>
      <c r="B1823" s="195" t="s">
        <v>206</v>
      </c>
      <c r="C1823"/>
      <c r="D1823" s="197" t="s">
        <v>278</v>
      </c>
      <c r="E1823" s="197" t="s">
        <v>414</v>
      </c>
      <c r="F1823" s="197"/>
      <c r="G1823" s="197" t="s">
        <v>515</v>
      </c>
      <c r="H1823" s="197"/>
      <c r="I1823" s="209"/>
      <c r="K1823" s="228"/>
      <c r="L1823" s="207" t="str">
        <f>_xlfn.XLOOKUP($B1808,予定表!$B:$B,予定表!L:L,"該当なし",0,1)</f>
        <v/>
      </c>
    </row>
    <row r="1824" spans="1:12" ht="15.75" thickBot="1">
      <c r="A1824" s="195"/>
      <c r="B1824" s="195" t="s">
        <v>207</v>
      </c>
      <c r="C1824"/>
      <c r="D1824" s="197" t="s">
        <v>213</v>
      </c>
      <c r="E1824" s="197" t="s">
        <v>414</v>
      </c>
      <c r="F1824" s="197"/>
      <c r="G1824" s="197" t="s">
        <v>515</v>
      </c>
      <c r="H1824" s="197"/>
      <c r="I1824" s="209"/>
      <c r="K1824" s="229"/>
      <c r="L1824" s="204" t="str">
        <f>_xlfn.XLOOKUP($A1805,ﾘｽﾄマスタ!$U$8:$U$17,ﾘｽﾄマスタ!$V$8:$V$17,"",0)</f>
        <v>広陽</v>
      </c>
    </row>
    <row r="1825" spans="1:12" ht="15.75" thickBot="1">
      <c r="A1825" s="195"/>
      <c r="B1825" s="196" t="s">
        <v>251</v>
      </c>
      <c r="C1825"/>
      <c r="D1825" s="197" t="s">
        <v>144</v>
      </c>
      <c r="E1825" s="197" t="s">
        <v>862</v>
      </c>
      <c r="F1825" s="197"/>
      <c r="G1825" s="197" t="s">
        <v>269</v>
      </c>
      <c r="H1825" s="197"/>
      <c r="I1825" s="209"/>
      <c r="K1825" s="208" t="s">
        <v>277</v>
      </c>
      <c r="L1825" s="208" t="str">
        <f ca="1">_xlfn.XLOOKUP($B1808,シフト抽出!$19:$19,シフト抽出!$30:$30,"該当なし",0,1)</f>
        <v/>
      </c>
    </row>
    <row r="1826" spans="1:12">
      <c r="A1826" s="195"/>
      <c r="B1826" s="195" t="s">
        <v>205</v>
      </c>
      <c r="C1826"/>
      <c r="D1826" s="197" t="s">
        <v>144</v>
      </c>
      <c r="E1826" s="197" t="s">
        <v>214</v>
      </c>
      <c r="F1826" s="197"/>
      <c r="G1826" s="197" t="s">
        <v>269</v>
      </c>
      <c r="H1826" s="197"/>
      <c r="I1826" s="209"/>
    </row>
    <row r="1827" spans="1:12">
      <c r="A1827" s="195"/>
      <c r="B1827" s="195" t="s">
        <v>206</v>
      </c>
      <c r="C1827"/>
      <c r="D1827" s="197" t="s">
        <v>218</v>
      </c>
      <c r="E1827" s="197" t="s">
        <v>214</v>
      </c>
      <c r="F1827" s="197"/>
      <c r="G1827" s="197" t="s">
        <v>269</v>
      </c>
      <c r="H1827" s="197"/>
      <c r="I1827" s="209"/>
    </row>
    <row r="1828" spans="1:12">
      <c r="A1828" s="195"/>
      <c r="B1828" s="195" t="s">
        <v>207</v>
      </c>
      <c r="C1828"/>
      <c r="D1828" s="197" t="s">
        <v>78</v>
      </c>
      <c r="E1828" s="197" t="s">
        <v>214</v>
      </c>
      <c r="F1828" s="197"/>
      <c r="G1828" s="197" t="s">
        <v>269</v>
      </c>
      <c r="H1828" s="197"/>
      <c r="I1828" s="209"/>
    </row>
    <row r="1829" spans="1:12">
      <c r="A1829" s="195"/>
      <c r="B1829" s="196" t="s">
        <v>217</v>
      </c>
      <c r="C1829"/>
      <c r="D1829" s="197" t="s">
        <v>78</v>
      </c>
      <c r="E1829" s="197" t="s">
        <v>761</v>
      </c>
      <c r="F1829" s="197"/>
      <c r="G1829" s="197" t="s">
        <v>269</v>
      </c>
      <c r="H1829" s="197"/>
      <c r="I1829" s="209"/>
    </row>
    <row r="1830" spans="1:12">
      <c r="A1830" s="195"/>
      <c r="B1830" s="195" t="s">
        <v>205</v>
      </c>
      <c r="C1830"/>
      <c r="D1830" s="197" t="s">
        <v>146</v>
      </c>
      <c r="E1830" s="197" t="s">
        <v>761</v>
      </c>
      <c r="F1830" s="197"/>
      <c r="G1830" s="197" t="s">
        <v>446</v>
      </c>
      <c r="H1830" s="197"/>
      <c r="I1830" s="209"/>
    </row>
    <row r="1831" spans="1:12">
      <c r="A1831" s="195"/>
      <c r="B1831" s="195" t="s">
        <v>206</v>
      </c>
      <c r="C1831"/>
      <c r="D1831" s="197" t="s">
        <v>146</v>
      </c>
      <c r="E1831" s="197" t="s">
        <v>761</v>
      </c>
      <c r="F1831" s="197"/>
      <c r="G1831" s="197" t="s">
        <v>114</v>
      </c>
      <c r="H1831" s="197"/>
      <c r="I1831" s="209"/>
    </row>
    <row r="1832" spans="1:12">
      <c r="A1832" s="195"/>
      <c r="B1832" s="195" t="s">
        <v>207</v>
      </c>
      <c r="C1832"/>
      <c r="D1832" s="197"/>
      <c r="E1832" s="197" t="s">
        <v>761</v>
      </c>
      <c r="F1832" s="197"/>
      <c r="G1832" s="197" t="s">
        <v>114</v>
      </c>
      <c r="H1832" s="197"/>
      <c r="I1832" s="209"/>
    </row>
    <row r="1833" spans="1:12">
      <c r="A1833" s="195"/>
      <c r="B1833" s="196" t="s">
        <v>219</v>
      </c>
      <c r="C1833"/>
      <c r="D1833" s="197"/>
      <c r="E1833" s="197"/>
      <c r="F1833" s="197"/>
      <c r="G1833" s="197" t="s">
        <v>51</v>
      </c>
      <c r="H1833" s="197"/>
      <c r="I1833" s="209"/>
    </row>
    <row r="1834" spans="1:12">
      <c r="A1834" s="195"/>
      <c r="B1834" s="195" t="s">
        <v>205</v>
      </c>
      <c r="C1834"/>
      <c r="D1834" s="197"/>
      <c r="E1834" s="197"/>
      <c r="F1834" s="197"/>
      <c r="G1834" s="197" t="s">
        <v>51</v>
      </c>
      <c r="H1834" s="197"/>
      <c r="I1834" s="209"/>
    </row>
    <row r="1835" spans="1:12">
      <c r="A1835" s="195"/>
      <c r="B1835" s="195" t="s">
        <v>206</v>
      </c>
      <c r="C1835"/>
      <c r="D1835" s="197"/>
      <c r="E1835" s="197"/>
      <c r="F1835" s="197"/>
      <c r="G1835" s="197"/>
      <c r="H1835" s="197"/>
      <c r="I1835" s="209"/>
    </row>
    <row r="1836" spans="1:12">
      <c r="A1836" s="195"/>
      <c r="B1836" s="195" t="s">
        <v>207</v>
      </c>
      <c r="C1836"/>
      <c r="D1836" s="197"/>
      <c r="E1836" s="197"/>
      <c r="F1836" s="197"/>
      <c r="G1836" s="197"/>
      <c r="H1836" s="197"/>
      <c r="I1836" s="209"/>
    </row>
    <row r="1837" spans="1:12">
      <c r="A1837" s="195"/>
      <c r="B1837" s="196" t="s">
        <v>220</v>
      </c>
      <c r="C1837"/>
      <c r="D1837" s="189" t="s">
        <v>248</v>
      </c>
      <c r="E1837" s="189" t="s">
        <v>926</v>
      </c>
      <c r="F1837" s="197"/>
      <c r="G1837" s="189" t="s">
        <v>921</v>
      </c>
      <c r="H1837" s="197"/>
      <c r="I1837" s="209"/>
    </row>
    <row r="1838" spans="1:12">
      <c r="A1838" s="195"/>
      <c r="B1838" s="195" t="s">
        <v>205</v>
      </c>
      <c r="C1838"/>
      <c r="D1838" s="197" t="s">
        <v>759</v>
      </c>
      <c r="E1838" s="197" t="s">
        <v>848</v>
      </c>
      <c r="F1838" s="197" t="s">
        <v>56</v>
      </c>
      <c r="G1838" s="197" t="s">
        <v>927</v>
      </c>
      <c r="H1838" s="197" t="s">
        <v>848</v>
      </c>
      <c r="I1838" s="209" t="s">
        <v>848</v>
      </c>
    </row>
    <row r="1839" spans="1:12">
      <c r="A1839" s="195"/>
      <c r="B1839" s="195" t="s">
        <v>206</v>
      </c>
      <c r="C1839"/>
      <c r="D1839" s="197" t="s">
        <v>759</v>
      </c>
      <c r="E1839" s="197" t="s">
        <v>848</v>
      </c>
      <c r="F1839" s="197" t="s">
        <v>56</v>
      </c>
      <c r="G1839" s="197" t="s">
        <v>927</v>
      </c>
      <c r="H1839" s="197" t="s">
        <v>848</v>
      </c>
      <c r="I1839" s="209" t="s">
        <v>848</v>
      </c>
    </row>
    <row r="1840" spans="1:12">
      <c r="A1840" s="195"/>
      <c r="B1840" s="195" t="s">
        <v>207</v>
      </c>
      <c r="C1840"/>
      <c r="D1840" s="197" t="s">
        <v>759</v>
      </c>
      <c r="E1840" s="197" t="s">
        <v>848</v>
      </c>
      <c r="F1840" s="197" t="s">
        <v>56</v>
      </c>
      <c r="G1840" s="197" t="s">
        <v>927</v>
      </c>
      <c r="H1840" s="197" t="s">
        <v>848</v>
      </c>
      <c r="I1840" s="209" t="s">
        <v>848</v>
      </c>
    </row>
    <row r="1841" spans="1:9">
      <c r="A1841" s="195"/>
      <c r="B1841" s="196" t="s">
        <v>222</v>
      </c>
      <c r="C1841"/>
      <c r="D1841" s="197" t="s">
        <v>216</v>
      </c>
      <c r="E1841" s="197" t="s">
        <v>273</v>
      </c>
      <c r="F1841" s="197" t="s">
        <v>56</v>
      </c>
      <c r="G1841" s="197" t="s">
        <v>927</v>
      </c>
      <c r="H1841" s="197" t="s">
        <v>848</v>
      </c>
      <c r="I1841" s="209" t="s">
        <v>848</v>
      </c>
    </row>
    <row r="1842" spans="1:9">
      <c r="A1842" s="195"/>
      <c r="B1842" s="195" t="s">
        <v>205</v>
      </c>
      <c r="C1842"/>
      <c r="D1842" s="197" t="s">
        <v>216</v>
      </c>
      <c r="E1842" s="197" t="s">
        <v>273</v>
      </c>
      <c r="F1842" s="197" t="s">
        <v>224</v>
      </c>
      <c r="G1842" s="197" t="s">
        <v>927</v>
      </c>
      <c r="H1842" s="197" t="s">
        <v>848</v>
      </c>
      <c r="I1842" s="209" t="s">
        <v>848</v>
      </c>
    </row>
    <row r="1843" spans="1:9">
      <c r="A1843" s="195"/>
      <c r="B1843" s="195" t="s">
        <v>206</v>
      </c>
      <c r="C1843"/>
      <c r="D1843" s="197" t="s">
        <v>216</v>
      </c>
      <c r="E1843" s="197" t="s">
        <v>273</v>
      </c>
      <c r="F1843" s="197" t="s">
        <v>865</v>
      </c>
      <c r="G1843" s="197" t="s">
        <v>270</v>
      </c>
      <c r="H1843" s="197" t="s">
        <v>848</v>
      </c>
      <c r="I1843" s="209" t="s">
        <v>848</v>
      </c>
    </row>
    <row r="1844" spans="1:9">
      <c r="A1844" s="195"/>
      <c r="B1844" s="195" t="s">
        <v>207</v>
      </c>
      <c r="C1844"/>
      <c r="D1844" s="197" t="s">
        <v>216</v>
      </c>
      <c r="E1844" s="197" t="s">
        <v>252</v>
      </c>
      <c r="F1844" s="197" t="s">
        <v>866</v>
      </c>
      <c r="G1844" s="197" t="s">
        <v>270</v>
      </c>
      <c r="H1844" s="197" t="s">
        <v>848</v>
      </c>
      <c r="I1844" s="209" t="s">
        <v>848</v>
      </c>
    </row>
    <row r="1845" spans="1:9">
      <c r="A1845" s="195"/>
      <c r="B1845" s="196" t="s">
        <v>223</v>
      </c>
      <c r="C1845"/>
      <c r="D1845" s="197" t="s">
        <v>216</v>
      </c>
      <c r="E1845" s="197" t="s">
        <v>252</v>
      </c>
      <c r="F1845" s="197"/>
      <c r="G1845" s="197" t="s">
        <v>270</v>
      </c>
      <c r="H1845" s="197" t="s">
        <v>848</v>
      </c>
      <c r="I1845" s="209" t="s">
        <v>848</v>
      </c>
    </row>
    <row r="1846" spans="1:9">
      <c r="A1846" s="195"/>
      <c r="B1846" s="195" t="s">
        <v>205</v>
      </c>
      <c r="C1846"/>
      <c r="D1846" s="197" t="s">
        <v>160</v>
      </c>
      <c r="E1846" s="197" t="s">
        <v>252</v>
      </c>
      <c r="F1846" s="197"/>
      <c r="G1846" s="197" t="s">
        <v>270</v>
      </c>
      <c r="H1846" s="197" t="s">
        <v>229</v>
      </c>
      <c r="I1846" s="209" t="s">
        <v>229</v>
      </c>
    </row>
    <row r="1847" spans="1:9">
      <c r="A1847" s="195"/>
      <c r="B1847" s="195" t="s">
        <v>206</v>
      </c>
      <c r="C1847"/>
      <c r="D1847" s="197" t="s">
        <v>215</v>
      </c>
      <c r="E1847" s="197" t="s">
        <v>252</v>
      </c>
      <c r="F1847" s="197"/>
      <c r="G1847" s="197" t="s">
        <v>270</v>
      </c>
      <c r="H1847" s="197" t="s">
        <v>229</v>
      </c>
      <c r="I1847" s="209" t="s">
        <v>229</v>
      </c>
    </row>
    <row r="1848" spans="1:9">
      <c r="A1848" s="195"/>
      <c r="B1848" s="195" t="s">
        <v>207</v>
      </c>
      <c r="C1848"/>
      <c r="D1848" s="197" t="s">
        <v>280</v>
      </c>
      <c r="E1848" s="197" t="s">
        <v>252</v>
      </c>
      <c r="F1848" s="197"/>
      <c r="G1848" s="197" t="s">
        <v>270</v>
      </c>
      <c r="H1848" s="197" t="s">
        <v>229</v>
      </c>
      <c r="I1848" s="209" t="s">
        <v>229</v>
      </c>
    </row>
    <row r="1849" spans="1:9">
      <c r="A1849" s="195"/>
      <c r="B1849" s="196" t="s">
        <v>225</v>
      </c>
      <c r="C1849"/>
      <c r="D1849" s="197" t="s">
        <v>127</v>
      </c>
      <c r="E1849" s="197" t="s">
        <v>252</v>
      </c>
      <c r="F1849" s="197"/>
      <c r="G1849" s="197" t="s">
        <v>270</v>
      </c>
      <c r="H1849" s="197" t="s">
        <v>230</v>
      </c>
      <c r="I1849" s="209" t="s">
        <v>230</v>
      </c>
    </row>
    <row r="1850" spans="1:9">
      <c r="A1850" s="195"/>
      <c r="B1850" s="195" t="s">
        <v>205</v>
      </c>
      <c r="C1850"/>
      <c r="D1850" s="197"/>
      <c r="E1850" s="197" t="s">
        <v>252</v>
      </c>
      <c r="F1850" s="197"/>
      <c r="G1850" s="197" t="s">
        <v>270</v>
      </c>
      <c r="H1850" s="209" t="s">
        <v>230</v>
      </c>
      <c r="I1850" s="209" t="s">
        <v>230</v>
      </c>
    </row>
    <row r="1851" spans="1:9">
      <c r="A1851" s="195"/>
      <c r="B1851" s="195" t="s">
        <v>206</v>
      </c>
      <c r="C1851"/>
      <c r="D1851" s="197"/>
      <c r="E1851" s="197"/>
      <c r="F1851" s="197"/>
      <c r="G1851" s="197" t="s">
        <v>270</v>
      </c>
      <c r="H1851" s="209" t="s">
        <v>230</v>
      </c>
      <c r="I1851" s="209" t="s">
        <v>230</v>
      </c>
    </row>
    <row r="1852" spans="1:9">
      <c r="A1852" s="195"/>
      <c r="B1852" s="195" t="s">
        <v>207</v>
      </c>
      <c r="C1852"/>
      <c r="D1852" s="197"/>
      <c r="E1852" s="197"/>
      <c r="F1852" s="197"/>
      <c r="G1852" s="197" t="s">
        <v>270</v>
      </c>
      <c r="H1852" s="209" t="s">
        <v>230</v>
      </c>
      <c r="I1852" s="209" t="s">
        <v>230</v>
      </c>
    </row>
    <row r="1853" spans="1:9">
      <c r="A1853" s="195"/>
      <c r="B1853" s="196" t="s">
        <v>226</v>
      </c>
      <c r="C1853"/>
      <c r="D1853" s="197"/>
      <c r="E1853" s="197"/>
      <c r="F1853" s="197"/>
      <c r="G1853" s="197" t="s">
        <v>270</v>
      </c>
      <c r="H1853" s="209" t="s">
        <v>230</v>
      </c>
      <c r="I1853" s="209" t="s">
        <v>230</v>
      </c>
    </row>
    <row r="1854" spans="1:9">
      <c r="A1854" s="195"/>
      <c r="B1854" s="195" t="s">
        <v>205</v>
      </c>
      <c r="C1854"/>
      <c r="D1854" s="197"/>
      <c r="E1854" s="197"/>
      <c r="F1854" s="197"/>
      <c r="G1854" s="197" t="s">
        <v>270</v>
      </c>
      <c r="H1854" s="209" t="s">
        <v>230</v>
      </c>
      <c r="I1854" s="209" t="s">
        <v>230</v>
      </c>
    </row>
    <row r="1855" spans="1:9">
      <c r="A1855" s="195"/>
      <c r="B1855" s="195" t="s">
        <v>206</v>
      </c>
      <c r="C1855"/>
      <c r="D1855" s="197"/>
      <c r="E1855" s="197"/>
      <c r="F1855" s="197"/>
      <c r="G1855" s="197" t="s">
        <v>270</v>
      </c>
      <c r="H1855" s="209"/>
      <c r="I1855" s="209"/>
    </row>
    <row r="1856" spans="1:9">
      <c r="A1856" s="195"/>
      <c r="B1856" s="195" t="s">
        <v>207</v>
      </c>
      <c r="C1856"/>
      <c r="D1856" s="197"/>
      <c r="E1856" s="197"/>
      <c r="F1856" s="197"/>
      <c r="G1856" s="197" t="s">
        <v>270</v>
      </c>
      <c r="H1856" s="209"/>
      <c r="I1856" s="209"/>
    </row>
    <row r="1857" spans="1:12">
      <c r="A1857" s="195"/>
      <c r="B1857" s="196" t="s">
        <v>227</v>
      </c>
      <c r="C1857"/>
      <c r="D1857" s="197"/>
      <c r="E1857" s="197"/>
      <c r="F1857" s="197"/>
      <c r="G1857" s="197"/>
      <c r="H1857" s="209"/>
      <c r="I1857" s="209"/>
      <c r="K1857"/>
    </row>
    <row r="1858" spans="1:12" ht="29.25" thickBot="1">
      <c r="A1858" s="182" t="str">
        <f>"回収シフト  第"&amp;ROUNDUP(DAY(B1861)/7,0)  &amp;"  "&amp;TEXT(B1861,"aaaa")</f>
        <v>回収シフト  第2  火曜日</v>
      </c>
      <c r="B1858" s="183"/>
      <c r="C1858" s="183"/>
      <c r="D1858" s="183"/>
      <c r="E1858" s="183"/>
      <c r="F1858" s="183"/>
      <c r="G1858" s="184"/>
      <c r="H1858" s="184"/>
      <c r="I1858" s="184"/>
      <c r="K1858" s="183"/>
      <c r="L1858" s="183"/>
    </row>
    <row r="1859" spans="1:12" ht="15.75" thickBot="1">
      <c r="A1859"/>
      <c r="B1859"/>
      <c r="C1859"/>
      <c r="D1859" s="186" t="s">
        <v>201</v>
      </c>
      <c r="E1859" s="186" t="s">
        <v>202</v>
      </c>
      <c r="F1859" s="186" t="s">
        <v>203</v>
      </c>
      <c r="G1859" s="186" t="s">
        <v>204</v>
      </c>
      <c r="H1859" s="186" t="s">
        <v>267</v>
      </c>
      <c r="I1859" s="217" t="s">
        <v>267</v>
      </c>
      <c r="K1859" s="230" t="s">
        <v>257</v>
      </c>
      <c r="L1859" s="231"/>
    </row>
    <row r="1860" spans="1:12">
      <c r="A1860" s="187"/>
      <c r="B1860" s="188">
        <v>46119</v>
      </c>
      <c r="C1860" s="187"/>
      <c r="D1860" s="189" t="s">
        <v>248</v>
      </c>
      <c r="E1860" s="189" t="s">
        <v>859</v>
      </c>
      <c r="F1860" s="189" t="s">
        <v>850</v>
      </c>
      <c r="G1860" s="189" t="s">
        <v>925</v>
      </c>
      <c r="H1860" s="189" t="s">
        <v>852</v>
      </c>
      <c r="I1860" s="218" t="s">
        <v>852</v>
      </c>
      <c r="K1860" s="232" t="s">
        <v>258</v>
      </c>
      <c r="L1860" s="190" t="str">
        <f ca="1">_xlfn.XLOOKUP($B1861,シフト抽出!$19:$19,シフト抽出!$20:$20,"該当なし",0,1)</f>
        <v/>
      </c>
    </row>
    <row r="1861" spans="1:12" ht="19.5" thickBot="1">
      <c r="A1861"/>
      <c r="B1861" s="191">
        <f>B1808+1</f>
        <v>46154</v>
      </c>
      <c r="C1861" s="192"/>
      <c r="D1861" s="193"/>
      <c r="E1861" s="193"/>
      <c r="F1861" s="193"/>
      <c r="G1861" s="193"/>
      <c r="H1861" s="193"/>
      <c r="I1861" s="219"/>
      <c r="K1861" s="233"/>
      <c r="L1861" s="194" t="str">
        <f ca="1">_xlfn.XLOOKUP($B1861,シフト抽出!$19:$19,シフト抽出!$21:$21,"該当なし",0,1)</f>
        <v/>
      </c>
    </row>
    <row r="1862" spans="1:12">
      <c r="A1862" s="195"/>
      <c r="B1862" s="196">
        <v>0.25</v>
      </c>
      <c r="C1862"/>
      <c r="D1862" s="197"/>
      <c r="E1862" s="196"/>
      <c r="F1862" s="197"/>
      <c r="G1862" s="197"/>
      <c r="H1862" s="197"/>
      <c r="I1862" s="209"/>
      <c r="K1862" s="234" t="s">
        <v>259</v>
      </c>
      <c r="L1862" s="198" t="str">
        <f ca="1">_xlfn.XLOOKUP($B1861,シフト抽出!$19:$19,シフト抽出!$23:$23,"該当なし",0,1)</f>
        <v/>
      </c>
    </row>
    <row r="1863" spans="1:12" ht="15.75" thickBot="1">
      <c r="A1863" s="195"/>
      <c r="B1863" s="195" t="s">
        <v>205</v>
      </c>
      <c r="C1863"/>
      <c r="D1863" s="197"/>
      <c r="E1863" s="197"/>
      <c r="F1863" s="197"/>
      <c r="G1863" s="197"/>
      <c r="H1863" s="197"/>
      <c r="I1863" s="209"/>
      <c r="K1863" s="235"/>
      <c r="L1863" s="199" t="str">
        <f ca="1">_xlfn.XLOOKUP($B1861,シフト抽出!$19:$19,シフト抽出!$24:$24,"該当なし",0,1)</f>
        <v/>
      </c>
    </row>
    <row r="1864" spans="1:12">
      <c r="A1864" s="195"/>
      <c r="B1864" s="195" t="s">
        <v>206</v>
      </c>
      <c r="C1864"/>
      <c r="D1864" s="197"/>
      <c r="E1864" s="197"/>
      <c r="F1864" s="197"/>
      <c r="G1864" s="197"/>
      <c r="H1864" s="197"/>
      <c r="I1864" s="209"/>
      <c r="K1864" s="224" t="s">
        <v>260</v>
      </c>
      <c r="L1864" s="200" t="str">
        <f ca="1">_xlfn.XLOOKUP($B1861,シフト抽出!$19:$19,シフト抽出!$26:$26,"該当なし",0,1)</f>
        <v/>
      </c>
    </row>
    <row r="1865" spans="1:12">
      <c r="A1865" s="195"/>
      <c r="B1865" s="195" t="s">
        <v>207</v>
      </c>
      <c r="C1865"/>
      <c r="D1865" s="197"/>
      <c r="E1865" s="197"/>
      <c r="F1865" s="197"/>
      <c r="G1865" s="197"/>
      <c r="H1865" s="197"/>
      <c r="I1865" s="209"/>
      <c r="K1865" s="225"/>
      <c r="L1865" s="201" t="str">
        <f ca="1">_xlfn.XLOOKUP($B1861,シフト抽出!$19:$19,シフト抽出!$27:$27,"該当なし",0,1)</f>
        <v/>
      </c>
    </row>
    <row r="1866" spans="1:12">
      <c r="A1866" s="195"/>
      <c r="B1866" s="202" t="s">
        <v>208</v>
      </c>
      <c r="C1866"/>
      <c r="D1866" s="197" t="s">
        <v>4</v>
      </c>
      <c r="E1866" s="197" t="s">
        <v>4</v>
      </c>
      <c r="F1866" s="197"/>
      <c r="G1866" s="197" t="s">
        <v>4</v>
      </c>
      <c r="H1866" s="197"/>
      <c r="I1866" s="209"/>
      <c r="J1866" s="203"/>
      <c r="K1866" s="225"/>
      <c r="L1866" s="201" t="str">
        <f ca="1">_xlfn.XLOOKUP($B1861,シフト抽出!$19:$19,シフト抽出!$28:$28,"該当なし",0,1)</f>
        <v/>
      </c>
    </row>
    <row r="1867" spans="1:12" ht="15.75" thickBot="1">
      <c r="A1867" s="195"/>
      <c r="B1867" s="195" t="s">
        <v>205</v>
      </c>
      <c r="C1867"/>
      <c r="D1867" s="197" t="s">
        <v>414</v>
      </c>
      <c r="E1867" s="197" t="s">
        <v>420</v>
      </c>
      <c r="F1867" s="197"/>
      <c r="G1867" s="197" t="s">
        <v>22</v>
      </c>
      <c r="H1867" s="197"/>
      <c r="I1867" s="209"/>
      <c r="J1867" s="203"/>
      <c r="K1867" s="226"/>
      <c r="L1867" s="204" t="str">
        <f ca="1">_xlfn.XLOOKUP($B1861,シフト抽出!$19:$19,シフト抽出!$29:$29,"該当なし",0,1)</f>
        <v/>
      </c>
    </row>
    <row r="1868" spans="1:12" ht="15.75" thickBot="1">
      <c r="A1868" s="195"/>
      <c r="B1868" s="195" t="s">
        <v>206</v>
      </c>
      <c r="C1868"/>
      <c r="D1868" s="197" t="s">
        <v>414</v>
      </c>
      <c r="E1868" s="197" t="s">
        <v>420</v>
      </c>
      <c r="F1868" s="197"/>
      <c r="G1868" s="197" t="s">
        <v>22</v>
      </c>
      <c r="H1868" s="197"/>
      <c r="I1868" s="209"/>
      <c r="K1868" s="205" t="s">
        <v>261</v>
      </c>
      <c r="L1868" s="205">
        <f>_xlfn.XLOOKUP($B1861,予定表!B:B,予定表!R:R,"該当なし",0,1)</f>
        <v>0</v>
      </c>
    </row>
    <row r="1869" spans="1:12">
      <c r="A1869" s="195"/>
      <c r="B1869" s="195" t="s">
        <v>207</v>
      </c>
      <c r="C1869"/>
      <c r="D1869" s="197" t="s">
        <v>414</v>
      </c>
      <c r="E1869" s="197" t="s">
        <v>420</v>
      </c>
      <c r="F1869" s="197"/>
      <c r="G1869" s="197" t="s">
        <v>22</v>
      </c>
      <c r="H1869" s="197"/>
      <c r="I1869" s="209"/>
      <c r="K1869" s="227" t="s">
        <v>262</v>
      </c>
      <c r="L1869" s="206">
        <f>_xlfn.XLOOKUP($B1861,予定表!$B:$B,予定表!E:E,"該当なし",0,1)</f>
        <v>0</v>
      </c>
    </row>
    <row r="1870" spans="1:12">
      <c r="A1870" s="195"/>
      <c r="B1870" s="196" t="s">
        <v>209</v>
      </c>
      <c r="C1870"/>
      <c r="D1870" s="197" t="s">
        <v>414</v>
      </c>
      <c r="E1870" s="197" t="s">
        <v>420</v>
      </c>
      <c r="F1870" s="197" t="s">
        <v>851</v>
      </c>
      <c r="G1870" s="197" t="s">
        <v>268</v>
      </c>
      <c r="H1870" s="197" t="s">
        <v>4</v>
      </c>
      <c r="I1870" s="209" t="s">
        <v>4</v>
      </c>
      <c r="K1870" s="228"/>
      <c r="L1870" s="207" t="str">
        <f>_xlfn.XLOOKUP($B1861,予定表!$B:$B,予定表!F:F,"該当なし",0,1)</f>
        <v>キョクレイストレッチ</v>
      </c>
    </row>
    <row r="1871" spans="1:12">
      <c r="A1871" s="195"/>
      <c r="B1871" s="195" t="s">
        <v>205</v>
      </c>
      <c r="C1871"/>
      <c r="D1871" s="197" t="s">
        <v>414</v>
      </c>
      <c r="E1871" s="197" t="s">
        <v>420</v>
      </c>
      <c r="F1871" s="197" t="s">
        <v>851</v>
      </c>
      <c r="G1871" s="197" t="s">
        <v>268</v>
      </c>
      <c r="H1871" s="197" t="s">
        <v>60</v>
      </c>
      <c r="I1871" s="209" t="s">
        <v>60</v>
      </c>
      <c r="K1871" s="228"/>
      <c r="L1871" s="207">
        <f>_xlfn.XLOOKUP($B1861,予定表!$B:$B,予定表!G:G,"該当なし",0,1)</f>
        <v>0</v>
      </c>
    </row>
    <row r="1872" spans="1:12">
      <c r="A1872" s="195"/>
      <c r="B1872" s="195" t="s">
        <v>206</v>
      </c>
      <c r="C1872"/>
      <c r="D1872" s="197" t="s">
        <v>214</v>
      </c>
      <c r="E1872" s="197" t="s">
        <v>273</v>
      </c>
      <c r="F1872" s="197" t="s">
        <v>851</v>
      </c>
      <c r="G1872" s="197" t="s">
        <v>268</v>
      </c>
      <c r="H1872" s="197" t="s">
        <v>60</v>
      </c>
      <c r="I1872" s="209" t="s">
        <v>60</v>
      </c>
      <c r="K1872" s="228"/>
      <c r="L1872" s="207">
        <f>_xlfn.XLOOKUP($B1861,予定表!$B:$B,予定表!H:H,"該当なし",0,1)</f>
        <v>0</v>
      </c>
    </row>
    <row r="1873" spans="1:12">
      <c r="A1873" s="195"/>
      <c r="B1873" s="195" t="s">
        <v>207</v>
      </c>
      <c r="C1873"/>
      <c r="D1873" s="197" t="s">
        <v>214</v>
      </c>
      <c r="E1873" s="197" t="s">
        <v>273</v>
      </c>
      <c r="F1873" s="197" t="s">
        <v>851</v>
      </c>
      <c r="G1873" s="197" t="s">
        <v>268</v>
      </c>
      <c r="H1873" s="197" t="s">
        <v>60</v>
      </c>
      <c r="I1873" s="209" t="s">
        <v>60</v>
      </c>
      <c r="K1873" s="228"/>
      <c r="L1873" s="207" t="str">
        <f>_xlfn.XLOOKUP($B1861,予定表!$B:$B,予定表!I:I,"該当なし",0,1)</f>
        <v/>
      </c>
    </row>
    <row r="1874" spans="1:12">
      <c r="A1874" s="195"/>
      <c r="B1874" s="196" t="s">
        <v>212</v>
      </c>
      <c r="C1874"/>
      <c r="D1874" s="197" t="s">
        <v>214</v>
      </c>
      <c r="E1874" s="197" t="s">
        <v>273</v>
      </c>
      <c r="F1874" s="197" t="s">
        <v>851</v>
      </c>
      <c r="G1874" s="197" t="s">
        <v>169</v>
      </c>
      <c r="H1874" s="197"/>
      <c r="I1874" s="209"/>
      <c r="K1874" s="228"/>
      <c r="L1874" s="207" t="str">
        <f>_xlfn.XLOOKUP($B1861,予定表!$B:$B,予定表!J:J,"該当なし",0,1)</f>
        <v/>
      </c>
    </row>
    <row r="1875" spans="1:12">
      <c r="A1875" s="195"/>
      <c r="B1875" s="195" t="s">
        <v>205</v>
      </c>
      <c r="C1875"/>
      <c r="D1875" s="197" t="s">
        <v>214</v>
      </c>
      <c r="E1875" s="197" t="s">
        <v>929</v>
      </c>
      <c r="F1875" s="197" t="s">
        <v>851</v>
      </c>
      <c r="G1875" s="197" t="s">
        <v>169</v>
      </c>
      <c r="H1875" s="197" t="s">
        <v>848</v>
      </c>
      <c r="I1875" s="209" t="s">
        <v>848</v>
      </c>
      <c r="K1875" s="228"/>
      <c r="L1875" s="207" t="str">
        <f>_xlfn.XLOOKUP($B1861,予定表!$B:$B,予定表!K:K,"該当なし",0,1)</f>
        <v/>
      </c>
    </row>
    <row r="1876" spans="1:12">
      <c r="A1876" s="195"/>
      <c r="B1876" s="195" t="s">
        <v>206</v>
      </c>
      <c r="C1876"/>
      <c r="D1876" s="197" t="s">
        <v>353</v>
      </c>
      <c r="E1876" s="197" t="s">
        <v>228</v>
      </c>
      <c r="F1876" s="197" t="s">
        <v>62</v>
      </c>
      <c r="G1876" s="197" t="s">
        <v>169</v>
      </c>
      <c r="H1876" s="197" t="s">
        <v>848</v>
      </c>
      <c r="I1876" s="209" t="s">
        <v>848</v>
      </c>
      <c r="K1876" s="228"/>
      <c r="L1876" s="207" t="str">
        <f>_xlfn.XLOOKUP($B1861,予定表!$B:$B,予定表!L:L,"該当なし",0,1)</f>
        <v/>
      </c>
    </row>
    <row r="1877" spans="1:12" ht="15.75" thickBot="1">
      <c r="A1877" s="195"/>
      <c r="B1877" s="195" t="s">
        <v>207</v>
      </c>
      <c r="C1877"/>
      <c r="D1877" s="197" t="s">
        <v>353</v>
      </c>
      <c r="E1877" s="197" t="s">
        <v>228</v>
      </c>
      <c r="F1877" s="197" t="s">
        <v>62</v>
      </c>
      <c r="G1877" s="197" t="s">
        <v>169</v>
      </c>
      <c r="H1877" s="197" t="s">
        <v>848</v>
      </c>
      <c r="I1877" s="209" t="s">
        <v>848</v>
      </c>
      <c r="K1877" s="229"/>
      <c r="L1877" s="204" t="str">
        <f>_xlfn.XLOOKUP($A1858,ﾘｽﾄマスタ!$U$8:$U$17,ﾘｽﾄマスタ!$V$8:$V$17,"",0)</f>
        <v>東冷厚木,ﾏﾙﾅｶ</v>
      </c>
    </row>
    <row r="1878" spans="1:12" ht="15.75" thickBot="1">
      <c r="A1878" s="195"/>
      <c r="B1878" s="196" t="s">
        <v>251</v>
      </c>
      <c r="C1878"/>
      <c r="D1878" s="197" t="s">
        <v>353</v>
      </c>
      <c r="E1878" s="197" t="s">
        <v>228</v>
      </c>
      <c r="F1878" s="197" t="s">
        <v>62</v>
      </c>
      <c r="G1878" s="197" t="s">
        <v>279</v>
      </c>
      <c r="H1878" s="197" t="s">
        <v>848</v>
      </c>
      <c r="I1878" s="209" t="s">
        <v>848</v>
      </c>
      <c r="K1878" s="208" t="s">
        <v>277</v>
      </c>
      <c r="L1878" s="208" t="str">
        <f ca="1">_xlfn.XLOOKUP($B1861,シフト抽出!$19:$19,シフト抽出!$30:$30,"該当なし",0,1)</f>
        <v/>
      </c>
    </row>
    <row r="1879" spans="1:12">
      <c r="A1879" s="195"/>
      <c r="B1879" s="195" t="s">
        <v>205</v>
      </c>
      <c r="C1879"/>
      <c r="D1879" s="197" t="s">
        <v>761</v>
      </c>
      <c r="E1879" s="197" t="s">
        <v>228</v>
      </c>
      <c r="F1879" s="197" t="s">
        <v>62</v>
      </c>
      <c r="G1879" s="197" t="s">
        <v>279</v>
      </c>
      <c r="H1879" s="197" t="s">
        <v>848</v>
      </c>
      <c r="I1879" s="209" t="s">
        <v>848</v>
      </c>
    </row>
    <row r="1880" spans="1:12">
      <c r="A1880" s="195"/>
      <c r="B1880" s="195" t="s">
        <v>206</v>
      </c>
      <c r="C1880"/>
      <c r="D1880" s="197" t="s">
        <v>761</v>
      </c>
      <c r="E1880" s="197" t="s">
        <v>263</v>
      </c>
      <c r="F1880" s="197" t="s">
        <v>51</v>
      </c>
      <c r="G1880" s="197" t="s">
        <v>279</v>
      </c>
      <c r="H1880" s="197" t="s">
        <v>229</v>
      </c>
      <c r="I1880" s="209" t="s">
        <v>229</v>
      </c>
    </row>
    <row r="1881" spans="1:12">
      <c r="A1881" s="195"/>
      <c r="B1881" s="195" t="s">
        <v>207</v>
      </c>
      <c r="C1881"/>
      <c r="D1881" s="197" t="s">
        <v>761</v>
      </c>
      <c r="E1881" s="197" t="s">
        <v>263</v>
      </c>
      <c r="F1881" s="197" t="s">
        <v>51</v>
      </c>
      <c r="G1881" s="197" t="s">
        <v>279</v>
      </c>
      <c r="H1881" s="197" t="s">
        <v>229</v>
      </c>
      <c r="I1881" s="209" t="s">
        <v>229</v>
      </c>
    </row>
    <row r="1882" spans="1:12">
      <c r="A1882" s="195"/>
      <c r="B1882" s="196" t="s">
        <v>217</v>
      </c>
      <c r="C1882"/>
      <c r="D1882" s="197" t="s">
        <v>761</v>
      </c>
      <c r="E1882" s="197" t="s">
        <v>263</v>
      </c>
      <c r="F1882" s="197" t="s">
        <v>51</v>
      </c>
      <c r="G1882" s="197" t="s">
        <v>279</v>
      </c>
      <c r="H1882" s="197" t="s">
        <v>230</v>
      </c>
      <c r="I1882" s="209" t="s">
        <v>230</v>
      </c>
    </row>
    <row r="1883" spans="1:12">
      <c r="A1883" s="195"/>
      <c r="B1883" s="195" t="s">
        <v>205</v>
      </c>
      <c r="C1883"/>
      <c r="D1883" s="197" t="s">
        <v>88</v>
      </c>
      <c r="E1883" s="197" t="s">
        <v>263</v>
      </c>
      <c r="F1883" s="197" t="s">
        <v>114</v>
      </c>
      <c r="G1883" s="197" t="s">
        <v>279</v>
      </c>
      <c r="H1883" s="197" t="s">
        <v>230</v>
      </c>
      <c r="I1883" s="209" t="s">
        <v>230</v>
      </c>
    </row>
    <row r="1884" spans="1:12">
      <c r="A1884" s="195"/>
      <c r="B1884" s="195" t="s">
        <v>206</v>
      </c>
      <c r="C1884"/>
      <c r="D1884" s="197" t="s">
        <v>160</v>
      </c>
      <c r="E1884" s="197" t="s">
        <v>426</v>
      </c>
      <c r="F1884" s="197" t="s">
        <v>114</v>
      </c>
      <c r="G1884" s="197"/>
      <c r="H1884" s="197" t="s">
        <v>230</v>
      </c>
      <c r="I1884" s="209" t="s">
        <v>230</v>
      </c>
    </row>
    <row r="1885" spans="1:12">
      <c r="A1885" s="195"/>
      <c r="B1885" s="195" t="s">
        <v>207</v>
      </c>
      <c r="C1885"/>
      <c r="D1885" s="197" t="s">
        <v>160</v>
      </c>
      <c r="E1885" s="197" t="s">
        <v>426</v>
      </c>
      <c r="F1885" s="197" t="s">
        <v>114</v>
      </c>
      <c r="G1885" s="197"/>
      <c r="H1885" s="197" t="s">
        <v>230</v>
      </c>
      <c r="I1885" s="209" t="s">
        <v>230</v>
      </c>
    </row>
    <row r="1886" spans="1:12">
      <c r="A1886" s="195"/>
      <c r="B1886" s="196" t="s">
        <v>219</v>
      </c>
      <c r="C1886"/>
      <c r="D1886" s="197"/>
      <c r="E1886" s="197"/>
      <c r="F1886" s="197" t="s">
        <v>62</v>
      </c>
      <c r="G1886" s="197"/>
      <c r="H1886" s="197" t="s">
        <v>230</v>
      </c>
      <c r="I1886" s="209" t="s">
        <v>230</v>
      </c>
    </row>
    <row r="1887" spans="1:12">
      <c r="A1887" s="195"/>
      <c r="B1887" s="195" t="s">
        <v>205</v>
      </c>
      <c r="C1887"/>
      <c r="D1887" s="197"/>
      <c r="E1887" s="197"/>
      <c r="F1887" s="197" t="s">
        <v>62</v>
      </c>
      <c r="G1887" s="197"/>
      <c r="H1887" s="197" t="s">
        <v>230</v>
      </c>
      <c r="I1887" s="209" t="s">
        <v>230</v>
      </c>
    </row>
    <row r="1888" spans="1:12">
      <c r="A1888" s="195"/>
      <c r="B1888" s="195" t="s">
        <v>206</v>
      </c>
      <c r="C1888"/>
      <c r="D1888" s="197"/>
      <c r="E1888" s="197"/>
      <c r="F1888" s="197"/>
      <c r="G1888" s="197"/>
      <c r="H1888" s="197"/>
      <c r="I1888" s="209"/>
    </row>
    <row r="1889" spans="1:9">
      <c r="A1889" s="195"/>
      <c r="B1889" s="195" t="s">
        <v>207</v>
      </c>
      <c r="C1889"/>
      <c r="D1889" s="197"/>
      <c r="E1889" s="197"/>
      <c r="F1889" s="197"/>
      <c r="G1889" s="197"/>
      <c r="H1889" s="197"/>
      <c r="I1889" s="209"/>
    </row>
    <row r="1890" spans="1:9">
      <c r="A1890" s="195"/>
      <c r="B1890" s="196" t="s">
        <v>220</v>
      </c>
      <c r="C1890"/>
      <c r="D1890" s="197"/>
      <c r="E1890" s="197"/>
      <c r="F1890" s="197"/>
      <c r="G1890" s="197"/>
      <c r="H1890" s="197"/>
      <c r="I1890" s="209"/>
    </row>
    <row r="1891" spans="1:9">
      <c r="A1891" s="195"/>
      <c r="B1891" s="195" t="s">
        <v>205</v>
      </c>
      <c r="C1891"/>
      <c r="D1891" s="197" t="s">
        <v>129</v>
      </c>
      <c r="E1891" s="197" t="s">
        <v>393</v>
      </c>
      <c r="F1891" s="197" t="s">
        <v>193</v>
      </c>
      <c r="G1891" s="197" t="s">
        <v>56</v>
      </c>
      <c r="H1891" s="197" t="s">
        <v>390</v>
      </c>
      <c r="I1891" s="209" t="s">
        <v>390</v>
      </c>
    </row>
    <row r="1892" spans="1:9">
      <c r="A1892" s="195"/>
      <c r="B1892" s="195" t="s">
        <v>206</v>
      </c>
      <c r="C1892"/>
      <c r="D1892" s="197" t="s">
        <v>129</v>
      </c>
      <c r="E1892" s="197" t="s">
        <v>393</v>
      </c>
      <c r="F1892" s="197" t="s">
        <v>122</v>
      </c>
      <c r="G1892" s="197" t="s">
        <v>56</v>
      </c>
      <c r="H1892" s="197" t="s">
        <v>390</v>
      </c>
      <c r="I1892" s="209" t="s">
        <v>390</v>
      </c>
    </row>
    <row r="1893" spans="1:9">
      <c r="A1893" s="195"/>
      <c r="B1893" s="195" t="s">
        <v>207</v>
      </c>
      <c r="C1893"/>
      <c r="D1893" s="197" t="s">
        <v>129</v>
      </c>
      <c r="E1893" s="197" t="s">
        <v>393</v>
      </c>
      <c r="F1893" s="197" t="s">
        <v>62</v>
      </c>
      <c r="G1893" s="197" t="s">
        <v>56</v>
      </c>
      <c r="H1893" s="197"/>
      <c r="I1893" s="209"/>
    </row>
    <row r="1894" spans="1:9">
      <c r="A1894" s="195"/>
      <c r="B1894" s="196" t="s">
        <v>222</v>
      </c>
      <c r="C1894"/>
      <c r="D1894" s="197" t="s">
        <v>129</v>
      </c>
      <c r="E1894" s="197" t="s">
        <v>393</v>
      </c>
      <c r="F1894" s="197" t="s">
        <v>62</v>
      </c>
      <c r="G1894" s="197" t="s">
        <v>56</v>
      </c>
      <c r="H1894" s="197" t="s">
        <v>231</v>
      </c>
      <c r="I1894" s="209" t="s">
        <v>231</v>
      </c>
    </row>
    <row r="1895" spans="1:9">
      <c r="A1895" s="195"/>
      <c r="B1895" s="195" t="s">
        <v>205</v>
      </c>
      <c r="C1895"/>
      <c r="D1895" s="197" t="s">
        <v>129</v>
      </c>
      <c r="E1895" s="197" t="s">
        <v>393</v>
      </c>
      <c r="F1895" s="197" t="s">
        <v>62</v>
      </c>
      <c r="G1895" s="197"/>
      <c r="H1895" s="197" t="s">
        <v>232</v>
      </c>
      <c r="I1895" s="209" t="s">
        <v>232</v>
      </c>
    </row>
    <row r="1896" spans="1:9">
      <c r="A1896" s="195"/>
      <c r="B1896" s="195" t="s">
        <v>206</v>
      </c>
      <c r="C1896"/>
      <c r="D1896" s="197"/>
      <c r="E1896" s="197" t="s">
        <v>930</v>
      </c>
      <c r="F1896" s="197" t="s">
        <v>62</v>
      </c>
      <c r="G1896" s="197" t="s">
        <v>270</v>
      </c>
      <c r="H1896" s="197" t="s">
        <v>211</v>
      </c>
      <c r="I1896" s="209" t="s">
        <v>211</v>
      </c>
    </row>
    <row r="1897" spans="1:9">
      <c r="A1897" s="195"/>
      <c r="B1897" s="195" t="s">
        <v>207</v>
      </c>
      <c r="C1897"/>
      <c r="D1897" s="197" t="s">
        <v>515</v>
      </c>
      <c r="E1897" s="197" t="s">
        <v>252</v>
      </c>
      <c r="F1897" s="197" t="s">
        <v>62</v>
      </c>
      <c r="G1897" s="197" t="s">
        <v>270</v>
      </c>
      <c r="H1897" s="197" t="s">
        <v>211</v>
      </c>
      <c r="I1897" s="209" t="s">
        <v>211</v>
      </c>
    </row>
    <row r="1898" spans="1:9">
      <c r="A1898" s="195"/>
      <c r="B1898" s="196" t="s">
        <v>223</v>
      </c>
      <c r="C1898"/>
      <c r="D1898" s="197" t="s">
        <v>515</v>
      </c>
      <c r="E1898" s="197" t="s">
        <v>252</v>
      </c>
      <c r="F1898" s="197" t="s">
        <v>62</v>
      </c>
      <c r="G1898" s="197" t="s">
        <v>270</v>
      </c>
      <c r="H1898" s="197"/>
      <c r="I1898" s="209"/>
    </row>
    <row r="1899" spans="1:9">
      <c r="A1899" s="195"/>
      <c r="B1899" s="195" t="s">
        <v>205</v>
      </c>
      <c r="C1899"/>
      <c r="D1899" s="197" t="s">
        <v>269</v>
      </c>
      <c r="E1899" s="197" t="s">
        <v>252</v>
      </c>
      <c r="F1899" s="197" t="s">
        <v>62</v>
      </c>
      <c r="G1899" s="197" t="s">
        <v>270</v>
      </c>
      <c r="H1899" s="197" t="s">
        <v>856</v>
      </c>
      <c r="I1899" s="209" t="s">
        <v>856</v>
      </c>
    </row>
    <row r="1900" spans="1:9">
      <c r="A1900" s="195"/>
      <c r="B1900" s="195" t="s">
        <v>206</v>
      </c>
      <c r="C1900"/>
      <c r="D1900" s="197" t="s">
        <v>269</v>
      </c>
      <c r="E1900" s="197" t="s">
        <v>252</v>
      </c>
      <c r="F1900" s="197" t="s">
        <v>62</v>
      </c>
      <c r="G1900" s="197" t="s">
        <v>270</v>
      </c>
      <c r="H1900" s="197" t="s">
        <v>856</v>
      </c>
      <c r="I1900" s="209" t="s">
        <v>856</v>
      </c>
    </row>
    <row r="1901" spans="1:9">
      <c r="A1901" s="195"/>
      <c r="B1901" s="195" t="s">
        <v>207</v>
      </c>
      <c r="C1901"/>
      <c r="D1901" s="197" t="s">
        <v>269</v>
      </c>
      <c r="E1901" s="197" t="s">
        <v>252</v>
      </c>
      <c r="F1901" s="197" t="s">
        <v>62</v>
      </c>
      <c r="G1901" s="197" t="s">
        <v>270</v>
      </c>
      <c r="H1901" s="197" t="s">
        <v>856</v>
      </c>
      <c r="I1901" s="209" t="s">
        <v>856</v>
      </c>
    </row>
    <row r="1902" spans="1:9">
      <c r="A1902" s="195"/>
      <c r="B1902" s="196" t="s">
        <v>225</v>
      </c>
      <c r="C1902"/>
      <c r="D1902" s="197" t="s">
        <v>269</v>
      </c>
      <c r="E1902" s="197" t="s">
        <v>252</v>
      </c>
      <c r="F1902" s="197" t="s">
        <v>62</v>
      </c>
      <c r="G1902" s="197" t="s">
        <v>270</v>
      </c>
      <c r="H1902" s="197" t="s">
        <v>856</v>
      </c>
      <c r="I1902" s="209" t="s">
        <v>856</v>
      </c>
    </row>
    <row r="1903" spans="1:9">
      <c r="A1903" s="195"/>
      <c r="B1903" s="195" t="s">
        <v>205</v>
      </c>
      <c r="C1903"/>
      <c r="D1903" s="197" t="s">
        <v>475</v>
      </c>
      <c r="E1903" s="197" t="s">
        <v>252</v>
      </c>
      <c r="F1903" s="197" t="s">
        <v>62</v>
      </c>
      <c r="G1903" s="197" t="s">
        <v>270</v>
      </c>
      <c r="H1903" s="209" t="s">
        <v>856</v>
      </c>
      <c r="I1903" s="209" t="s">
        <v>856</v>
      </c>
    </row>
    <row r="1904" spans="1:9">
      <c r="A1904" s="195"/>
      <c r="B1904" s="195" t="s">
        <v>206</v>
      </c>
      <c r="C1904"/>
      <c r="D1904" s="197" t="s">
        <v>361</v>
      </c>
      <c r="E1904" s="197" t="s">
        <v>252</v>
      </c>
      <c r="F1904" s="197" t="s">
        <v>62</v>
      </c>
      <c r="G1904" s="197" t="s">
        <v>270</v>
      </c>
      <c r="H1904" s="209" t="s">
        <v>856</v>
      </c>
      <c r="I1904" s="209" t="s">
        <v>856</v>
      </c>
    </row>
    <row r="1905" spans="1:12">
      <c r="A1905" s="195"/>
      <c r="B1905" s="195" t="s">
        <v>207</v>
      </c>
      <c r="C1905"/>
      <c r="D1905" s="197"/>
      <c r="E1905" s="197"/>
      <c r="F1905" s="197"/>
      <c r="G1905" s="197" t="s">
        <v>270</v>
      </c>
      <c r="H1905" s="209"/>
      <c r="I1905" s="209"/>
    </row>
    <row r="1906" spans="1:12">
      <c r="A1906" s="195"/>
      <c r="B1906" s="196" t="s">
        <v>226</v>
      </c>
      <c r="C1906"/>
      <c r="D1906" s="197"/>
      <c r="E1906" s="197"/>
      <c r="F1906" s="197"/>
      <c r="G1906" s="197" t="s">
        <v>270</v>
      </c>
      <c r="H1906" s="209"/>
      <c r="I1906" s="209"/>
    </row>
    <row r="1907" spans="1:12">
      <c r="A1907" s="195"/>
      <c r="B1907" s="195" t="s">
        <v>205</v>
      </c>
      <c r="C1907"/>
      <c r="D1907" s="197"/>
      <c r="E1907" s="197"/>
      <c r="F1907" s="197"/>
      <c r="G1907" s="197" t="s">
        <v>270</v>
      </c>
      <c r="H1907" s="209"/>
      <c r="I1907" s="209"/>
    </row>
    <row r="1908" spans="1:12">
      <c r="A1908" s="195"/>
      <c r="B1908" s="195" t="s">
        <v>206</v>
      </c>
      <c r="C1908"/>
      <c r="D1908" s="197"/>
      <c r="E1908" s="197"/>
      <c r="F1908" s="197"/>
      <c r="G1908" s="197" t="s">
        <v>270</v>
      </c>
      <c r="H1908" s="209"/>
      <c r="I1908" s="209"/>
    </row>
    <row r="1909" spans="1:12">
      <c r="A1909" s="195"/>
      <c r="B1909" s="195" t="s">
        <v>207</v>
      </c>
      <c r="C1909"/>
      <c r="D1909" s="197"/>
      <c r="E1909" s="197"/>
      <c r="F1909" s="197"/>
      <c r="G1909" s="197" t="s">
        <v>270</v>
      </c>
      <c r="H1909" s="209"/>
      <c r="I1909" s="209"/>
    </row>
    <row r="1910" spans="1:12">
      <c r="A1910" s="195"/>
      <c r="B1910" s="196" t="s">
        <v>227</v>
      </c>
      <c r="C1910"/>
      <c r="D1910" s="197"/>
      <c r="E1910" s="197"/>
      <c r="F1910" s="197"/>
      <c r="G1910" s="197"/>
      <c r="H1910" s="209"/>
      <c r="I1910" s="209"/>
      <c r="K1910"/>
    </row>
    <row r="1911" spans="1:12" ht="29.25" thickBot="1">
      <c r="A1911" s="182" t="str">
        <f>"回収シフト  第"&amp;ROUNDUP(DAY(B1914)/7,0)  &amp;"  "&amp;TEXT(B1914,"aaaa")</f>
        <v>回収シフト  第2  水曜日</v>
      </c>
      <c r="B1911" s="183"/>
      <c r="C1911" s="183"/>
      <c r="D1911" s="183"/>
      <c r="E1911" s="183"/>
      <c r="F1911" s="183"/>
      <c r="G1911" s="184"/>
      <c r="H1911" s="184"/>
      <c r="I1911" s="184"/>
      <c r="K1911" s="183"/>
      <c r="L1911" s="183"/>
    </row>
    <row r="1912" spans="1:12" ht="15.75" thickBot="1">
      <c r="A1912"/>
      <c r="B1912"/>
      <c r="C1912"/>
      <c r="D1912" s="186" t="s">
        <v>201</v>
      </c>
      <c r="E1912" s="186" t="s">
        <v>202</v>
      </c>
      <c r="F1912" s="186" t="s">
        <v>203</v>
      </c>
      <c r="G1912" s="186" t="s">
        <v>204</v>
      </c>
      <c r="H1912" s="186" t="s">
        <v>267</v>
      </c>
      <c r="I1912" s="217" t="s">
        <v>267</v>
      </c>
      <c r="K1912" s="230" t="s">
        <v>257</v>
      </c>
      <c r="L1912" s="231"/>
    </row>
    <row r="1913" spans="1:12">
      <c r="A1913" s="187"/>
      <c r="B1913" s="188">
        <v>46119</v>
      </c>
      <c r="C1913" s="187"/>
      <c r="D1913" s="189" t="s">
        <v>857</v>
      </c>
      <c r="E1913" s="189" t="s">
        <v>858</v>
      </c>
      <c r="F1913" s="189" t="s">
        <v>867</v>
      </c>
      <c r="G1913" s="189" t="s">
        <v>923</v>
      </c>
      <c r="H1913" s="189" t="s">
        <v>852</v>
      </c>
      <c r="I1913" s="218" t="s">
        <v>852</v>
      </c>
      <c r="K1913" s="232" t="s">
        <v>258</v>
      </c>
      <c r="L1913" s="190" t="str">
        <f ca="1">_xlfn.XLOOKUP($B1914,シフト抽出!$19:$19,シフト抽出!$20:$20,"該当なし",0,1)</f>
        <v/>
      </c>
    </row>
    <row r="1914" spans="1:12" ht="19.5" thickBot="1">
      <c r="A1914"/>
      <c r="B1914" s="191">
        <f>B1861+1</f>
        <v>46155</v>
      </c>
      <c r="C1914" s="192" t="e">
        <v>#REF!</v>
      </c>
      <c r="D1914" s="193"/>
      <c r="E1914" s="193"/>
      <c r="F1914" s="193"/>
      <c r="G1914" s="193"/>
      <c r="H1914" s="193"/>
      <c r="I1914" s="219"/>
      <c r="K1914" s="233"/>
      <c r="L1914" s="194" t="str">
        <f ca="1">_xlfn.XLOOKUP($B1914,シフト抽出!$19:$19,シフト抽出!$21:$21,"該当なし",0,1)</f>
        <v/>
      </c>
    </row>
    <row r="1915" spans="1:12">
      <c r="A1915" s="195"/>
      <c r="B1915" s="196">
        <v>0.25</v>
      </c>
      <c r="C1915"/>
      <c r="D1915" s="197"/>
      <c r="E1915" s="196"/>
      <c r="F1915" s="197"/>
      <c r="G1915" s="197"/>
      <c r="H1915" s="197"/>
      <c r="I1915" s="209"/>
      <c r="K1915" s="234" t="s">
        <v>259</v>
      </c>
      <c r="L1915" s="198" t="str">
        <f ca="1">_xlfn.XLOOKUP($B1914,シフト抽出!$19:$19,シフト抽出!$23:$23,"該当なし",0,1)</f>
        <v/>
      </c>
    </row>
    <row r="1916" spans="1:12" ht="15.75" thickBot="1">
      <c r="A1916" s="195"/>
      <c r="B1916" s="195" t="s">
        <v>205</v>
      </c>
      <c r="C1916"/>
      <c r="D1916" s="197"/>
      <c r="E1916" s="197"/>
      <c r="F1916" s="197"/>
      <c r="G1916" s="197"/>
      <c r="H1916" s="197"/>
      <c r="I1916" s="209"/>
      <c r="K1916" s="235"/>
      <c r="L1916" s="199" t="str">
        <f ca="1">_xlfn.XLOOKUP($B1914,シフト抽出!$19:$19,シフト抽出!$24:$24,"該当なし",0,1)</f>
        <v/>
      </c>
    </row>
    <row r="1917" spans="1:12">
      <c r="A1917" s="195"/>
      <c r="B1917" s="195" t="s">
        <v>206</v>
      </c>
      <c r="C1917"/>
      <c r="D1917" s="197"/>
      <c r="E1917" s="197" t="s">
        <v>109</v>
      </c>
      <c r="F1917" s="197"/>
      <c r="G1917" s="197"/>
      <c r="H1917" s="197"/>
      <c r="I1917" s="209"/>
      <c r="K1917" s="224" t="s">
        <v>260</v>
      </c>
      <c r="L1917" s="200" t="str">
        <f ca="1">_xlfn.XLOOKUP($B1914,シフト抽出!$19:$19,シフト抽出!$26:$26,"該当なし",0,1)</f>
        <v/>
      </c>
    </row>
    <row r="1918" spans="1:12">
      <c r="A1918" s="195"/>
      <c r="B1918" s="195" t="s">
        <v>207</v>
      </c>
      <c r="C1918"/>
      <c r="D1918" s="197"/>
      <c r="E1918" s="197"/>
      <c r="F1918" s="197"/>
      <c r="G1918" s="197"/>
      <c r="H1918" s="197"/>
      <c r="I1918" s="209"/>
      <c r="K1918" s="225"/>
      <c r="L1918" s="201" t="str">
        <f ca="1">_xlfn.XLOOKUP($B1914,シフト抽出!$19:$19,シフト抽出!$27:$27,"該当なし",0,1)</f>
        <v/>
      </c>
    </row>
    <row r="1919" spans="1:12">
      <c r="A1919" s="195"/>
      <c r="B1919" s="202" t="s">
        <v>208</v>
      </c>
      <c r="C1919"/>
      <c r="D1919" s="197" t="s">
        <v>414</v>
      </c>
      <c r="E1919" s="197" t="s">
        <v>106</v>
      </c>
      <c r="F1919" s="197" t="s">
        <v>264</v>
      </c>
      <c r="G1919" s="197" t="s">
        <v>22</v>
      </c>
      <c r="H1919" s="197" t="s">
        <v>106</v>
      </c>
      <c r="I1919" s="209" t="s">
        <v>106</v>
      </c>
      <c r="J1919" s="203"/>
      <c r="K1919" s="225"/>
      <c r="L1919" s="201" t="str">
        <f ca="1">_xlfn.XLOOKUP($B1914,シフト抽出!$19:$19,シフト抽出!$28:$28,"該当なし",0,1)</f>
        <v/>
      </c>
    </row>
    <row r="1920" spans="1:12" ht="15.75" thickBot="1">
      <c r="A1920" s="195"/>
      <c r="B1920" s="195" t="s">
        <v>205</v>
      </c>
      <c r="C1920"/>
      <c r="D1920" s="197" t="s">
        <v>414</v>
      </c>
      <c r="E1920" s="197" t="s">
        <v>106</v>
      </c>
      <c r="F1920" s="197" t="s">
        <v>264</v>
      </c>
      <c r="G1920" s="197" t="s">
        <v>22</v>
      </c>
      <c r="H1920" s="197" t="s">
        <v>106</v>
      </c>
      <c r="I1920" s="209" t="s">
        <v>106</v>
      </c>
      <c r="J1920" s="203"/>
      <c r="K1920" s="226"/>
      <c r="L1920" s="204" t="str">
        <f ca="1">_xlfn.XLOOKUP($B1914,シフト抽出!$19:$19,シフト抽出!$29:$29,"該当なし",0,1)</f>
        <v/>
      </c>
    </row>
    <row r="1921" spans="1:12" ht="15.75" thickBot="1">
      <c r="A1921" s="195"/>
      <c r="B1921" s="195" t="s">
        <v>206</v>
      </c>
      <c r="C1921"/>
      <c r="D1921" s="197" t="s">
        <v>414</v>
      </c>
      <c r="E1921" s="197" t="s">
        <v>106</v>
      </c>
      <c r="F1921" s="197" t="s">
        <v>851</v>
      </c>
      <c r="G1921" s="197" t="s">
        <v>788</v>
      </c>
      <c r="H1921" s="197" t="s">
        <v>106</v>
      </c>
      <c r="I1921" s="209" t="s">
        <v>106</v>
      </c>
      <c r="K1921" s="205" t="s">
        <v>261</v>
      </c>
      <c r="L1921" s="205">
        <f>_xlfn.XLOOKUP($B1914,予定表!B:B,予定表!R:R,"該当なし",0,1)</f>
        <v>0</v>
      </c>
    </row>
    <row r="1922" spans="1:12">
      <c r="A1922" s="195"/>
      <c r="B1922" s="195" t="s">
        <v>207</v>
      </c>
      <c r="C1922"/>
      <c r="D1922" s="197" t="s">
        <v>414</v>
      </c>
      <c r="E1922" s="197" t="s">
        <v>106</v>
      </c>
      <c r="F1922" s="197" t="s">
        <v>851</v>
      </c>
      <c r="G1922" s="197" t="s">
        <v>788</v>
      </c>
      <c r="H1922" s="197" t="s">
        <v>106</v>
      </c>
      <c r="I1922" s="209" t="s">
        <v>106</v>
      </c>
      <c r="K1922" s="227" t="s">
        <v>262</v>
      </c>
      <c r="L1922" s="206">
        <f>_xlfn.XLOOKUP($B1914,予定表!$B:$B,予定表!E:E,"該当なし",0,1)</f>
        <v>0</v>
      </c>
    </row>
    <row r="1923" spans="1:12">
      <c r="A1923" s="195"/>
      <c r="B1923" s="196" t="s">
        <v>209</v>
      </c>
      <c r="C1923"/>
      <c r="D1923" s="197" t="s">
        <v>414</v>
      </c>
      <c r="E1923" s="197" t="s">
        <v>106</v>
      </c>
      <c r="F1923" s="197" t="s">
        <v>851</v>
      </c>
      <c r="G1923" s="197" t="s">
        <v>268</v>
      </c>
      <c r="H1923" s="197" t="s">
        <v>106</v>
      </c>
      <c r="I1923" s="209" t="s">
        <v>106</v>
      </c>
      <c r="K1923" s="228"/>
      <c r="L1923" s="207">
        <f>_xlfn.XLOOKUP($B1914,予定表!$B:$B,予定表!F:F,"該当なし",0,1)</f>
        <v>0</v>
      </c>
    </row>
    <row r="1924" spans="1:12">
      <c r="A1924" s="195"/>
      <c r="B1924" s="195" t="s">
        <v>205</v>
      </c>
      <c r="C1924"/>
      <c r="D1924" s="197" t="s">
        <v>414</v>
      </c>
      <c r="E1924" s="197" t="s">
        <v>106</v>
      </c>
      <c r="F1924" s="197"/>
      <c r="G1924" s="197" t="s">
        <v>268</v>
      </c>
      <c r="H1924" s="197" t="s">
        <v>106</v>
      </c>
      <c r="I1924" s="209" t="s">
        <v>106</v>
      </c>
      <c r="K1924" s="228"/>
      <c r="L1924" s="207">
        <f>_xlfn.XLOOKUP($B1914,予定表!$B:$B,予定表!G:G,"該当なし",0,1)</f>
        <v>0</v>
      </c>
    </row>
    <row r="1925" spans="1:12">
      <c r="A1925" s="195"/>
      <c r="B1925" s="195" t="s">
        <v>206</v>
      </c>
      <c r="C1925"/>
      <c r="D1925" s="197" t="s">
        <v>214</v>
      </c>
      <c r="E1925" s="197" t="s">
        <v>106</v>
      </c>
      <c r="F1925" s="197"/>
      <c r="G1925" s="197" t="s">
        <v>268</v>
      </c>
      <c r="H1925" s="197" t="s">
        <v>106</v>
      </c>
      <c r="I1925" s="209" t="s">
        <v>106</v>
      </c>
      <c r="K1925" s="228"/>
      <c r="L1925" s="207" t="str">
        <f>_xlfn.XLOOKUP($B1914,予定表!$B:$B,予定表!H:H,"該当なし",0,1)</f>
        <v>資さんうどん</v>
      </c>
    </row>
    <row r="1926" spans="1:12">
      <c r="A1926" s="195"/>
      <c r="B1926" s="195" t="s">
        <v>207</v>
      </c>
      <c r="C1926"/>
      <c r="D1926" s="197" t="s">
        <v>214</v>
      </c>
      <c r="E1926" s="197" t="s">
        <v>106</v>
      </c>
      <c r="F1926" s="197"/>
      <c r="G1926" s="197" t="s">
        <v>268</v>
      </c>
      <c r="H1926" s="197" t="s">
        <v>106</v>
      </c>
      <c r="I1926" s="209" t="s">
        <v>106</v>
      </c>
      <c r="K1926" s="228"/>
      <c r="L1926" s="207" t="str">
        <f>_xlfn.XLOOKUP($B1914,予定表!$B:$B,予定表!I:I,"該当なし",0,1)</f>
        <v/>
      </c>
    </row>
    <row r="1927" spans="1:12">
      <c r="A1927" s="195"/>
      <c r="B1927" s="196" t="s">
        <v>212</v>
      </c>
      <c r="C1927"/>
      <c r="D1927" s="197" t="s">
        <v>214</v>
      </c>
      <c r="E1927" s="197" t="s">
        <v>106</v>
      </c>
      <c r="F1927" s="197"/>
      <c r="G1927" s="197" t="s">
        <v>268</v>
      </c>
      <c r="H1927" s="197" t="s">
        <v>106</v>
      </c>
      <c r="I1927" s="209" t="s">
        <v>106</v>
      </c>
      <c r="K1927" s="228"/>
      <c r="L1927" s="207" t="str">
        <f>_xlfn.XLOOKUP($B1914,予定表!$B:$B,予定表!J:J,"該当なし",0,1)</f>
        <v/>
      </c>
    </row>
    <row r="1928" spans="1:12">
      <c r="A1928" s="195"/>
      <c r="B1928" s="195" t="s">
        <v>205</v>
      </c>
      <c r="C1928"/>
      <c r="D1928" s="197" t="s">
        <v>214</v>
      </c>
      <c r="E1928" s="197" t="s">
        <v>106</v>
      </c>
      <c r="F1928" s="197" t="s">
        <v>397</v>
      </c>
      <c r="G1928" s="197" t="s">
        <v>268</v>
      </c>
      <c r="H1928" s="197" t="s">
        <v>106</v>
      </c>
      <c r="I1928" s="209" t="s">
        <v>106</v>
      </c>
      <c r="K1928" s="228"/>
      <c r="L1928" s="207" t="str">
        <f>_xlfn.XLOOKUP($B1914,予定表!$B:$B,予定表!K:K,"該当なし",0,1)</f>
        <v/>
      </c>
    </row>
    <row r="1929" spans="1:12">
      <c r="A1929" s="195"/>
      <c r="B1929" s="195" t="s">
        <v>206</v>
      </c>
      <c r="C1929"/>
      <c r="D1929" s="197" t="s">
        <v>761</v>
      </c>
      <c r="E1929" s="197" t="s">
        <v>106</v>
      </c>
      <c r="F1929" s="197" t="s">
        <v>397</v>
      </c>
      <c r="G1929" s="197" t="s">
        <v>515</v>
      </c>
      <c r="H1929" s="197" t="s">
        <v>106</v>
      </c>
      <c r="I1929" s="209" t="s">
        <v>106</v>
      </c>
      <c r="K1929" s="228"/>
      <c r="L1929" s="207" t="str">
        <f>_xlfn.XLOOKUP($B1914,予定表!$B:$B,予定表!L:L,"該当なし",0,1)</f>
        <v/>
      </c>
    </row>
    <row r="1930" spans="1:12" ht="15.75" thickBot="1">
      <c r="A1930" s="195"/>
      <c r="B1930" s="195" t="s">
        <v>207</v>
      </c>
      <c r="C1930"/>
      <c r="D1930" s="197" t="s">
        <v>761</v>
      </c>
      <c r="E1930" s="197" t="s">
        <v>106</v>
      </c>
      <c r="F1930" s="197" t="s">
        <v>224</v>
      </c>
      <c r="G1930" s="197" t="s">
        <v>515</v>
      </c>
      <c r="H1930" s="197" t="s">
        <v>106</v>
      </c>
      <c r="I1930" s="209" t="s">
        <v>106</v>
      </c>
      <c r="K1930" s="229"/>
      <c r="L1930" s="204" t="str">
        <f>_xlfn.XLOOKUP($A1911,ﾘｽﾄマスタ!$U$8:$U$17,ﾘｽﾄマスタ!$V$8:$V$17,"",0)</f>
        <v>裕源・自衛隊</v>
      </c>
    </row>
    <row r="1931" spans="1:12" ht="15.75" thickBot="1">
      <c r="A1931" s="195"/>
      <c r="B1931" s="196" t="s">
        <v>251</v>
      </c>
      <c r="C1931"/>
      <c r="D1931" s="197" t="s">
        <v>761</v>
      </c>
      <c r="E1931" s="197" t="s">
        <v>106</v>
      </c>
      <c r="F1931" s="197" t="s">
        <v>224</v>
      </c>
      <c r="G1931" s="197" t="s">
        <v>269</v>
      </c>
      <c r="H1931" s="197" t="s">
        <v>106</v>
      </c>
      <c r="I1931" s="209" t="s">
        <v>106</v>
      </c>
      <c r="K1931" s="208" t="s">
        <v>277</v>
      </c>
      <c r="L1931" s="208" t="str">
        <f ca="1">_xlfn.XLOOKUP($B1914,シフト抽出!$19:$19,シフト抽出!$30:$30,"該当なし",0,1)</f>
        <v/>
      </c>
    </row>
    <row r="1932" spans="1:12">
      <c r="A1932" s="195"/>
      <c r="B1932" s="195" t="s">
        <v>205</v>
      </c>
      <c r="C1932"/>
      <c r="D1932" s="197" t="s">
        <v>280</v>
      </c>
      <c r="E1932" s="197" t="s">
        <v>106</v>
      </c>
      <c r="F1932" s="197" t="s">
        <v>224</v>
      </c>
      <c r="G1932" s="197" t="s">
        <v>269</v>
      </c>
      <c r="H1932" s="197" t="s">
        <v>106</v>
      </c>
      <c r="I1932" s="209" t="s">
        <v>106</v>
      </c>
    </row>
    <row r="1933" spans="1:12">
      <c r="A1933" s="195"/>
      <c r="B1933" s="195" t="s">
        <v>206</v>
      </c>
      <c r="C1933"/>
      <c r="D1933" s="197" t="s">
        <v>280</v>
      </c>
      <c r="E1933" s="197" t="s">
        <v>106</v>
      </c>
      <c r="F1933" s="197" t="s">
        <v>127</v>
      </c>
      <c r="G1933" s="197" t="s">
        <v>269</v>
      </c>
      <c r="H1933" s="197" t="s">
        <v>106</v>
      </c>
      <c r="I1933" s="209" t="s">
        <v>106</v>
      </c>
    </row>
    <row r="1934" spans="1:12">
      <c r="A1934" s="195"/>
      <c r="B1934" s="195" t="s">
        <v>207</v>
      </c>
      <c r="C1934"/>
      <c r="D1934" s="197" t="s">
        <v>215</v>
      </c>
      <c r="E1934" s="197" t="s">
        <v>106</v>
      </c>
      <c r="F1934" s="197" t="s">
        <v>127</v>
      </c>
      <c r="G1934" s="197" t="s">
        <v>446</v>
      </c>
      <c r="H1934" s="197" t="s">
        <v>106</v>
      </c>
      <c r="I1934" s="209" t="s">
        <v>106</v>
      </c>
    </row>
    <row r="1935" spans="1:12">
      <c r="A1935" s="195"/>
      <c r="B1935" s="196" t="s">
        <v>217</v>
      </c>
      <c r="C1935"/>
      <c r="D1935" s="197" t="s">
        <v>160</v>
      </c>
      <c r="E1935" s="197" t="s">
        <v>106</v>
      </c>
      <c r="F1935" s="197" t="s">
        <v>51</v>
      </c>
      <c r="G1935" s="197" t="s">
        <v>114</v>
      </c>
      <c r="H1935" s="197" t="s">
        <v>106</v>
      </c>
      <c r="I1935" s="209" t="s">
        <v>106</v>
      </c>
    </row>
    <row r="1936" spans="1:12">
      <c r="A1936" s="195"/>
      <c r="B1936" s="195" t="s">
        <v>205</v>
      </c>
      <c r="C1936"/>
      <c r="D1936" s="197" t="s">
        <v>160</v>
      </c>
      <c r="E1936" s="197" t="s">
        <v>106</v>
      </c>
      <c r="F1936" s="197" t="s">
        <v>51</v>
      </c>
      <c r="G1936" s="197" t="s">
        <v>114</v>
      </c>
      <c r="H1936" s="197" t="s">
        <v>106</v>
      </c>
      <c r="I1936" s="209" t="s">
        <v>106</v>
      </c>
    </row>
    <row r="1937" spans="1:9">
      <c r="A1937" s="195"/>
      <c r="B1937" s="195" t="s">
        <v>206</v>
      </c>
      <c r="C1937"/>
      <c r="D1937" s="197"/>
      <c r="E1937" s="197" t="s">
        <v>106</v>
      </c>
      <c r="F1937" s="197" t="s">
        <v>51</v>
      </c>
      <c r="G1937" s="197" t="s">
        <v>114</v>
      </c>
      <c r="H1937" s="197" t="s">
        <v>106</v>
      </c>
      <c r="I1937" s="209" t="s">
        <v>106</v>
      </c>
    </row>
    <row r="1938" spans="1:9">
      <c r="A1938" s="195"/>
      <c r="B1938" s="195" t="s">
        <v>207</v>
      </c>
      <c r="C1938"/>
      <c r="D1938" s="197"/>
      <c r="E1938" s="197" t="s">
        <v>106</v>
      </c>
      <c r="F1938" s="197"/>
      <c r="G1938" s="197"/>
      <c r="H1938" s="197" t="s">
        <v>106</v>
      </c>
      <c r="I1938" s="209" t="s">
        <v>106</v>
      </c>
    </row>
    <row r="1939" spans="1:9">
      <c r="A1939" s="195"/>
      <c r="B1939" s="196" t="s">
        <v>219</v>
      </c>
      <c r="C1939"/>
      <c r="D1939" s="197"/>
      <c r="E1939" s="197"/>
      <c r="F1939" s="197"/>
      <c r="G1939" s="197"/>
      <c r="H1939" s="197"/>
      <c r="I1939" s="209"/>
    </row>
    <row r="1940" spans="1:9">
      <c r="A1940" s="195"/>
      <c r="B1940" s="195" t="s">
        <v>205</v>
      </c>
      <c r="C1940"/>
      <c r="D1940" s="197"/>
      <c r="E1940" s="197"/>
      <c r="F1940" s="197"/>
      <c r="G1940" s="197"/>
      <c r="H1940" s="197"/>
      <c r="I1940" s="209"/>
    </row>
    <row r="1941" spans="1:9">
      <c r="A1941" s="195"/>
      <c r="B1941" s="195" t="s">
        <v>206</v>
      </c>
      <c r="C1941"/>
      <c r="D1941" s="197"/>
      <c r="E1941" s="197"/>
      <c r="F1941" s="197"/>
      <c r="G1941" s="197"/>
      <c r="H1941" s="197"/>
      <c r="I1941" s="209"/>
    </row>
    <row r="1942" spans="1:9">
      <c r="A1942" s="195"/>
      <c r="B1942" s="195" t="s">
        <v>207</v>
      </c>
      <c r="C1942"/>
      <c r="D1942" s="197"/>
      <c r="E1942" s="197"/>
      <c r="F1942" s="197"/>
      <c r="G1942" s="197"/>
      <c r="H1942" s="197"/>
      <c r="I1942" s="209"/>
    </row>
    <row r="1943" spans="1:9">
      <c r="A1943" s="195"/>
      <c r="B1943" s="196" t="s">
        <v>220</v>
      </c>
      <c r="C1943"/>
      <c r="D1943" s="189" t="s">
        <v>248</v>
      </c>
      <c r="E1943" s="189" t="s">
        <v>863</v>
      </c>
      <c r="F1943" s="197"/>
      <c r="G1943" s="189" t="s">
        <v>925</v>
      </c>
      <c r="H1943" s="197"/>
      <c r="I1943" s="209"/>
    </row>
    <row r="1944" spans="1:9">
      <c r="A1944" s="195"/>
      <c r="B1944" s="195" t="s">
        <v>205</v>
      </c>
      <c r="C1944"/>
      <c r="D1944" s="197" t="s">
        <v>759</v>
      </c>
      <c r="E1944" s="197" t="s">
        <v>273</v>
      </c>
      <c r="F1944" s="197" t="s">
        <v>252</v>
      </c>
      <c r="G1944" s="197" t="s">
        <v>56</v>
      </c>
      <c r="H1944" s="197" t="s">
        <v>848</v>
      </c>
      <c r="I1944" s="209" t="s">
        <v>848</v>
      </c>
    </row>
    <row r="1945" spans="1:9">
      <c r="A1945" s="195"/>
      <c r="B1945" s="195" t="s">
        <v>206</v>
      </c>
      <c r="C1945"/>
      <c r="D1945" s="197" t="s">
        <v>759</v>
      </c>
      <c r="E1945" s="197" t="s">
        <v>273</v>
      </c>
      <c r="F1945" s="197" t="s">
        <v>252</v>
      </c>
      <c r="G1945" s="197" t="s">
        <v>56</v>
      </c>
      <c r="H1945" s="197" t="s">
        <v>848</v>
      </c>
      <c r="I1945" s="209" t="s">
        <v>848</v>
      </c>
    </row>
    <row r="1946" spans="1:9">
      <c r="A1946" s="195"/>
      <c r="B1946" s="195" t="s">
        <v>207</v>
      </c>
      <c r="C1946"/>
      <c r="D1946" s="197" t="s">
        <v>759</v>
      </c>
      <c r="E1946" s="197" t="s">
        <v>273</v>
      </c>
      <c r="F1946" s="197" t="s">
        <v>252</v>
      </c>
      <c r="G1946" s="197" t="s">
        <v>56</v>
      </c>
      <c r="H1946" s="197" t="s">
        <v>848</v>
      </c>
      <c r="I1946" s="209" t="s">
        <v>848</v>
      </c>
    </row>
    <row r="1947" spans="1:9">
      <c r="A1947" s="195"/>
      <c r="B1947" s="196" t="s">
        <v>222</v>
      </c>
      <c r="C1947"/>
      <c r="D1947" s="197" t="s">
        <v>759</v>
      </c>
      <c r="E1947" s="197" t="s">
        <v>273</v>
      </c>
      <c r="F1947" s="197" t="s">
        <v>252</v>
      </c>
      <c r="G1947" s="197" t="s">
        <v>4</v>
      </c>
      <c r="H1947" s="197" t="s">
        <v>848</v>
      </c>
      <c r="I1947" s="209" t="s">
        <v>848</v>
      </c>
    </row>
    <row r="1948" spans="1:9">
      <c r="A1948" s="195"/>
      <c r="B1948" s="195" t="s">
        <v>205</v>
      </c>
      <c r="C1948"/>
      <c r="D1948" s="197" t="s">
        <v>216</v>
      </c>
      <c r="E1948" s="197" t="s">
        <v>186</v>
      </c>
      <c r="F1948" s="197" t="s">
        <v>252</v>
      </c>
      <c r="G1948" s="197" t="s">
        <v>270</v>
      </c>
      <c r="H1948" s="197" t="s">
        <v>848</v>
      </c>
      <c r="I1948" s="209" t="s">
        <v>848</v>
      </c>
    </row>
    <row r="1949" spans="1:9">
      <c r="A1949" s="195"/>
      <c r="B1949" s="195" t="s">
        <v>206</v>
      </c>
      <c r="C1949"/>
      <c r="D1949" s="197" t="s">
        <v>216</v>
      </c>
      <c r="E1949" s="197" t="s">
        <v>186</v>
      </c>
      <c r="F1949" s="197" t="s">
        <v>252</v>
      </c>
      <c r="G1949" s="197" t="s">
        <v>270</v>
      </c>
      <c r="H1949" s="197" t="s">
        <v>229</v>
      </c>
      <c r="I1949" s="209" t="s">
        <v>229</v>
      </c>
    </row>
    <row r="1950" spans="1:9">
      <c r="A1950" s="195"/>
      <c r="B1950" s="195" t="s">
        <v>207</v>
      </c>
      <c r="C1950"/>
      <c r="D1950" s="197" t="s">
        <v>216</v>
      </c>
      <c r="E1950" s="197" t="s">
        <v>252</v>
      </c>
      <c r="F1950" s="197" t="s">
        <v>252</v>
      </c>
      <c r="G1950" s="197" t="s">
        <v>270</v>
      </c>
      <c r="H1950" s="197" t="s">
        <v>229</v>
      </c>
      <c r="I1950" s="209" t="s">
        <v>229</v>
      </c>
    </row>
    <row r="1951" spans="1:9">
      <c r="A1951" s="195"/>
      <c r="B1951" s="196" t="s">
        <v>223</v>
      </c>
      <c r="C1951"/>
      <c r="D1951" s="197" t="s">
        <v>216</v>
      </c>
      <c r="E1951" s="197" t="s">
        <v>252</v>
      </c>
      <c r="F1951" s="197" t="s">
        <v>252</v>
      </c>
      <c r="G1951" s="197" t="s">
        <v>270</v>
      </c>
      <c r="H1951" s="197" t="s">
        <v>230</v>
      </c>
      <c r="I1951" s="209" t="s">
        <v>230</v>
      </c>
    </row>
    <row r="1952" spans="1:9">
      <c r="A1952" s="195"/>
      <c r="B1952" s="195" t="s">
        <v>205</v>
      </c>
      <c r="C1952"/>
      <c r="D1952" s="197" t="s">
        <v>216</v>
      </c>
      <c r="E1952" s="197" t="s">
        <v>252</v>
      </c>
      <c r="F1952" s="197" t="s">
        <v>252</v>
      </c>
      <c r="G1952" s="197" t="s">
        <v>270</v>
      </c>
      <c r="H1952" s="197" t="s">
        <v>230</v>
      </c>
      <c r="I1952" s="209" t="s">
        <v>230</v>
      </c>
    </row>
    <row r="1953" spans="1:12">
      <c r="A1953" s="195"/>
      <c r="B1953" s="195" t="s">
        <v>206</v>
      </c>
      <c r="C1953"/>
      <c r="D1953" s="197" t="s">
        <v>523</v>
      </c>
      <c r="E1953" s="197" t="s">
        <v>252</v>
      </c>
      <c r="F1953" s="197" t="s">
        <v>252</v>
      </c>
      <c r="G1953" s="197" t="s">
        <v>270</v>
      </c>
      <c r="H1953" s="197" t="s">
        <v>230</v>
      </c>
      <c r="I1953" s="209" t="s">
        <v>230</v>
      </c>
    </row>
    <row r="1954" spans="1:12">
      <c r="A1954" s="195"/>
      <c r="B1954" s="195" t="s">
        <v>207</v>
      </c>
      <c r="C1954"/>
      <c r="D1954" s="197" t="s">
        <v>523</v>
      </c>
      <c r="E1954" s="197" t="s">
        <v>252</v>
      </c>
      <c r="F1954" s="197" t="s">
        <v>252</v>
      </c>
      <c r="G1954" s="197" t="s">
        <v>270</v>
      </c>
      <c r="H1954" s="197" t="s">
        <v>230</v>
      </c>
      <c r="I1954" s="209" t="s">
        <v>230</v>
      </c>
    </row>
    <row r="1955" spans="1:12">
      <c r="A1955" s="195"/>
      <c r="B1955" s="196" t="s">
        <v>225</v>
      </c>
      <c r="C1955"/>
      <c r="D1955" s="197"/>
      <c r="E1955" s="197" t="s">
        <v>252</v>
      </c>
      <c r="F1955" s="197"/>
      <c r="G1955" s="197" t="s">
        <v>270</v>
      </c>
      <c r="H1955" s="197" t="s">
        <v>230</v>
      </c>
      <c r="I1955" s="209" t="s">
        <v>230</v>
      </c>
    </row>
    <row r="1956" spans="1:12">
      <c r="A1956" s="195"/>
      <c r="B1956" s="195" t="s">
        <v>205</v>
      </c>
      <c r="C1956"/>
      <c r="D1956" s="197"/>
      <c r="E1956" s="197" t="s">
        <v>252</v>
      </c>
      <c r="F1956" s="197"/>
      <c r="G1956" s="197" t="s">
        <v>270</v>
      </c>
      <c r="H1956" s="209" t="s">
        <v>415</v>
      </c>
      <c r="I1956" s="209" t="s">
        <v>415</v>
      </c>
    </row>
    <row r="1957" spans="1:12">
      <c r="A1957" s="195"/>
      <c r="B1957" s="195" t="s">
        <v>206</v>
      </c>
      <c r="C1957"/>
      <c r="D1957" s="197"/>
      <c r="E1957" s="197" t="s">
        <v>252</v>
      </c>
      <c r="F1957" s="197"/>
      <c r="G1957" s="197" t="s">
        <v>270</v>
      </c>
      <c r="H1957" s="209" t="s">
        <v>415</v>
      </c>
      <c r="I1957" s="209" t="s">
        <v>415</v>
      </c>
    </row>
    <row r="1958" spans="1:12">
      <c r="A1958" s="195"/>
      <c r="B1958" s="195" t="s">
        <v>207</v>
      </c>
      <c r="C1958"/>
      <c r="D1958" s="197"/>
      <c r="E1958" s="197" t="s">
        <v>252</v>
      </c>
      <c r="F1958" s="197"/>
      <c r="G1958" s="197" t="s">
        <v>270</v>
      </c>
      <c r="H1958" s="209" t="s">
        <v>415</v>
      </c>
      <c r="I1958" s="209" t="s">
        <v>415</v>
      </c>
    </row>
    <row r="1959" spans="1:12">
      <c r="A1959" s="195"/>
      <c r="B1959" s="196" t="s">
        <v>226</v>
      </c>
      <c r="C1959"/>
      <c r="D1959" s="197"/>
      <c r="E1959" s="197"/>
      <c r="F1959" s="197"/>
      <c r="G1959" s="197" t="s">
        <v>270</v>
      </c>
      <c r="H1959" s="209"/>
      <c r="I1959" s="209"/>
    </row>
    <row r="1960" spans="1:12">
      <c r="A1960" s="195"/>
      <c r="B1960" s="195" t="s">
        <v>205</v>
      </c>
      <c r="C1960"/>
      <c r="D1960" s="197"/>
      <c r="E1960" s="197"/>
      <c r="F1960" s="197"/>
      <c r="G1960" s="197"/>
      <c r="H1960" s="209"/>
      <c r="I1960" s="209"/>
    </row>
    <row r="1961" spans="1:12">
      <c r="A1961" s="195"/>
      <c r="B1961" s="195" t="s">
        <v>206</v>
      </c>
      <c r="C1961"/>
      <c r="D1961" s="197"/>
      <c r="E1961" s="197"/>
      <c r="F1961" s="197"/>
      <c r="G1961" s="197"/>
      <c r="H1961" s="209"/>
      <c r="I1961" s="209"/>
    </row>
    <row r="1962" spans="1:12">
      <c r="A1962" s="195"/>
      <c r="B1962" s="195" t="s">
        <v>207</v>
      </c>
      <c r="C1962"/>
      <c r="D1962" s="197"/>
      <c r="E1962" s="197"/>
      <c r="F1962" s="197"/>
      <c r="G1962" s="197"/>
      <c r="H1962" s="209"/>
      <c r="I1962" s="209"/>
    </row>
    <row r="1963" spans="1:12">
      <c r="A1963" s="195"/>
      <c r="B1963" s="196" t="s">
        <v>227</v>
      </c>
      <c r="C1963"/>
      <c r="D1963" s="197"/>
      <c r="E1963" s="197"/>
      <c r="F1963" s="197"/>
      <c r="G1963" s="197"/>
      <c r="H1963" s="209"/>
      <c r="I1963" s="209"/>
      <c r="K1963"/>
    </row>
    <row r="1964" spans="1:12" ht="29.25" thickBot="1">
      <c r="A1964" s="182" t="str">
        <f>"回収シフト  第"&amp;ROUNDUP(DAY(B1967)/7,0)  &amp;"  "&amp;TEXT(B1967,"aaaa")</f>
        <v>回収シフト  第2  木曜日</v>
      </c>
      <c r="B1964" s="183"/>
      <c r="C1964" s="183"/>
      <c r="D1964" s="183"/>
      <c r="E1964" s="183"/>
      <c r="F1964" s="183"/>
      <c r="G1964" s="184"/>
      <c r="H1964" s="184"/>
      <c r="I1964" s="184"/>
      <c r="K1964" s="183"/>
      <c r="L1964" s="183"/>
    </row>
    <row r="1965" spans="1:12" ht="15.75" thickBot="1">
      <c r="A1965"/>
      <c r="B1965"/>
      <c r="C1965"/>
      <c r="D1965" s="186" t="s">
        <v>201</v>
      </c>
      <c r="E1965" s="186" t="s">
        <v>202</v>
      </c>
      <c r="F1965" s="186" t="s">
        <v>203</v>
      </c>
      <c r="G1965" s="186" t="s">
        <v>204</v>
      </c>
      <c r="H1965" s="186" t="s">
        <v>267</v>
      </c>
      <c r="I1965" s="217" t="s">
        <v>267</v>
      </c>
      <c r="K1965" s="230" t="s">
        <v>257</v>
      </c>
      <c r="L1965" s="231"/>
    </row>
    <row r="1966" spans="1:12">
      <c r="A1966" s="187"/>
      <c r="B1966" s="188">
        <v>46119</v>
      </c>
      <c r="C1966" s="187"/>
      <c r="D1966" s="189" t="s">
        <v>926</v>
      </c>
      <c r="E1966" s="189" t="s">
        <v>247</v>
      </c>
      <c r="F1966" s="189" t="s">
        <v>867</v>
      </c>
      <c r="G1966" s="189" t="s">
        <v>935</v>
      </c>
      <c r="H1966" s="189" t="s">
        <v>852</v>
      </c>
      <c r="I1966" s="218" t="s">
        <v>852</v>
      </c>
      <c r="K1966" s="232" t="s">
        <v>258</v>
      </c>
      <c r="L1966" s="190" t="str">
        <f ca="1">_xlfn.XLOOKUP($B1967,シフト抽出!$19:$19,シフト抽出!$20:$20,"該当なし",0,1)</f>
        <v/>
      </c>
    </row>
    <row r="1967" spans="1:12" ht="19.5" thickBot="1">
      <c r="A1967"/>
      <c r="B1967" s="191">
        <f>B1914+1</f>
        <v>46156</v>
      </c>
      <c r="C1967" s="192"/>
      <c r="D1967" s="193"/>
      <c r="E1967" s="193"/>
      <c r="F1967" s="193"/>
      <c r="G1967" s="193"/>
      <c r="H1967" s="193"/>
      <c r="I1967" s="219"/>
      <c r="K1967" s="233"/>
      <c r="L1967" s="194" t="str">
        <f ca="1">_xlfn.XLOOKUP($B1967,シフト抽出!$19:$19,シフト抽出!$21:$21,"該当なし",0,1)</f>
        <v/>
      </c>
    </row>
    <row r="1968" spans="1:12">
      <c r="A1968" s="195"/>
      <c r="B1968" s="196">
        <v>0.25</v>
      </c>
      <c r="C1968"/>
      <c r="D1968" s="197"/>
      <c r="E1968" s="196"/>
      <c r="F1968" s="197"/>
      <c r="G1968" s="197"/>
      <c r="H1968" s="197"/>
      <c r="I1968" s="209"/>
      <c r="K1968" s="234" t="s">
        <v>259</v>
      </c>
      <c r="L1968" s="198" t="str">
        <f ca="1">_xlfn.XLOOKUP($B1967,シフト抽出!$19:$19,シフト抽出!$23:$23,"該当なし",0,1)</f>
        <v/>
      </c>
    </row>
    <row r="1969" spans="1:12" ht="15.75" thickBot="1">
      <c r="A1969" s="195"/>
      <c r="B1969" s="195" t="s">
        <v>205</v>
      </c>
      <c r="C1969"/>
      <c r="D1969" s="197"/>
      <c r="E1969" s="197"/>
      <c r="F1969" s="197"/>
      <c r="G1969" s="197" t="s">
        <v>807</v>
      </c>
      <c r="H1969" s="197"/>
      <c r="I1969" s="209"/>
      <c r="K1969" s="235"/>
      <c r="L1969" s="199" t="str">
        <f ca="1">_xlfn.XLOOKUP($B1967,シフト抽出!$19:$19,シフト抽出!$24:$24,"該当なし",0,1)</f>
        <v/>
      </c>
    </row>
    <row r="1970" spans="1:12">
      <c r="A1970" s="195"/>
      <c r="B1970" s="195" t="s">
        <v>206</v>
      </c>
      <c r="C1970"/>
      <c r="D1970" s="197"/>
      <c r="E1970" s="197"/>
      <c r="F1970" s="197"/>
      <c r="G1970" s="197"/>
      <c r="H1970" s="197"/>
      <c r="I1970" s="209"/>
      <c r="K1970" s="224" t="s">
        <v>260</v>
      </c>
      <c r="L1970" s="200" t="str">
        <f ca="1">_xlfn.XLOOKUP($B1967,シフト抽出!$19:$19,シフト抽出!$26:$26,"該当なし",0,1)</f>
        <v/>
      </c>
    </row>
    <row r="1971" spans="1:12">
      <c r="A1971" s="195"/>
      <c r="B1971" s="195" t="s">
        <v>207</v>
      </c>
      <c r="C1971"/>
      <c r="D1971" s="197"/>
      <c r="E1971" s="197"/>
      <c r="F1971" s="197"/>
      <c r="G1971" s="197"/>
      <c r="H1971" s="197"/>
      <c r="I1971" s="209"/>
      <c r="K1971" s="225"/>
      <c r="L1971" s="201" t="str">
        <f ca="1">_xlfn.XLOOKUP($B1967,シフト抽出!$19:$19,シフト抽出!$27:$27,"該当なし",0,1)</f>
        <v/>
      </c>
    </row>
    <row r="1972" spans="1:12">
      <c r="A1972" s="195"/>
      <c r="B1972" s="202" t="s">
        <v>208</v>
      </c>
      <c r="C1972"/>
      <c r="D1972" s="197" t="s">
        <v>4</v>
      </c>
      <c r="E1972" s="197" t="s">
        <v>4</v>
      </c>
      <c r="F1972" s="197"/>
      <c r="G1972" s="197" t="s">
        <v>4</v>
      </c>
      <c r="H1972" s="197"/>
      <c r="I1972" s="209"/>
      <c r="J1972" s="203"/>
      <c r="K1972" s="225"/>
      <c r="L1972" s="201" t="str">
        <f ca="1">_xlfn.XLOOKUP($B1967,シフト抽出!$19:$19,シフト抽出!$28:$28,"該当なし",0,1)</f>
        <v/>
      </c>
    </row>
    <row r="1973" spans="1:12" ht="15.75" thickBot="1">
      <c r="A1973" s="195"/>
      <c r="B1973" s="195" t="s">
        <v>205</v>
      </c>
      <c r="C1973"/>
      <c r="D1973" s="197" t="s">
        <v>414</v>
      </c>
      <c r="E1973" s="197" t="s">
        <v>421</v>
      </c>
      <c r="F1973" s="197"/>
      <c r="G1973" s="197" t="s">
        <v>22</v>
      </c>
      <c r="H1973" s="197"/>
      <c r="I1973" s="209"/>
      <c r="J1973" s="203"/>
      <c r="K1973" s="226"/>
      <c r="L1973" s="204" t="str">
        <f ca="1">_xlfn.XLOOKUP($B1967,シフト抽出!$19:$19,シフト抽出!$29:$29,"該当なし",0,1)</f>
        <v/>
      </c>
    </row>
    <row r="1974" spans="1:12" ht="15.75" thickBot="1">
      <c r="A1974" s="195"/>
      <c r="B1974" s="195" t="s">
        <v>206</v>
      </c>
      <c r="C1974"/>
      <c r="D1974" s="197" t="s">
        <v>414</v>
      </c>
      <c r="E1974" s="197" t="s">
        <v>421</v>
      </c>
      <c r="F1974" s="197"/>
      <c r="G1974" s="197" t="s">
        <v>22</v>
      </c>
      <c r="H1974" s="197"/>
      <c r="I1974" s="209"/>
      <c r="K1974" s="205" t="s">
        <v>261</v>
      </c>
      <c r="L1974" s="205">
        <f>_xlfn.XLOOKUP($B1967,予定表!B:B,予定表!R:R,"該当なし",0,1)</f>
        <v>0</v>
      </c>
    </row>
    <row r="1975" spans="1:12">
      <c r="A1975" s="195"/>
      <c r="B1975" s="195" t="s">
        <v>207</v>
      </c>
      <c r="C1975"/>
      <c r="D1975" s="197" t="s">
        <v>414</v>
      </c>
      <c r="E1975" s="197" t="s">
        <v>421</v>
      </c>
      <c r="F1975" s="197" t="s">
        <v>4</v>
      </c>
      <c r="G1975" s="197" t="s">
        <v>22</v>
      </c>
      <c r="H1975" s="197"/>
      <c r="I1975" s="209"/>
      <c r="K1975" s="227" t="s">
        <v>262</v>
      </c>
      <c r="L1975" s="206">
        <f>_xlfn.XLOOKUP($B1967,予定表!$B:$B,予定表!E:E,"該当なし",0,1)</f>
        <v>0</v>
      </c>
    </row>
    <row r="1976" spans="1:12">
      <c r="A1976" s="195"/>
      <c r="B1976" s="196" t="s">
        <v>209</v>
      </c>
      <c r="C1976"/>
      <c r="D1976" s="197" t="s">
        <v>414</v>
      </c>
      <c r="E1976" s="197" t="s">
        <v>421</v>
      </c>
      <c r="F1976" s="197" t="s">
        <v>851</v>
      </c>
      <c r="G1976" s="197" t="s">
        <v>268</v>
      </c>
      <c r="H1976" s="197" t="s">
        <v>4</v>
      </c>
      <c r="I1976" s="209" t="s">
        <v>4</v>
      </c>
      <c r="K1976" s="228"/>
      <c r="L1976" s="207" t="str">
        <f>_xlfn.XLOOKUP($B1967,予定表!$B:$B,予定表!F:F,"該当なし",0,1)</f>
        <v>ディーミング</v>
      </c>
    </row>
    <row r="1977" spans="1:12">
      <c r="A1977" s="195"/>
      <c r="B1977" s="195" t="s">
        <v>205</v>
      </c>
      <c r="C1977"/>
      <c r="D1977" s="197" t="s">
        <v>414</v>
      </c>
      <c r="E1977" s="197" t="s">
        <v>421</v>
      </c>
      <c r="F1977" s="197" t="s">
        <v>851</v>
      </c>
      <c r="G1977" s="197" t="s">
        <v>268</v>
      </c>
      <c r="H1977" s="197" t="s">
        <v>60</v>
      </c>
      <c r="I1977" s="209" t="s">
        <v>60</v>
      </c>
      <c r="K1977" s="228"/>
      <c r="L1977" s="207">
        <f>_xlfn.XLOOKUP($B1967,予定表!$B:$B,予定表!G:G,"該当なし",0,1)</f>
        <v>0</v>
      </c>
    </row>
    <row r="1978" spans="1:12">
      <c r="A1978" s="195"/>
      <c r="B1978" s="195" t="s">
        <v>206</v>
      </c>
      <c r="C1978"/>
      <c r="D1978" s="197" t="s">
        <v>214</v>
      </c>
      <c r="E1978" s="197" t="s">
        <v>934</v>
      </c>
      <c r="F1978" s="197" t="s">
        <v>851</v>
      </c>
      <c r="G1978" s="197" t="s">
        <v>268</v>
      </c>
      <c r="H1978" s="197" t="s">
        <v>60</v>
      </c>
      <c r="I1978" s="209" t="s">
        <v>60</v>
      </c>
      <c r="K1978" s="228"/>
      <c r="L1978" s="207">
        <f>_xlfn.XLOOKUP($B1967,予定表!$B:$B,予定表!H:H,"該当なし",0,1)</f>
        <v>0</v>
      </c>
    </row>
    <row r="1979" spans="1:12">
      <c r="A1979" s="195"/>
      <c r="B1979" s="195" t="s">
        <v>207</v>
      </c>
      <c r="C1979"/>
      <c r="D1979" s="197" t="s">
        <v>214</v>
      </c>
      <c r="E1979" s="197" t="s">
        <v>273</v>
      </c>
      <c r="F1979" s="197" t="s">
        <v>851</v>
      </c>
      <c r="G1979" s="197" t="s">
        <v>268</v>
      </c>
      <c r="H1979" s="197" t="s">
        <v>60</v>
      </c>
      <c r="I1979" s="209" t="s">
        <v>60</v>
      </c>
      <c r="K1979" s="228"/>
      <c r="L1979" s="207" t="str">
        <f>_xlfn.XLOOKUP($B1967,予定表!$B:$B,予定表!I:I,"該当なし",0,1)</f>
        <v/>
      </c>
    </row>
    <row r="1980" spans="1:12">
      <c r="A1980" s="195"/>
      <c r="B1980" s="196" t="s">
        <v>212</v>
      </c>
      <c r="C1980"/>
      <c r="D1980" s="197" t="s">
        <v>214</v>
      </c>
      <c r="E1980" s="197" t="s">
        <v>273</v>
      </c>
      <c r="F1980" s="197" t="s">
        <v>416</v>
      </c>
      <c r="G1980" s="197" t="s">
        <v>268</v>
      </c>
      <c r="H1980" s="197"/>
      <c r="I1980" s="209"/>
      <c r="K1980" s="228"/>
      <c r="L1980" s="207" t="str">
        <f>_xlfn.XLOOKUP($B1967,予定表!$B:$B,予定表!J:J,"該当なし",0,1)</f>
        <v/>
      </c>
    </row>
    <row r="1981" spans="1:12">
      <c r="A1981" s="195"/>
      <c r="B1981" s="195" t="s">
        <v>205</v>
      </c>
      <c r="C1981"/>
      <c r="D1981" s="197" t="s">
        <v>761</v>
      </c>
      <c r="E1981" s="197" t="s">
        <v>228</v>
      </c>
      <c r="F1981" s="197" t="s">
        <v>771</v>
      </c>
      <c r="G1981" s="197" t="s">
        <v>268</v>
      </c>
      <c r="H1981" s="197" t="s">
        <v>230</v>
      </c>
      <c r="I1981" s="209" t="s">
        <v>230</v>
      </c>
      <c r="K1981" s="228"/>
      <c r="L1981" s="207" t="str">
        <f>_xlfn.XLOOKUP($B1967,予定表!$B:$B,予定表!K:K,"該当なし",0,1)</f>
        <v/>
      </c>
    </row>
    <row r="1982" spans="1:12">
      <c r="A1982" s="195"/>
      <c r="B1982" s="195" t="s">
        <v>206</v>
      </c>
      <c r="C1982"/>
      <c r="D1982" s="197" t="s">
        <v>761</v>
      </c>
      <c r="E1982" s="197" t="s">
        <v>228</v>
      </c>
      <c r="F1982" s="197" t="s">
        <v>416</v>
      </c>
      <c r="G1982" s="197" t="s">
        <v>169</v>
      </c>
      <c r="H1982" s="197" t="s">
        <v>230</v>
      </c>
      <c r="I1982" s="209" t="s">
        <v>230</v>
      </c>
      <c r="K1982" s="228"/>
      <c r="L1982" s="207" t="str">
        <f>_xlfn.XLOOKUP($B1967,予定表!$B:$B,予定表!L:L,"該当なし",0,1)</f>
        <v/>
      </c>
    </row>
    <row r="1983" spans="1:12" ht="15.75" thickBot="1">
      <c r="A1983" s="195"/>
      <c r="B1983" s="195" t="s">
        <v>207</v>
      </c>
      <c r="C1983"/>
      <c r="D1983" s="197" t="s">
        <v>761</v>
      </c>
      <c r="E1983" s="197" t="s">
        <v>228</v>
      </c>
      <c r="F1983" s="197" t="s">
        <v>7</v>
      </c>
      <c r="G1983" s="197" t="s">
        <v>169</v>
      </c>
      <c r="H1983" s="197" t="s">
        <v>230</v>
      </c>
      <c r="I1983" s="209" t="s">
        <v>230</v>
      </c>
      <c r="K1983" s="229"/>
      <c r="L1983" s="204" t="str">
        <f>_xlfn.XLOOKUP($A1964,ﾘｽﾄマスタ!$U$8:$U$17,ﾘｽﾄマスタ!$V$8:$V$17,"",0)</f>
        <v>BS+1ヵ所</v>
      </c>
    </row>
    <row r="1984" spans="1:12" ht="15.75" thickBot="1">
      <c r="A1984" s="195"/>
      <c r="B1984" s="196" t="s">
        <v>251</v>
      </c>
      <c r="C1984"/>
      <c r="D1984" s="197" t="s">
        <v>7</v>
      </c>
      <c r="E1984" s="197" t="s">
        <v>228</v>
      </c>
      <c r="F1984" s="197"/>
      <c r="G1984" s="197" t="s">
        <v>169</v>
      </c>
      <c r="H1984" s="197" t="s">
        <v>229</v>
      </c>
      <c r="I1984" s="209" t="s">
        <v>229</v>
      </c>
      <c r="K1984" s="208" t="s">
        <v>277</v>
      </c>
      <c r="L1984" s="208" t="str">
        <f ca="1">_xlfn.XLOOKUP($B1967,シフト抽出!$19:$19,シフト抽出!$30:$30,"該当なし",0,1)</f>
        <v/>
      </c>
    </row>
    <row r="1985" spans="1:9">
      <c r="A1985" s="195"/>
      <c r="B1985" s="195" t="s">
        <v>205</v>
      </c>
      <c r="C1985"/>
      <c r="D1985" s="197" t="s">
        <v>114</v>
      </c>
      <c r="E1985" s="197" t="s">
        <v>228</v>
      </c>
      <c r="F1985" s="197" t="s">
        <v>253</v>
      </c>
      <c r="G1985" s="197" t="s">
        <v>169</v>
      </c>
      <c r="H1985" s="197" t="s">
        <v>229</v>
      </c>
      <c r="I1985" s="209" t="s">
        <v>229</v>
      </c>
    </row>
    <row r="1986" spans="1:9">
      <c r="A1986" s="195"/>
      <c r="B1986" s="195" t="s">
        <v>206</v>
      </c>
      <c r="C1986"/>
      <c r="D1986" s="197" t="s">
        <v>114</v>
      </c>
      <c r="E1986" s="197" t="s">
        <v>263</v>
      </c>
      <c r="F1986" s="197" t="s">
        <v>253</v>
      </c>
      <c r="G1986" s="197" t="s">
        <v>169</v>
      </c>
      <c r="H1986" s="197" t="s">
        <v>848</v>
      </c>
      <c r="I1986" s="209" t="s">
        <v>848</v>
      </c>
    </row>
    <row r="1987" spans="1:9">
      <c r="A1987" s="195"/>
      <c r="B1987" s="195" t="s">
        <v>207</v>
      </c>
      <c r="C1987"/>
      <c r="D1987" s="197" t="s">
        <v>129</v>
      </c>
      <c r="E1987" s="197" t="s">
        <v>263</v>
      </c>
      <c r="F1987" s="197" t="s">
        <v>51</v>
      </c>
      <c r="G1987" s="197" t="s">
        <v>75</v>
      </c>
      <c r="H1987" s="197" t="s">
        <v>848</v>
      </c>
      <c r="I1987" s="209" t="s">
        <v>848</v>
      </c>
    </row>
    <row r="1988" spans="1:9">
      <c r="A1988" s="195"/>
      <c r="B1988" s="196" t="s">
        <v>217</v>
      </c>
      <c r="C1988"/>
      <c r="D1988" s="197" t="s">
        <v>129</v>
      </c>
      <c r="E1988" s="197" t="s">
        <v>263</v>
      </c>
      <c r="F1988" s="197" t="s">
        <v>51</v>
      </c>
      <c r="G1988" s="197" t="s">
        <v>169</v>
      </c>
      <c r="H1988" s="197" t="s">
        <v>848</v>
      </c>
      <c r="I1988" s="209" t="s">
        <v>848</v>
      </c>
    </row>
    <row r="1989" spans="1:9">
      <c r="A1989" s="195"/>
      <c r="B1989" s="195" t="s">
        <v>205</v>
      </c>
      <c r="C1989"/>
      <c r="D1989" s="197" t="s">
        <v>129</v>
      </c>
      <c r="E1989" s="197" t="s">
        <v>848</v>
      </c>
      <c r="F1989" s="197" t="s">
        <v>51</v>
      </c>
      <c r="G1989" s="197" t="s">
        <v>169</v>
      </c>
      <c r="H1989" s="197" t="s">
        <v>848</v>
      </c>
      <c r="I1989" s="209" t="s">
        <v>848</v>
      </c>
    </row>
    <row r="1990" spans="1:9">
      <c r="A1990" s="195"/>
      <c r="B1990" s="195" t="s">
        <v>206</v>
      </c>
      <c r="C1990"/>
      <c r="D1990" s="197" t="s">
        <v>129</v>
      </c>
      <c r="E1990" s="197" t="s">
        <v>848</v>
      </c>
      <c r="F1990" s="197" t="s">
        <v>51</v>
      </c>
      <c r="G1990" s="197" t="s">
        <v>278</v>
      </c>
      <c r="H1990" s="197" t="s">
        <v>848</v>
      </c>
      <c r="I1990" s="209" t="s">
        <v>848</v>
      </c>
    </row>
    <row r="1991" spans="1:9">
      <c r="A1991" s="195"/>
      <c r="B1991" s="195" t="s">
        <v>207</v>
      </c>
      <c r="C1991"/>
      <c r="D1991" s="197" t="s">
        <v>129</v>
      </c>
      <c r="E1991" s="197" t="s">
        <v>848</v>
      </c>
      <c r="F1991" s="197"/>
      <c r="G1991" s="197" t="s">
        <v>278</v>
      </c>
      <c r="H1991" s="197" t="s">
        <v>848</v>
      </c>
      <c r="I1991" s="209" t="s">
        <v>848</v>
      </c>
    </row>
    <row r="1992" spans="1:9">
      <c r="A1992" s="195"/>
      <c r="B1992" s="196" t="s">
        <v>219</v>
      </c>
      <c r="C1992"/>
      <c r="D1992" s="197"/>
      <c r="E1992" s="197" t="s">
        <v>848</v>
      </c>
      <c r="F1992" s="197"/>
      <c r="G1992" s="197"/>
      <c r="H1992" s="197"/>
      <c r="I1992" s="209"/>
    </row>
    <row r="1993" spans="1:9">
      <c r="A1993" s="195"/>
      <c r="B1993" s="195" t="s">
        <v>205</v>
      </c>
      <c r="C1993"/>
      <c r="D1993" s="197"/>
      <c r="E1993" s="197" t="s">
        <v>848</v>
      </c>
      <c r="F1993" s="197"/>
      <c r="G1993" s="197"/>
      <c r="H1993" s="197"/>
      <c r="I1993" s="209"/>
    </row>
    <row r="1994" spans="1:9">
      <c r="A1994" s="195"/>
      <c r="B1994" s="195" t="s">
        <v>206</v>
      </c>
      <c r="C1994"/>
      <c r="D1994" s="197"/>
      <c r="E1994" s="197"/>
      <c r="F1994" s="197"/>
      <c r="G1994" s="197"/>
      <c r="H1994" s="197"/>
      <c r="I1994" s="209"/>
    </row>
    <row r="1995" spans="1:9">
      <c r="A1995" s="195"/>
      <c r="B1995" s="195" t="s">
        <v>207</v>
      </c>
      <c r="C1995"/>
      <c r="D1995" s="197"/>
      <c r="E1995" s="197"/>
      <c r="F1995" s="197"/>
      <c r="G1995" s="197"/>
      <c r="H1995" s="197"/>
      <c r="I1995" s="209"/>
    </row>
    <row r="1996" spans="1:9">
      <c r="A1996" s="195"/>
      <c r="B1996" s="196" t="s">
        <v>220</v>
      </c>
      <c r="C1996"/>
      <c r="D1996" s="189" t="s">
        <v>891</v>
      </c>
      <c r="E1996" s="197"/>
      <c r="F1996" s="189" t="s">
        <v>874</v>
      </c>
      <c r="G1996" s="189"/>
      <c r="H1996" s="197"/>
      <c r="I1996" s="209"/>
    </row>
    <row r="1997" spans="1:9">
      <c r="A1997" s="195"/>
      <c r="B1997" s="195" t="s">
        <v>205</v>
      </c>
      <c r="C1997"/>
      <c r="D1997" s="197" t="s">
        <v>515</v>
      </c>
      <c r="E1997" s="197" t="s">
        <v>95</v>
      </c>
      <c r="F1997" s="197" t="s">
        <v>160</v>
      </c>
      <c r="G1997" s="197" t="s">
        <v>56</v>
      </c>
      <c r="H1997" s="197" t="s">
        <v>415</v>
      </c>
      <c r="I1997" s="209" t="s">
        <v>415</v>
      </c>
    </row>
    <row r="1998" spans="1:9">
      <c r="A1998" s="195"/>
      <c r="B1998" s="195" t="s">
        <v>206</v>
      </c>
      <c r="C1998"/>
      <c r="D1998" s="197" t="s">
        <v>515</v>
      </c>
      <c r="E1998" s="197" t="s">
        <v>95</v>
      </c>
      <c r="F1998" s="197" t="s">
        <v>160</v>
      </c>
      <c r="G1998" s="197" t="s">
        <v>56</v>
      </c>
      <c r="H1998" s="197" t="s">
        <v>415</v>
      </c>
      <c r="I1998" s="209" t="s">
        <v>415</v>
      </c>
    </row>
    <row r="1999" spans="1:9">
      <c r="A1999" s="195"/>
      <c r="B1999" s="195" t="s">
        <v>207</v>
      </c>
      <c r="C1999"/>
      <c r="D1999" s="197" t="s">
        <v>515</v>
      </c>
      <c r="E1999" s="197" t="s">
        <v>95</v>
      </c>
      <c r="F1999" s="197" t="s">
        <v>252</v>
      </c>
      <c r="G1999" s="197" t="s">
        <v>56</v>
      </c>
      <c r="H1999" s="197" t="s">
        <v>415</v>
      </c>
      <c r="I1999" s="209" t="s">
        <v>415</v>
      </c>
    </row>
    <row r="2000" spans="1:9">
      <c r="A2000" s="195"/>
      <c r="B2000" s="196" t="s">
        <v>222</v>
      </c>
      <c r="C2000"/>
      <c r="D2000" s="197" t="s">
        <v>269</v>
      </c>
      <c r="E2000" s="197" t="s">
        <v>95</v>
      </c>
      <c r="F2000" s="197" t="s">
        <v>252</v>
      </c>
      <c r="G2000" s="197" t="s">
        <v>56</v>
      </c>
      <c r="H2000" s="197" t="s">
        <v>415</v>
      </c>
      <c r="I2000" s="209" t="s">
        <v>415</v>
      </c>
    </row>
    <row r="2001" spans="1:11">
      <c r="A2001" s="195"/>
      <c r="B2001" s="195" t="s">
        <v>205</v>
      </c>
      <c r="C2001"/>
      <c r="D2001" s="197" t="s">
        <v>269</v>
      </c>
      <c r="E2001" s="197" t="s">
        <v>95</v>
      </c>
      <c r="F2001" s="197" t="s">
        <v>252</v>
      </c>
      <c r="G2001" s="197"/>
      <c r="H2001" s="197" t="s">
        <v>415</v>
      </c>
      <c r="I2001" s="209" t="s">
        <v>415</v>
      </c>
    </row>
    <row r="2002" spans="1:11">
      <c r="A2002" s="195"/>
      <c r="B2002" s="195" t="s">
        <v>206</v>
      </c>
      <c r="C2002"/>
      <c r="D2002" s="197" t="s">
        <v>237</v>
      </c>
      <c r="E2002" s="197" t="s">
        <v>95</v>
      </c>
      <c r="F2002" s="197" t="s">
        <v>252</v>
      </c>
      <c r="G2002" s="197" t="s">
        <v>270</v>
      </c>
      <c r="H2002" s="197" t="s">
        <v>415</v>
      </c>
      <c r="I2002" s="209" t="s">
        <v>415</v>
      </c>
    </row>
    <row r="2003" spans="1:11">
      <c r="A2003" s="195"/>
      <c r="B2003" s="195" t="s">
        <v>207</v>
      </c>
      <c r="C2003"/>
      <c r="D2003" s="197" t="s">
        <v>237</v>
      </c>
      <c r="E2003" s="197" t="s">
        <v>95</v>
      </c>
      <c r="F2003" s="197" t="s">
        <v>252</v>
      </c>
      <c r="G2003" s="197" t="s">
        <v>270</v>
      </c>
      <c r="H2003" s="197" t="s">
        <v>415</v>
      </c>
      <c r="I2003" s="209" t="s">
        <v>415</v>
      </c>
    </row>
    <row r="2004" spans="1:11">
      <c r="A2004" s="195"/>
      <c r="B2004" s="196" t="s">
        <v>223</v>
      </c>
      <c r="C2004"/>
      <c r="D2004" s="197" t="s">
        <v>236</v>
      </c>
      <c r="E2004" s="197" t="s">
        <v>95</v>
      </c>
      <c r="F2004" s="197" t="s">
        <v>252</v>
      </c>
      <c r="G2004" s="197" t="s">
        <v>270</v>
      </c>
      <c r="H2004" s="197" t="s">
        <v>415</v>
      </c>
      <c r="I2004" s="209" t="s">
        <v>415</v>
      </c>
    </row>
    <row r="2005" spans="1:11">
      <c r="A2005" s="195"/>
      <c r="B2005" s="195" t="s">
        <v>205</v>
      </c>
      <c r="C2005"/>
      <c r="D2005" s="197" t="s">
        <v>193</v>
      </c>
      <c r="E2005" s="197" t="s">
        <v>95</v>
      </c>
      <c r="F2005" s="197" t="s">
        <v>252</v>
      </c>
      <c r="G2005" s="197" t="s">
        <v>270</v>
      </c>
      <c r="H2005" s="197" t="s">
        <v>415</v>
      </c>
      <c r="I2005" s="209" t="s">
        <v>415</v>
      </c>
    </row>
    <row r="2006" spans="1:11">
      <c r="A2006" s="195"/>
      <c r="B2006" s="195" t="s">
        <v>206</v>
      </c>
      <c r="C2006"/>
      <c r="D2006" s="197"/>
      <c r="E2006" s="197" t="s">
        <v>95</v>
      </c>
      <c r="F2006" s="197" t="s">
        <v>395</v>
      </c>
      <c r="G2006" s="197" t="s">
        <v>270</v>
      </c>
      <c r="H2006" s="197" t="s">
        <v>415</v>
      </c>
      <c r="I2006" s="209" t="s">
        <v>415</v>
      </c>
    </row>
    <row r="2007" spans="1:11">
      <c r="A2007" s="195"/>
      <c r="B2007" s="195" t="s">
        <v>207</v>
      </c>
      <c r="C2007"/>
      <c r="D2007" s="197"/>
      <c r="E2007" s="197" t="s">
        <v>95</v>
      </c>
      <c r="F2007" s="197" t="s">
        <v>395</v>
      </c>
      <c r="G2007" s="197" t="s">
        <v>270</v>
      </c>
      <c r="H2007" s="197" t="s">
        <v>415</v>
      </c>
      <c r="I2007" s="209" t="s">
        <v>415</v>
      </c>
    </row>
    <row r="2008" spans="1:11">
      <c r="A2008" s="195"/>
      <c r="B2008" s="196" t="s">
        <v>225</v>
      </c>
      <c r="C2008"/>
      <c r="D2008" s="197"/>
      <c r="E2008" s="197" t="s">
        <v>95</v>
      </c>
      <c r="F2008" s="197" t="s">
        <v>395</v>
      </c>
      <c r="G2008" s="197" t="s">
        <v>270</v>
      </c>
      <c r="H2008" s="197" t="s">
        <v>415</v>
      </c>
      <c r="I2008" s="209" t="s">
        <v>415</v>
      </c>
    </row>
    <row r="2009" spans="1:11">
      <c r="A2009" s="195"/>
      <c r="B2009" s="195" t="s">
        <v>205</v>
      </c>
      <c r="C2009"/>
      <c r="D2009" s="197"/>
      <c r="E2009" s="197" t="s">
        <v>95</v>
      </c>
      <c r="F2009" s="197" t="s">
        <v>395</v>
      </c>
      <c r="G2009" s="197" t="s">
        <v>270</v>
      </c>
      <c r="H2009" s="197" t="s">
        <v>415</v>
      </c>
      <c r="I2009" s="209" t="s">
        <v>415</v>
      </c>
    </row>
    <row r="2010" spans="1:11">
      <c r="A2010" s="195"/>
      <c r="B2010" s="195" t="s">
        <v>206</v>
      </c>
      <c r="C2010"/>
      <c r="D2010" s="197"/>
      <c r="E2010" s="197"/>
      <c r="F2010" s="197"/>
      <c r="G2010" s="197" t="s">
        <v>270</v>
      </c>
      <c r="H2010" s="197" t="s">
        <v>415</v>
      </c>
      <c r="I2010" s="209" t="s">
        <v>415</v>
      </c>
    </row>
    <row r="2011" spans="1:11">
      <c r="A2011" s="195"/>
      <c r="B2011" s="195" t="s">
        <v>207</v>
      </c>
      <c r="C2011"/>
      <c r="D2011" s="197"/>
      <c r="E2011" s="197"/>
      <c r="F2011" s="197"/>
      <c r="G2011" s="197" t="s">
        <v>270</v>
      </c>
      <c r="H2011" s="197" t="s">
        <v>415</v>
      </c>
      <c r="I2011" s="209" t="s">
        <v>415</v>
      </c>
    </row>
    <row r="2012" spans="1:11">
      <c r="A2012" s="195"/>
      <c r="B2012" s="196" t="s">
        <v>226</v>
      </c>
      <c r="C2012"/>
      <c r="D2012" s="197"/>
      <c r="E2012" s="197"/>
      <c r="F2012" s="197"/>
      <c r="G2012" s="197"/>
      <c r="H2012" s="209"/>
      <c r="I2012" s="209"/>
    </row>
    <row r="2013" spans="1:11">
      <c r="A2013" s="195"/>
      <c r="B2013" s="195" t="s">
        <v>205</v>
      </c>
      <c r="C2013"/>
      <c r="D2013" s="197"/>
      <c r="E2013" s="197"/>
      <c r="F2013" s="197"/>
      <c r="G2013" s="197"/>
      <c r="H2013" s="209"/>
      <c r="I2013" s="209"/>
    </row>
    <row r="2014" spans="1:11">
      <c r="A2014" s="195"/>
      <c r="B2014" s="195" t="s">
        <v>206</v>
      </c>
      <c r="C2014"/>
      <c r="D2014" s="197"/>
      <c r="E2014" s="197"/>
      <c r="F2014" s="197"/>
      <c r="G2014" s="197"/>
      <c r="H2014" s="209"/>
      <c r="I2014" s="209"/>
    </row>
    <row r="2015" spans="1:11">
      <c r="A2015" s="195"/>
      <c r="B2015" s="195" t="s">
        <v>207</v>
      </c>
      <c r="C2015"/>
      <c r="D2015" s="197"/>
      <c r="E2015" s="197"/>
      <c r="F2015" s="197"/>
      <c r="G2015" s="197"/>
      <c r="H2015" s="209"/>
      <c r="I2015" s="209"/>
    </row>
    <row r="2016" spans="1:11">
      <c r="A2016" s="195"/>
      <c r="B2016" s="196" t="s">
        <v>227</v>
      </c>
      <c r="C2016"/>
      <c r="D2016" s="197"/>
      <c r="E2016" s="197"/>
      <c r="F2016" s="197"/>
      <c r="G2016" s="197"/>
      <c r="H2016" s="209"/>
      <c r="I2016" s="209"/>
      <c r="K2016"/>
    </row>
    <row r="2017" spans="1:12" ht="29.25" thickBot="1">
      <c r="A2017" s="182" t="str">
        <f>"回収シフト  第"&amp;ROUNDUP(DAY(B2020)/7,0)  &amp;"  "&amp;TEXT(B2020,"aaaa")</f>
        <v>回収シフト  第3  金曜日</v>
      </c>
      <c r="B2017" s="183"/>
      <c r="C2017" s="183"/>
      <c r="D2017" s="183"/>
      <c r="E2017" s="183"/>
      <c r="F2017" s="183"/>
      <c r="G2017" s="184"/>
      <c r="H2017" s="184"/>
      <c r="I2017" s="184"/>
      <c r="K2017" s="183"/>
      <c r="L2017" s="183"/>
    </row>
    <row r="2018" spans="1:12" ht="15.75" thickBot="1">
      <c r="A2018"/>
      <c r="B2018"/>
      <c r="C2018"/>
      <c r="D2018" s="186" t="s">
        <v>201</v>
      </c>
      <c r="E2018" s="186" t="s">
        <v>202</v>
      </c>
      <c r="F2018" s="186" t="s">
        <v>203</v>
      </c>
      <c r="G2018" s="186" t="s">
        <v>204</v>
      </c>
      <c r="H2018" s="186" t="s">
        <v>267</v>
      </c>
      <c r="I2018" s="217" t="s">
        <v>267</v>
      </c>
      <c r="K2018" s="230" t="s">
        <v>257</v>
      </c>
      <c r="L2018" s="231"/>
    </row>
    <row r="2019" spans="1:12">
      <c r="A2019" s="187"/>
      <c r="B2019" s="188">
        <v>46119</v>
      </c>
      <c r="C2019" s="187"/>
      <c r="D2019" s="189" t="s">
        <v>248</v>
      </c>
      <c r="E2019" s="189" t="s">
        <v>859</v>
      </c>
      <c r="F2019" s="189" t="s">
        <v>936</v>
      </c>
      <c r="G2019" s="189" t="s">
        <v>850</v>
      </c>
      <c r="H2019" s="189" t="s">
        <v>852</v>
      </c>
      <c r="I2019" s="218" t="s">
        <v>852</v>
      </c>
      <c r="K2019" s="232" t="s">
        <v>258</v>
      </c>
      <c r="L2019" s="190" t="str">
        <f ca="1">_xlfn.XLOOKUP($B2020,シフト抽出!$19:$19,シフト抽出!$20:$20,"該当なし",0,1)</f>
        <v/>
      </c>
    </row>
    <row r="2020" spans="1:12" ht="19.5" thickBot="1">
      <c r="A2020"/>
      <c r="B2020" s="191">
        <f>B1967+1</f>
        <v>46157</v>
      </c>
      <c r="C2020" s="192"/>
      <c r="D2020" s="193"/>
      <c r="E2020" s="193"/>
      <c r="F2020" s="193"/>
      <c r="G2020" s="193"/>
      <c r="H2020" s="193"/>
      <c r="I2020" s="219"/>
      <c r="K2020" s="233"/>
      <c r="L2020" s="194" t="str">
        <f ca="1">_xlfn.XLOOKUP($B2020,シフト抽出!$19:$19,シフト抽出!$21:$21,"該当なし",0,1)</f>
        <v/>
      </c>
    </row>
    <row r="2021" spans="1:12">
      <c r="A2021" s="195"/>
      <c r="B2021" s="196">
        <v>0.25</v>
      </c>
      <c r="C2021"/>
      <c r="D2021" s="197"/>
      <c r="E2021" s="196"/>
      <c r="F2021" s="197"/>
      <c r="G2021" s="197"/>
      <c r="H2021" s="197"/>
      <c r="I2021" s="209"/>
      <c r="K2021" s="234" t="s">
        <v>259</v>
      </c>
      <c r="L2021" s="198" t="str">
        <f ca="1">_xlfn.XLOOKUP($B2020,シフト抽出!$19:$19,シフト抽出!$23:$23,"該当なし",0,1)</f>
        <v/>
      </c>
    </row>
    <row r="2022" spans="1:12" ht="15.75" thickBot="1">
      <c r="A2022" s="195"/>
      <c r="B2022" s="195" t="s">
        <v>205</v>
      </c>
      <c r="C2022"/>
      <c r="D2022" s="197"/>
      <c r="E2022" s="197"/>
      <c r="F2022" s="197"/>
      <c r="G2022" s="197"/>
      <c r="H2022" s="197"/>
      <c r="I2022" s="209"/>
      <c r="K2022" s="235"/>
      <c r="L2022" s="199" t="str">
        <f ca="1">_xlfn.XLOOKUP($B2020,シフト抽出!$19:$19,シフト抽出!$24:$24,"該当なし",0,1)</f>
        <v/>
      </c>
    </row>
    <row r="2023" spans="1:12">
      <c r="A2023" s="195"/>
      <c r="B2023" s="195" t="s">
        <v>206</v>
      </c>
      <c r="C2023"/>
      <c r="D2023" s="197" t="s">
        <v>238</v>
      </c>
      <c r="E2023" s="197"/>
      <c r="F2023" s="197"/>
      <c r="G2023" s="197"/>
      <c r="H2023" s="197"/>
      <c r="I2023" s="209"/>
      <c r="K2023" s="224" t="s">
        <v>260</v>
      </c>
      <c r="L2023" s="200" t="str">
        <f ca="1">_xlfn.XLOOKUP($B2020,シフト抽出!$19:$19,シフト抽出!$26:$26,"該当なし",0,1)</f>
        <v/>
      </c>
    </row>
    <row r="2024" spans="1:12">
      <c r="A2024" s="195"/>
      <c r="B2024" s="195" t="s">
        <v>207</v>
      </c>
      <c r="C2024"/>
      <c r="D2024" s="197" t="s">
        <v>238</v>
      </c>
      <c r="E2024" s="197"/>
      <c r="F2024" s="197"/>
      <c r="G2024" s="197"/>
      <c r="H2024" s="197"/>
      <c r="I2024" s="209"/>
      <c r="K2024" s="225"/>
      <c r="L2024" s="201" t="str">
        <f ca="1">_xlfn.XLOOKUP($B2020,シフト抽出!$19:$19,シフト抽出!$27:$27,"該当なし",0,1)</f>
        <v/>
      </c>
    </row>
    <row r="2025" spans="1:12">
      <c r="A2025" s="195"/>
      <c r="B2025" s="202" t="s">
        <v>208</v>
      </c>
      <c r="C2025"/>
      <c r="D2025" s="197" t="s">
        <v>238</v>
      </c>
      <c r="E2025" s="197" t="s">
        <v>4</v>
      </c>
      <c r="F2025" s="197"/>
      <c r="G2025" s="197" t="s">
        <v>22</v>
      </c>
      <c r="H2025" s="197"/>
      <c r="I2025" s="209"/>
      <c r="J2025" s="203"/>
      <c r="K2025" s="225"/>
      <c r="L2025" s="201" t="str">
        <f ca="1">_xlfn.XLOOKUP($B2020,シフト抽出!$19:$19,シフト抽出!$28:$28,"該当なし",0,1)</f>
        <v/>
      </c>
    </row>
    <row r="2026" spans="1:12" ht="15.75" thickBot="1">
      <c r="A2026" s="195"/>
      <c r="B2026" s="195" t="s">
        <v>205</v>
      </c>
      <c r="C2026"/>
      <c r="D2026" s="197" t="s">
        <v>238</v>
      </c>
      <c r="E2026" s="197" t="s">
        <v>420</v>
      </c>
      <c r="F2026" s="197" t="s">
        <v>111</v>
      </c>
      <c r="G2026" s="197" t="s">
        <v>22</v>
      </c>
      <c r="H2026" s="197"/>
      <c r="I2026" s="209"/>
      <c r="J2026" s="203"/>
      <c r="K2026" s="226"/>
      <c r="L2026" s="204" t="str">
        <f ca="1">_xlfn.XLOOKUP($B2020,シフト抽出!$19:$19,シフト抽出!$29:$29,"該当なし",0,1)</f>
        <v/>
      </c>
    </row>
    <row r="2027" spans="1:12" ht="15.75" thickBot="1">
      <c r="A2027" s="195"/>
      <c r="B2027" s="195" t="s">
        <v>206</v>
      </c>
      <c r="C2027"/>
      <c r="D2027" s="197" t="s">
        <v>238</v>
      </c>
      <c r="E2027" s="197" t="s">
        <v>420</v>
      </c>
      <c r="F2027" s="197" t="s">
        <v>111</v>
      </c>
      <c r="G2027" s="197" t="s">
        <v>788</v>
      </c>
      <c r="H2027" s="197"/>
      <c r="I2027" s="209"/>
      <c r="K2027" s="205" t="s">
        <v>261</v>
      </c>
      <c r="L2027" s="205">
        <f>_xlfn.XLOOKUP($B2020,予定表!B:B,予定表!R:R,"該当なし",0,1)</f>
        <v>0</v>
      </c>
    </row>
    <row r="2028" spans="1:12">
      <c r="A2028" s="195"/>
      <c r="B2028" s="195" t="s">
        <v>207</v>
      </c>
      <c r="C2028"/>
      <c r="D2028" s="197" t="s">
        <v>238</v>
      </c>
      <c r="E2028" s="197" t="s">
        <v>420</v>
      </c>
      <c r="F2028" s="197" t="s">
        <v>111</v>
      </c>
      <c r="G2028" s="197" t="s">
        <v>788</v>
      </c>
      <c r="H2028" s="197"/>
      <c r="I2028" s="209"/>
      <c r="K2028" s="227" t="s">
        <v>262</v>
      </c>
      <c r="L2028" s="206" t="str">
        <f>_xlfn.XLOOKUP($B2020,予定表!$B:$B,予定表!E:E,"該当なし",0,1)</f>
        <v>ジャクソンAM</v>
      </c>
    </row>
    <row r="2029" spans="1:12">
      <c r="A2029" s="195"/>
      <c r="B2029" s="196" t="s">
        <v>209</v>
      </c>
      <c r="C2029"/>
      <c r="D2029" s="197"/>
      <c r="E2029" s="197" t="s">
        <v>420</v>
      </c>
      <c r="F2029" s="197" t="s">
        <v>111</v>
      </c>
      <c r="G2029" s="197" t="s">
        <v>268</v>
      </c>
      <c r="H2029" s="197" t="s">
        <v>4</v>
      </c>
      <c r="I2029" s="209" t="s">
        <v>4</v>
      </c>
      <c r="K2029" s="228"/>
      <c r="L2029" s="207" t="str">
        <f>_xlfn.XLOOKUP($B2020,予定表!$B:$B,予定表!F:F,"該当なし",0,1)</f>
        <v>新規IWD</v>
      </c>
    </row>
    <row r="2030" spans="1:12">
      <c r="A2030" s="195"/>
      <c r="B2030" s="195" t="s">
        <v>205</v>
      </c>
      <c r="C2030"/>
      <c r="D2030" s="197" t="s">
        <v>264</v>
      </c>
      <c r="E2030" s="197" t="s">
        <v>420</v>
      </c>
      <c r="F2030" s="197" t="s">
        <v>111</v>
      </c>
      <c r="G2030" s="197" t="s">
        <v>268</v>
      </c>
      <c r="H2030" s="197" t="s">
        <v>60</v>
      </c>
      <c r="I2030" s="209" t="s">
        <v>60</v>
      </c>
      <c r="K2030" s="228"/>
      <c r="L2030" s="207">
        <f>_xlfn.XLOOKUP($B2020,予定表!$B:$B,予定表!G:G,"該当なし",0,1)</f>
        <v>0</v>
      </c>
    </row>
    <row r="2031" spans="1:12">
      <c r="A2031" s="195"/>
      <c r="B2031" s="195" t="s">
        <v>206</v>
      </c>
      <c r="C2031"/>
      <c r="D2031" s="197" t="s">
        <v>239</v>
      </c>
      <c r="E2031" s="197" t="s">
        <v>414</v>
      </c>
      <c r="F2031" s="197" t="s">
        <v>851</v>
      </c>
      <c r="G2031" s="197" t="s">
        <v>268</v>
      </c>
      <c r="H2031" s="197" t="s">
        <v>60</v>
      </c>
      <c r="I2031" s="209" t="s">
        <v>60</v>
      </c>
      <c r="K2031" s="228"/>
      <c r="L2031" s="207" t="str">
        <f>_xlfn.XLOOKUP($B2020,予定表!$B:$B,予定表!H:H,"該当なし",0,1)</f>
        <v>資さんうどん</v>
      </c>
    </row>
    <row r="2032" spans="1:12">
      <c r="A2032" s="195"/>
      <c r="B2032" s="195" t="s">
        <v>207</v>
      </c>
      <c r="C2032"/>
      <c r="D2032" s="197" t="s">
        <v>425</v>
      </c>
      <c r="E2032" s="197" t="s">
        <v>414</v>
      </c>
      <c r="F2032" s="197" t="s">
        <v>851</v>
      </c>
      <c r="G2032" s="197" t="s">
        <v>268</v>
      </c>
      <c r="H2032" s="197" t="s">
        <v>60</v>
      </c>
      <c r="I2032" s="209" t="s">
        <v>60</v>
      </c>
      <c r="K2032" s="228"/>
      <c r="L2032" s="207" t="str">
        <f>_xlfn.XLOOKUP($B2020,予定表!$B:$B,予定表!I:I,"該当なし",0,1)</f>
        <v/>
      </c>
    </row>
    <row r="2033" spans="1:12">
      <c r="A2033" s="195"/>
      <c r="B2033" s="196" t="s">
        <v>212</v>
      </c>
      <c r="C2033"/>
      <c r="D2033" s="197" t="s">
        <v>240</v>
      </c>
      <c r="E2033" s="197" t="s">
        <v>414</v>
      </c>
      <c r="F2033" s="197" t="s">
        <v>851</v>
      </c>
      <c r="G2033" s="197" t="s">
        <v>268</v>
      </c>
      <c r="H2033" s="197"/>
      <c r="I2033" s="209"/>
      <c r="K2033" s="228"/>
      <c r="L2033" s="207" t="str">
        <f>_xlfn.XLOOKUP($B2020,予定表!$B:$B,予定表!J:J,"該当なし",0,1)</f>
        <v/>
      </c>
    </row>
    <row r="2034" spans="1:12">
      <c r="A2034" s="195"/>
      <c r="B2034" s="195" t="s">
        <v>205</v>
      </c>
      <c r="C2034"/>
      <c r="D2034" s="197" t="s">
        <v>240</v>
      </c>
      <c r="E2034" s="197" t="s">
        <v>414</v>
      </c>
      <c r="F2034" s="197" t="s">
        <v>851</v>
      </c>
      <c r="G2034" s="197" t="s">
        <v>268</v>
      </c>
      <c r="H2034" s="197" t="s">
        <v>848</v>
      </c>
      <c r="I2034" s="209" t="s">
        <v>848</v>
      </c>
      <c r="K2034" s="228"/>
      <c r="L2034" s="207" t="str">
        <f>_xlfn.XLOOKUP($B2020,予定表!$B:$B,予定表!K:K,"該当なし",0,1)</f>
        <v/>
      </c>
    </row>
    <row r="2035" spans="1:12">
      <c r="A2035" s="195"/>
      <c r="B2035" s="195" t="s">
        <v>206</v>
      </c>
      <c r="C2035"/>
      <c r="D2035" s="197" t="s">
        <v>353</v>
      </c>
      <c r="E2035" s="197" t="s">
        <v>854</v>
      </c>
      <c r="F2035" s="197"/>
      <c r="G2035" s="197" t="s">
        <v>515</v>
      </c>
      <c r="H2035" s="197" t="s">
        <v>848</v>
      </c>
      <c r="I2035" s="209" t="s">
        <v>848</v>
      </c>
      <c r="K2035" s="228"/>
      <c r="L2035" s="207" t="str">
        <f>_xlfn.XLOOKUP($B2020,予定表!$B:$B,予定表!L:L,"該当なし",0,1)</f>
        <v/>
      </c>
    </row>
    <row r="2036" spans="1:12" ht="15.75" thickBot="1">
      <c r="A2036" s="195"/>
      <c r="B2036" s="195" t="s">
        <v>207</v>
      </c>
      <c r="C2036"/>
      <c r="D2036" s="197" t="s">
        <v>353</v>
      </c>
      <c r="E2036" s="197" t="s">
        <v>854</v>
      </c>
      <c r="F2036" s="197" t="s">
        <v>395</v>
      </c>
      <c r="G2036" s="197" t="s">
        <v>515</v>
      </c>
      <c r="H2036" s="197" t="s">
        <v>848</v>
      </c>
      <c r="I2036" s="209" t="s">
        <v>848</v>
      </c>
      <c r="K2036" s="229"/>
      <c r="L2036" s="204" t="str">
        <f>_xlfn.XLOOKUP($A2017,ﾘｽﾄマスタ!$U$8:$U$17,ﾘｽﾄマスタ!$V$8:$V$17,"",0)</f>
        <v>LIXIL厚木</v>
      </c>
    </row>
    <row r="2037" spans="1:12" ht="15.75" thickBot="1">
      <c r="A2037" s="195"/>
      <c r="B2037" s="196" t="s">
        <v>251</v>
      </c>
      <c r="C2037"/>
      <c r="D2037" s="197" t="s">
        <v>353</v>
      </c>
      <c r="E2037" s="197" t="s">
        <v>854</v>
      </c>
      <c r="F2037" s="197" t="s">
        <v>395</v>
      </c>
      <c r="G2037" s="197" t="s">
        <v>515</v>
      </c>
      <c r="H2037" s="197" t="s">
        <v>848</v>
      </c>
      <c r="I2037" s="209" t="s">
        <v>848</v>
      </c>
      <c r="K2037" s="208" t="s">
        <v>277</v>
      </c>
      <c r="L2037" s="208" t="str">
        <f ca="1">_xlfn.XLOOKUP($B2020,シフト抽出!$19:$19,シフト抽出!$30:$30,"該当なし",0,1)</f>
        <v/>
      </c>
    </row>
    <row r="2038" spans="1:12">
      <c r="A2038" s="195"/>
      <c r="B2038" s="195" t="s">
        <v>205</v>
      </c>
      <c r="C2038"/>
      <c r="D2038" s="197" t="s">
        <v>761</v>
      </c>
      <c r="E2038" s="197" t="s">
        <v>854</v>
      </c>
      <c r="F2038" s="197" t="s">
        <v>395</v>
      </c>
      <c r="G2038" s="197" t="s">
        <v>269</v>
      </c>
      <c r="H2038" s="197" t="s">
        <v>848</v>
      </c>
      <c r="I2038" s="209" t="s">
        <v>848</v>
      </c>
    </row>
    <row r="2039" spans="1:12">
      <c r="A2039" s="195"/>
      <c r="B2039" s="195" t="s">
        <v>206</v>
      </c>
      <c r="C2039"/>
      <c r="D2039" s="197" t="s">
        <v>761</v>
      </c>
      <c r="E2039" s="197" t="s">
        <v>216</v>
      </c>
      <c r="F2039" s="197" t="s">
        <v>395</v>
      </c>
      <c r="G2039" s="197" t="s">
        <v>269</v>
      </c>
      <c r="H2039" s="197" t="s">
        <v>848</v>
      </c>
      <c r="I2039" s="209" t="s">
        <v>848</v>
      </c>
    </row>
    <row r="2040" spans="1:12">
      <c r="A2040" s="195"/>
      <c r="B2040" s="195" t="s">
        <v>207</v>
      </c>
      <c r="C2040"/>
      <c r="D2040" s="197" t="s">
        <v>761</v>
      </c>
      <c r="E2040" s="197" t="s">
        <v>216</v>
      </c>
      <c r="F2040" s="197" t="s">
        <v>395</v>
      </c>
      <c r="G2040" s="197" t="s">
        <v>446</v>
      </c>
      <c r="H2040" s="197" t="s">
        <v>848</v>
      </c>
      <c r="I2040" s="209" t="s">
        <v>848</v>
      </c>
    </row>
    <row r="2041" spans="1:12">
      <c r="A2041" s="195"/>
      <c r="B2041" s="196" t="s">
        <v>217</v>
      </c>
      <c r="C2041"/>
      <c r="D2041" s="197" t="s">
        <v>51</v>
      </c>
      <c r="E2041" s="197" t="s">
        <v>216</v>
      </c>
      <c r="F2041" s="197" t="s">
        <v>395</v>
      </c>
      <c r="G2041" s="197" t="s">
        <v>446</v>
      </c>
      <c r="H2041" s="197" t="s">
        <v>848</v>
      </c>
      <c r="I2041" s="209" t="s">
        <v>848</v>
      </c>
    </row>
    <row r="2042" spans="1:12">
      <c r="A2042" s="195"/>
      <c r="B2042" s="195" t="s">
        <v>205</v>
      </c>
      <c r="C2042"/>
      <c r="D2042" s="197" t="s">
        <v>51</v>
      </c>
      <c r="E2042" s="197" t="s">
        <v>216</v>
      </c>
      <c r="F2042" s="197" t="s">
        <v>395</v>
      </c>
      <c r="G2042" s="197" t="s">
        <v>114</v>
      </c>
      <c r="H2042" s="197" t="s">
        <v>848</v>
      </c>
      <c r="I2042" s="209" t="s">
        <v>848</v>
      </c>
    </row>
    <row r="2043" spans="1:12">
      <c r="A2043" s="195"/>
      <c r="B2043" s="195" t="s">
        <v>206</v>
      </c>
      <c r="C2043"/>
      <c r="D2043" s="197" t="s">
        <v>51</v>
      </c>
      <c r="E2043" s="197" t="s">
        <v>216</v>
      </c>
      <c r="F2043" s="197" t="s">
        <v>395</v>
      </c>
      <c r="G2043" s="197" t="s">
        <v>114</v>
      </c>
      <c r="H2043" s="197" t="s">
        <v>848</v>
      </c>
      <c r="I2043" s="209" t="s">
        <v>848</v>
      </c>
    </row>
    <row r="2044" spans="1:12">
      <c r="A2044" s="195"/>
      <c r="B2044" s="195" t="s">
        <v>207</v>
      </c>
      <c r="C2044"/>
      <c r="D2044" s="197" t="s">
        <v>51</v>
      </c>
      <c r="E2044" s="197" t="s">
        <v>216</v>
      </c>
      <c r="F2044" s="197" t="s">
        <v>395</v>
      </c>
      <c r="G2044" s="197" t="s">
        <v>114</v>
      </c>
      <c r="H2044" s="197"/>
      <c r="I2044" s="209"/>
    </row>
    <row r="2045" spans="1:12">
      <c r="A2045" s="195"/>
      <c r="B2045" s="196" t="s">
        <v>219</v>
      </c>
      <c r="C2045"/>
      <c r="D2045" s="197" t="s">
        <v>51</v>
      </c>
      <c r="E2045" s="197" t="s">
        <v>216</v>
      </c>
      <c r="F2045" s="197" t="s">
        <v>395</v>
      </c>
      <c r="G2045" s="197"/>
      <c r="H2045" s="197"/>
      <c r="I2045" s="209"/>
    </row>
    <row r="2046" spans="1:12">
      <c r="A2046" s="195"/>
      <c r="B2046" s="195" t="s">
        <v>205</v>
      </c>
      <c r="C2046"/>
      <c r="D2046" s="197" t="s">
        <v>51</v>
      </c>
      <c r="E2046" s="197" t="s">
        <v>216</v>
      </c>
      <c r="F2046" s="197" t="s">
        <v>395</v>
      </c>
      <c r="G2046" s="197"/>
      <c r="H2046" s="197"/>
      <c r="I2046" s="209"/>
    </row>
    <row r="2047" spans="1:12">
      <c r="A2047" s="195"/>
      <c r="B2047" s="195" t="s">
        <v>206</v>
      </c>
      <c r="C2047"/>
      <c r="D2047" s="197"/>
      <c r="E2047" s="197"/>
      <c r="F2047" s="197"/>
      <c r="G2047" s="197"/>
      <c r="H2047" s="197" t="s">
        <v>884</v>
      </c>
      <c r="I2047" s="209" t="s">
        <v>884</v>
      </c>
    </row>
    <row r="2048" spans="1:12">
      <c r="A2048" s="195"/>
      <c r="B2048" s="195" t="s">
        <v>207</v>
      </c>
      <c r="C2048"/>
      <c r="D2048" s="197"/>
      <c r="E2048" s="197"/>
      <c r="F2048" s="197"/>
      <c r="G2048" s="197"/>
      <c r="H2048" s="197" t="s">
        <v>884</v>
      </c>
      <c r="I2048" s="209" t="s">
        <v>884</v>
      </c>
    </row>
    <row r="2049" spans="1:9">
      <c r="A2049" s="195"/>
      <c r="B2049" s="196" t="s">
        <v>220</v>
      </c>
      <c r="C2049"/>
      <c r="D2049" s="197"/>
      <c r="E2049" s="197"/>
      <c r="F2049" s="197"/>
      <c r="G2049" s="197"/>
      <c r="H2049" s="197" t="s">
        <v>231</v>
      </c>
      <c r="I2049" s="209" t="s">
        <v>231</v>
      </c>
    </row>
    <row r="2050" spans="1:9">
      <c r="A2050" s="195"/>
      <c r="B2050" s="195" t="s">
        <v>205</v>
      </c>
      <c r="C2050"/>
      <c r="D2050" s="197" t="s">
        <v>224</v>
      </c>
      <c r="E2050" s="197" t="s">
        <v>273</v>
      </c>
      <c r="F2050" s="197" t="s">
        <v>759</v>
      </c>
      <c r="G2050" s="197" t="s">
        <v>56</v>
      </c>
      <c r="H2050" s="197" t="s">
        <v>231</v>
      </c>
      <c r="I2050" s="209" t="s">
        <v>231</v>
      </c>
    </row>
    <row r="2051" spans="1:9">
      <c r="A2051" s="195"/>
      <c r="B2051" s="195" t="s">
        <v>206</v>
      </c>
      <c r="C2051"/>
      <c r="D2051" s="197" t="s">
        <v>224</v>
      </c>
      <c r="E2051" s="197" t="s">
        <v>273</v>
      </c>
      <c r="F2051" s="197" t="s">
        <v>759</v>
      </c>
      <c r="G2051" s="197" t="s">
        <v>56</v>
      </c>
      <c r="H2051" s="197" t="s">
        <v>211</v>
      </c>
      <c r="I2051" s="209" t="s">
        <v>211</v>
      </c>
    </row>
    <row r="2052" spans="1:9">
      <c r="A2052" s="195"/>
      <c r="B2052" s="195" t="s">
        <v>207</v>
      </c>
      <c r="C2052"/>
      <c r="D2052" s="197" t="s">
        <v>224</v>
      </c>
      <c r="E2052" s="197" t="s">
        <v>273</v>
      </c>
      <c r="F2052" s="197" t="s">
        <v>759</v>
      </c>
      <c r="G2052" s="197" t="s">
        <v>56</v>
      </c>
      <c r="H2052" s="197" t="s">
        <v>211</v>
      </c>
      <c r="I2052" s="209" t="s">
        <v>211</v>
      </c>
    </row>
    <row r="2053" spans="1:9">
      <c r="A2053" s="195"/>
      <c r="B2053" s="196" t="s">
        <v>222</v>
      </c>
      <c r="C2053"/>
      <c r="D2053" s="197" t="s">
        <v>88</v>
      </c>
      <c r="E2053" s="197" t="s">
        <v>266</v>
      </c>
      <c r="F2053" s="197" t="s">
        <v>759</v>
      </c>
      <c r="G2053" s="197"/>
      <c r="H2053" s="197"/>
      <c r="I2053" s="209"/>
    </row>
    <row r="2054" spans="1:9">
      <c r="A2054" s="195"/>
      <c r="B2054" s="195" t="s">
        <v>205</v>
      </c>
      <c r="C2054"/>
      <c r="D2054" s="197" t="s">
        <v>280</v>
      </c>
      <c r="E2054" s="197" t="s">
        <v>266</v>
      </c>
      <c r="F2054" s="197" t="s">
        <v>416</v>
      </c>
      <c r="G2054" s="197" t="s">
        <v>270</v>
      </c>
      <c r="H2054" s="197" t="s">
        <v>856</v>
      </c>
      <c r="I2054" s="209" t="s">
        <v>856</v>
      </c>
    </row>
    <row r="2055" spans="1:9">
      <c r="A2055" s="195"/>
      <c r="B2055" s="195" t="s">
        <v>206</v>
      </c>
      <c r="C2055"/>
      <c r="D2055" s="197" t="s">
        <v>160</v>
      </c>
      <c r="E2055" s="197" t="s">
        <v>266</v>
      </c>
      <c r="F2055" s="197" t="s">
        <v>933</v>
      </c>
      <c r="G2055" s="197" t="s">
        <v>270</v>
      </c>
      <c r="H2055" s="197" t="s">
        <v>856</v>
      </c>
      <c r="I2055" s="209" t="s">
        <v>856</v>
      </c>
    </row>
    <row r="2056" spans="1:9">
      <c r="A2056" s="195"/>
      <c r="B2056" s="195" t="s">
        <v>207</v>
      </c>
      <c r="C2056"/>
      <c r="D2056" s="197" t="s">
        <v>160</v>
      </c>
      <c r="E2056" s="197" t="s">
        <v>266</v>
      </c>
      <c r="F2056" s="197" t="s">
        <v>416</v>
      </c>
      <c r="G2056" s="197" t="s">
        <v>270</v>
      </c>
      <c r="H2056" s="197" t="s">
        <v>856</v>
      </c>
      <c r="I2056" s="209" t="s">
        <v>856</v>
      </c>
    </row>
    <row r="2057" spans="1:9">
      <c r="A2057" s="195"/>
      <c r="B2057" s="196" t="s">
        <v>223</v>
      </c>
      <c r="C2057"/>
      <c r="D2057" s="197" t="s">
        <v>215</v>
      </c>
      <c r="E2057" s="197" t="s">
        <v>252</v>
      </c>
      <c r="F2057" s="197" t="s">
        <v>214</v>
      </c>
      <c r="G2057" s="197" t="s">
        <v>270</v>
      </c>
      <c r="H2057" s="197" t="s">
        <v>856</v>
      </c>
      <c r="I2057" s="209" t="s">
        <v>856</v>
      </c>
    </row>
    <row r="2058" spans="1:9">
      <c r="A2058" s="195"/>
      <c r="B2058" s="195" t="s">
        <v>205</v>
      </c>
      <c r="C2058"/>
      <c r="D2058" s="197" t="s">
        <v>423</v>
      </c>
      <c r="E2058" s="197" t="s">
        <v>252</v>
      </c>
      <c r="F2058" s="197" t="s">
        <v>214</v>
      </c>
      <c r="G2058" s="197" t="s">
        <v>270</v>
      </c>
      <c r="H2058" s="197" t="s">
        <v>856</v>
      </c>
      <c r="I2058" s="209" t="s">
        <v>856</v>
      </c>
    </row>
    <row r="2059" spans="1:9">
      <c r="A2059" s="195"/>
      <c r="B2059" s="195" t="s">
        <v>206</v>
      </c>
      <c r="C2059"/>
      <c r="D2059" s="197" t="s">
        <v>588</v>
      </c>
      <c r="E2059" s="197" t="s">
        <v>252</v>
      </c>
      <c r="F2059" s="197" t="s">
        <v>214</v>
      </c>
      <c r="G2059" s="197" t="s">
        <v>270</v>
      </c>
      <c r="H2059" s="197" t="s">
        <v>856</v>
      </c>
      <c r="I2059" s="209" t="s">
        <v>856</v>
      </c>
    </row>
    <row r="2060" spans="1:9">
      <c r="A2060" s="195"/>
      <c r="B2060" s="195" t="s">
        <v>207</v>
      </c>
      <c r="C2060"/>
      <c r="D2060" s="197" t="s">
        <v>127</v>
      </c>
      <c r="E2060" s="197" t="s">
        <v>252</v>
      </c>
      <c r="F2060" s="197" t="s">
        <v>605</v>
      </c>
      <c r="G2060" s="197" t="s">
        <v>270</v>
      </c>
      <c r="H2060" s="197" t="s">
        <v>856</v>
      </c>
      <c r="I2060" s="209" t="s">
        <v>856</v>
      </c>
    </row>
    <row r="2061" spans="1:9">
      <c r="A2061" s="195"/>
      <c r="B2061" s="196" t="s">
        <v>225</v>
      </c>
      <c r="C2061"/>
      <c r="D2061" s="197" t="s">
        <v>62</v>
      </c>
      <c r="E2061" s="197" t="s">
        <v>252</v>
      </c>
      <c r="F2061" s="197" t="s">
        <v>75</v>
      </c>
      <c r="G2061" s="197" t="s">
        <v>270</v>
      </c>
      <c r="H2061" s="197" t="s">
        <v>415</v>
      </c>
      <c r="I2061" s="209" t="s">
        <v>415</v>
      </c>
    </row>
    <row r="2062" spans="1:9">
      <c r="A2062" s="195"/>
      <c r="B2062" s="195" t="s">
        <v>205</v>
      </c>
      <c r="C2062"/>
      <c r="D2062" s="197" t="s">
        <v>62</v>
      </c>
      <c r="E2062" s="197" t="s">
        <v>252</v>
      </c>
      <c r="F2062" s="197" t="s">
        <v>62</v>
      </c>
      <c r="G2062" s="197" t="s">
        <v>270</v>
      </c>
      <c r="H2062" s="209" t="s">
        <v>415</v>
      </c>
      <c r="I2062" s="209" t="s">
        <v>415</v>
      </c>
    </row>
    <row r="2063" spans="1:9">
      <c r="A2063" s="195"/>
      <c r="B2063" s="195" t="s">
        <v>206</v>
      </c>
      <c r="C2063"/>
      <c r="D2063" s="197" t="s">
        <v>62</v>
      </c>
      <c r="E2063" s="197" t="s">
        <v>252</v>
      </c>
      <c r="F2063" s="197" t="s">
        <v>62</v>
      </c>
      <c r="G2063" s="197" t="s">
        <v>270</v>
      </c>
      <c r="H2063" s="209" t="s">
        <v>415</v>
      </c>
      <c r="I2063" s="209" t="s">
        <v>415</v>
      </c>
    </row>
    <row r="2064" spans="1:9">
      <c r="A2064" s="195"/>
      <c r="B2064" s="195" t="s">
        <v>207</v>
      </c>
      <c r="C2064"/>
      <c r="D2064" s="197" t="s">
        <v>62</v>
      </c>
      <c r="E2064" s="197" t="s">
        <v>252</v>
      </c>
      <c r="F2064" s="197" t="s">
        <v>62</v>
      </c>
      <c r="G2064" s="197" t="s">
        <v>270</v>
      </c>
      <c r="H2064" s="209" t="s">
        <v>415</v>
      </c>
      <c r="I2064" s="209" t="s">
        <v>415</v>
      </c>
    </row>
    <row r="2065" spans="1:12">
      <c r="A2065" s="195"/>
      <c r="B2065" s="196" t="s">
        <v>226</v>
      </c>
      <c r="C2065"/>
      <c r="D2065" s="197"/>
      <c r="E2065" s="197"/>
      <c r="F2065" s="197"/>
      <c r="G2065" s="197" t="s">
        <v>270</v>
      </c>
      <c r="H2065" s="209"/>
      <c r="I2065" s="209"/>
    </row>
    <row r="2066" spans="1:12">
      <c r="A2066" s="195"/>
      <c r="B2066" s="195" t="s">
        <v>205</v>
      </c>
      <c r="C2066"/>
      <c r="D2066" s="197"/>
      <c r="E2066" s="197"/>
      <c r="F2066" s="197"/>
      <c r="G2066" s="197" t="s">
        <v>270</v>
      </c>
      <c r="H2066" s="209"/>
      <c r="I2066" s="209"/>
    </row>
    <row r="2067" spans="1:12">
      <c r="A2067" s="195"/>
      <c r="B2067" s="195" t="s">
        <v>206</v>
      </c>
      <c r="C2067"/>
      <c r="D2067" s="197"/>
      <c r="E2067" s="197"/>
      <c r="F2067" s="197"/>
      <c r="G2067" s="197" t="s">
        <v>270</v>
      </c>
      <c r="H2067" s="209"/>
      <c r="I2067" s="209"/>
    </row>
    <row r="2068" spans="1:12">
      <c r="A2068" s="195"/>
      <c r="B2068" s="195" t="s">
        <v>207</v>
      </c>
      <c r="C2068"/>
      <c r="D2068" s="197"/>
      <c r="E2068" s="197"/>
      <c r="F2068" s="197"/>
      <c r="G2068" s="197" t="s">
        <v>270</v>
      </c>
      <c r="H2068" s="209"/>
      <c r="I2068" s="209"/>
    </row>
    <row r="2069" spans="1:12">
      <c r="A2069" s="195"/>
      <c r="B2069" s="196" t="s">
        <v>227</v>
      </c>
      <c r="C2069"/>
      <c r="D2069" s="197"/>
      <c r="E2069" s="197"/>
      <c r="F2069" s="197"/>
      <c r="G2069" s="197"/>
      <c r="H2069" s="209"/>
      <c r="I2069" s="209"/>
      <c r="K2069"/>
    </row>
    <row r="2070" spans="1:12" ht="29.25" thickBot="1">
      <c r="A2070" s="182" t="str">
        <f>"回収シフト  第"&amp;ROUNDUP(DAY(B2073)/7,0)  &amp;"  "&amp;TEXT(B2073,"aaaa")</f>
        <v>回収シフト  第3  土曜日</v>
      </c>
      <c r="B2070" s="183"/>
      <c r="C2070" s="183"/>
      <c r="D2070" s="183"/>
      <c r="E2070" s="183"/>
      <c r="F2070" s="183"/>
      <c r="G2070" s="184"/>
      <c r="H2070" s="184"/>
      <c r="I2070" s="184"/>
      <c r="K2070" s="183"/>
      <c r="L2070" s="183"/>
    </row>
    <row r="2071" spans="1:12" ht="15.75" thickBot="1">
      <c r="A2071"/>
      <c r="B2071"/>
      <c r="C2071"/>
      <c r="D2071" s="186" t="s">
        <v>201</v>
      </c>
      <c r="E2071" s="186" t="s">
        <v>202</v>
      </c>
      <c r="F2071" s="186" t="s">
        <v>203</v>
      </c>
      <c r="G2071" s="186" t="s">
        <v>204</v>
      </c>
      <c r="H2071" s="186" t="s">
        <v>267</v>
      </c>
      <c r="I2071" s="217" t="s">
        <v>267</v>
      </c>
      <c r="K2071" s="230" t="s">
        <v>257</v>
      </c>
      <c r="L2071" s="231"/>
    </row>
    <row r="2072" spans="1:12">
      <c r="A2072" s="187"/>
      <c r="B2072" s="188">
        <v>46119</v>
      </c>
      <c r="C2072" s="187"/>
      <c r="D2072" s="189"/>
      <c r="E2072" s="189"/>
      <c r="F2072" s="189"/>
      <c r="G2072" s="189"/>
      <c r="H2072" s="189"/>
      <c r="I2072" s="218"/>
      <c r="K2072" s="232" t="s">
        <v>258</v>
      </c>
      <c r="L2072" s="190" t="str">
        <f ca="1">_xlfn.XLOOKUP($B2073,シフト抽出!$19:$19,シフト抽出!$20:$20,"該当なし",0,1)</f>
        <v/>
      </c>
    </row>
    <row r="2073" spans="1:12" ht="19.5" thickBot="1">
      <c r="A2073"/>
      <c r="B2073" s="191">
        <f>B2020+1</f>
        <v>46158</v>
      </c>
      <c r="C2073" s="192"/>
      <c r="D2073" s="193"/>
      <c r="E2073" s="193"/>
      <c r="F2073" s="193"/>
      <c r="G2073" s="193"/>
      <c r="H2073" s="193"/>
      <c r="I2073" s="219"/>
      <c r="K2073" s="233"/>
      <c r="L2073" s="194" t="str">
        <f ca="1">_xlfn.XLOOKUP($B2073,シフト抽出!$19:$19,シフト抽出!$21:$21,"該当なし",0,1)</f>
        <v/>
      </c>
    </row>
    <row r="2074" spans="1:12">
      <c r="A2074" s="195"/>
      <c r="B2074" s="196">
        <v>0.25</v>
      </c>
      <c r="C2074"/>
      <c r="D2074" s="197"/>
      <c r="E2074" s="196"/>
      <c r="F2074" s="197"/>
      <c r="G2074" s="197"/>
      <c r="H2074" s="197"/>
      <c r="I2074" s="209"/>
      <c r="K2074" s="234" t="s">
        <v>259</v>
      </c>
      <c r="L2074" s="198" t="str">
        <f ca="1">_xlfn.XLOOKUP($B2073,シフト抽出!$19:$19,シフト抽出!$23:$23,"該当なし",0,1)</f>
        <v/>
      </c>
    </row>
    <row r="2075" spans="1:12" ht="15.75" thickBot="1">
      <c r="A2075" s="195"/>
      <c r="B2075" s="195" t="s">
        <v>205</v>
      </c>
      <c r="C2075"/>
      <c r="D2075" s="197"/>
      <c r="E2075" s="197"/>
      <c r="F2075" s="197"/>
      <c r="G2075" s="197"/>
      <c r="H2075" s="197"/>
      <c r="I2075" s="209"/>
      <c r="K2075" s="235"/>
      <c r="L2075" s="199" t="str">
        <f ca="1">_xlfn.XLOOKUP($B2073,シフト抽出!$19:$19,シフト抽出!$24:$24,"該当なし",0,1)</f>
        <v/>
      </c>
    </row>
    <row r="2076" spans="1:12">
      <c r="A2076" s="195"/>
      <c r="B2076" s="195" t="s">
        <v>206</v>
      </c>
      <c r="C2076"/>
      <c r="D2076" s="197"/>
      <c r="E2076" s="197"/>
      <c r="F2076" s="197"/>
      <c r="G2076" s="197"/>
      <c r="H2076" s="197"/>
      <c r="I2076" s="209"/>
      <c r="K2076" s="224" t="s">
        <v>260</v>
      </c>
      <c r="L2076" s="200" t="str">
        <f ca="1">_xlfn.XLOOKUP($B2073,シフト抽出!$19:$19,シフト抽出!$26:$26,"該当なし",0,1)</f>
        <v/>
      </c>
    </row>
    <row r="2077" spans="1:12">
      <c r="A2077" s="195"/>
      <c r="B2077" s="195" t="s">
        <v>207</v>
      </c>
      <c r="C2077"/>
      <c r="D2077" s="197"/>
      <c r="E2077" s="197"/>
      <c r="F2077" s="197"/>
      <c r="G2077" s="197"/>
      <c r="H2077" s="197"/>
      <c r="I2077" s="209"/>
      <c r="K2077" s="225"/>
      <c r="L2077" s="201" t="str">
        <f ca="1">_xlfn.XLOOKUP($B2073,シフト抽出!$19:$19,シフト抽出!$27:$27,"該当なし",0,1)</f>
        <v/>
      </c>
    </row>
    <row r="2078" spans="1:12">
      <c r="A2078" s="195"/>
      <c r="B2078" s="202" t="s">
        <v>208</v>
      </c>
      <c r="C2078"/>
      <c r="D2078" s="197"/>
      <c r="E2078" s="197"/>
      <c r="F2078" s="197"/>
      <c r="G2078" s="197"/>
      <c r="H2078" s="197"/>
      <c r="I2078" s="209"/>
      <c r="J2078" s="203"/>
      <c r="K2078" s="225"/>
      <c r="L2078" s="201" t="str">
        <f ca="1">_xlfn.XLOOKUP($B2073,シフト抽出!$19:$19,シフト抽出!$28:$28,"該当なし",0,1)</f>
        <v/>
      </c>
    </row>
    <row r="2079" spans="1:12" ht="15.75" thickBot="1">
      <c r="A2079" s="195"/>
      <c r="B2079" s="195" t="s">
        <v>205</v>
      </c>
      <c r="C2079"/>
      <c r="D2079" s="197"/>
      <c r="E2079" s="197"/>
      <c r="F2079" s="197"/>
      <c r="G2079" s="197"/>
      <c r="H2079" s="197"/>
      <c r="I2079" s="209"/>
      <c r="J2079" s="203"/>
      <c r="K2079" s="226"/>
      <c r="L2079" s="204" t="str">
        <f ca="1">_xlfn.XLOOKUP($B2073,シフト抽出!$19:$19,シフト抽出!$29:$29,"該当なし",0,1)</f>
        <v/>
      </c>
    </row>
    <row r="2080" spans="1:12" ht="15.75" thickBot="1">
      <c r="A2080" s="195"/>
      <c r="B2080" s="195" t="s">
        <v>206</v>
      </c>
      <c r="C2080"/>
      <c r="D2080" s="197"/>
      <c r="E2080" s="197"/>
      <c r="F2080" s="197"/>
      <c r="G2080" s="197"/>
      <c r="H2080" s="197"/>
      <c r="I2080" s="209"/>
      <c r="K2080" s="205" t="s">
        <v>261</v>
      </c>
      <c r="L2080" s="205">
        <f>_xlfn.XLOOKUP($B2073,予定表!B:B,予定表!R:R,"該当なし",0,1)</f>
        <v>0</v>
      </c>
    </row>
    <row r="2081" spans="1:12">
      <c r="A2081" s="195"/>
      <c r="B2081" s="195" t="s">
        <v>207</v>
      </c>
      <c r="C2081"/>
      <c r="D2081" s="197"/>
      <c r="E2081" s="197"/>
      <c r="F2081" s="197"/>
      <c r="G2081" s="197"/>
      <c r="H2081" s="197"/>
      <c r="I2081" s="209"/>
      <c r="K2081" s="227" t="s">
        <v>262</v>
      </c>
      <c r="L2081" s="206">
        <f>_xlfn.XLOOKUP($B2073,予定表!$B:$B,予定表!E:E,"該当なし",0,1)</f>
        <v>0</v>
      </c>
    </row>
    <row r="2082" spans="1:12">
      <c r="A2082" s="195"/>
      <c r="B2082" s="196" t="s">
        <v>209</v>
      </c>
      <c r="C2082"/>
      <c r="D2082" s="197" t="s">
        <v>4</v>
      </c>
      <c r="E2082" s="197" t="s">
        <v>4</v>
      </c>
      <c r="F2082" s="197"/>
      <c r="G2082" s="197"/>
      <c r="H2082" s="197"/>
      <c r="I2082" s="209"/>
      <c r="K2082" s="228"/>
      <c r="L2082" s="207">
        <f>_xlfn.XLOOKUP($B2073,予定表!$B:$B,予定表!F:F,"該当なし",0,1)</f>
        <v>0</v>
      </c>
    </row>
    <row r="2083" spans="1:12">
      <c r="A2083" s="195"/>
      <c r="B2083" s="195" t="s">
        <v>205</v>
      </c>
      <c r="C2083"/>
      <c r="D2083" s="197" t="s">
        <v>268</v>
      </c>
      <c r="E2083" s="197" t="s">
        <v>22</v>
      </c>
      <c r="F2083" s="197"/>
      <c r="G2083" s="197"/>
      <c r="H2083" s="197"/>
      <c r="I2083" s="209"/>
      <c r="K2083" s="228"/>
      <c r="L2083" s="207">
        <f>_xlfn.XLOOKUP($B2073,予定表!$B:$B,予定表!G:G,"該当なし",0,1)</f>
        <v>0</v>
      </c>
    </row>
    <row r="2084" spans="1:12">
      <c r="A2084" s="195"/>
      <c r="B2084" s="195" t="s">
        <v>206</v>
      </c>
      <c r="C2084"/>
      <c r="D2084" s="197" t="s">
        <v>268</v>
      </c>
      <c r="E2084" s="197" t="s">
        <v>22</v>
      </c>
      <c r="F2084" s="197"/>
      <c r="G2084" s="197"/>
      <c r="H2084" s="197"/>
      <c r="I2084" s="209"/>
      <c r="K2084" s="228"/>
      <c r="L2084" s="207" t="str">
        <f>_xlfn.XLOOKUP($B2073,予定表!$B:$B,予定表!H:H,"該当なし",0,1)</f>
        <v>資さんうどん</v>
      </c>
    </row>
    <row r="2085" spans="1:12">
      <c r="A2085" s="195"/>
      <c r="B2085" s="195" t="s">
        <v>207</v>
      </c>
      <c r="C2085"/>
      <c r="D2085" s="197" t="s">
        <v>268</v>
      </c>
      <c r="E2085" s="197" t="s">
        <v>793</v>
      </c>
      <c r="F2085" s="197"/>
      <c r="G2085" s="197"/>
      <c r="H2085" s="197"/>
      <c r="I2085" s="209"/>
      <c r="K2085" s="228"/>
      <c r="L2085" s="207" t="str">
        <f>_xlfn.XLOOKUP($B2073,予定表!$B:$B,予定表!I:I,"該当なし",0,1)</f>
        <v/>
      </c>
    </row>
    <row r="2086" spans="1:12">
      <c r="A2086" s="195"/>
      <c r="B2086" s="196" t="s">
        <v>212</v>
      </c>
      <c r="C2086"/>
      <c r="D2086" s="197" t="s">
        <v>268</v>
      </c>
      <c r="E2086" s="197" t="s">
        <v>241</v>
      </c>
      <c r="F2086" s="197"/>
      <c r="G2086" s="197"/>
      <c r="H2086" s="197"/>
      <c r="I2086" s="209"/>
      <c r="K2086" s="228"/>
      <c r="L2086" s="207" t="str">
        <f>_xlfn.XLOOKUP($B2073,予定表!$B:$B,予定表!J:J,"該当なし",0,1)</f>
        <v/>
      </c>
    </row>
    <row r="2087" spans="1:12">
      <c r="A2087" s="195"/>
      <c r="B2087" s="195" t="s">
        <v>205</v>
      </c>
      <c r="C2087"/>
      <c r="D2087" s="197" t="s">
        <v>268</v>
      </c>
      <c r="E2087" s="197" t="s">
        <v>241</v>
      </c>
      <c r="F2087" s="197"/>
      <c r="G2087" s="197"/>
      <c r="H2087" s="197"/>
      <c r="I2087" s="209"/>
      <c r="K2087" s="228"/>
      <c r="L2087" s="207" t="str">
        <f>_xlfn.XLOOKUP($B2073,予定表!$B:$B,予定表!K:K,"該当なし",0,1)</f>
        <v/>
      </c>
    </row>
    <row r="2088" spans="1:12">
      <c r="A2088" s="195"/>
      <c r="B2088" s="195" t="s">
        <v>206</v>
      </c>
      <c r="C2088"/>
      <c r="D2088" s="197" t="s">
        <v>515</v>
      </c>
      <c r="E2088" s="197" t="s">
        <v>244</v>
      </c>
      <c r="F2088" s="197"/>
      <c r="G2088" s="197"/>
      <c r="H2088" s="197"/>
      <c r="I2088" s="209"/>
      <c r="K2088" s="228"/>
      <c r="L2088" s="207" t="str">
        <f>_xlfn.XLOOKUP($B2073,予定表!$B:$B,予定表!L:L,"該当なし",0,1)</f>
        <v/>
      </c>
    </row>
    <row r="2089" spans="1:12" ht="15.75" thickBot="1">
      <c r="A2089" s="195"/>
      <c r="B2089" s="195" t="s">
        <v>207</v>
      </c>
      <c r="C2089"/>
      <c r="D2089" s="197" t="s">
        <v>515</v>
      </c>
      <c r="E2089" s="197" t="s">
        <v>244</v>
      </c>
      <c r="F2089" s="197"/>
      <c r="G2089" s="197"/>
      <c r="H2089" s="197"/>
      <c r="I2089" s="209"/>
      <c r="K2089" s="229"/>
      <c r="L2089" s="204" t="str">
        <f>_xlfn.XLOOKUP($A2070,ﾘｽﾄマスタ!$U$8:$U$17,ﾘｽﾄマスタ!$V$8:$V$17,"",0)</f>
        <v/>
      </c>
    </row>
    <row r="2090" spans="1:12" ht="15.75" thickBot="1">
      <c r="A2090" s="195"/>
      <c r="B2090" s="196" t="s">
        <v>251</v>
      </c>
      <c r="C2090"/>
      <c r="D2090" s="197" t="s">
        <v>515</v>
      </c>
      <c r="E2090" s="197" t="s">
        <v>114</v>
      </c>
      <c r="F2090" s="197"/>
      <c r="G2090" s="197"/>
      <c r="H2090" s="197"/>
      <c r="I2090" s="209"/>
      <c r="K2090" s="208" t="s">
        <v>277</v>
      </c>
      <c r="L2090" s="208" t="str">
        <f ca="1">_xlfn.XLOOKUP($B2073,シフト抽出!$19:$19,シフト抽出!$30:$30,"該当なし",0,1)</f>
        <v/>
      </c>
    </row>
    <row r="2091" spans="1:12">
      <c r="A2091" s="195"/>
      <c r="B2091" s="195" t="s">
        <v>205</v>
      </c>
      <c r="C2091"/>
      <c r="D2091" s="197" t="s">
        <v>242</v>
      </c>
      <c r="E2091" s="197" t="s">
        <v>114</v>
      </c>
      <c r="F2091" s="197"/>
      <c r="G2091" s="197"/>
      <c r="H2091" s="197"/>
      <c r="I2091" s="209"/>
    </row>
    <row r="2092" spans="1:12">
      <c r="A2092" s="195"/>
      <c r="B2092" s="195" t="s">
        <v>206</v>
      </c>
      <c r="C2092"/>
      <c r="D2092" s="197" t="s">
        <v>242</v>
      </c>
      <c r="E2092" s="197"/>
      <c r="F2092" s="197"/>
      <c r="G2092" s="197"/>
      <c r="H2092" s="197"/>
      <c r="I2092" s="209"/>
    </row>
    <row r="2093" spans="1:12">
      <c r="A2093" s="195"/>
      <c r="B2093" s="195" t="s">
        <v>207</v>
      </c>
      <c r="C2093"/>
      <c r="D2093" s="197" t="s">
        <v>242</v>
      </c>
      <c r="E2093" s="197" t="s">
        <v>851</v>
      </c>
      <c r="F2093" s="197"/>
      <c r="G2093" s="197"/>
      <c r="H2093" s="197"/>
      <c r="I2093" s="209"/>
    </row>
    <row r="2094" spans="1:12">
      <c r="A2094" s="195"/>
      <c r="B2094" s="196" t="s">
        <v>217</v>
      </c>
      <c r="C2094"/>
      <c r="D2094" s="197" t="s">
        <v>242</v>
      </c>
      <c r="E2094" s="197" t="s">
        <v>851</v>
      </c>
      <c r="F2094" s="197"/>
      <c r="G2094" s="197"/>
      <c r="H2094" s="197"/>
      <c r="I2094" s="209"/>
    </row>
    <row r="2095" spans="1:12">
      <c r="A2095" s="195"/>
      <c r="B2095" s="195" t="s">
        <v>205</v>
      </c>
      <c r="C2095"/>
      <c r="D2095" s="197" t="s">
        <v>242</v>
      </c>
      <c r="E2095" s="197" t="s">
        <v>851</v>
      </c>
      <c r="F2095" s="197"/>
      <c r="G2095" s="197"/>
      <c r="H2095" s="197"/>
      <c r="I2095" s="209"/>
    </row>
    <row r="2096" spans="1:12">
      <c r="A2096" s="195"/>
      <c r="B2096" s="195" t="s">
        <v>206</v>
      </c>
      <c r="C2096"/>
      <c r="D2096" s="197" t="s">
        <v>242</v>
      </c>
      <c r="E2096" s="197" t="s">
        <v>851</v>
      </c>
      <c r="F2096" s="197"/>
      <c r="G2096" s="197"/>
      <c r="H2096" s="197"/>
      <c r="I2096" s="209"/>
    </row>
    <row r="2097" spans="1:9">
      <c r="A2097" s="195"/>
      <c r="B2097" s="195" t="s">
        <v>207</v>
      </c>
      <c r="C2097"/>
      <c r="D2097" s="197"/>
      <c r="E2097" s="197" t="s">
        <v>851</v>
      </c>
      <c r="F2097" s="197"/>
      <c r="G2097" s="197"/>
      <c r="H2097" s="197"/>
      <c r="I2097" s="209"/>
    </row>
    <row r="2098" spans="1:9">
      <c r="A2098" s="195"/>
      <c r="B2098" s="196" t="s">
        <v>219</v>
      </c>
      <c r="C2098"/>
      <c r="D2098" s="197"/>
      <c r="E2098" s="197" t="s">
        <v>851</v>
      </c>
      <c r="F2098" s="197"/>
      <c r="G2098" s="197"/>
      <c r="H2098" s="197"/>
      <c r="I2098" s="209"/>
    </row>
    <row r="2099" spans="1:9">
      <c r="A2099" s="195"/>
      <c r="B2099" s="195" t="s">
        <v>205</v>
      </c>
      <c r="C2099"/>
      <c r="D2099" s="197"/>
      <c r="E2099" s="197"/>
      <c r="F2099" s="197"/>
      <c r="G2099" s="197"/>
      <c r="H2099" s="197"/>
      <c r="I2099" s="209"/>
    </row>
    <row r="2100" spans="1:9">
      <c r="A2100" s="195"/>
      <c r="B2100" s="195" t="s">
        <v>206</v>
      </c>
      <c r="C2100"/>
      <c r="D2100" s="197"/>
      <c r="E2100" s="197"/>
      <c r="F2100" s="197"/>
      <c r="G2100" s="197"/>
      <c r="H2100" s="197"/>
      <c r="I2100" s="209"/>
    </row>
    <row r="2101" spans="1:9">
      <c r="A2101" s="195"/>
      <c r="B2101" s="195" t="s">
        <v>207</v>
      </c>
      <c r="C2101"/>
      <c r="D2101" s="197"/>
      <c r="E2101" s="197"/>
      <c r="F2101" s="197"/>
      <c r="G2101" s="197"/>
      <c r="H2101" s="197"/>
      <c r="I2101" s="209"/>
    </row>
    <row r="2102" spans="1:9">
      <c r="A2102" s="195"/>
      <c r="B2102" s="196" t="s">
        <v>220</v>
      </c>
      <c r="C2102"/>
      <c r="D2102" s="197" t="s">
        <v>7</v>
      </c>
      <c r="E2102" s="197" t="s">
        <v>7</v>
      </c>
      <c r="F2102" s="197"/>
      <c r="G2102" s="189"/>
      <c r="H2102" s="197"/>
      <c r="I2102" s="209"/>
    </row>
    <row r="2103" spans="1:9">
      <c r="A2103" s="195"/>
      <c r="B2103" s="195" t="s">
        <v>205</v>
      </c>
      <c r="C2103"/>
      <c r="D2103" s="197" t="s">
        <v>886</v>
      </c>
      <c r="E2103" s="197" t="s">
        <v>228</v>
      </c>
      <c r="F2103" s="197"/>
      <c r="G2103" s="197"/>
      <c r="H2103" s="197"/>
      <c r="I2103" s="209"/>
    </row>
    <row r="2104" spans="1:9">
      <c r="A2104" s="195"/>
      <c r="B2104" s="195" t="s">
        <v>206</v>
      </c>
      <c r="C2104"/>
      <c r="D2104" s="197" t="s">
        <v>886</v>
      </c>
      <c r="E2104" s="197" t="s">
        <v>228</v>
      </c>
      <c r="F2104" s="197"/>
      <c r="G2104" s="197"/>
      <c r="H2104" s="197"/>
      <c r="I2104" s="209"/>
    </row>
    <row r="2105" spans="1:9">
      <c r="A2105" s="195"/>
      <c r="B2105" s="195" t="s">
        <v>207</v>
      </c>
      <c r="C2105"/>
      <c r="D2105" s="197" t="s">
        <v>886</v>
      </c>
      <c r="E2105" s="197" t="s">
        <v>228</v>
      </c>
      <c r="F2105" s="197"/>
      <c r="G2105" s="197"/>
      <c r="H2105" s="197"/>
      <c r="I2105" s="209"/>
    </row>
    <row r="2106" spans="1:9">
      <c r="A2106" s="195"/>
      <c r="B2106" s="196" t="s">
        <v>222</v>
      </c>
      <c r="C2106"/>
      <c r="D2106" s="197" t="s">
        <v>886</v>
      </c>
      <c r="E2106" s="197" t="s">
        <v>228</v>
      </c>
      <c r="F2106" s="197"/>
      <c r="G2106" s="197"/>
      <c r="H2106" s="197"/>
      <c r="I2106" s="209"/>
    </row>
    <row r="2107" spans="1:9">
      <c r="A2107" s="195"/>
      <c r="B2107" s="195" t="s">
        <v>205</v>
      </c>
      <c r="C2107"/>
      <c r="D2107" s="197"/>
      <c r="E2107" s="197" t="s">
        <v>228</v>
      </c>
      <c r="F2107" s="197"/>
      <c r="G2107" s="197"/>
      <c r="H2107" s="197"/>
      <c r="I2107" s="209"/>
    </row>
    <row r="2108" spans="1:9">
      <c r="A2108" s="195"/>
      <c r="B2108" s="195" t="s">
        <v>206</v>
      </c>
      <c r="C2108"/>
      <c r="D2108" s="197" t="s">
        <v>270</v>
      </c>
      <c r="E2108" s="197" t="s">
        <v>228</v>
      </c>
      <c r="F2108" s="197"/>
      <c r="G2108" s="197"/>
      <c r="H2108" s="197"/>
      <c r="I2108" s="209"/>
    </row>
    <row r="2109" spans="1:9">
      <c r="A2109" s="195"/>
      <c r="B2109" s="195" t="s">
        <v>207</v>
      </c>
      <c r="C2109"/>
      <c r="D2109" s="197" t="s">
        <v>270</v>
      </c>
      <c r="E2109" s="197" t="s">
        <v>228</v>
      </c>
      <c r="F2109" s="197"/>
      <c r="G2109" s="197"/>
      <c r="H2109" s="197"/>
      <c r="I2109" s="209"/>
    </row>
    <row r="2110" spans="1:9">
      <c r="A2110" s="195"/>
      <c r="B2110" s="196" t="s">
        <v>223</v>
      </c>
      <c r="C2110"/>
      <c r="D2110" s="197" t="s">
        <v>270</v>
      </c>
      <c r="E2110" s="197" t="s">
        <v>228</v>
      </c>
      <c r="F2110" s="197"/>
      <c r="G2110" s="197"/>
      <c r="H2110" s="197"/>
      <c r="I2110" s="209"/>
    </row>
    <row r="2111" spans="1:9">
      <c r="A2111" s="195"/>
      <c r="B2111" s="195" t="s">
        <v>205</v>
      </c>
      <c r="C2111"/>
      <c r="D2111" s="197" t="s">
        <v>270</v>
      </c>
      <c r="E2111" s="197" t="s">
        <v>273</v>
      </c>
      <c r="F2111" s="197"/>
      <c r="G2111" s="197"/>
      <c r="H2111" s="197"/>
      <c r="I2111" s="209"/>
    </row>
    <row r="2112" spans="1:9">
      <c r="A2112" s="195"/>
      <c r="B2112" s="195" t="s">
        <v>206</v>
      </c>
      <c r="C2112"/>
      <c r="D2112" s="197" t="s">
        <v>270</v>
      </c>
      <c r="E2112" s="197" t="s">
        <v>273</v>
      </c>
      <c r="F2112" s="197"/>
      <c r="G2112" s="197"/>
      <c r="H2112" s="197"/>
      <c r="I2112" s="209"/>
    </row>
    <row r="2113" spans="1:12">
      <c r="A2113" s="195"/>
      <c r="B2113" s="195" t="s">
        <v>207</v>
      </c>
      <c r="C2113"/>
      <c r="D2113" s="197" t="s">
        <v>270</v>
      </c>
      <c r="E2113" s="197" t="s">
        <v>273</v>
      </c>
      <c r="F2113" s="197"/>
      <c r="G2113" s="197"/>
      <c r="H2113" s="197"/>
      <c r="I2113" s="209"/>
    </row>
    <row r="2114" spans="1:12">
      <c r="A2114" s="195"/>
      <c r="B2114" s="196" t="s">
        <v>225</v>
      </c>
      <c r="C2114"/>
      <c r="D2114" s="197" t="s">
        <v>270</v>
      </c>
      <c r="E2114" s="197" t="s">
        <v>263</v>
      </c>
      <c r="F2114" s="197"/>
      <c r="G2114" s="197"/>
      <c r="H2114" s="197"/>
      <c r="I2114" s="209"/>
    </row>
    <row r="2115" spans="1:12">
      <c r="A2115" s="195"/>
      <c r="B2115" s="195" t="s">
        <v>205</v>
      </c>
      <c r="C2115"/>
      <c r="D2115" s="197" t="s">
        <v>270</v>
      </c>
      <c r="E2115" s="197" t="s">
        <v>263</v>
      </c>
      <c r="F2115" s="197"/>
      <c r="G2115" s="197"/>
      <c r="H2115" s="209"/>
      <c r="I2115" s="209"/>
    </row>
    <row r="2116" spans="1:12">
      <c r="A2116" s="195"/>
      <c r="B2116" s="195" t="s">
        <v>206</v>
      </c>
      <c r="C2116"/>
      <c r="D2116" s="197" t="s">
        <v>270</v>
      </c>
      <c r="E2116" s="197" t="s">
        <v>263</v>
      </c>
      <c r="F2116" s="197"/>
      <c r="G2116" s="197"/>
      <c r="H2116" s="209"/>
      <c r="I2116" s="209"/>
    </row>
    <row r="2117" spans="1:12">
      <c r="A2117" s="195"/>
      <c r="B2117" s="195" t="s">
        <v>207</v>
      </c>
      <c r="C2117"/>
      <c r="D2117" s="197" t="s">
        <v>270</v>
      </c>
      <c r="E2117" s="197" t="s">
        <v>263</v>
      </c>
      <c r="F2117" s="197"/>
      <c r="G2117" s="197"/>
      <c r="H2117" s="209"/>
      <c r="I2117" s="209"/>
    </row>
    <row r="2118" spans="1:12">
      <c r="A2118" s="195"/>
      <c r="B2118" s="196" t="s">
        <v>226</v>
      </c>
      <c r="C2118"/>
      <c r="D2118" s="197" t="s">
        <v>270</v>
      </c>
      <c r="E2118" s="197"/>
      <c r="F2118" s="197"/>
      <c r="G2118" s="197"/>
      <c r="H2118" s="209"/>
      <c r="I2118" s="209"/>
    </row>
    <row r="2119" spans="1:12">
      <c r="A2119" s="195"/>
      <c r="B2119" s="195" t="s">
        <v>205</v>
      </c>
      <c r="C2119"/>
      <c r="D2119" s="197" t="s">
        <v>270</v>
      </c>
      <c r="E2119" s="197"/>
      <c r="F2119" s="197"/>
      <c r="G2119" s="197"/>
      <c r="H2119" s="209"/>
      <c r="I2119" s="209"/>
    </row>
    <row r="2120" spans="1:12">
      <c r="A2120" s="195"/>
      <c r="B2120" s="195" t="s">
        <v>206</v>
      </c>
      <c r="C2120"/>
      <c r="D2120" s="197" t="s">
        <v>270</v>
      </c>
      <c r="E2120" s="197"/>
      <c r="F2120" s="197"/>
      <c r="G2120" s="197"/>
      <c r="H2120" s="209"/>
      <c r="I2120" s="209"/>
    </row>
    <row r="2121" spans="1:12">
      <c r="A2121" s="195"/>
      <c r="B2121" s="195" t="s">
        <v>207</v>
      </c>
      <c r="C2121"/>
      <c r="D2121" s="197" t="s">
        <v>270</v>
      </c>
      <c r="E2121" s="197"/>
      <c r="F2121" s="197"/>
      <c r="G2121" s="197"/>
      <c r="H2121" s="209"/>
      <c r="I2121" s="209"/>
    </row>
    <row r="2122" spans="1:12">
      <c r="A2122" s="195"/>
      <c r="B2122" s="196" t="s">
        <v>227</v>
      </c>
      <c r="C2122"/>
      <c r="D2122" s="197"/>
      <c r="E2122" s="197"/>
      <c r="F2122" s="197"/>
      <c r="G2122" s="197"/>
      <c r="H2122" s="209"/>
      <c r="I2122" s="209"/>
      <c r="K2122"/>
    </row>
    <row r="2123" spans="1:12" ht="29.25" thickBot="1">
      <c r="A2123" s="182" t="str">
        <f>"回収シフト  第"&amp;ROUNDUP(DAY(B2126)/7,0)  &amp;"  "&amp;TEXT(B2126,"aaaa")</f>
        <v>回収シフト  第3  月曜日</v>
      </c>
      <c r="B2123" s="183"/>
      <c r="C2123" s="183"/>
      <c r="D2123" s="183"/>
      <c r="E2123" s="183"/>
      <c r="F2123" s="183"/>
      <c r="G2123" s="184"/>
      <c r="H2123" s="184"/>
      <c r="I2123" s="184"/>
      <c r="K2123" s="183"/>
      <c r="L2123" s="183"/>
    </row>
    <row r="2124" spans="1:12" ht="15.75" thickBot="1">
      <c r="A2124"/>
      <c r="B2124"/>
      <c r="C2124"/>
      <c r="D2124" s="186" t="s">
        <v>201</v>
      </c>
      <c r="E2124" s="186" t="s">
        <v>202</v>
      </c>
      <c r="F2124" s="186" t="s">
        <v>203</v>
      </c>
      <c r="G2124" s="186" t="s">
        <v>204</v>
      </c>
      <c r="H2124" s="186" t="s">
        <v>267</v>
      </c>
      <c r="I2124" s="217" t="s">
        <v>267</v>
      </c>
      <c r="K2124" s="230" t="s">
        <v>257</v>
      </c>
      <c r="L2124" s="231"/>
    </row>
    <row r="2125" spans="1:12">
      <c r="A2125" s="187"/>
      <c r="B2125" s="188">
        <v>45495</v>
      </c>
      <c r="C2125" s="187"/>
      <c r="D2125" s="189" t="s">
        <v>910</v>
      </c>
      <c r="E2125" s="189" t="s">
        <v>859</v>
      </c>
      <c r="F2125" s="189" t="s">
        <v>850</v>
      </c>
      <c r="G2125" s="189" t="s">
        <v>857</v>
      </c>
      <c r="H2125" s="189" t="s">
        <v>852</v>
      </c>
      <c r="I2125" s="218" t="s">
        <v>852</v>
      </c>
      <c r="K2125" s="232" t="s">
        <v>258</v>
      </c>
      <c r="L2125" s="190" t="str">
        <f ca="1">_xlfn.XLOOKUP($B2126,シフト抽出!$19:$19,シフト抽出!$20:$20,"該当なし",0,1)</f>
        <v/>
      </c>
    </row>
    <row r="2126" spans="1:12" ht="19.5" thickBot="1">
      <c r="A2126"/>
      <c r="B2126" s="191">
        <f>B2073+2</f>
        <v>46160</v>
      </c>
      <c r="C2126" s="192"/>
      <c r="D2126" s="193"/>
      <c r="E2126" s="193"/>
      <c r="F2126" s="193"/>
      <c r="G2126" s="193"/>
      <c r="H2126" s="193"/>
      <c r="I2126" s="219"/>
      <c r="K2126" s="233"/>
      <c r="L2126" s="194" t="str">
        <f ca="1">_xlfn.XLOOKUP($B2126,シフト抽出!$19:$19,シフト抽出!$21:$21,"該当なし",0,1)</f>
        <v/>
      </c>
    </row>
    <row r="2127" spans="1:12">
      <c r="A2127" s="195"/>
      <c r="B2127" s="196">
        <v>0.25</v>
      </c>
      <c r="C2127"/>
      <c r="D2127" s="197"/>
      <c r="E2127" s="196"/>
      <c r="F2127" s="197"/>
      <c r="G2127" s="197"/>
      <c r="H2127" s="197"/>
      <c r="I2127" s="209"/>
      <c r="K2127" s="234" t="s">
        <v>259</v>
      </c>
      <c r="L2127" s="198" t="str">
        <f ca="1">_xlfn.XLOOKUP($B2126,シフト抽出!$19:$19,シフト抽出!$23:$23,"該当なし",0,1)</f>
        <v/>
      </c>
    </row>
    <row r="2128" spans="1:12" ht="15.75" thickBot="1">
      <c r="A2128" s="195"/>
      <c r="B2128" s="195" t="s">
        <v>205</v>
      </c>
      <c r="C2128"/>
      <c r="D2128" s="197"/>
      <c r="E2128" s="197"/>
      <c r="F2128" s="197"/>
      <c r="G2128" s="197"/>
      <c r="H2128" s="197"/>
      <c r="I2128" s="209"/>
      <c r="K2128" s="235"/>
      <c r="L2128" s="199" t="str">
        <f ca="1">_xlfn.XLOOKUP($B2126,シフト抽出!$19:$19,シフト抽出!$24:$24,"該当なし",0,1)</f>
        <v/>
      </c>
    </row>
    <row r="2129" spans="1:12">
      <c r="A2129" s="195"/>
      <c r="B2129" s="195" t="s">
        <v>206</v>
      </c>
      <c r="C2129"/>
      <c r="D2129" s="197"/>
      <c r="E2129" s="197"/>
      <c r="F2129" s="197"/>
      <c r="G2129" s="197"/>
      <c r="H2129" s="197"/>
      <c r="I2129" s="209"/>
      <c r="K2129" s="224" t="s">
        <v>260</v>
      </c>
      <c r="L2129" s="200" t="str">
        <f ca="1">_xlfn.XLOOKUP($B2126,シフト抽出!$19:$19,シフト抽出!$26:$26,"該当なし",0,1)</f>
        <v/>
      </c>
    </row>
    <row r="2130" spans="1:12">
      <c r="A2130" s="195"/>
      <c r="B2130" s="195" t="s">
        <v>207</v>
      </c>
      <c r="C2130"/>
      <c r="D2130" s="197"/>
      <c r="E2130" s="197"/>
      <c r="F2130" s="197"/>
      <c r="G2130" s="197"/>
      <c r="H2130" s="197"/>
      <c r="I2130" s="209"/>
      <c r="K2130" s="225"/>
      <c r="L2130" s="201" t="str">
        <f ca="1">_xlfn.XLOOKUP($B2126,シフト抽出!$19:$19,シフト抽出!$27:$27,"該当なし",0,1)</f>
        <v/>
      </c>
    </row>
    <row r="2131" spans="1:12">
      <c r="A2131" s="195"/>
      <c r="B2131" s="202" t="s">
        <v>208</v>
      </c>
      <c r="C2131"/>
      <c r="D2131" s="197"/>
      <c r="E2131" s="197"/>
      <c r="F2131" s="197" t="s">
        <v>851</v>
      </c>
      <c r="G2131" s="197"/>
      <c r="H2131" s="197"/>
      <c r="I2131" s="209"/>
      <c r="J2131" s="203"/>
      <c r="K2131" s="225"/>
      <c r="L2131" s="201" t="str">
        <f ca="1">_xlfn.XLOOKUP($B2126,シフト抽出!$19:$19,シフト抽出!$28:$28,"該当なし",0,1)</f>
        <v/>
      </c>
    </row>
    <row r="2132" spans="1:12" ht="15.75" thickBot="1">
      <c r="A2132" s="195"/>
      <c r="B2132" s="195" t="s">
        <v>205</v>
      </c>
      <c r="C2132"/>
      <c r="D2132" s="197"/>
      <c r="E2132" s="197"/>
      <c r="F2132" s="197" t="s">
        <v>851</v>
      </c>
      <c r="G2132" s="197"/>
      <c r="H2132" s="197"/>
      <c r="I2132" s="209"/>
      <c r="J2132" s="203"/>
      <c r="K2132" s="226"/>
      <c r="L2132" s="204" t="str">
        <f ca="1">_xlfn.XLOOKUP($B2126,シフト抽出!$19:$19,シフト抽出!$29:$29,"該当なし",0,1)</f>
        <v/>
      </c>
    </row>
    <row r="2133" spans="1:12" ht="15.75" thickBot="1">
      <c r="A2133" s="195"/>
      <c r="B2133" s="195" t="s">
        <v>206</v>
      </c>
      <c r="C2133"/>
      <c r="D2133" s="197"/>
      <c r="E2133" s="197"/>
      <c r="F2133" s="197" t="s">
        <v>851</v>
      </c>
      <c r="G2133" s="197"/>
      <c r="H2133" s="197"/>
      <c r="I2133" s="209"/>
      <c r="K2133" s="205" t="s">
        <v>261</v>
      </c>
      <c r="L2133" s="205">
        <f>_xlfn.XLOOKUP($B2126,予定表!B:B,予定表!R:R,"該当なし",0,1)</f>
        <v>0</v>
      </c>
    </row>
    <row r="2134" spans="1:12">
      <c r="A2134" s="195"/>
      <c r="B2134" s="195" t="s">
        <v>207</v>
      </c>
      <c r="C2134"/>
      <c r="D2134" s="197"/>
      <c r="E2134" s="197"/>
      <c r="F2134" s="197" t="s">
        <v>851</v>
      </c>
      <c r="G2134" s="197"/>
      <c r="H2134" s="197"/>
      <c r="I2134" s="209"/>
      <c r="K2134" s="227" t="s">
        <v>262</v>
      </c>
      <c r="L2134" s="206">
        <f>_xlfn.XLOOKUP($B2126,予定表!$B:$B,予定表!E:E,"該当なし",0,1)</f>
        <v>0</v>
      </c>
    </row>
    <row r="2135" spans="1:12">
      <c r="A2135" s="195"/>
      <c r="B2135" s="196" t="s">
        <v>209</v>
      </c>
      <c r="C2135"/>
      <c r="D2135" s="197"/>
      <c r="E2135" s="197"/>
      <c r="F2135" s="197" t="s">
        <v>851</v>
      </c>
      <c r="G2135" s="197"/>
      <c r="H2135" s="197"/>
      <c r="I2135" s="209"/>
      <c r="K2135" s="228"/>
      <c r="L2135" s="207">
        <f>_xlfn.XLOOKUP($B2126,予定表!$B:$B,予定表!F:F,"該当なし",0,1)</f>
        <v>0</v>
      </c>
    </row>
    <row r="2136" spans="1:12">
      <c r="A2136" s="195"/>
      <c r="B2136" s="195" t="s">
        <v>205</v>
      </c>
      <c r="C2136"/>
      <c r="D2136" s="197" t="s">
        <v>264</v>
      </c>
      <c r="E2136" s="197" t="s">
        <v>414</v>
      </c>
      <c r="F2136" s="197" t="s">
        <v>851</v>
      </c>
      <c r="G2136" s="197" t="s">
        <v>268</v>
      </c>
      <c r="H2136" s="197" t="s">
        <v>399</v>
      </c>
      <c r="I2136" s="209" t="s">
        <v>399</v>
      </c>
      <c r="K2136" s="228"/>
      <c r="L2136" s="207">
        <f>_xlfn.XLOOKUP($B2126,予定表!$B:$B,予定表!G:G,"該当なし",0,1)</f>
        <v>0</v>
      </c>
    </row>
    <row r="2137" spans="1:12">
      <c r="A2137" s="195"/>
      <c r="B2137" s="195" t="s">
        <v>206</v>
      </c>
      <c r="C2137"/>
      <c r="D2137" s="197" t="s">
        <v>788</v>
      </c>
      <c r="E2137" s="197" t="s">
        <v>414</v>
      </c>
      <c r="F2137" s="197"/>
      <c r="G2137" s="197" t="s">
        <v>268</v>
      </c>
      <c r="H2137" s="197" t="s">
        <v>399</v>
      </c>
      <c r="I2137" s="209" t="s">
        <v>399</v>
      </c>
      <c r="K2137" s="228"/>
      <c r="L2137" s="207" t="str">
        <f>_xlfn.XLOOKUP($B2126,予定表!$B:$B,予定表!H:H,"該当なし",0,1)</f>
        <v>資さんうどん</v>
      </c>
    </row>
    <row r="2138" spans="1:12">
      <c r="A2138" s="195"/>
      <c r="B2138" s="195" t="s">
        <v>207</v>
      </c>
      <c r="C2138"/>
      <c r="D2138" s="197" t="s">
        <v>119</v>
      </c>
      <c r="E2138" s="197" t="s">
        <v>414</v>
      </c>
      <c r="F2138" s="197" t="s">
        <v>399</v>
      </c>
      <c r="G2138" s="197" t="s">
        <v>268</v>
      </c>
      <c r="H2138" s="197" t="s">
        <v>399</v>
      </c>
      <c r="I2138" s="209" t="s">
        <v>399</v>
      </c>
      <c r="K2138" s="228"/>
      <c r="L2138" s="207" t="str">
        <f>_xlfn.XLOOKUP($B2126,予定表!$B:$B,予定表!I:I,"該当なし",0,1)</f>
        <v/>
      </c>
    </row>
    <row r="2139" spans="1:12">
      <c r="A2139" s="195"/>
      <c r="B2139" s="196" t="s">
        <v>212</v>
      </c>
      <c r="C2139"/>
      <c r="D2139" s="197" t="s">
        <v>278</v>
      </c>
      <c r="E2139" s="197" t="s">
        <v>414</v>
      </c>
      <c r="F2139" s="197" t="s">
        <v>399</v>
      </c>
      <c r="G2139" s="197" t="s">
        <v>268</v>
      </c>
      <c r="H2139" s="197" t="s">
        <v>399</v>
      </c>
      <c r="I2139" s="209" t="s">
        <v>399</v>
      </c>
      <c r="K2139" s="228"/>
      <c r="L2139" s="207" t="str">
        <f>_xlfn.XLOOKUP($B2126,予定表!$B:$B,予定表!J:J,"該当なし",0,1)</f>
        <v/>
      </c>
    </row>
    <row r="2140" spans="1:12">
      <c r="A2140" s="195"/>
      <c r="B2140" s="195" t="s">
        <v>205</v>
      </c>
      <c r="C2140"/>
      <c r="D2140" s="197" t="s">
        <v>278</v>
      </c>
      <c r="E2140" s="197" t="s">
        <v>414</v>
      </c>
      <c r="F2140" s="197" t="s">
        <v>399</v>
      </c>
      <c r="G2140" s="197" t="s">
        <v>268</v>
      </c>
      <c r="H2140" s="197" t="s">
        <v>399</v>
      </c>
      <c r="I2140" s="209" t="s">
        <v>399</v>
      </c>
      <c r="K2140" s="228"/>
      <c r="L2140" s="207" t="str">
        <f>_xlfn.XLOOKUP($B2126,予定表!$B:$B,予定表!K:K,"該当なし",0,1)</f>
        <v/>
      </c>
    </row>
    <row r="2141" spans="1:12">
      <c r="A2141" s="195"/>
      <c r="B2141" s="195" t="s">
        <v>206</v>
      </c>
      <c r="C2141"/>
      <c r="D2141" s="197" t="s">
        <v>213</v>
      </c>
      <c r="E2141" s="197" t="s">
        <v>414</v>
      </c>
      <c r="F2141" s="197" t="s">
        <v>399</v>
      </c>
      <c r="G2141" s="197" t="s">
        <v>515</v>
      </c>
      <c r="H2141" s="197" t="s">
        <v>399</v>
      </c>
      <c r="I2141" s="209" t="s">
        <v>399</v>
      </c>
      <c r="K2141" s="228"/>
      <c r="L2141" s="207" t="str">
        <f>_xlfn.XLOOKUP($B2126,予定表!$B:$B,予定表!L:L,"該当なし",0,1)</f>
        <v/>
      </c>
    </row>
    <row r="2142" spans="1:12" ht="15.75" thickBot="1">
      <c r="A2142" s="195"/>
      <c r="B2142" s="195" t="s">
        <v>207</v>
      </c>
      <c r="C2142"/>
      <c r="D2142" s="197" t="s">
        <v>144</v>
      </c>
      <c r="E2142" s="197" t="s">
        <v>414</v>
      </c>
      <c r="F2142" s="197" t="s">
        <v>399</v>
      </c>
      <c r="G2142" s="197" t="s">
        <v>515</v>
      </c>
      <c r="H2142" s="197" t="s">
        <v>229</v>
      </c>
      <c r="I2142" s="209" t="s">
        <v>229</v>
      </c>
      <c r="K2142" s="229"/>
      <c r="L2142" s="204" t="str">
        <f>_xlfn.XLOOKUP($A2123,ﾘｽﾄマスタ!$U$8:$U$17,ﾘｽﾄマスタ!$V$8:$V$17,"",0)</f>
        <v/>
      </c>
    </row>
    <row r="2143" spans="1:12" ht="15.75" thickBot="1">
      <c r="A2143" s="195"/>
      <c r="B2143" s="196" t="s">
        <v>251</v>
      </c>
      <c r="C2143"/>
      <c r="D2143" s="197" t="s">
        <v>144</v>
      </c>
      <c r="E2143" s="197" t="s">
        <v>862</v>
      </c>
      <c r="F2143" s="197" t="s">
        <v>399</v>
      </c>
      <c r="G2143" s="197" t="s">
        <v>269</v>
      </c>
      <c r="H2143" s="197" t="s">
        <v>229</v>
      </c>
      <c r="I2143" s="209" t="s">
        <v>229</v>
      </c>
      <c r="K2143" s="208" t="s">
        <v>277</v>
      </c>
      <c r="L2143" s="208" t="str">
        <f ca="1">_xlfn.XLOOKUP($B2126,シフト抽出!$19:$19,シフト抽出!$30:$30,"該当なし",0,1)</f>
        <v/>
      </c>
    </row>
    <row r="2144" spans="1:12">
      <c r="A2144" s="195"/>
      <c r="B2144" s="195" t="s">
        <v>205</v>
      </c>
      <c r="C2144"/>
      <c r="D2144" s="197" t="s">
        <v>218</v>
      </c>
      <c r="E2144" s="197" t="s">
        <v>214</v>
      </c>
      <c r="F2144" s="197" t="s">
        <v>399</v>
      </c>
      <c r="G2144" s="197" t="s">
        <v>269</v>
      </c>
      <c r="H2144" s="197" t="s">
        <v>230</v>
      </c>
      <c r="I2144" s="209" t="s">
        <v>230</v>
      </c>
    </row>
    <row r="2145" spans="1:9">
      <c r="A2145" s="195"/>
      <c r="B2145" s="195" t="s">
        <v>206</v>
      </c>
      <c r="C2145"/>
      <c r="D2145" s="197" t="s">
        <v>78</v>
      </c>
      <c r="E2145" s="197" t="s">
        <v>214</v>
      </c>
      <c r="F2145" s="197" t="s">
        <v>848</v>
      </c>
      <c r="G2145" s="197" t="s">
        <v>269</v>
      </c>
      <c r="H2145" s="197" t="s">
        <v>230</v>
      </c>
      <c r="I2145" s="209" t="s">
        <v>230</v>
      </c>
    </row>
    <row r="2146" spans="1:9">
      <c r="A2146" s="195"/>
      <c r="B2146" s="195" t="s">
        <v>207</v>
      </c>
      <c r="C2146"/>
      <c r="D2146" s="197" t="s">
        <v>78</v>
      </c>
      <c r="E2146" s="197" t="s">
        <v>214</v>
      </c>
      <c r="F2146" s="197" t="s">
        <v>848</v>
      </c>
      <c r="G2146" s="197" t="s">
        <v>269</v>
      </c>
      <c r="H2146" s="197" t="s">
        <v>230</v>
      </c>
      <c r="I2146" s="209" t="s">
        <v>230</v>
      </c>
    </row>
    <row r="2147" spans="1:9">
      <c r="A2147" s="195"/>
      <c r="B2147" s="196" t="s">
        <v>217</v>
      </c>
      <c r="C2147"/>
      <c r="D2147" s="197" t="s">
        <v>146</v>
      </c>
      <c r="E2147" s="197" t="s">
        <v>761</v>
      </c>
      <c r="F2147" s="197" t="s">
        <v>848</v>
      </c>
      <c r="G2147" s="197" t="s">
        <v>446</v>
      </c>
      <c r="H2147" s="197" t="s">
        <v>848</v>
      </c>
      <c r="I2147" s="209" t="s">
        <v>848</v>
      </c>
    </row>
    <row r="2148" spans="1:9">
      <c r="A2148" s="195"/>
      <c r="B2148" s="195" t="s">
        <v>205</v>
      </c>
      <c r="C2148"/>
      <c r="D2148" s="197" t="s">
        <v>146</v>
      </c>
      <c r="E2148" s="197" t="s">
        <v>761</v>
      </c>
      <c r="F2148" s="197" t="s">
        <v>848</v>
      </c>
      <c r="G2148" s="197" t="s">
        <v>446</v>
      </c>
      <c r="H2148" s="197" t="s">
        <v>848</v>
      </c>
      <c r="I2148" s="209" t="s">
        <v>848</v>
      </c>
    </row>
    <row r="2149" spans="1:9">
      <c r="A2149" s="195"/>
      <c r="B2149" s="195" t="s">
        <v>206</v>
      </c>
      <c r="C2149"/>
      <c r="D2149" s="197" t="s">
        <v>51</v>
      </c>
      <c r="E2149" s="197" t="s">
        <v>761</v>
      </c>
      <c r="F2149" s="197"/>
      <c r="G2149" s="197" t="s">
        <v>114</v>
      </c>
      <c r="H2149" s="197" t="s">
        <v>848</v>
      </c>
      <c r="I2149" s="209" t="s">
        <v>848</v>
      </c>
    </row>
    <row r="2150" spans="1:9">
      <c r="A2150" s="195"/>
      <c r="B2150" s="195" t="s">
        <v>207</v>
      </c>
      <c r="C2150"/>
      <c r="D2150" s="197" t="s">
        <v>51</v>
      </c>
      <c r="E2150" s="197" t="s">
        <v>761</v>
      </c>
      <c r="F2150" s="197"/>
      <c r="G2150" s="197" t="s">
        <v>114</v>
      </c>
      <c r="H2150" s="197" t="s">
        <v>848</v>
      </c>
      <c r="I2150" s="209" t="s">
        <v>848</v>
      </c>
    </row>
    <row r="2151" spans="1:9">
      <c r="A2151" s="195"/>
      <c r="B2151" s="196" t="s">
        <v>219</v>
      </c>
      <c r="C2151"/>
      <c r="D2151" s="197" t="s">
        <v>51</v>
      </c>
      <c r="E2151" s="197"/>
      <c r="F2151" s="197"/>
      <c r="G2151" s="197"/>
      <c r="H2151" s="197" t="s">
        <v>848</v>
      </c>
      <c r="I2151" s="209" t="s">
        <v>848</v>
      </c>
    </row>
    <row r="2152" spans="1:9">
      <c r="A2152" s="195"/>
      <c r="B2152" s="195" t="s">
        <v>205</v>
      </c>
      <c r="C2152"/>
      <c r="D2152" s="197"/>
      <c r="E2152" s="197"/>
      <c r="F2152" s="197"/>
      <c r="G2152" s="197"/>
      <c r="H2152" s="197" t="s">
        <v>848</v>
      </c>
      <c r="I2152" s="209" t="s">
        <v>848</v>
      </c>
    </row>
    <row r="2153" spans="1:9">
      <c r="A2153" s="195"/>
      <c r="B2153" s="195" t="s">
        <v>206</v>
      </c>
      <c r="C2153"/>
      <c r="D2153" s="197"/>
      <c r="E2153" s="197"/>
      <c r="F2153" s="197"/>
      <c r="G2153" s="197"/>
      <c r="H2153" s="197"/>
      <c r="I2153" s="209"/>
    </row>
    <row r="2154" spans="1:9">
      <c r="A2154" s="195"/>
      <c r="B2154" s="195" t="s">
        <v>207</v>
      </c>
      <c r="C2154"/>
      <c r="D2154" s="197" t="s">
        <v>938</v>
      </c>
      <c r="E2154" s="197"/>
      <c r="F2154" s="197"/>
      <c r="G2154" s="197"/>
      <c r="H2154" s="197"/>
      <c r="I2154" s="209"/>
    </row>
    <row r="2155" spans="1:9">
      <c r="A2155" s="195"/>
      <c r="B2155" s="196" t="s">
        <v>220</v>
      </c>
      <c r="C2155"/>
      <c r="D2155" s="189" t="s">
        <v>937</v>
      </c>
      <c r="E2155" s="189"/>
      <c r="F2155" s="189"/>
      <c r="G2155" s="189"/>
      <c r="H2155" s="197"/>
      <c r="I2155" s="209"/>
    </row>
    <row r="2156" spans="1:9">
      <c r="A2156" s="195"/>
      <c r="B2156" s="195" t="s">
        <v>205</v>
      </c>
      <c r="C2156"/>
      <c r="D2156" s="197" t="s">
        <v>759</v>
      </c>
      <c r="E2156" s="197" t="s">
        <v>273</v>
      </c>
      <c r="F2156" s="197" t="s">
        <v>224</v>
      </c>
      <c r="G2156" s="197" t="s">
        <v>56</v>
      </c>
      <c r="H2156" s="197" t="s">
        <v>415</v>
      </c>
      <c r="I2156" s="209" t="s">
        <v>415</v>
      </c>
    </row>
    <row r="2157" spans="1:9">
      <c r="A2157" s="195"/>
      <c r="B2157" s="195" t="s">
        <v>206</v>
      </c>
      <c r="C2157"/>
      <c r="D2157" s="197" t="s">
        <v>759</v>
      </c>
      <c r="E2157" s="197" t="s">
        <v>273</v>
      </c>
      <c r="F2157" s="197" t="s">
        <v>865</v>
      </c>
      <c r="G2157" s="197" t="s">
        <v>56</v>
      </c>
      <c r="H2157" s="197" t="s">
        <v>415</v>
      </c>
      <c r="I2157" s="209" t="s">
        <v>415</v>
      </c>
    </row>
    <row r="2158" spans="1:9">
      <c r="A2158" s="195"/>
      <c r="B2158" s="195" t="s">
        <v>207</v>
      </c>
      <c r="C2158"/>
      <c r="D2158" s="197" t="s">
        <v>759</v>
      </c>
      <c r="E2158" s="197" t="s">
        <v>273</v>
      </c>
      <c r="F2158" s="197" t="s">
        <v>866</v>
      </c>
      <c r="G2158" s="197" t="s">
        <v>56</v>
      </c>
      <c r="H2158" s="197" t="s">
        <v>415</v>
      </c>
      <c r="I2158" s="209" t="s">
        <v>415</v>
      </c>
    </row>
    <row r="2159" spans="1:9">
      <c r="A2159" s="195"/>
      <c r="B2159" s="196" t="s">
        <v>222</v>
      </c>
      <c r="C2159"/>
      <c r="D2159" s="197" t="s">
        <v>759</v>
      </c>
      <c r="E2159" s="197" t="s">
        <v>273</v>
      </c>
      <c r="F2159" s="197" t="s">
        <v>416</v>
      </c>
      <c r="G2159" s="197" t="s">
        <v>56</v>
      </c>
      <c r="H2159" s="197" t="s">
        <v>415</v>
      </c>
      <c r="I2159" s="209" t="s">
        <v>415</v>
      </c>
    </row>
    <row r="2160" spans="1:9">
      <c r="A2160" s="195"/>
      <c r="B2160" s="195" t="s">
        <v>205</v>
      </c>
      <c r="C2160"/>
      <c r="D2160" s="197" t="s">
        <v>759</v>
      </c>
      <c r="E2160" s="197" t="s">
        <v>273</v>
      </c>
      <c r="F2160" s="197" t="s">
        <v>901</v>
      </c>
      <c r="G2160" s="197" t="s">
        <v>424</v>
      </c>
      <c r="H2160" s="197" t="s">
        <v>415</v>
      </c>
      <c r="I2160" s="209" t="s">
        <v>415</v>
      </c>
    </row>
    <row r="2161" spans="1:12">
      <c r="A2161" s="195"/>
      <c r="B2161" s="195" t="s">
        <v>206</v>
      </c>
      <c r="C2161"/>
      <c r="D2161" s="197" t="s">
        <v>216</v>
      </c>
      <c r="E2161" s="197" t="s">
        <v>273</v>
      </c>
      <c r="F2161" s="197" t="s">
        <v>416</v>
      </c>
      <c r="G2161" s="197" t="s">
        <v>270</v>
      </c>
      <c r="H2161" s="197" t="s">
        <v>415</v>
      </c>
      <c r="I2161" s="209" t="s">
        <v>415</v>
      </c>
    </row>
    <row r="2162" spans="1:12">
      <c r="A2162" s="195"/>
      <c r="B2162" s="195" t="s">
        <v>207</v>
      </c>
      <c r="C2162"/>
      <c r="D2162" s="197" t="s">
        <v>216</v>
      </c>
      <c r="E2162" s="197" t="s">
        <v>252</v>
      </c>
      <c r="F2162" s="197" t="s">
        <v>416</v>
      </c>
      <c r="G2162" s="197" t="s">
        <v>270</v>
      </c>
      <c r="H2162" s="197" t="s">
        <v>415</v>
      </c>
      <c r="I2162" s="209" t="s">
        <v>415</v>
      </c>
    </row>
    <row r="2163" spans="1:12">
      <c r="A2163" s="195"/>
      <c r="B2163" s="196" t="s">
        <v>223</v>
      </c>
      <c r="C2163"/>
      <c r="D2163" s="197" t="s">
        <v>216</v>
      </c>
      <c r="E2163" s="197" t="s">
        <v>252</v>
      </c>
      <c r="F2163" s="197"/>
      <c r="G2163" s="197" t="s">
        <v>270</v>
      </c>
      <c r="H2163" s="197" t="s">
        <v>415</v>
      </c>
      <c r="I2163" s="209" t="s">
        <v>415</v>
      </c>
    </row>
    <row r="2164" spans="1:12">
      <c r="A2164" s="195"/>
      <c r="B2164" s="195" t="s">
        <v>205</v>
      </c>
      <c r="C2164"/>
      <c r="D2164" s="197" t="s">
        <v>216</v>
      </c>
      <c r="E2164" s="197" t="s">
        <v>252</v>
      </c>
      <c r="F2164" s="197"/>
      <c r="G2164" s="197" t="s">
        <v>270</v>
      </c>
      <c r="H2164" s="197" t="s">
        <v>415</v>
      </c>
      <c r="I2164" s="209" t="s">
        <v>415</v>
      </c>
    </row>
    <row r="2165" spans="1:12">
      <c r="A2165" s="195"/>
      <c r="B2165" s="195" t="s">
        <v>206</v>
      </c>
      <c r="C2165"/>
      <c r="D2165" s="197" t="s">
        <v>160</v>
      </c>
      <c r="E2165" s="197" t="s">
        <v>252</v>
      </c>
      <c r="F2165" s="197"/>
      <c r="G2165" s="197" t="s">
        <v>270</v>
      </c>
      <c r="H2165" s="197" t="s">
        <v>415</v>
      </c>
      <c r="I2165" s="209" t="s">
        <v>415</v>
      </c>
    </row>
    <row r="2166" spans="1:12">
      <c r="A2166" s="195"/>
      <c r="B2166" s="195" t="s">
        <v>207</v>
      </c>
      <c r="C2166"/>
      <c r="D2166" s="197" t="s">
        <v>215</v>
      </c>
      <c r="E2166" s="197" t="s">
        <v>252</v>
      </c>
      <c r="F2166" s="197"/>
      <c r="G2166" s="197" t="s">
        <v>270</v>
      </c>
      <c r="H2166" s="197" t="s">
        <v>415</v>
      </c>
      <c r="I2166" s="209" t="s">
        <v>415</v>
      </c>
    </row>
    <row r="2167" spans="1:12">
      <c r="A2167" s="195"/>
      <c r="B2167" s="196" t="s">
        <v>225</v>
      </c>
      <c r="C2167"/>
      <c r="D2167" s="197" t="s">
        <v>280</v>
      </c>
      <c r="E2167" s="197" t="s">
        <v>252</v>
      </c>
      <c r="F2167" s="197"/>
      <c r="G2167" s="197" t="s">
        <v>270</v>
      </c>
      <c r="H2167" s="197" t="s">
        <v>415</v>
      </c>
      <c r="I2167" s="209" t="s">
        <v>415</v>
      </c>
    </row>
    <row r="2168" spans="1:12">
      <c r="A2168" s="195"/>
      <c r="B2168" s="195" t="s">
        <v>205</v>
      </c>
      <c r="C2168"/>
      <c r="D2168" s="197" t="s">
        <v>127</v>
      </c>
      <c r="E2168" s="197" t="s">
        <v>252</v>
      </c>
      <c r="F2168" s="197"/>
      <c r="G2168" s="197" t="s">
        <v>270</v>
      </c>
      <c r="H2168" s="209" t="s">
        <v>415</v>
      </c>
      <c r="I2168" s="209" t="s">
        <v>415</v>
      </c>
    </row>
    <row r="2169" spans="1:12">
      <c r="A2169" s="195"/>
      <c r="B2169" s="195" t="s">
        <v>206</v>
      </c>
      <c r="C2169"/>
      <c r="D2169" s="197"/>
      <c r="E2169" s="197"/>
      <c r="F2169" s="197"/>
      <c r="G2169" s="197" t="s">
        <v>270</v>
      </c>
      <c r="H2169" s="209" t="s">
        <v>415</v>
      </c>
      <c r="I2169" s="209" t="s">
        <v>415</v>
      </c>
    </row>
    <row r="2170" spans="1:12">
      <c r="A2170" s="195"/>
      <c r="B2170" s="195" t="s">
        <v>207</v>
      </c>
      <c r="C2170"/>
      <c r="D2170" s="197"/>
      <c r="E2170" s="197"/>
      <c r="F2170" s="197"/>
      <c r="G2170" s="197" t="s">
        <v>270</v>
      </c>
      <c r="H2170" s="209" t="s">
        <v>415</v>
      </c>
      <c r="I2170" s="209" t="s">
        <v>415</v>
      </c>
    </row>
    <row r="2171" spans="1:12">
      <c r="A2171" s="195"/>
      <c r="B2171" s="196" t="s">
        <v>226</v>
      </c>
      <c r="C2171"/>
      <c r="D2171" s="197"/>
      <c r="E2171" s="197"/>
      <c r="F2171" s="197"/>
      <c r="G2171" s="197" t="s">
        <v>270</v>
      </c>
      <c r="H2171" s="209"/>
      <c r="I2171" s="209"/>
    </row>
    <row r="2172" spans="1:12">
      <c r="A2172" s="195"/>
      <c r="B2172" s="195" t="s">
        <v>205</v>
      </c>
      <c r="C2172"/>
      <c r="D2172" s="197"/>
      <c r="E2172" s="197"/>
      <c r="F2172" s="197"/>
      <c r="G2172" s="197" t="s">
        <v>270</v>
      </c>
      <c r="H2172" s="209"/>
      <c r="I2172" s="209"/>
    </row>
    <row r="2173" spans="1:12">
      <c r="A2173" s="195"/>
      <c r="B2173" s="195" t="s">
        <v>206</v>
      </c>
      <c r="C2173"/>
      <c r="D2173" s="197"/>
      <c r="E2173" s="197"/>
      <c r="F2173" s="197"/>
      <c r="G2173" s="197" t="s">
        <v>270</v>
      </c>
      <c r="H2173" s="209"/>
      <c r="I2173" s="209"/>
    </row>
    <row r="2174" spans="1:12">
      <c r="A2174" s="195"/>
      <c r="B2174" s="195" t="s">
        <v>207</v>
      </c>
      <c r="C2174"/>
      <c r="D2174" s="197"/>
      <c r="E2174" s="197"/>
      <c r="F2174" s="197"/>
      <c r="G2174" s="197" t="s">
        <v>270</v>
      </c>
      <c r="H2174" s="209"/>
      <c r="I2174" s="209"/>
    </row>
    <row r="2175" spans="1:12">
      <c r="A2175" s="195"/>
      <c r="B2175" s="196" t="s">
        <v>227</v>
      </c>
      <c r="C2175"/>
      <c r="D2175" s="197"/>
      <c r="E2175" s="197"/>
      <c r="F2175" s="197"/>
      <c r="G2175" s="197"/>
      <c r="H2175" s="209"/>
      <c r="I2175" s="209"/>
      <c r="K2175"/>
    </row>
    <row r="2176" spans="1:12" ht="29.25" thickBot="1">
      <c r="A2176" s="182" t="str">
        <f>"回収シフト  第"&amp;ROUNDUP(DAY(B2179)/7,0)  &amp;"  "&amp;TEXT(B2179,"aaaa")</f>
        <v>回収シフト  第3  火曜日</v>
      </c>
      <c r="B2176" s="183"/>
      <c r="C2176" s="183"/>
      <c r="D2176" s="183"/>
      <c r="E2176" s="183"/>
      <c r="F2176" s="183"/>
      <c r="G2176" s="184"/>
      <c r="H2176" s="184"/>
      <c r="I2176" s="184"/>
      <c r="K2176" s="183"/>
      <c r="L2176" s="183"/>
    </row>
    <row r="2177" spans="1:12" ht="15.75" thickBot="1">
      <c r="A2177"/>
      <c r="B2177"/>
      <c r="C2177"/>
      <c r="D2177" s="186" t="s">
        <v>201</v>
      </c>
      <c r="E2177" s="186" t="s">
        <v>202</v>
      </c>
      <c r="F2177" s="186" t="s">
        <v>203</v>
      </c>
      <c r="G2177" s="186" t="s">
        <v>204</v>
      </c>
      <c r="H2177" s="186" t="s">
        <v>267</v>
      </c>
      <c r="I2177" s="217" t="s">
        <v>267</v>
      </c>
      <c r="K2177" s="230" t="s">
        <v>257</v>
      </c>
      <c r="L2177" s="231"/>
    </row>
    <row r="2178" spans="1:12">
      <c r="A2178" s="187"/>
      <c r="B2178" s="188">
        <v>46119</v>
      </c>
      <c r="C2178" s="187"/>
      <c r="D2178" s="189" t="s">
        <v>247</v>
      </c>
      <c r="E2178" s="189" t="s">
        <v>874</v>
      </c>
      <c r="F2178" s="189" t="s">
        <v>940</v>
      </c>
      <c r="G2178" s="189" t="s">
        <v>857</v>
      </c>
      <c r="H2178" s="189" t="s">
        <v>852</v>
      </c>
      <c r="I2178" s="218" t="s">
        <v>852</v>
      </c>
      <c r="K2178" s="232" t="s">
        <v>258</v>
      </c>
      <c r="L2178" s="190" t="str">
        <f ca="1">_xlfn.XLOOKUP($B2179,シフト抽出!$19:$19,シフト抽出!$20:$20,"該当なし",0,1)</f>
        <v/>
      </c>
    </row>
    <row r="2179" spans="1:12" ht="19.5" thickBot="1">
      <c r="A2179"/>
      <c r="B2179" s="191">
        <f>B2126+1</f>
        <v>46161</v>
      </c>
      <c r="C2179" s="192"/>
      <c r="D2179" s="193"/>
      <c r="E2179" s="193"/>
      <c r="F2179" s="193"/>
      <c r="G2179" s="193"/>
      <c r="H2179" s="193"/>
      <c r="I2179" s="219"/>
      <c r="K2179" s="233"/>
      <c r="L2179" s="194" t="str">
        <f ca="1">_xlfn.XLOOKUP($B2179,シフト抽出!$19:$19,シフト抽出!$21:$21,"該当なし",0,1)</f>
        <v/>
      </c>
    </row>
    <row r="2180" spans="1:12">
      <c r="A2180" s="195"/>
      <c r="B2180" s="196">
        <v>0.25</v>
      </c>
      <c r="C2180"/>
      <c r="D2180" s="197"/>
      <c r="E2180" s="196"/>
      <c r="F2180" s="197"/>
      <c r="G2180" s="197"/>
      <c r="H2180" s="197"/>
      <c r="I2180" s="209"/>
      <c r="K2180" s="234" t="s">
        <v>259</v>
      </c>
      <c r="L2180" s="198" t="str">
        <f ca="1">_xlfn.XLOOKUP($B2179,シフト抽出!$19:$19,シフト抽出!$23:$23,"該当なし",0,1)</f>
        <v/>
      </c>
    </row>
    <row r="2181" spans="1:12" ht="15.75" thickBot="1">
      <c r="A2181" s="195"/>
      <c r="B2181" s="195" t="s">
        <v>205</v>
      </c>
      <c r="C2181"/>
      <c r="D2181" s="197"/>
      <c r="E2181" s="197"/>
      <c r="F2181" s="197"/>
      <c r="G2181" s="197"/>
      <c r="H2181" s="197"/>
      <c r="I2181" s="209"/>
      <c r="K2181" s="235"/>
      <c r="L2181" s="199" t="str">
        <f ca="1">_xlfn.XLOOKUP($B2179,シフト抽出!$19:$19,シフト抽出!$24:$24,"該当なし",0,1)</f>
        <v/>
      </c>
    </row>
    <row r="2182" spans="1:12">
      <c r="A2182" s="195"/>
      <c r="B2182" s="195" t="s">
        <v>206</v>
      </c>
      <c r="C2182"/>
      <c r="D2182" s="197"/>
      <c r="E2182" s="197"/>
      <c r="F2182" s="197"/>
      <c r="G2182" s="197"/>
      <c r="H2182" s="197"/>
      <c r="I2182" s="209"/>
      <c r="K2182" s="224" t="s">
        <v>260</v>
      </c>
      <c r="L2182" s="200" t="str">
        <f ca="1">_xlfn.XLOOKUP($B2179,シフト抽出!$19:$19,シフト抽出!$26:$26,"該当なし",0,1)</f>
        <v/>
      </c>
    </row>
    <row r="2183" spans="1:12">
      <c r="A2183" s="195"/>
      <c r="B2183" s="195" t="s">
        <v>207</v>
      </c>
      <c r="C2183"/>
      <c r="D2183" s="197"/>
      <c r="E2183" s="197"/>
      <c r="F2183" s="197"/>
      <c r="G2183" s="197"/>
      <c r="H2183" s="197"/>
      <c r="I2183" s="209"/>
      <c r="K2183" s="225"/>
      <c r="L2183" s="201" t="str">
        <f ca="1">_xlfn.XLOOKUP($B2179,シフト抽出!$19:$19,シフト抽出!$27:$27,"該当なし",0,1)</f>
        <v/>
      </c>
    </row>
    <row r="2184" spans="1:12">
      <c r="A2184" s="195"/>
      <c r="B2184" s="202" t="s">
        <v>208</v>
      </c>
      <c r="C2184"/>
      <c r="D2184" s="197" t="s">
        <v>4</v>
      </c>
      <c r="E2184" s="197" t="s">
        <v>4</v>
      </c>
      <c r="F2184" s="197"/>
      <c r="G2184" s="197" t="s">
        <v>4</v>
      </c>
      <c r="H2184" s="197"/>
      <c r="I2184" s="209"/>
      <c r="J2184" s="203"/>
      <c r="K2184" s="225"/>
      <c r="L2184" s="201" t="str">
        <f ca="1">_xlfn.XLOOKUP($B2179,シフト抽出!$19:$19,シフト抽出!$28:$28,"該当なし",0,1)</f>
        <v/>
      </c>
    </row>
    <row r="2185" spans="1:12" ht="15.75" thickBot="1">
      <c r="A2185" s="195"/>
      <c r="B2185" s="195" t="s">
        <v>205</v>
      </c>
      <c r="C2185"/>
      <c r="D2185" s="197" t="s">
        <v>414</v>
      </c>
      <c r="E2185" s="197" t="s">
        <v>420</v>
      </c>
      <c r="F2185" s="197"/>
      <c r="G2185" s="197" t="s">
        <v>22</v>
      </c>
      <c r="H2185" s="197"/>
      <c r="I2185" s="209"/>
      <c r="J2185" s="203"/>
      <c r="K2185" s="226"/>
      <c r="L2185" s="204" t="str">
        <f ca="1">_xlfn.XLOOKUP($B2179,シフト抽出!$19:$19,シフト抽出!$29:$29,"該当なし",0,1)</f>
        <v/>
      </c>
    </row>
    <row r="2186" spans="1:12" ht="15.75" thickBot="1">
      <c r="A2186" s="195"/>
      <c r="B2186" s="195" t="s">
        <v>206</v>
      </c>
      <c r="C2186"/>
      <c r="D2186" s="197" t="s">
        <v>414</v>
      </c>
      <c r="E2186" s="197" t="s">
        <v>420</v>
      </c>
      <c r="F2186" s="197"/>
      <c r="G2186" s="197" t="s">
        <v>22</v>
      </c>
      <c r="H2186" s="197"/>
      <c r="I2186" s="209"/>
      <c r="K2186" s="205" t="s">
        <v>261</v>
      </c>
      <c r="L2186" s="205">
        <f>_xlfn.XLOOKUP($B2179,予定表!B:B,予定表!R:R,"該当なし",0,1)</f>
        <v>0</v>
      </c>
    </row>
    <row r="2187" spans="1:12">
      <c r="A2187" s="195"/>
      <c r="B2187" s="195" t="s">
        <v>207</v>
      </c>
      <c r="C2187"/>
      <c r="D2187" s="197" t="s">
        <v>414</v>
      </c>
      <c r="E2187" s="197" t="s">
        <v>420</v>
      </c>
      <c r="F2187" s="197"/>
      <c r="G2187" s="197" t="s">
        <v>22</v>
      </c>
      <c r="H2187" s="197"/>
      <c r="I2187" s="209"/>
      <c r="K2187" s="227" t="s">
        <v>262</v>
      </c>
      <c r="L2187" s="206" t="str">
        <f>_xlfn.XLOOKUP($B2179,予定表!$B:$B,予定表!E:E,"該当なし",0,1)</f>
        <v>ビギ片付け雑誌回収</v>
      </c>
    </row>
    <row r="2188" spans="1:12">
      <c r="A2188" s="195"/>
      <c r="B2188" s="196" t="s">
        <v>209</v>
      </c>
      <c r="C2188"/>
      <c r="D2188" s="197" t="s">
        <v>414</v>
      </c>
      <c r="E2188" s="197" t="s">
        <v>420</v>
      </c>
      <c r="F2188" s="197" t="s">
        <v>851</v>
      </c>
      <c r="G2188" s="197" t="s">
        <v>268</v>
      </c>
      <c r="H2188" s="197" t="s">
        <v>4</v>
      </c>
      <c r="I2188" s="209" t="s">
        <v>4</v>
      </c>
      <c r="K2188" s="228"/>
      <c r="L2188" s="207">
        <f>_xlfn.XLOOKUP($B2179,予定表!$B:$B,予定表!F:F,"該当なし",0,1)</f>
        <v>0</v>
      </c>
    </row>
    <row r="2189" spans="1:12">
      <c r="A2189" s="195"/>
      <c r="B2189" s="195" t="s">
        <v>205</v>
      </c>
      <c r="C2189"/>
      <c r="D2189" s="197" t="s">
        <v>414</v>
      </c>
      <c r="E2189" s="197" t="s">
        <v>420</v>
      </c>
      <c r="F2189" s="197" t="s">
        <v>851</v>
      </c>
      <c r="G2189" s="197" t="s">
        <v>268</v>
      </c>
      <c r="H2189" s="197" t="s">
        <v>60</v>
      </c>
      <c r="I2189" s="209" t="s">
        <v>60</v>
      </c>
      <c r="K2189" s="228"/>
      <c r="L2189" s="207">
        <f>_xlfn.XLOOKUP($B2179,予定表!$B:$B,予定表!G:G,"該当なし",0,1)</f>
        <v>0</v>
      </c>
    </row>
    <row r="2190" spans="1:12">
      <c r="A2190" s="195"/>
      <c r="B2190" s="195" t="s">
        <v>206</v>
      </c>
      <c r="C2190"/>
      <c r="D2190" s="197" t="s">
        <v>214</v>
      </c>
      <c r="E2190" s="197" t="s">
        <v>273</v>
      </c>
      <c r="F2190" s="197" t="s">
        <v>851</v>
      </c>
      <c r="G2190" s="197" t="s">
        <v>268</v>
      </c>
      <c r="H2190" s="197" t="s">
        <v>60</v>
      </c>
      <c r="I2190" s="209" t="s">
        <v>60</v>
      </c>
      <c r="K2190" s="228"/>
      <c r="L2190" s="207">
        <f>_xlfn.XLOOKUP($B2179,予定表!$B:$B,予定表!H:H,"該当なし",0,1)</f>
        <v>0</v>
      </c>
    </row>
    <row r="2191" spans="1:12">
      <c r="A2191" s="195"/>
      <c r="B2191" s="195" t="s">
        <v>207</v>
      </c>
      <c r="C2191"/>
      <c r="D2191" s="197" t="s">
        <v>214</v>
      </c>
      <c r="E2191" s="197" t="s">
        <v>273</v>
      </c>
      <c r="F2191" s="197" t="s">
        <v>851</v>
      </c>
      <c r="G2191" s="197" t="s">
        <v>268</v>
      </c>
      <c r="H2191" s="197" t="s">
        <v>60</v>
      </c>
      <c r="I2191" s="209" t="s">
        <v>60</v>
      </c>
      <c r="K2191" s="228"/>
      <c r="L2191" s="207" t="str">
        <f>_xlfn.XLOOKUP($B2179,予定表!$B:$B,予定表!I:I,"該当なし",0,1)</f>
        <v/>
      </c>
    </row>
    <row r="2192" spans="1:12">
      <c r="A2192" s="195"/>
      <c r="B2192" s="196" t="s">
        <v>212</v>
      </c>
      <c r="C2192"/>
      <c r="D2192" s="197" t="s">
        <v>214</v>
      </c>
      <c r="E2192" s="197" t="s">
        <v>273</v>
      </c>
      <c r="F2192" s="197" t="s">
        <v>851</v>
      </c>
      <c r="G2192" s="197" t="s">
        <v>169</v>
      </c>
      <c r="H2192" s="197"/>
      <c r="I2192" s="209"/>
      <c r="K2192" s="228"/>
      <c r="L2192" s="207" t="str">
        <f>_xlfn.XLOOKUP($B2179,予定表!$B:$B,予定表!J:J,"該当なし",0,1)</f>
        <v/>
      </c>
    </row>
    <row r="2193" spans="1:12">
      <c r="A2193" s="195"/>
      <c r="B2193" s="195" t="s">
        <v>205</v>
      </c>
      <c r="C2193"/>
      <c r="D2193" s="197" t="s">
        <v>214</v>
      </c>
      <c r="E2193" s="197" t="s">
        <v>228</v>
      </c>
      <c r="F2193" s="197" t="s">
        <v>851</v>
      </c>
      <c r="G2193" s="197" t="s">
        <v>169</v>
      </c>
      <c r="H2193" s="197" t="s">
        <v>848</v>
      </c>
      <c r="I2193" s="209" t="s">
        <v>848</v>
      </c>
      <c r="K2193" s="228"/>
      <c r="L2193" s="207" t="str">
        <f>_xlfn.XLOOKUP($B2179,予定表!$B:$B,予定表!K:K,"該当なし",0,1)</f>
        <v/>
      </c>
    </row>
    <row r="2194" spans="1:12">
      <c r="A2194" s="195"/>
      <c r="B2194" s="195" t="s">
        <v>206</v>
      </c>
      <c r="C2194"/>
      <c r="D2194" s="197" t="s">
        <v>214</v>
      </c>
      <c r="E2194" s="197" t="s">
        <v>228</v>
      </c>
      <c r="F2194" s="197"/>
      <c r="G2194" s="197" t="s">
        <v>169</v>
      </c>
      <c r="H2194" s="197" t="s">
        <v>848</v>
      </c>
      <c r="I2194" s="209" t="s">
        <v>848</v>
      </c>
      <c r="K2194" s="228"/>
      <c r="L2194" s="207" t="str">
        <f>_xlfn.XLOOKUP($B2179,予定表!$B:$B,予定表!L:L,"該当なし",0,1)</f>
        <v/>
      </c>
    </row>
    <row r="2195" spans="1:12" ht="15.75" thickBot="1">
      <c r="A2195" s="195"/>
      <c r="B2195" s="195" t="s">
        <v>207</v>
      </c>
      <c r="C2195"/>
      <c r="D2195" s="197" t="s">
        <v>353</v>
      </c>
      <c r="E2195" s="197" t="s">
        <v>228</v>
      </c>
      <c r="F2195" s="197"/>
      <c r="G2195" s="197" t="s">
        <v>169</v>
      </c>
      <c r="H2195" s="197" t="s">
        <v>848</v>
      </c>
      <c r="I2195" s="209" t="s">
        <v>848</v>
      </c>
      <c r="K2195" s="229"/>
      <c r="L2195" s="204" t="str">
        <f>_xlfn.XLOOKUP($A2176,ﾘｽﾄマスタ!$U$8:$U$17,ﾘｽﾄマスタ!$V$8:$V$17,"",0)</f>
        <v/>
      </c>
    </row>
    <row r="2196" spans="1:12" ht="15.75" thickBot="1">
      <c r="A2196" s="195"/>
      <c r="B2196" s="196" t="s">
        <v>251</v>
      </c>
      <c r="C2196"/>
      <c r="D2196" s="197" t="s">
        <v>353</v>
      </c>
      <c r="E2196" s="197" t="s">
        <v>228</v>
      </c>
      <c r="F2196" s="197"/>
      <c r="G2196" s="197" t="s">
        <v>169</v>
      </c>
      <c r="H2196" s="197" t="s">
        <v>848</v>
      </c>
      <c r="I2196" s="209" t="s">
        <v>848</v>
      </c>
      <c r="K2196" s="208" t="s">
        <v>277</v>
      </c>
      <c r="L2196" s="208" t="str">
        <f ca="1">_xlfn.XLOOKUP($B2179,シフト抽出!$19:$19,シフト抽出!$30:$30,"該当なし",0,1)</f>
        <v/>
      </c>
    </row>
    <row r="2197" spans="1:12">
      <c r="A2197" s="195"/>
      <c r="B2197" s="195" t="s">
        <v>205</v>
      </c>
      <c r="C2197"/>
      <c r="D2197" s="197" t="s">
        <v>353</v>
      </c>
      <c r="E2197" s="197" t="s">
        <v>228</v>
      </c>
      <c r="F2197" s="197"/>
      <c r="G2197" s="197" t="s">
        <v>169</v>
      </c>
      <c r="H2197" s="197" t="s">
        <v>848</v>
      </c>
      <c r="I2197" s="209" t="s">
        <v>848</v>
      </c>
    </row>
    <row r="2198" spans="1:12">
      <c r="A2198" s="195"/>
      <c r="B2198" s="195" t="s">
        <v>206</v>
      </c>
      <c r="C2198"/>
      <c r="D2198" s="197" t="s">
        <v>761</v>
      </c>
      <c r="E2198" s="197" t="s">
        <v>934</v>
      </c>
      <c r="F2198" s="197" t="s">
        <v>51</v>
      </c>
      <c r="G2198" s="197" t="s">
        <v>279</v>
      </c>
      <c r="H2198" s="197" t="s">
        <v>229</v>
      </c>
      <c r="I2198" s="209" t="s">
        <v>229</v>
      </c>
    </row>
    <row r="2199" spans="1:12">
      <c r="A2199" s="195"/>
      <c r="B2199" s="195" t="s">
        <v>207</v>
      </c>
      <c r="C2199"/>
      <c r="D2199" s="197" t="s">
        <v>761</v>
      </c>
      <c r="E2199" s="197" t="s">
        <v>263</v>
      </c>
      <c r="F2199" s="197" t="s">
        <v>51</v>
      </c>
      <c r="G2199" s="197" t="s">
        <v>279</v>
      </c>
      <c r="H2199" s="197" t="s">
        <v>229</v>
      </c>
      <c r="I2199" s="209" t="s">
        <v>229</v>
      </c>
    </row>
    <row r="2200" spans="1:12">
      <c r="A2200" s="195"/>
      <c r="B2200" s="196" t="s">
        <v>217</v>
      </c>
      <c r="C2200"/>
      <c r="D2200" s="197" t="s">
        <v>761</v>
      </c>
      <c r="E2200" s="197" t="s">
        <v>263</v>
      </c>
      <c r="F2200" s="197" t="s">
        <v>51</v>
      </c>
      <c r="G2200" s="197" t="s">
        <v>279</v>
      </c>
      <c r="H2200" s="197" t="s">
        <v>230</v>
      </c>
      <c r="I2200" s="209" t="s">
        <v>230</v>
      </c>
    </row>
    <row r="2201" spans="1:12">
      <c r="A2201" s="195"/>
      <c r="B2201" s="195" t="s">
        <v>205</v>
      </c>
      <c r="C2201"/>
      <c r="D2201" s="197" t="s">
        <v>761</v>
      </c>
      <c r="E2201" s="197" t="s">
        <v>263</v>
      </c>
      <c r="F2201" s="197" t="s">
        <v>51</v>
      </c>
      <c r="G2201" s="197"/>
      <c r="H2201" s="197" t="s">
        <v>230</v>
      </c>
      <c r="I2201" s="209" t="s">
        <v>230</v>
      </c>
    </row>
    <row r="2202" spans="1:12">
      <c r="A2202" s="195"/>
      <c r="B2202" s="195" t="s">
        <v>206</v>
      </c>
      <c r="C2202"/>
      <c r="D2202" s="197" t="s">
        <v>88</v>
      </c>
      <c r="E2202" s="197" t="s">
        <v>263</v>
      </c>
      <c r="F2202" s="197"/>
      <c r="G2202" s="197"/>
      <c r="H2202" s="197" t="s">
        <v>230</v>
      </c>
      <c r="I2202" s="209" t="s">
        <v>230</v>
      </c>
    </row>
    <row r="2203" spans="1:12">
      <c r="A2203" s="195"/>
      <c r="B2203" s="195" t="s">
        <v>207</v>
      </c>
      <c r="C2203"/>
      <c r="D2203" s="197" t="s">
        <v>88</v>
      </c>
      <c r="E2203" s="197" t="s">
        <v>263</v>
      </c>
      <c r="F2203" s="197"/>
      <c r="G2203" s="197"/>
      <c r="H2203" s="197" t="s">
        <v>230</v>
      </c>
      <c r="I2203" s="209" t="s">
        <v>230</v>
      </c>
    </row>
    <row r="2204" spans="1:12">
      <c r="A2204" s="195"/>
      <c r="B2204" s="196" t="s">
        <v>219</v>
      </c>
      <c r="C2204"/>
      <c r="D2204" s="197" t="s">
        <v>160</v>
      </c>
      <c r="E2204" s="197" t="s">
        <v>263</v>
      </c>
      <c r="F2204" s="197"/>
      <c r="G2204" s="197"/>
      <c r="H2204" s="197" t="s">
        <v>230</v>
      </c>
      <c r="I2204" s="209" t="s">
        <v>230</v>
      </c>
    </row>
    <row r="2205" spans="1:12">
      <c r="A2205" s="195"/>
      <c r="B2205" s="195" t="s">
        <v>205</v>
      </c>
      <c r="C2205"/>
      <c r="D2205" s="197" t="s">
        <v>160</v>
      </c>
      <c r="E2205" s="197" t="s">
        <v>263</v>
      </c>
      <c r="F2205" s="197"/>
      <c r="G2205" s="197"/>
      <c r="H2205" s="197" t="s">
        <v>230</v>
      </c>
      <c r="I2205" s="209" t="s">
        <v>230</v>
      </c>
    </row>
    <row r="2206" spans="1:12">
      <c r="A2206" s="195"/>
      <c r="B2206" s="195" t="s">
        <v>206</v>
      </c>
      <c r="C2206"/>
      <c r="D2206" s="197"/>
      <c r="E2206" s="197"/>
      <c r="F2206" s="197"/>
      <c r="G2206" s="197"/>
      <c r="H2206" s="197"/>
      <c r="I2206" s="209"/>
    </row>
    <row r="2207" spans="1:12">
      <c r="A2207" s="195"/>
      <c r="B2207" s="195" t="s">
        <v>207</v>
      </c>
      <c r="C2207"/>
      <c r="D2207" s="197"/>
      <c r="E2207" s="197"/>
      <c r="F2207" s="197"/>
      <c r="G2207" s="197"/>
      <c r="H2207" s="197"/>
      <c r="I2207" s="209"/>
    </row>
    <row r="2208" spans="1:12">
      <c r="A2208" s="195"/>
      <c r="B2208" s="196" t="s">
        <v>220</v>
      </c>
      <c r="C2208"/>
      <c r="D2208" s="197"/>
      <c r="E2208" s="197"/>
      <c r="F2208" s="197"/>
      <c r="G2208" s="197"/>
      <c r="H2208" s="197"/>
      <c r="I2208" s="209"/>
    </row>
    <row r="2209" spans="1:9">
      <c r="A2209" s="195"/>
      <c r="B2209" s="195" t="s">
        <v>205</v>
      </c>
      <c r="C2209"/>
      <c r="D2209" s="197" t="s">
        <v>114</v>
      </c>
      <c r="E2209" s="197" t="s">
        <v>393</v>
      </c>
      <c r="F2209" s="197" t="s">
        <v>160</v>
      </c>
      <c r="G2209" s="197" t="s">
        <v>56</v>
      </c>
      <c r="H2209" s="197" t="s">
        <v>390</v>
      </c>
      <c r="I2209" s="209" t="s">
        <v>390</v>
      </c>
    </row>
    <row r="2210" spans="1:9">
      <c r="A2210" s="195"/>
      <c r="B2210" s="195" t="s">
        <v>206</v>
      </c>
      <c r="C2210"/>
      <c r="D2210" s="197" t="s">
        <v>114</v>
      </c>
      <c r="E2210" s="197" t="s">
        <v>393</v>
      </c>
      <c r="F2210" s="197" t="s">
        <v>160</v>
      </c>
      <c r="G2210" s="197" t="s">
        <v>56</v>
      </c>
      <c r="H2210" s="197" t="s">
        <v>390</v>
      </c>
      <c r="I2210" s="209" t="s">
        <v>390</v>
      </c>
    </row>
    <row r="2211" spans="1:9">
      <c r="A2211" s="195"/>
      <c r="B2211" s="195" t="s">
        <v>207</v>
      </c>
      <c r="C2211"/>
      <c r="D2211" s="197" t="s">
        <v>129</v>
      </c>
      <c r="E2211" s="197" t="s">
        <v>393</v>
      </c>
      <c r="F2211" s="197" t="s">
        <v>160</v>
      </c>
      <c r="G2211" s="197" t="s">
        <v>56</v>
      </c>
      <c r="H2211" s="197" t="s">
        <v>892</v>
      </c>
      <c r="I2211" s="209" t="s">
        <v>892</v>
      </c>
    </row>
    <row r="2212" spans="1:9">
      <c r="A2212" s="195"/>
      <c r="B2212" s="196" t="s">
        <v>222</v>
      </c>
      <c r="C2212"/>
      <c r="D2212" s="197" t="s">
        <v>129</v>
      </c>
      <c r="E2212" s="197" t="s">
        <v>252</v>
      </c>
      <c r="F2212" s="197" t="s">
        <v>893</v>
      </c>
      <c r="G2212" s="197" t="s">
        <v>56</v>
      </c>
      <c r="H2212" s="197" t="s">
        <v>231</v>
      </c>
      <c r="I2212" s="209" t="s">
        <v>231</v>
      </c>
    </row>
    <row r="2213" spans="1:9">
      <c r="A2213" s="195"/>
      <c r="B2213" s="195" t="s">
        <v>205</v>
      </c>
      <c r="C2213"/>
      <c r="D2213" s="197"/>
      <c r="E2213" s="197" t="s">
        <v>252</v>
      </c>
      <c r="F2213" s="197" t="s">
        <v>160</v>
      </c>
      <c r="G2213" s="197"/>
      <c r="H2213" s="197" t="s">
        <v>232</v>
      </c>
      <c r="I2213" s="209" t="s">
        <v>232</v>
      </c>
    </row>
    <row r="2214" spans="1:9">
      <c r="A2214" s="195"/>
      <c r="B2214" s="195" t="s">
        <v>206</v>
      </c>
      <c r="C2214"/>
      <c r="D2214" s="197" t="s">
        <v>515</v>
      </c>
      <c r="E2214" s="197" t="s">
        <v>252</v>
      </c>
      <c r="F2214" s="197" t="s">
        <v>160</v>
      </c>
      <c r="G2214" s="197" t="s">
        <v>270</v>
      </c>
      <c r="H2214" s="197" t="s">
        <v>211</v>
      </c>
      <c r="I2214" s="209" t="s">
        <v>211</v>
      </c>
    </row>
    <row r="2215" spans="1:9">
      <c r="A2215" s="195"/>
      <c r="B2215" s="195" t="s">
        <v>207</v>
      </c>
      <c r="C2215"/>
      <c r="D2215" s="197" t="s">
        <v>515</v>
      </c>
      <c r="E2215" s="197" t="s">
        <v>252</v>
      </c>
      <c r="F2215" s="197"/>
      <c r="G2215" s="197" t="s">
        <v>270</v>
      </c>
      <c r="H2215" s="197" t="s">
        <v>211</v>
      </c>
      <c r="I2215" s="209" t="s">
        <v>211</v>
      </c>
    </row>
    <row r="2216" spans="1:9">
      <c r="A2216" s="195"/>
      <c r="B2216" s="196" t="s">
        <v>223</v>
      </c>
      <c r="C2216"/>
      <c r="D2216" s="197" t="s">
        <v>515</v>
      </c>
      <c r="E2216" s="197" t="s">
        <v>252</v>
      </c>
      <c r="F2216" s="197" t="s">
        <v>62</v>
      </c>
      <c r="G2216" s="197" t="s">
        <v>270</v>
      </c>
      <c r="H2216" s="197"/>
      <c r="I2216" s="209"/>
    </row>
    <row r="2217" spans="1:9">
      <c r="A2217" s="195"/>
      <c r="B2217" s="195" t="s">
        <v>205</v>
      </c>
      <c r="C2217"/>
      <c r="D2217" s="197" t="s">
        <v>269</v>
      </c>
      <c r="E2217" s="197" t="s">
        <v>252</v>
      </c>
      <c r="F2217" s="197" t="s">
        <v>62</v>
      </c>
      <c r="G2217" s="197" t="s">
        <v>270</v>
      </c>
      <c r="H2217" s="197" t="s">
        <v>856</v>
      </c>
      <c r="I2217" s="209" t="s">
        <v>856</v>
      </c>
    </row>
    <row r="2218" spans="1:9">
      <c r="A2218" s="195"/>
      <c r="B2218" s="195" t="s">
        <v>206</v>
      </c>
      <c r="C2218"/>
      <c r="D2218" s="197" t="s">
        <v>269</v>
      </c>
      <c r="E2218" s="197" t="s">
        <v>252</v>
      </c>
      <c r="F2218" s="197" t="s">
        <v>62</v>
      </c>
      <c r="G2218" s="197" t="s">
        <v>270</v>
      </c>
      <c r="H2218" s="197" t="s">
        <v>856</v>
      </c>
      <c r="I2218" s="209" t="s">
        <v>856</v>
      </c>
    </row>
    <row r="2219" spans="1:9">
      <c r="A2219" s="195"/>
      <c r="B2219" s="195" t="s">
        <v>207</v>
      </c>
      <c r="C2219"/>
      <c r="D2219" s="197" t="s">
        <v>269</v>
      </c>
      <c r="E2219" s="197" t="s">
        <v>252</v>
      </c>
      <c r="F2219" s="197" t="s">
        <v>62</v>
      </c>
      <c r="G2219" s="197" t="s">
        <v>270</v>
      </c>
      <c r="H2219" s="197" t="s">
        <v>856</v>
      </c>
      <c r="I2219" s="209" t="s">
        <v>856</v>
      </c>
    </row>
    <row r="2220" spans="1:9">
      <c r="A2220" s="195"/>
      <c r="B2220" s="196" t="s">
        <v>225</v>
      </c>
      <c r="C2220"/>
      <c r="D2220" s="197" t="s">
        <v>269</v>
      </c>
      <c r="E2220" s="197" t="s">
        <v>252</v>
      </c>
      <c r="F2220" s="197" t="s">
        <v>62</v>
      </c>
      <c r="G2220" s="197" t="s">
        <v>270</v>
      </c>
      <c r="H2220" s="197" t="s">
        <v>856</v>
      </c>
      <c r="I2220" s="209" t="s">
        <v>856</v>
      </c>
    </row>
    <row r="2221" spans="1:9">
      <c r="A2221" s="195"/>
      <c r="B2221" s="195" t="s">
        <v>205</v>
      </c>
      <c r="C2221"/>
      <c r="D2221" s="197" t="s">
        <v>475</v>
      </c>
      <c r="E2221" s="197" t="s">
        <v>252</v>
      </c>
      <c r="F2221" s="197" t="s">
        <v>62</v>
      </c>
      <c r="G2221" s="197" t="s">
        <v>270</v>
      </c>
      <c r="H2221" s="209" t="s">
        <v>856</v>
      </c>
      <c r="I2221" s="209" t="s">
        <v>856</v>
      </c>
    </row>
    <row r="2222" spans="1:9">
      <c r="A2222" s="195"/>
      <c r="B2222" s="195" t="s">
        <v>206</v>
      </c>
      <c r="C2222"/>
      <c r="D2222" s="197" t="s">
        <v>361</v>
      </c>
      <c r="E2222" s="197" t="s">
        <v>252</v>
      </c>
      <c r="F2222" s="197" t="s">
        <v>62</v>
      </c>
      <c r="G2222" s="197" t="s">
        <v>270</v>
      </c>
      <c r="H2222" s="209" t="s">
        <v>856</v>
      </c>
      <c r="I2222" s="209" t="s">
        <v>856</v>
      </c>
    </row>
    <row r="2223" spans="1:9">
      <c r="A2223" s="195"/>
      <c r="B2223" s="195" t="s">
        <v>207</v>
      </c>
      <c r="C2223"/>
      <c r="D2223" s="197"/>
      <c r="E2223" s="197"/>
      <c r="F2223" s="197"/>
      <c r="G2223" s="197"/>
      <c r="H2223" s="209"/>
      <c r="I2223" s="209"/>
    </row>
    <row r="2224" spans="1:9">
      <c r="A2224" s="195"/>
      <c r="B2224" s="196" t="s">
        <v>226</v>
      </c>
      <c r="C2224"/>
      <c r="D2224" s="197"/>
      <c r="E2224" s="197"/>
      <c r="F2224" s="197"/>
      <c r="G2224" s="197"/>
      <c r="H2224" s="209"/>
      <c r="I2224" s="209"/>
    </row>
    <row r="2225" spans="1:12">
      <c r="A2225" s="195"/>
      <c r="B2225" s="195" t="s">
        <v>205</v>
      </c>
      <c r="C2225"/>
      <c r="D2225" s="197"/>
      <c r="E2225" s="197"/>
      <c r="F2225" s="197"/>
      <c r="G2225" s="197"/>
      <c r="H2225" s="209"/>
      <c r="I2225" s="209"/>
    </row>
    <row r="2226" spans="1:12">
      <c r="A2226" s="195"/>
      <c r="B2226" s="195" t="s">
        <v>206</v>
      </c>
      <c r="C2226"/>
      <c r="D2226" s="197"/>
      <c r="E2226" s="197"/>
      <c r="F2226" s="197"/>
      <c r="G2226" s="197"/>
      <c r="H2226" s="209"/>
      <c r="I2226" s="209"/>
    </row>
    <row r="2227" spans="1:12">
      <c r="A2227" s="195"/>
      <c r="B2227" s="195" t="s">
        <v>207</v>
      </c>
      <c r="C2227"/>
      <c r="D2227" s="197"/>
      <c r="E2227" s="197"/>
      <c r="F2227" s="197"/>
      <c r="G2227" s="197"/>
      <c r="H2227" s="209"/>
      <c r="I2227" s="209"/>
    </row>
    <row r="2228" spans="1:12">
      <c r="A2228" s="195"/>
      <c r="B2228" s="196" t="s">
        <v>227</v>
      </c>
      <c r="C2228"/>
      <c r="D2228" s="197"/>
      <c r="E2228" s="197"/>
      <c r="F2228" s="197"/>
      <c r="G2228" s="197"/>
      <c r="H2228" s="209"/>
      <c r="I2228" s="209"/>
      <c r="K2228"/>
    </row>
    <row r="2229" spans="1:12" ht="29.25" thickBot="1">
      <c r="A2229" s="182" t="str">
        <f>"回収シフト  第"&amp;ROUNDUP(DAY(B2232)/7,0)  &amp;"  "&amp;TEXT(B2232,"aaaa")</f>
        <v>回収シフト  第3  水曜日</v>
      </c>
      <c r="B2229" s="183"/>
      <c r="C2229" s="183"/>
      <c r="D2229" s="183"/>
      <c r="E2229" s="183"/>
      <c r="F2229" s="183"/>
      <c r="G2229" s="184"/>
      <c r="H2229" s="184"/>
      <c r="I2229" s="184"/>
      <c r="K2229" s="183"/>
      <c r="L2229" s="183"/>
    </row>
    <row r="2230" spans="1:12" ht="15.75" thickBot="1">
      <c r="A2230"/>
      <c r="B2230"/>
      <c r="C2230"/>
      <c r="D2230" s="186" t="s">
        <v>201</v>
      </c>
      <c r="E2230" s="186" t="s">
        <v>202</v>
      </c>
      <c r="F2230" s="186" t="s">
        <v>203</v>
      </c>
      <c r="G2230" s="186" t="s">
        <v>204</v>
      </c>
      <c r="H2230" s="186" t="s">
        <v>267</v>
      </c>
      <c r="I2230" s="217" t="s">
        <v>267</v>
      </c>
      <c r="K2230" s="230" t="s">
        <v>257</v>
      </c>
      <c r="L2230" s="231"/>
    </row>
    <row r="2231" spans="1:12">
      <c r="A2231" s="187"/>
      <c r="B2231" s="188">
        <v>46119</v>
      </c>
      <c r="C2231" s="187"/>
      <c r="D2231" s="189" t="s">
        <v>859</v>
      </c>
      <c r="E2231" s="189" t="s">
        <v>849</v>
      </c>
      <c r="F2231" s="189" t="s">
        <v>921</v>
      </c>
      <c r="G2231" s="189" t="s">
        <v>890</v>
      </c>
      <c r="H2231" s="189" t="s">
        <v>852</v>
      </c>
      <c r="I2231" s="218" t="s">
        <v>852</v>
      </c>
      <c r="K2231" s="232" t="s">
        <v>258</v>
      </c>
      <c r="L2231" s="190" t="str">
        <f ca="1">_xlfn.XLOOKUP($B2232,シフト抽出!$19:$19,シフト抽出!$20:$20,"該当なし",0,1)</f>
        <v/>
      </c>
    </row>
    <row r="2232" spans="1:12" ht="19.5" thickBot="1">
      <c r="A2232"/>
      <c r="B2232" s="191">
        <f>B2179+1</f>
        <v>46162</v>
      </c>
      <c r="C2232" s="192"/>
      <c r="D2232" s="193"/>
      <c r="E2232" s="193"/>
      <c r="F2232" s="193"/>
      <c r="G2232" s="193"/>
      <c r="H2232" s="193"/>
      <c r="I2232" s="219"/>
      <c r="K2232" s="233"/>
      <c r="L2232" s="194" t="str">
        <f ca="1">_xlfn.XLOOKUP($B2232,シフト抽出!$19:$19,シフト抽出!$21:$21,"該当なし",0,1)</f>
        <v/>
      </c>
    </row>
    <row r="2233" spans="1:12">
      <c r="A2233" s="195"/>
      <c r="B2233" s="196">
        <v>0.25</v>
      </c>
      <c r="C2233"/>
      <c r="D2233" s="197"/>
      <c r="E2233" s="196"/>
      <c r="F2233" s="197"/>
      <c r="G2233" s="197"/>
      <c r="H2233" s="197"/>
      <c r="I2233" s="209"/>
      <c r="K2233" s="234" t="s">
        <v>259</v>
      </c>
      <c r="L2233" s="198" t="str">
        <f ca="1">_xlfn.XLOOKUP($B2232,シフト抽出!$19:$19,シフト抽出!$23:$23,"該当なし",0,1)</f>
        <v/>
      </c>
    </row>
    <row r="2234" spans="1:12" ht="15.75" thickBot="1">
      <c r="A2234" s="195"/>
      <c r="B2234" s="195" t="s">
        <v>205</v>
      </c>
      <c r="C2234"/>
      <c r="D2234" s="197"/>
      <c r="E2234" s="197"/>
      <c r="F2234" s="197"/>
      <c r="G2234" s="197"/>
      <c r="H2234" s="197"/>
      <c r="I2234" s="209"/>
      <c r="K2234" s="235"/>
      <c r="L2234" s="199" t="str">
        <f ca="1">_xlfn.XLOOKUP($B2232,シフト抽出!$19:$19,シフト抽出!$24:$24,"該当なし",0,1)</f>
        <v/>
      </c>
    </row>
    <row r="2235" spans="1:12">
      <c r="A2235" s="195"/>
      <c r="B2235" s="195" t="s">
        <v>206</v>
      </c>
      <c r="C2235"/>
      <c r="D2235" s="197"/>
      <c r="E2235" s="197"/>
      <c r="F2235" s="197"/>
      <c r="G2235" s="197"/>
      <c r="H2235" s="197"/>
      <c r="I2235" s="209"/>
      <c r="K2235" s="224" t="s">
        <v>260</v>
      </c>
      <c r="L2235" s="200" t="str">
        <f ca="1">_xlfn.XLOOKUP($B2232,シフト抽出!$19:$19,シフト抽出!$26:$26,"該当なし",0,1)</f>
        <v/>
      </c>
    </row>
    <row r="2236" spans="1:12">
      <c r="A2236" s="195"/>
      <c r="B2236" s="195" t="s">
        <v>207</v>
      </c>
      <c r="C2236"/>
      <c r="D2236" s="197"/>
      <c r="E2236" s="197"/>
      <c r="F2236" s="197"/>
      <c r="G2236" s="197"/>
      <c r="H2236" s="197"/>
      <c r="I2236" s="209"/>
      <c r="K2236" s="225"/>
      <c r="L2236" s="201" t="str">
        <f ca="1">_xlfn.XLOOKUP($B2232,シフト抽出!$19:$19,シフト抽出!$27:$27,"該当なし",0,1)</f>
        <v/>
      </c>
    </row>
    <row r="2237" spans="1:12">
      <c r="A2237" s="195"/>
      <c r="B2237" s="202" t="s">
        <v>208</v>
      </c>
      <c r="C2237"/>
      <c r="D2237" s="197"/>
      <c r="E2237" s="197" t="s">
        <v>107</v>
      </c>
      <c r="F2237" s="197" t="s">
        <v>851</v>
      </c>
      <c r="G2237" s="197" t="s">
        <v>22</v>
      </c>
      <c r="H2237" s="197"/>
      <c r="I2237" s="209"/>
      <c r="J2237" s="203"/>
      <c r="K2237" s="225"/>
      <c r="L2237" s="201" t="str">
        <f ca="1">_xlfn.XLOOKUP($B2232,シフト抽出!$19:$19,シフト抽出!$28:$28,"該当なし",0,1)</f>
        <v/>
      </c>
    </row>
    <row r="2238" spans="1:12" ht="15.75" thickBot="1">
      <c r="A2238" s="195"/>
      <c r="B2238" s="195" t="s">
        <v>205</v>
      </c>
      <c r="C2238"/>
      <c r="D2238" s="197"/>
      <c r="E2238" s="197"/>
      <c r="F2238" s="197" t="s">
        <v>851</v>
      </c>
      <c r="G2238" s="197" t="s">
        <v>22</v>
      </c>
      <c r="H2238" s="197"/>
      <c r="I2238" s="209"/>
      <c r="J2238" s="203"/>
      <c r="K2238" s="226"/>
      <c r="L2238" s="204" t="str">
        <f ca="1">_xlfn.XLOOKUP($B2232,シフト抽出!$19:$19,シフト抽出!$29:$29,"該当なし",0,1)</f>
        <v/>
      </c>
    </row>
    <row r="2239" spans="1:12" ht="15.75" thickBot="1">
      <c r="A2239" s="195"/>
      <c r="B2239" s="195" t="s">
        <v>206</v>
      </c>
      <c r="C2239"/>
      <c r="D2239" s="197"/>
      <c r="E2239" s="197"/>
      <c r="F2239" s="197" t="s">
        <v>851</v>
      </c>
      <c r="G2239" s="197" t="s">
        <v>793</v>
      </c>
      <c r="H2239" s="197"/>
      <c r="I2239" s="209"/>
      <c r="K2239" s="205" t="s">
        <v>261</v>
      </c>
      <c r="L2239" s="205">
        <f>_xlfn.XLOOKUP($B2232,予定表!B:B,予定表!R:R,"該当なし",0,1)</f>
        <v>0</v>
      </c>
    </row>
    <row r="2240" spans="1:12">
      <c r="A2240" s="195"/>
      <c r="B2240" s="195" t="s">
        <v>207</v>
      </c>
      <c r="C2240"/>
      <c r="D2240" s="197"/>
      <c r="E2240" s="197"/>
      <c r="F2240" s="197" t="s">
        <v>851</v>
      </c>
      <c r="G2240" s="197" t="s">
        <v>793</v>
      </c>
      <c r="H2240" s="197"/>
      <c r="I2240" s="209"/>
      <c r="K2240" s="227" t="s">
        <v>262</v>
      </c>
      <c r="L2240" s="206" t="str">
        <f>_xlfn.XLOOKUP($B2232,予定表!$B:$B,予定表!E:E,"該当なし",0,1)</f>
        <v>小田急切符・ｼｭﾚｯﾀﾞ</v>
      </c>
    </row>
    <row r="2241" spans="1:12">
      <c r="A2241" s="195"/>
      <c r="B2241" s="196" t="s">
        <v>209</v>
      </c>
      <c r="C2241"/>
      <c r="D2241" s="197" t="s">
        <v>264</v>
      </c>
      <c r="E2241" s="197" t="s">
        <v>414</v>
      </c>
      <c r="F2241" s="197" t="s">
        <v>851</v>
      </c>
      <c r="G2241" s="197" t="s">
        <v>268</v>
      </c>
      <c r="H2241" s="197" t="s">
        <v>60</v>
      </c>
      <c r="I2241" s="209" t="s">
        <v>60</v>
      </c>
      <c r="K2241" s="228"/>
      <c r="L2241" s="207">
        <f>_xlfn.XLOOKUP($B2232,予定表!$B:$B,予定表!F:F,"該当なし",0,1)</f>
        <v>0</v>
      </c>
    </row>
    <row r="2242" spans="1:12">
      <c r="A2242" s="195"/>
      <c r="B2242" s="195" t="s">
        <v>205</v>
      </c>
      <c r="C2242"/>
      <c r="D2242" s="197"/>
      <c r="E2242" s="197" t="s">
        <v>414</v>
      </c>
      <c r="F2242" s="197" t="s">
        <v>851</v>
      </c>
      <c r="G2242" s="197" t="s">
        <v>268</v>
      </c>
      <c r="H2242" s="197" t="s">
        <v>60</v>
      </c>
      <c r="I2242" s="209" t="s">
        <v>60</v>
      </c>
      <c r="K2242" s="228"/>
      <c r="L2242" s="207">
        <f>_xlfn.XLOOKUP($B2232,予定表!$B:$B,予定表!G:G,"該当なし",0,1)</f>
        <v>0</v>
      </c>
    </row>
    <row r="2243" spans="1:12">
      <c r="A2243" s="195"/>
      <c r="B2243" s="195" t="s">
        <v>206</v>
      </c>
      <c r="C2243"/>
      <c r="D2243" s="197" t="s">
        <v>273</v>
      </c>
      <c r="E2243" s="197" t="s">
        <v>414</v>
      </c>
      <c r="F2243" s="197" t="s">
        <v>851</v>
      </c>
      <c r="G2243" s="197" t="s">
        <v>268</v>
      </c>
      <c r="H2243" s="197" t="s">
        <v>60</v>
      </c>
      <c r="I2243" s="209" t="s">
        <v>60</v>
      </c>
      <c r="K2243" s="228"/>
      <c r="L2243" s="207" t="str">
        <f>_xlfn.XLOOKUP($B2232,予定表!$B:$B,予定表!H:H,"該当なし",0,1)</f>
        <v>資さんうどん</v>
      </c>
    </row>
    <row r="2244" spans="1:12">
      <c r="A2244" s="195"/>
      <c r="B2244" s="195" t="s">
        <v>207</v>
      </c>
      <c r="C2244"/>
      <c r="D2244" s="197" t="s">
        <v>273</v>
      </c>
      <c r="E2244" s="197" t="s">
        <v>414</v>
      </c>
      <c r="F2244" s="197"/>
      <c r="G2244" s="197" t="s">
        <v>268</v>
      </c>
      <c r="H2244" s="197"/>
      <c r="I2244" s="209"/>
      <c r="K2244" s="228"/>
      <c r="L2244" s="207" t="str">
        <f>_xlfn.XLOOKUP($B2232,予定表!$B:$B,予定表!I:I,"該当なし",0,1)</f>
        <v/>
      </c>
    </row>
    <row r="2245" spans="1:12">
      <c r="A2245" s="195"/>
      <c r="B2245" s="196" t="s">
        <v>212</v>
      </c>
      <c r="C2245"/>
      <c r="D2245" s="197" t="s">
        <v>273</v>
      </c>
      <c r="E2245" s="197" t="s">
        <v>414</v>
      </c>
      <c r="F2245" s="197" t="s">
        <v>416</v>
      </c>
      <c r="G2245" s="197" t="s">
        <v>268</v>
      </c>
      <c r="H2245" s="197" t="s">
        <v>416</v>
      </c>
      <c r="I2245" s="209" t="s">
        <v>416</v>
      </c>
      <c r="K2245" s="228"/>
      <c r="L2245" s="207" t="str">
        <f>_xlfn.XLOOKUP($B2232,予定表!$B:$B,予定表!J:J,"該当なし",0,1)</f>
        <v/>
      </c>
    </row>
    <row r="2246" spans="1:12">
      <c r="A2246" s="195"/>
      <c r="B2246" s="195" t="s">
        <v>205</v>
      </c>
      <c r="C2246"/>
      <c r="D2246" s="197" t="s">
        <v>252</v>
      </c>
      <c r="E2246" s="197" t="s">
        <v>414</v>
      </c>
      <c r="F2246" s="197" t="s">
        <v>416</v>
      </c>
      <c r="G2246" s="197" t="s">
        <v>268</v>
      </c>
      <c r="H2246" s="197" t="s">
        <v>877</v>
      </c>
      <c r="I2246" s="209" t="s">
        <v>877</v>
      </c>
      <c r="K2246" s="228"/>
      <c r="L2246" s="207" t="str">
        <f>_xlfn.XLOOKUP($B2232,予定表!$B:$B,予定表!K:K,"該当なし",0,1)</f>
        <v/>
      </c>
    </row>
    <row r="2247" spans="1:12">
      <c r="A2247" s="195"/>
      <c r="B2247" s="195" t="s">
        <v>206</v>
      </c>
      <c r="C2247"/>
      <c r="D2247" s="197" t="s">
        <v>252</v>
      </c>
      <c r="E2247" s="197" t="s">
        <v>214</v>
      </c>
      <c r="F2247" s="197" t="s">
        <v>416</v>
      </c>
      <c r="G2247" s="197" t="s">
        <v>268</v>
      </c>
      <c r="H2247" s="197" t="s">
        <v>416</v>
      </c>
      <c r="I2247" s="209" t="s">
        <v>416</v>
      </c>
      <c r="K2247" s="228"/>
      <c r="L2247" s="207" t="str">
        <f>_xlfn.XLOOKUP($B2232,予定表!$B:$B,予定表!L:L,"該当なし",0,1)</f>
        <v/>
      </c>
    </row>
    <row r="2248" spans="1:12" ht="15.75" thickBot="1">
      <c r="A2248" s="195"/>
      <c r="B2248" s="195" t="s">
        <v>207</v>
      </c>
      <c r="C2248"/>
      <c r="D2248" s="197" t="s">
        <v>252</v>
      </c>
      <c r="E2248" s="197" t="s">
        <v>214</v>
      </c>
      <c r="F2248" s="197" t="s">
        <v>416</v>
      </c>
      <c r="G2248" s="197" t="s">
        <v>515</v>
      </c>
      <c r="H2248" s="197" t="s">
        <v>416</v>
      </c>
      <c r="I2248" s="209" t="s">
        <v>416</v>
      </c>
      <c r="K2248" s="229"/>
      <c r="L2248" s="204" t="str">
        <f>_xlfn.XLOOKUP($A2229,ﾘｽﾄマスタ!$U$8:$U$17,ﾘｽﾄマスタ!$V$8:$V$17,"",0)</f>
        <v/>
      </c>
    </row>
    <row r="2249" spans="1:12" ht="15.75" thickBot="1">
      <c r="A2249" s="195"/>
      <c r="B2249" s="196" t="s">
        <v>251</v>
      </c>
      <c r="C2249"/>
      <c r="D2249" s="197" t="s">
        <v>252</v>
      </c>
      <c r="E2249" s="197" t="s">
        <v>214</v>
      </c>
      <c r="F2249" s="197" t="s">
        <v>877</v>
      </c>
      <c r="G2249" s="197" t="s">
        <v>515</v>
      </c>
      <c r="H2249" s="197" t="s">
        <v>416</v>
      </c>
      <c r="I2249" s="209" t="s">
        <v>416</v>
      </c>
      <c r="K2249" s="208" t="s">
        <v>277</v>
      </c>
      <c r="L2249" s="208" t="str">
        <f ca="1">_xlfn.XLOOKUP($B2232,シフト抽出!$19:$19,シフト抽出!$30:$30,"該当なし",0,1)</f>
        <v/>
      </c>
    </row>
    <row r="2250" spans="1:12">
      <c r="A2250" s="195"/>
      <c r="B2250" s="195" t="s">
        <v>205</v>
      </c>
      <c r="C2250"/>
      <c r="D2250" s="197" t="s">
        <v>252</v>
      </c>
      <c r="E2250" s="197" t="s">
        <v>214</v>
      </c>
      <c r="F2250" s="197" t="s">
        <v>416</v>
      </c>
      <c r="G2250" s="197" t="s">
        <v>515</v>
      </c>
      <c r="H2250" s="197" t="s">
        <v>416</v>
      </c>
      <c r="I2250" s="209" t="s">
        <v>416</v>
      </c>
    </row>
    <row r="2251" spans="1:12">
      <c r="A2251" s="195"/>
      <c r="B2251" s="195" t="s">
        <v>206</v>
      </c>
      <c r="C2251"/>
      <c r="D2251" s="197" t="s">
        <v>252</v>
      </c>
      <c r="E2251" s="197" t="s">
        <v>214</v>
      </c>
      <c r="F2251" s="197" t="s">
        <v>416</v>
      </c>
      <c r="G2251" s="197" t="s">
        <v>269</v>
      </c>
      <c r="H2251" s="197" t="s">
        <v>416</v>
      </c>
      <c r="I2251" s="209" t="s">
        <v>416</v>
      </c>
    </row>
    <row r="2252" spans="1:12">
      <c r="A2252" s="195"/>
      <c r="B2252" s="195" t="s">
        <v>207</v>
      </c>
      <c r="C2252"/>
      <c r="D2252" s="197" t="s">
        <v>252</v>
      </c>
      <c r="E2252" s="197" t="s">
        <v>761</v>
      </c>
      <c r="F2252" s="197" t="s">
        <v>416</v>
      </c>
      <c r="G2252" s="197" t="s">
        <v>269</v>
      </c>
      <c r="H2252" s="197" t="s">
        <v>416</v>
      </c>
      <c r="I2252" s="209" t="s">
        <v>416</v>
      </c>
    </row>
    <row r="2253" spans="1:12">
      <c r="A2253" s="195"/>
      <c r="B2253" s="196" t="s">
        <v>217</v>
      </c>
      <c r="C2253"/>
      <c r="D2253" s="197" t="s">
        <v>252</v>
      </c>
      <c r="E2253" s="197" t="s">
        <v>761</v>
      </c>
      <c r="F2253" s="197" t="s">
        <v>416</v>
      </c>
      <c r="G2253" s="197" t="s">
        <v>269</v>
      </c>
      <c r="H2253" s="197" t="s">
        <v>416</v>
      </c>
      <c r="I2253" s="209" t="s">
        <v>416</v>
      </c>
    </row>
    <row r="2254" spans="1:12">
      <c r="A2254" s="195"/>
      <c r="B2254" s="195" t="s">
        <v>205</v>
      </c>
      <c r="C2254"/>
      <c r="D2254" s="197" t="s">
        <v>252</v>
      </c>
      <c r="E2254" s="197" t="s">
        <v>761</v>
      </c>
      <c r="F2254" s="197" t="s">
        <v>416</v>
      </c>
      <c r="G2254" s="197" t="s">
        <v>446</v>
      </c>
      <c r="H2254" s="197" t="s">
        <v>416</v>
      </c>
      <c r="I2254" s="209" t="s">
        <v>416</v>
      </c>
    </row>
    <row r="2255" spans="1:12">
      <c r="A2255" s="195"/>
      <c r="B2255" s="195" t="s">
        <v>206</v>
      </c>
      <c r="C2255"/>
      <c r="D2255" s="197" t="s">
        <v>252</v>
      </c>
      <c r="E2255" s="197" t="s">
        <v>51</v>
      </c>
      <c r="F2255" s="197" t="s">
        <v>416</v>
      </c>
      <c r="G2255" s="197" t="s">
        <v>446</v>
      </c>
      <c r="H2255" s="197" t="s">
        <v>416</v>
      </c>
      <c r="I2255" s="209" t="s">
        <v>416</v>
      </c>
    </row>
    <row r="2256" spans="1:12">
      <c r="A2256" s="195"/>
      <c r="B2256" s="195" t="s">
        <v>207</v>
      </c>
      <c r="C2256"/>
      <c r="D2256" s="197" t="s">
        <v>186</v>
      </c>
      <c r="E2256" s="197" t="s">
        <v>51</v>
      </c>
      <c r="F2256" s="197" t="s">
        <v>416</v>
      </c>
      <c r="G2256" s="197" t="s">
        <v>114</v>
      </c>
      <c r="H2256" s="197" t="s">
        <v>416</v>
      </c>
      <c r="I2256" s="209" t="s">
        <v>416</v>
      </c>
    </row>
    <row r="2257" spans="1:9">
      <c r="A2257" s="195"/>
      <c r="B2257" s="196" t="s">
        <v>219</v>
      </c>
      <c r="C2257"/>
      <c r="D2257" s="197" t="s">
        <v>186</v>
      </c>
      <c r="E2257" s="197" t="s">
        <v>51</v>
      </c>
      <c r="F2257" s="197" t="s">
        <v>416</v>
      </c>
      <c r="G2257" s="197" t="s">
        <v>114</v>
      </c>
      <c r="H2257" s="197" t="s">
        <v>416</v>
      </c>
      <c r="I2257" s="209" t="s">
        <v>416</v>
      </c>
    </row>
    <row r="2258" spans="1:9">
      <c r="A2258" s="195"/>
      <c r="B2258" s="195" t="s">
        <v>205</v>
      </c>
      <c r="C2258"/>
      <c r="D2258" s="197" t="s">
        <v>186</v>
      </c>
      <c r="E2258" s="197" t="s">
        <v>51</v>
      </c>
      <c r="F2258" s="197" t="s">
        <v>416</v>
      </c>
      <c r="G2258" s="197" t="s">
        <v>114</v>
      </c>
      <c r="H2258" s="197" t="s">
        <v>416</v>
      </c>
      <c r="I2258" s="209" t="s">
        <v>416</v>
      </c>
    </row>
    <row r="2259" spans="1:9">
      <c r="A2259" s="195"/>
      <c r="B2259" s="195" t="s">
        <v>206</v>
      </c>
      <c r="C2259"/>
      <c r="D2259" s="197"/>
      <c r="E2259" s="197"/>
      <c r="F2259" s="197"/>
      <c r="G2259" s="197"/>
      <c r="H2259" s="197"/>
      <c r="I2259" s="209"/>
    </row>
    <row r="2260" spans="1:9">
      <c r="A2260" s="195"/>
      <c r="B2260" s="195" t="s">
        <v>207</v>
      </c>
      <c r="C2260"/>
      <c r="D2260" s="197"/>
      <c r="E2260" s="197"/>
      <c r="F2260" s="197"/>
      <c r="G2260" s="197"/>
      <c r="H2260" s="197"/>
      <c r="I2260" s="209"/>
    </row>
    <row r="2261" spans="1:9">
      <c r="A2261" s="195"/>
      <c r="B2261" s="196" t="s">
        <v>220</v>
      </c>
      <c r="C2261"/>
      <c r="D2261" s="197"/>
      <c r="E2261" s="189"/>
      <c r="F2261" s="189"/>
      <c r="G2261" s="197"/>
      <c r="H2261" s="197"/>
      <c r="I2261" s="209"/>
    </row>
    <row r="2262" spans="1:9">
      <c r="A2262" s="195"/>
      <c r="B2262" s="195" t="s">
        <v>205</v>
      </c>
      <c r="C2262"/>
      <c r="D2262" s="197" t="s">
        <v>878</v>
      </c>
      <c r="E2262" s="197" t="s">
        <v>252</v>
      </c>
      <c r="F2262" s="197" t="s">
        <v>224</v>
      </c>
      <c r="G2262" s="197" t="s">
        <v>56</v>
      </c>
      <c r="H2262" s="197" t="s">
        <v>848</v>
      </c>
      <c r="I2262" s="209" t="s">
        <v>848</v>
      </c>
    </row>
    <row r="2263" spans="1:9">
      <c r="A2263" s="195"/>
      <c r="B2263" s="195" t="s">
        <v>206</v>
      </c>
      <c r="C2263"/>
      <c r="D2263" s="197" t="s">
        <v>878</v>
      </c>
      <c r="E2263" s="197" t="s">
        <v>252</v>
      </c>
      <c r="F2263" s="197" t="s">
        <v>224</v>
      </c>
      <c r="G2263" s="197" t="s">
        <v>56</v>
      </c>
      <c r="H2263" s="197" t="s">
        <v>848</v>
      </c>
      <c r="I2263" s="209" t="s">
        <v>848</v>
      </c>
    </row>
    <row r="2264" spans="1:9">
      <c r="A2264" s="195"/>
      <c r="B2264" s="195" t="s">
        <v>207</v>
      </c>
      <c r="C2264"/>
      <c r="D2264" s="197" t="s">
        <v>878</v>
      </c>
      <c r="E2264" s="197" t="s">
        <v>252</v>
      </c>
      <c r="F2264" s="197" t="s">
        <v>224</v>
      </c>
      <c r="G2264" s="197" t="s">
        <v>56</v>
      </c>
      <c r="H2264" s="197" t="s">
        <v>848</v>
      </c>
      <c r="I2264" s="209" t="s">
        <v>848</v>
      </c>
    </row>
    <row r="2265" spans="1:9">
      <c r="A2265" s="195"/>
      <c r="B2265" s="196" t="s">
        <v>222</v>
      </c>
      <c r="C2265"/>
      <c r="D2265" s="197" t="s">
        <v>523</v>
      </c>
      <c r="E2265" s="197" t="s">
        <v>252</v>
      </c>
      <c r="F2265" s="197" t="s">
        <v>280</v>
      </c>
      <c r="G2265" s="197"/>
      <c r="H2265" s="197" t="s">
        <v>848</v>
      </c>
      <c r="I2265" s="209" t="s">
        <v>848</v>
      </c>
    </row>
    <row r="2266" spans="1:9">
      <c r="A2266" s="195"/>
      <c r="B2266" s="195" t="s">
        <v>205</v>
      </c>
      <c r="C2266"/>
      <c r="D2266" s="197" t="s">
        <v>523</v>
      </c>
      <c r="E2266" s="197" t="s">
        <v>395</v>
      </c>
      <c r="F2266" s="197" t="s">
        <v>215</v>
      </c>
      <c r="G2266" s="197" t="s">
        <v>270</v>
      </c>
      <c r="H2266" s="197" t="s">
        <v>848</v>
      </c>
      <c r="I2266" s="209" t="s">
        <v>848</v>
      </c>
    </row>
    <row r="2267" spans="1:9">
      <c r="A2267" s="195"/>
      <c r="B2267" s="195" t="s">
        <v>206</v>
      </c>
      <c r="C2267"/>
      <c r="D2267" s="197" t="s">
        <v>759</v>
      </c>
      <c r="E2267" s="197" t="s">
        <v>395</v>
      </c>
      <c r="F2267" s="197" t="s">
        <v>127</v>
      </c>
      <c r="G2267" s="197" t="s">
        <v>270</v>
      </c>
      <c r="H2267" s="197" t="s">
        <v>848</v>
      </c>
      <c r="I2267" s="209" t="s">
        <v>848</v>
      </c>
    </row>
    <row r="2268" spans="1:9">
      <c r="A2268" s="195"/>
      <c r="B2268" s="195" t="s">
        <v>207</v>
      </c>
      <c r="C2268"/>
      <c r="D2268" s="197" t="s">
        <v>759</v>
      </c>
      <c r="E2268" s="197" t="s">
        <v>395</v>
      </c>
      <c r="F2268" s="197" t="s">
        <v>127</v>
      </c>
      <c r="G2268" s="197" t="s">
        <v>270</v>
      </c>
      <c r="H2268" s="197" t="s">
        <v>229</v>
      </c>
      <c r="I2268" s="209" t="s">
        <v>229</v>
      </c>
    </row>
    <row r="2269" spans="1:9">
      <c r="A2269" s="195"/>
      <c r="B2269" s="196" t="s">
        <v>223</v>
      </c>
      <c r="C2269"/>
      <c r="D2269" s="197" t="s">
        <v>366</v>
      </c>
      <c r="E2269" s="197" t="s">
        <v>395</v>
      </c>
      <c r="F2269" s="197" t="s">
        <v>160</v>
      </c>
      <c r="G2269" s="197" t="s">
        <v>270</v>
      </c>
      <c r="H2269" s="197" t="s">
        <v>229</v>
      </c>
      <c r="I2269" s="209" t="s">
        <v>229</v>
      </c>
    </row>
    <row r="2270" spans="1:9">
      <c r="A2270" s="195"/>
      <c r="B2270" s="195" t="s">
        <v>205</v>
      </c>
      <c r="C2270"/>
      <c r="D2270" s="197" t="s">
        <v>366</v>
      </c>
      <c r="E2270" s="197" t="s">
        <v>395</v>
      </c>
      <c r="F2270" s="197" t="s">
        <v>397</v>
      </c>
      <c r="G2270" s="197" t="s">
        <v>270</v>
      </c>
      <c r="H2270" s="197" t="s">
        <v>230</v>
      </c>
      <c r="I2270" s="209" t="s">
        <v>230</v>
      </c>
    </row>
    <row r="2271" spans="1:9">
      <c r="A2271" s="195"/>
      <c r="B2271" s="195" t="s">
        <v>206</v>
      </c>
      <c r="C2271"/>
      <c r="D2271" s="197" t="s">
        <v>366</v>
      </c>
      <c r="E2271" s="197" t="s">
        <v>395</v>
      </c>
      <c r="F2271" s="197" t="s">
        <v>397</v>
      </c>
      <c r="G2271" s="197" t="s">
        <v>270</v>
      </c>
      <c r="H2271" s="197" t="s">
        <v>230</v>
      </c>
      <c r="I2271" s="209" t="s">
        <v>230</v>
      </c>
    </row>
    <row r="2272" spans="1:9">
      <c r="A2272" s="195"/>
      <c r="B2272" s="195" t="s">
        <v>207</v>
      </c>
      <c r="C2272"/>
      <c r="D2272" s="197" t="s">
        <v>216</v>
      </c>
      <c r="E2272" s="197" t="s">
        <v>395</v>
      </c>
      <c r="F2272" s="197" t="s">
        <v>62</v>
      </c>
      <c r="G2272" s="197" t="s">
        <v>270</v>
      </c>
      <c r="H2272" s="197" t="s">
        <v>230</v>
      </c>
      <c r="I2272" s="209" t="s">
        <v>230</v>
      </c>
    </row>
    <row r="2273" spans="1:13">
      <c r="A2273" s="195"/>
      <c r="B2273" s="196" t="s">
        <v>225</v>
      </c>
      <c r="C2273"/>
      <c r="D2273" s="197" t="s">
        <v>216</v>
      </c>
      <c r="E2273" s="197" t="s">
        <v>395</v>
      </c>
      <c r="F2273" s="197" t="s">
        <v>62</v>
      </c>
      <c r="G2273" s="197" t="s">
        <v>270</v>
      </c>
      <c r="H2273" s="197" t="s">
        <v>230</v>
      </c>
      <c r="I2273" s="209" t="s">
        <v>230</v>
      </c>
    </row>
    <row r="2274" spans="1:13">
      <c r="A2274" s="195"/>
      <c r="B2274" s="195" t="s">
        <v>205</v>
      </c>
      <c r="C2274"/>
      <c r="D2274" s="197" t="s">
        <v>216</v>
      </c>
      <c r="E2274" s="197" t="s">
        <v>395</v>
      </c>
      <c r="F2274" s="197" t="s">
        <v>62</v>
      </c>
      <c r="G2274" s="197" t="s">
        <v>270</v>
      </c>
      <c r="H2274" s="209" t="s">
        <v>230</v>
      </c>
      <c r="I2274" s="209" t="s">
        <v>230</v>
      </c>
    </row>
    <row r="2275" spans="1:13">
      <c r="A2275" s="195"/>
      <c r="B2275" s="195" t="s">
        <v>206</v>
      </c>
      <c r="C2275"/>
      <c r="D2275" s="197" t="s">
        <v>216</v>
      </c>
      <c r="E2275" s="197" t="s">
        <v>395</v>
      </c>
      <c r="F2275" s="197" t="s">
        <v>62</v>
      </c>
      <c r="G2275" s="197" t="s">
        <v>270</v>
      </c>
      <c r="H2275" s="209" t="s">
        <v>230</v>
      </c>
      <c r="I2275" s="209" t="s">
        <v>230</v>
      </c>
    </row>
    <row r="2276" spans="1:13">
      <c r="A2276" s="195"/>
      <c r="B2276" s="195" t="s">
        <v>207</v>
      </c>
      <c r="C2276"/>
      <c r="D2276" s="197"/>
      <c r="E2276" s="197"/>
      <c r="F2276" s="197"/>
      <c r="G2276" s="197"/>
      <c r="H2276" s="209"/>
      <c r="I2276" s="209"/>
    </row>
    <row r="2277" spans="1:13">
      <c r="A2277" s="195"/>
      <c r="B2277" s="196" t="s">
        <v>226</v>
      </c>
      <c r="C2277"/>
      <c r="D2277" s="197"/>
      <c r="E2277" s="197"/>
      <c r="F2277" s="197"/>
      <c r="G2277" s="197"/>
      <c r="H2277" s="209"/>
      <c r="I2277" s="209"/>
    </row>
    <row r="2278" spans="1:13">
      <c r="A2278" s="195"/>
      <c r="B2278" s="195" t="s">
        <v>205</v>
      </c>
      <c r="C2278"/>
      <c r="D2278" s="197"/>
      <c r="E2278" s="197"/>
      <c r="F2278" s="197"/>
      <c r="G2278" s="197"/>
      <c r="H2278" s="209"/>
      <c r="I2278" s="209"/>
    </row>
    <row r="2279" spans="1:13">
      <c r="A2279" s="195"/>
      <c r="B2279" s="195" t="s">
        <v>206</v>
      </c>
      <c r="C2279"/>
      <c r="D2279" s="197"/>
      <c r="E2279" s="197"/>
      <c r="F2279" s="197"/>
      <c r="G2279" s="197"/>
      <c r="H2279" s="209"/>
      <c r="I2279" s="209"/>
    </row>
    <row r="2280" spans="1:13">
      <c r="A2280" s="195"/>
      <c r="B2280" s="195" t="s">
        <v>207</v>
      </c>
      <c r="C2280"/>
      <c r="D2280" s="197"/>
      <c r="E2280" s="197"/>
      <c r="F2280" s="197"/>
      <c r="G2280" s="197"/>
      <c r="H2280" s="209"/>
      <c r="I2280" s="209"/>
    </row>
    <row r="2281" spans="1:13">
      <c r="A2281" s="195"/>
      <c r="B2281" s="196" t="s">
        <v>227</v>
      </c>
      <c r="C2281"/>
      <c r="D2281" s="197"/>
      <c r="E2281" s="197"/>
      <c r="F2281" s="197"/>
      <c r="G2281" s="197"/>
      <c r="H2281" s="209"/>
      <c r="I2281" s="209"/>
      <c r="K2281"/>
    </row>
    <row r="2282" spans="1:13" ht="29.25" thickBot="1">
      <c r="A2282" s="182" t="str">
        <f>"回収シフト  第"&amp;ROUNDUP(DAY(B2285)/7,0)  &amp;"  "&amp;TEXT(B2285,"aaaa")</f>
        <v>回収シフト  第3  木曜日</v>
      </c>
      <c r="B2282" s="183"/>
      <c r="C2282" s="183"/>
      <c r="D2282" s="183"/>
      <c r="E2282" s="183"/>
      <c r="F2282" s="183"/>
      <c r="G2282" s="184"/>
      <c r="H2282" s="184"/>
      <c r="I2282" s="184"/>
      <c r="K2282" s="183"/>
      <c r="L2282" s="183"/>
      <c r="M2282" s="178"/>
    </row>
    <row r="2283" spans="1:13" ht="15.75" thickBot="1">
      <c r="A2283"/>
      <c r="B2283"/>
      <c r="C2283"/>
      <c r="D2283" s="186" t="s">
        <v>201</v>
      </c>
      <c r="E2283" s="186" t="s">
        <v>202</v>
      </c>
      <c r="F2283" s="186" t="s">
        <v>203</v>
      </c>
      <c r="G2283" s="186" t="s">
        <v>204</v>
      </c>
      <c r="H2283" s="186" t="s">
        <v>267</v>
      </c>
      <c r="I2283" s="217" t="s">
        <v>267</v>
      </c>
      <c r="K2283" s="230" t="s">
        <v>257</v>
      </c>
      <c r="L2283" s="231"/>
      <c r="M2283" s="211"/>
    </row>
    <row r="2284" spans="1:13">
      <c r="A2284" s="187"/>
      <c r="B2284" s="188">
        <v>46119</v>
      </c>
      <c r="C2284" s="187"/>
      <c r="D2284" s="189" t="s">
        <v>859</v>
      </c>
      <c r="E2284" s="189" t="s">
        <v>849</v>
      </c>
      <c r="F2284" s="189" t="s">
        <v>921</v>
      </c>
      <c r="G2284" s="189" t="s">
        <v>857</v>
      </c>
      <c r="H2284" s="189" t="s">
        <v>852</v>
      </c>
      <c r="I2284" s="218" t="s">
        <v>852</v>
      </c>
      <c r="K2284" s="232" t="s">
        <v>258</v>
      </c>
      <c r="L2284" s="190" t="str">
        <f ca="1">_xlfn.XLOOKUP($B2285,シフト抽出!$19:$19,シフト抽出!$20:$20,"該当なし",0,1)</f>
        <v/>
      </c>
      <c r="M2284" s="212"/>
    </row>
    <row r="2285" spans="1:13" ht="19.5" thickBot="1">
      <c r="A2285"/>
      <c r="B2285" s="191">
        <f>B2232+1</f>
        <v>46163</v>
      </c>
      <c r="C2285" s="192"/>
      <c r="D2285" s="193"/>
      <c r="E2285" s="193"/>
      <c r="F2285" s="193"/>
      <c r="G2285" s="193"/>
      <c r="H2285" s="193"/>
      <c r="I2285" s="219"/>
      <c r="K2285" s="233"/>
      <c r="L2285" s="194" t="str">
        <f ca="1">_xlfn.XLOOKUP($B2285,シフト抽出!$19:$19,シフト抽出!$21:$21,"該当なし",0,1)</f>
        <v/>
      </c>
      <c r="M2285" s="212"/>
    </row>
    <row r="2286" spans="1:13">
      <c r="A2286" s="195"/>
      <c r="B2286" s="196">
        <v>0.25</v>
      </c>
      <c r="C2286"/>
      <c r="D2286" s="197"/>
      <c r="E2286" s="196"/>
      <c r="F2286" s="197"/>
      <c r="G2286" s="197"/>
      <c r="H2286" s="197"/>
      <c r="I2286" s="209"/>
      <c r="K2286" s="234" t="s">
        <v>259</v>
      </c>
      <c r="L2286" s="198" t="str">
        <f ca="1">_xlfn.XLOOKUP($B2285,シフト抽出!$19:$19,シフト抽出!$23:$23,"該当なし",0,1)</f>
        <v/>
      </c>
      <c r="M2286" s="212"/>
    </row>
    <row r="2287" spans="1:13" ht="15.75" thickBot="1">
      <c r="A2287" s="195"/>
      <c r="B2287" s="195" t="s">
        <v>205</v>
      </c>
      <c r="C2287"/>
      <c r="D2287" s="197"/>
      <c r="E2287" s="197" t="s">
        <v>941</v>
      </c>
      <c r="F2287" s="197"/>
      <c r="G2287" s="197"/>
      <c r="H2287" s="197"/>
      <c r="I2287" s="209"/>
      <c r="K2287" s="235"/>
      <c r="L2287" s="199" t="str">
        <f ca="1">_xlfn.XLOOKUP($B2285,シフト抽出!$19:$19,シフト抽出!$24:$24,"該当なし",0,1)</f>
        <v/>
      </c>
      <c r="M2287" s="212"/>
    </row>
    <row r="2288" spans="1:13">
      <c r="A2288" s="195"/>
      <c r="B2288" s="195" t="s">
        <v>206</v>
      </c>
      <c r="C2288"/>
      <c r="D2288" s="197"/>
      <c r="E2288" s="197"/>
      <c r="F2288" s="197"/>
      <c r="G2288" s="197"/>
      <c r="H2288" s="197"/>
      <c r="I2288" s="209"/>
      <c r="K2288" s="224" t="s">
        <v>260</v>
      </c>
      <c r="L2288" s="200" t="str">
        <f ca="1">_xlfn.XLOOKUP($B2285,シフト抽出!$19:$19,シフト抽出!$26:$26,"該当なし",0,1)</f>
        <v/>
      </c>
      <c r="M2288" s="212"/>
    </row>
    <row r="2289" spans="1:13">
      <c r="A2289" s="195"/>
      <c r="B2289" s="195" t="s">
        <v>207</v>
      </c>
      <c r="C2289"/>
      <c r="D2289" s="197"/>
      <c r="E2289" s="197"/>
      <c r="F2289" s="197"/>
      <c r="G2289" s="197"/>
      <c r="H2289" s="197"/>
      <c r="I2289" s="209"/>
      <c r="K2289" s="225"/>
      <c r="L2289" s="201" t="str">
        <f ca="1">_xlfn.XLOOKUP($B2285,シフト抽出!$19:$19,シフト抽出!$27:$27,"該当なし",0,1)</f>
        <v/>
      </c>
      <c r="M2289" s="212"/>
    </row>
    <row r="2290" spans="1:13">
      <c r="A2290" s="195"/>
      <c r="B2290" s="202" t="s">
        <v>208</v>
      </c>
      <c r="C2290"/>
      <c r="D2290" s="197" t="s">
        <v>4</v>
      </c>
      <c r="E2290" s="197" t="s">
        <v>4</v>
      </c>
      <c r="F2290" s="197"/>
      <c r="G2290" s="197" t="s">
        <v>4</v>
      </c>
      <c r="H2290" s="197"/>
      <c r="I2290" s="209"/>
      <c r="J2290" s="203"/>
      <c r="K2290" s="225"/>
      <c r="L2290" s="201" t="str">
        <f ca="1">_xlfn.XLOOKUP($B2285,シフト抽出!$19:$19,シフト抽出!$28:$28,"該当なし",0,1)</f>
        <v/>
      </c>
      <c r="M2290" s="212"/>
    </row>
    <row r="2291" spans="1:13" ht="15.75" thickBot="1">
      <c r="A2291" s="195"/>
      <c r="B2291" s="195" t="s">
        <v>205</v>
      </c>
      <c r="C2291"/>
      <c r="D2291" s="197" t="s">
        <v>414</v>
      </c>
      <c r="E2291" s="197" t="s">
        <v>421</v>
      </c>
      <c r="F2291" s="197" t="s">
        <v>851</v>
      </c>
      <c r="G2291" s="197" t="s">
        <v>22</v>
      </c>
      <c r="H2291" s="197"/>
      <c r="I2291" s="209"/>
      <c r="J2291" s="203"/>
      <c r="K2291" s="226"/>
      <c r="L2291" s="204" t="str">
        <f ca="1">_xlfn.XLOOKUP($B2285,シフト抽出!$19:$19,シフト抽出!$29:$29,"該当なし",0,1)</f>
        <v/>
      </c>
      <c r="M2291" s="212"/>
    </row>
    <row r="2292" spans="1:13" ht="15.75" thickBot="1">
      <c r="A2292" s="195"/>
      <c r="B2292" s="195" t="s">
        <v>206</v>
      </c>
      <c r="C2292"/>
      <c r="D2292" s="197" t="s">
        <v>414</v>
      </c>
      <c r="E2292" s="197" t="s">
        <v>421</v>
      </c>
      <c r="F2292" s="197" t="s">
        <v>851</v>
      </c>
      <c r="G2292" s="197" t="s">
        <v>22</v>
      </c>
      <c r="H2292" s="197"/>
      <c r="I2292" s="209"/>
      <c r="K2292" s="205" t="s">
        <v>261</v>
      </c>
      <c r="L2292" s="205">
        <f>_xlfn.XLOOKUP($B2285,予定表!B:B,予定表!R:R,"該当なし",0,1)</f>
        <v>0</v>
      </c>
      <c r="M2292" s="212"/>
    </row>
    <row r="2293" spans="1:13">
      <c r="A2293" s="195"/>
      <c r="B2293" s="195" t="s">
        <v>207</v>
      </c>
      <c r="C2293"/>
      <c r="D2293" s="197" t="s">
        <v>414</v>
      </c>
      <c r="E2293" s="197" t="s">
        <v>421</v>
      </c>
      <c r="F2293" s="197" t="s">
        <v>851</v>
      </c>
      <c r="G2293" s="197" t="s">
        <v>22</v>
      </c>
      <c r="H2293" s="197"/>
      <c r="I2293" s="209"/>
      <c r="K2293" s="227" t="s">
        <v>262</v>
      </c>
      <c r="L2293" s="206">
        <f>_xlfn.XLOOKUP($B2285,予定表!$B:$B,予定表!E:E,"該当なし",0,1)</f>
        <v>0</v>
      </c>
      <c r="M2293" s="212"/>
    </row>
    <row r="2294" spans="1:13">
      <c r="A2294" s="195"/>
      <c r="B2294" s="196" t="s">
        <v>209</v>
      </c>
      <c r="C2294"/>
      <c r="D2294" s="197" t="s">
        <v>414</v>
      </c>
      <c r="E2294" s="197" t="s">
        <v>421</v>
      </c>
      <c r="F2294" s="197" t="s">
        <v>851</v>
      </c>
      <c r="G2294" s="197" t="s">
        <v>268</v>
      </c>
      <c r="H2294" s="197" t="s">
        <v>4</v>
      </c>
      <c r="I2294" s="209" t="s">
        <v>4</v>
      </c>
      <c r="K2294" s="228"/>
      <c r="L2294" s="207" t="str">
        <f>_xlfn.XLOOKUP($B2285,予定表!$B:$B,予定表!F:F,"該当なし",0,1)</f>
        <v>ディーミング</v>
      </c>
      <c r="M2294" s="212"/>
    </row>
    <row r="2295" spans="1:13">
      <c r="A2295" s="195"/>
      <c r="B2295" s="195" t="s">
        <v>205</v>
      </c>
      <c r="C2295"/>
      <c r="D2295" s="197" t="s">
        <v>414</v>
      </c>
      <c r="E2295" s="197" t="s">
        <v>421</v>
      </c>
      <c r="F2295" s="197" t="s">
        <v>851</v>
      </c>
      <c r="G2295" s="197" t="s">
        <v>268</v>
      </c>
      <c r="H2295" s="197" t="s">
        <v>60</v>
      </c>
      <c r="I2295" s="209" t="s">
        <v>60</v>
      </c>
      <c r="K2295" s="228"/>
      <c r="L2295" s="207">
        <f>_xlfn.XLOOKUP($B2285,予定表!$B:$B,予定表!G:G,"該当なし",0,1)</f>
        <v>0</v>
      </c>
      <c r="M2295" s="212"/>
    </row>
    <row r="2296" spans="1:13">
      <c r="A2296" s="195"/>
      <c r="B2296" s="195" t="s">
        <v>206</v>
      </c>
      <c r="C2296"/>
      <c r="D2296" s="197" t="s">
        <v>214</v>
      </c>
      <c r="E2296" s="197" t="s">
        <v>273</v>
      </c>
      <c r="F2296" s="197"/>
      <c r="G2296" s="197" t="s">
        <v>268</v>
      </c>
      <c r="H2296" s="197" t="s">
        <v>60</v>
      </c>
      <c r="I2296" s="209" t="s">
        <v>60</v>
      </c>
      <c r="K2296" s="228"/>
      <c r="L2296" s="207">
        <f>_xlfn.XLOOKUP($B2285,予定表!$B:$B,予定表!H:H,"該当なし",0,1)</f>
        <v>0</v>
      </c>
      <c r="M2296" s="212"/>
    </row>
    <row r="2297" spans="1:13">
      <c r="A2297" s="195"/>
      <c r="B2297" s="195" t="s">
        <v>207</v>
      </c>
      <c r="C2297"/>
      <c r="D2297" s="197" t="s">
        <v>214</v>
      </c>
      <c r="E2297" s="197" t="s">
        <v>273</v>
      </c>
      <c r="F2297" s="197" t="s">
        <v>252</v>
      </c>
      <c r="G2297" s="197" t="s">
        <v>268</v>
      </c>
      <c r="H2297" s="197" t="s">
        <v>60</v>
      </c>
      <c r="I2297" s="209" t="s">
        <v>60</v>
      </c>
      <c r="K2297" s="228"/>
      <c r="L2297" s="207" t="str">
        <f>_xlfn.XLOOKUP($B2285,予定表!$B:$B,予定表!I:I,"該当なし",0,1)</f>
        <v/>
      </c>
      <c r="M2297" s="212"/>
    </row>
    <row r="2298" spans="1:13">
      <c r="A2298" s="195"/>
      <c r="B2298" s="196" t="s">
        <v>212</v>
      </c>
      <c r="C2298"/>
      <c r="D2298" s="197" t="s">
        <v>214</v>
      </c>
      <c r="E2298" s="197" t="s">
        <v>930</v>
      </c>
      <c r="F2298" s="197" t="s">
        <v>252</v>
      </c>
      <c r="G2298" s="197" t="s">
        <v>268</v>
      </c>
      <c r="H2298" s="197"/>
      <c r="I2298" s="209"/>
      <c r="K2298" s="228"/>
      <c r="L2298" s="207" t="str">
        <f>_xlfn.XLOOKUP($B2285,予定表!$B:$B,予定表!J:J,"該当なし",0,1)</f>
        <v/>
      </c>
      <c r="M2298" s="212"/>
    </row>
    <row r="2299" spans="1:13">
      <c r="A2299" s="195"/>
      <c r="B2299" s="195" t="s">
        <v>205</v>
      </c>
      <c r="C2299"/>
      <c r="D2299" s="197" t="s">
        <v>761</v>
      </c>
      <c r="E2299" s="197" t="s">
        <v>228</v>
      </c>
      <c r="F2299" s="197" t="s">
        <v>252</v>
      </c>
      <c r="G2299" s="197" t="s">
        <v>268</v>
      </c>
      <c r="H2299" s="197" t="s">
        <v>230</v>
      </c>
      <c r="I2299" s="209" t="s">
        <v>230</v>
      </c>
      <c r="K2299" s="228"/>
      <c r="L2299" s="207" t="str">
        <f>_xlfn.XLOOKUP($B2285,予定表!$B:$B,予定表!K:K,"該当なし",0,1)</f>
        <v/>
      </c>
      <c r="M2299" s="212"/>
    </row>
    <row r="2300" spans="1:13">
      <c r="A2300" s="195"/>
      <c r="B2300" s="195" t="s">
        <v>206</v>
      </c>
      <c r="C2300"/>
      <c r="D2300" s="197" t="s">
        <v>761</v>
      </c>
      <c r="E2300" s="197" t="s">
        <v>228</v>
      </c>
      <c r="F2300" s="197" t="s">
        <v>252</v>
      </c>
      <c r="G2300" s="197" t="s">
        <v>268</v>
      </c>
      <c r="H2300" s="197" t="s">
        <v>230</v>
      </c>
      <c r="I2300" s="209" t="s">
        <v>230</v>
      </c>
      <c r="K2300" s="228"/>
      <c r="L2300" s="207" t="str">
        <f>_xlfn.XLOOKUP($B2285,予定表!$B:$B,予定表!L:L,"該当なし",0,1)</f>
        <v/>
      </c>
      <c r="M2300" s="212"/>
    </row>
    <row r="2301" spans="1:13" ht="15.75" thickBot="1">
      <c r="A2301" s="195"/>
      <c r="B2301" s="195" t="s">
        <v>207</v>
      </c>
      <c r="C2301"/>
      <c r="D2301" s="197" t="s">
        <v>761</v>
      </c>
      <c r="E2301" s="197" t="s">
        <v>228</v>
      </c>
      <c r="F2301" s="197" t="s">
        <v>252</v>
      </c>
      <c r="G2301" s="197" t="s">
        <v>268</v>
      </c>
      <c r="H2301" s="197" t="s">
        <v>230</v>
      </c>
      <c r="I2301" s="209" t="s">
        <v>230</v>
      </c>
      <c r="K2301" s="229"/>
      <c r="L2301" s="204" t="str">
        <f>_xlfn.XLOOKUP($A2282,ﾘｽﾄマスタ!$U$8:$U$17,ﾘｽﾄマスタ!$V$8:$V$17,"",0)</f>
        <v>宇都宮螺子</v>
      </c>
      <c r="M2301" s="212"/>
    </row>
    <row r="2302" spans="1:13" ht="15.75" thickBot="1">
      <c r="A2302" s="195"/>
      <c r="B2302" s="196" t="s">
        <v>251</v>
      </c>
      <c r="C2302"/>
      <c r="D2302" s="197" t="s">
        <v>416</v>
      </c>
      <c r="E2302" s="197" t="s">
        <v>228</v>
      </c>
      <c r="F2302" s="197" t="s">
        <v>252</v>
      </c>
      <c r="G2302" s="197" t="s">
        <v>268</v>
      </c>
      <c r="H2302" s="197" t="s">
        <v>229</v>
      </c>
      <c r="I2302" s="209" t="s">
        <v>229</v>
      </c>
      <c r="K2302" s="208" t="s">
        <v>277</v>
      </c>
      <c r="L2302" s="208" t="str">
        <f ca="1">_xlfn.XLOOKUP($B2285,シフト抽出!$19:$19,シフト抽出!$30:$30,"該当なし",0,1)</f>
        <v/>
      </c>
      <c r="M2302" s="212"/>
    </row>
    <row r="2303" spans="1:13">
      <c r="A2303" s="195"/>
      <c r="B2303" s="195" t="s">
        <v>205</v>
      </c>
      <c r="C2303"/>
      <c r="D2303" s="197" t="s">
        <v>901</v>
      </c>
      <c r="E2303" s="197" t="s">
        <v>228</v>
      </c>
      <c r="F2303" s="197" t="s">
        <v>252</v>
      </c>
      <c r="G2303" s="197" t="s">
        <v>169</v>
      </c>
      <c r="H2303" s="197" t="s">
        <v>229</v>
      </c>
      <c r="I2303" s="209" t="s">
        <v>229</v>
      </c>
      <c r="M2303" s="212"/>
    </row>
    <row r="2304" spans="1:13">
      <c r="A2304" s="195"/>
      <c r="B2304" s="195" t="s">
        <v>206</v>
      </c>
      <c r="C2304"/>
      <c r="D2304" s="197" t="s">
        <v>253</v>
      </c>
      <c r="E2304" s="197" t="s">
        <v>263</v>
      </c>
      <c r="F2304" s="197" t="s">
        <v>252</v>
      </c>
      <c r="G2304" s="197" t="s">
        <v>169</v>
      </c>
      <c r="H2304" s="197" t="s">
        <v>848</v>
      </c>
      <c r="I2304" s="209" t="s">
        <v>848</v>
      </c>
      <c r="M2304" s="212"/>
    </row>
    <row r="2305" spans="1:13">
      <c r="A2305" s="195"/>
      <c r="B2305" s="195" t="s">
        <v>207</v>
      </c>
      <c r="C2305"/>
      <c r="D2305" s="197" t="s">
        <v>253</v>
      </c>
      <c r="E2305" s="197" t="s">
        <v>263</v>
      </c>
      <c r="F2305" s="197" t="s">
        <v>252</v>
      </c>
      <c r="G2305" s="197" t="s">
        <v>169</v>
      </c>
      <c r="H2305" s="197" t="s">
        <v>848</v>
      </c>
      <c r="I2305" s="209" t="s">
        <v>848</v>
      </c>
      <c r="M2305" s="212"/>
    </row>
    <row r="2306" spans="1:13">
      <c r="A2306" s="195"/>
      <c r="B2306" s="196" t="s">
        <v>217</v>
      </c>
      <c r="C2306"/>
      <c r="D2306" s="197" t="s">
        <v>51</v>
      </c>
      <c r="E2306" s="197" t="s">
        <v>263</v>
      </c>
      <c r="F2306" s="197" t="s">
        <v>252</v>
      </c>
      <c r="G2306" s="197" t="s">
        <v>169</v>
      </c>
      <c r="H2306" s="197" t="s">
        <v>848</v>
      </c>
      <c r="I2306" s="209" t="s">
        <v>848</v>
      </c>
      <c r="M2306" s="212"/>
    </row>
    <row r="2307" spans="1:13">
      <c r="A2307" s="195"/>
      <c r="B2307" s="195" t="s">
        <v>205</v>
      </c>
      <c r="C2307"/>
      <c r="D2307" s="197" t="s">
        <v>51</v>
      </c>
      <c r="E2307" s="197" t="s">
        <v>848</v>
      </c>
      <c r="F2307" s="197" t="s">
        <v>252</v>
      </c>
      <c r="G2307" s="197" t="s">
        <v>169</v>
      </c>
      <c r="H2307" s="197" t="s">
        <v>848</v>
      </c>
      <c r="I2307" s="209" t="s">
        <v>848</v>
      </c>
      <c r="M2307" s="212"/>
    </row>
    <row r="2308" spans="1:13">
      <c r="A2308" s="195"/>
      <c r="B2308" s="195" t="s">
        <v>206</v>
      </c>
      <c r="C2308"/>
      <c r="D2308" s="197" t="s">
        <v>51</v>
      </c>
      <c r="E2308" s="197" t="s">
        <v>848</v>
      </c>
      <c r="F2308" s="197" t="s">
        <v>252</v>
      </c>
      <c r="G2308" s="197" t="s">
        <v>278</v>
      </c>
      <c r="H2308" s="197" t="s">
        <v>848</v>
      </c>
      <c r="I2308" s="209" t="s">
        <v>848</v>
      </c>
      <c r="M2308" s="212"/>
    </row>
    <row r="2309" spans="1:13">
      <c r="A2309" s="195"/>
      <c r="B2309" s="195" t="s">
        <v>207</v>
      </c>
      <c r="C2309"/>
      <c r="D2309" s="197" t="s">
        <v>51</v>
      </c>
      <c r="E2309" s="197" t="s">
        <v>848</v>
      </c>
      <c r="F2309" s="197"/>
      <c r="G2309" s="197" t="s">
        <v>278</v>
      </c>
      <c r="H2309" s="197" t="s">
        <v>848</v>
      </c>
      <c r="I2309" s="209" t="s">
        <v>848</v>
      </c>
      <c r="M2309" s="212"/>
    </row>
    <row r="2310" spans="1:13">
      <c r="A2310" s="195"/>
      <c r="B2310" s="196" t="s">
        <v>219</v>
      </c>
      <c r="C2310"/>
      <c r="D2310" s="197"/>
      <c r="E2310" s="197" t="s">
        <v>848</v>
      </c>
      <c r="F2310" s="197"/>
      <c r="G2310" s="197"/>
      <c r="H2310" s="197"/>
      <c r="I2310" s="209"/>
      <c r="M2310" s="212"/>
    </row>
    <row r="2311" spans="1:13">
      <c r="A2311" s="195"/>
      <c r="B2311" s="195" t="s">
        <v>205</v>
      </c>
      <c r="C2311"/>
      <c r="D2311" s="197"/>
      <c r="E2311" s="197" t="s">
        <v>848</v>
      </c>
      <c r="F2311" s="197"/>
      <c r="G2311" s="197"/>
      <c r="H2311" s="197"/>
      <c r="I2311" s="209"/>
      <c r="M2311" s="212"/>
    </row>
    <row r="2312" spans="1:13">
      <c r="A2312" s="195"/>
      <c r="B2312" s="195" t="s">
        <v>206</v>
      </c>
      <c r="C2312"/>
      <c r="D2312" s="197"/>
      <c r="E2312" s="197"/>
      <c r="F2312" s="197"/>
      <c r="G2312" s="197"/>
      <c r="H2312" s="197"/>
      <c r="I2312" s="209"/>
      <c r="M2312" s="212"/>
    </row>
    <row r="2313" spans="1:13">
      <c r="A2313" s="195"/>
      <c r="B2313" s="195" t="s">
        <v>207</v>
      </c>
      <c r="C2313"/>
      <c r="D2313" s="197"/>
      <c r="E2313" s="197"/>
      <c r="F2313" s="197"/>
      <c r="G2313" s="197"/>
      <c r="H2313" s="197"/>
      <c r="I2313" s="209"/>
      <c r="M2313" s="212"/>
    </row>
    <row r="2314" spans="1:13">
      <c r="A2314" s="195"/>
      <c r="B2314" s="196" t="s">
        <v>220</v>
      </c>
      <c r="C2314"/>
      <c r="D2314" s="197"/>
      <c r="E2314" s="197"/>
      <c r="F2314" s="189" t="s">
        <v>942</v>
      </c>
      <c r="G2314" s="189" t="s">
        <v>891</v>
      </c>
      <c r="H2314" s="197"/>
      <c r="I2314" s="209"/>
      <c r="M2314" s="212"/>
    </row>
    <row r="2315" spans="1:13">
      <c r="A2315" s="195"/>
      <c r="B2315" s="195" t="s">
        <v>205</v>
      </c>
      <c r="C2315"/>
      <c r="D2315" s="197" t="s">
        <v>114</v>
      </c>
      <c r="E2315" s="197" t="s">
        <v>160</v>
      </c>
      <c r="F2315" s="197" t="s">
        <v>252</v>
      </c>
      <c r="G2315" s="197" t="s">
        <v>56</v>
      </c>
      <c r="H2315" s="197" t="s">
        <v>415</v>
      </c>
      <c r="I2315" s="209" t="s">
        <v>415</v>
      </c>
      <c r="M2315" s="212"/>
    </row>
    <row r="2316" spans="1:13">
      <c r="A2316" s="195"/>
      <c r="B2316" s="195" t="s">
        <v>206</v>
      </c>
      <c r="C2316"/>
      <c r="D2316" s="197" t="s">
        <v>114</v>
      </c>
      <c r="E2316" s="197" t="s">
        <v>160</v>
      </c>
      <c r="F2316" s="197" t="s">
        <v>252</v>
      </c>
      <c r="G2316" s="197" t="s">
        <v>56</v>
      </c>
      <c r="H2316" s="197" t="s">
        <v>415</v>
      </c>
      <c r="I2316" s="209" t="s">
        <v>415</v>
      </c>
      <c r="M2316" s="212"/>
    </row>
    <row r="2317" spans="1:13">
      <c r="A2317" s="195"/>
      <c r="B2317" s="195" t="s">
        <v>207</v>
      </c>
      <c r="C2317"/>
      <c r="D2317" s="197" t="s">
        <v>129</v>
      </c>
      <c r="E2317" s="197" t="s">
        <v>95</v>
      </c>
      <c r="F2317" s="197" t="s">
        <v>252</v>
      </c>
      <c r="G2317" s="197" t="s">
        <v>56</v>
      </c>
      <c r="H2317" s="197" t="s">
        <v>415</v>
      </c>
      <c r="I2317" s="209" t="s">
        <v>415</v>
      </c>
      <c r="M2317" s="212"/>
    </row>
    <row r="2318" spans="1:13">
      <c r="A2318" s="195"/>
      <c r="B2318" s="196" t="s">
        <v>222</v>
      </c>
      <c r="C2318"/>
      <c r="D2318" s="197" t="s">
        <v>129</v>
      </c>
      <c r="E2318" s="197" t="s">
        <v>95</v>
      </c>
      <c r="F2318" s="197" t="s">
        <v>252</v>
      </c>
      <c r="G2318" s="197" t="s">
        <v>56</v>
      </c>
      <c r="H2318" s="197" t="s">
        <v>415</v>
      </c>
      <c r="I2318" s="209" t="s">
        <v>415</v>
      </c>
      <c r="M2318" s="212"/>
    </row>
    <row r="2319" spans="1:13">
      <c r="A2319" s="195"/>
      <c r="B2319" s="195" t="s">
        <v>205</v>
      </c>
      <c r="C2319"/>
      <c r="D2319" s="197" t="s">
        <v>129</v>
      </c>
      <c r="E2319" s="197" t="s">
        <v>95</v>
      </c>
      <c r="F2319" s="197" t="s">
        <v>395</v>
      </c>
      <c r="G2319" s="197"/>
      <c r="H2319" s="197" t="s">
        <v>415</v>
      </c>
      <c r="I2319" s="209" t="s">
        <v>415</v>
      </c>
      <c r="M2319" s="212"/>
    </row>
    <row r="2320" spans="1:13">
      <c r="A2320" s="195"/>
      <c r="B2320" s="195" t="s">
        <v>206</v>
      </c>
      <c r="C2320"/>
      <c r="D2320" s="197"/>
      <c r="E2320" s="197" t="s">
        <v>95</v>
      </c>
      <c r="F2320" s="197" t="s">
        <v>395</v>
      </c>
      <c r="G2320" s="197" t="s">
        <v>270</v>
      </c>
      <c r="H2320" s="197" t="s">
        <v>415</v>
      </c>
      <c r="I2320" s="209" t="s">
        <v>415</v>
      </c>
      <c r="M2320" s="212"/>
    </row>
    <row r="2321" spans="1:13">
      <c r="A2321" s="195"/>
      <c r="B2321" s="195" t="s">
        <v>207</v>
      </c>
      <c r="C2321"/>
      <c r="D2321" s="197" t="s">
        <v>515</v>
      </c>
      <c r="E2321" s="197" t="s">
        <v>95</v>
      </c>
      <c r="F2321" s="197" t="s">
        <v>395</v>
      </c>
      <c r="G2321" s="197" t="s">
        <v>270</v>
      </c>
      <c r="H2321" s="197" t="s">
        <v>415</v>
      </c>
      <c r="I2321" s="209" t="s">
        <v>415</v>
      </c>
      <c r="M2321" s="212"/>
    </row>
    <row r="2322" spans="1:13">
      <c r="A2322" s="195"/>
      <c r="B2322" s="196" t="s">
        <v>223</v>
      </c>
      <c r="C2322"/>
      <c r="D2322" s="197" t="s">
        <v>515</v>
      </c>
      <c r="E2322" s="197" t="s">
        <v>95</v>
      </c>
      <c r="F2322" s="197" t="s">
        <v>395</v>
      </c>
      <c r="G2322" s="197" t="s">
        <v>270</v>
      </c>
      <c r="H2322" s="197" t="s">
        <v>415</v>
      </c>
      <c r="I2322" s="209" t="s">
        <v>415</v>
      </c>
      <c r="M2322" s="212"/>
    </row>
    <row r="2323" spans="1:13">
      <c r="A2323" s="195"/>
      <c r="B2323" s="195" t="s">
        <v>205</v>
      </c>
      <c r="C2323"/>
      <c r="D2323" s="197" t="s">
        <v>515</v>
      </c>
      <c r="E2323" s="197" t="s">
        <v>95</v>
      </c>
      <c r="F2323" s="197" t="s">
        <v>395</v>
      </c>
      <c r="G2323" s="197" t="s">
        <v>270</v>
      </c>
      <c r="H2323" s="197" t="s">
        <v>415</v>
      </c>
      <c r="I2323" s="209" t="s">
        <v>415</v>
      </c>
      <c r="M2323" s="212"/>
    </row>
    <row r="2324" spans="1:13">
      <c r="A2324" s="195"/>
      <c r="B2324" s="195" t="s">
        <v>206</v>
      </c>
      <c r="C2324"/>
      <c r="D2324" s="197" t="s">
        <v>269</v>
      </c>
      <c r="E2324" s="197" t="s">
        <v>95</v>
      </c>
      <c r="F2324" s="197" t="s">
        <v>395</v>
      </c>
      <c r="G2324" s="197" t="s">
        <v>270</v>
      </c>
      <c r="H2324" s="197" t="s">
        <v>415</v>
      </c>
      <c r="I2324" s="209" t="s">
        <v>415</v>
      </c>
      <c r="M2324" s="212"/>
    </row>
    <row r="2325" spans="1:13">
      <c r="A2325" s="195"/>
      <c r="B2325" s="195" t="s">
        <v>207</v>
      </c>
      <c r="C2325"/>
      <c r="D2325" s="197" t="s">
        <v>269</v>
      </c>
      <c r="E2325" s="197" t="s">
        <v>95</v>
      </c>
      <c r="F2325" s="197" t="s">
        <v>395</v>
      </c>
      <c r="G2325" s="197" t="s">
        <v>270</v>
      </c>
      <c r="H2325" s="197" t="s">
        <v>415</v>
      </c>
      <c r="I2325" s="209" t="s">
        <v>415</v>
      </c>
      <c r="M2325" s="212"/>
    </row>
    <row r="2326" spans="1:13">
      <c r="A2326" s="195"/>
      <c r="B2326" s="196" t="s">
        <v>225</v>
      </c>
      <c r="C2326"/>
      <c r="D2326" s="197" t="s">
        <v>269</v>
      </c>
      <c r="E2326" s="197" t="s">
        <v>95</v>
      </c>
      <c r="F2326" s="197" t="s">
        <v>395</v>
      </c>
      <c r="G2326" s="197" t="s">
        <v>270</v>
      </c>
      <c r="H2326" s="197" t="s">
        <v>415</v>
      </c>
      <c r="I2326" s="209" t="s">
        <v>415</v>
      </c>
      <c r="M2326" s="212"/>
    </row>
    <row r="2327" spans="1:13">
      <c r="A2327" s="195"/>
      <c r="B2327" s="195" t="s">
        <v>205</v>
      </c>
      <c r="C2327"/>
      <c r="D2327" s="197" t="s">
        <v>237</v>
      </c>
      <c r="E2327" s="197" t="s">
        <v>95</v>
      </c>
      <c r="F2327" s="197" t="s">
        <v>395</v>
      </c>
      <c r="G2327" s="197" t="s">
        <v>270</v>
      </c>
      <c r="H2327" s="197" t="s">
        <v>415</v>
      </c>
      <c r="I2327" s="209" t="s">
        <v>415</v>
      </c>
      <c r="M2327" s="212"/>
    </row>
    <row r="2328" spans="1:13">
      <c r="A2328" s="195"/>
      <c r="B2328" s="195" t="s">
        <v>206</v>
      </c>
      <c r="C2328"/>
      <c r="D2328" s="197" t="s">
        <v>236</v>
      </c>
      <c r="E2328" s="197"/>
      <c r="F2328" s="197"/>
      <c r="G2328" s="197" t="s">
        <v>270</v>
      </c>
      <c r="H2328" s="197" t="s">
        <v>415</v>
      </c>
      <c r="I2328" s="209" t="s">
        <v>415</v>
      </c>
      <c r="M2328" s="212"/>
    </row>
    <row r="2329" spans="1:13">
      <c r="A2329" s="195"/>
      <c r="B2329" s="195" t="s">
        <v>207</v>
      </c>
      <c r="C2329"/>
      <c r="D2329" s="197" t="s">
        <v>193</v>
      </c>
      <c r="E2329" s="197"/>
      <c r="F2329" s="197"/>
      <c r="G2329" s="197" t="s">
        <v>270</v>
      </c>
      <c r="H2329" s="197" t="s">
        <v>415</v>
      </c>
      <c r="I2329" s="209" t="s">
        <v>415</v>
      </c>
      <c r="M2329" s="212"/>
    </row>
    <row r="2330" spans="1:13">
      <c r="A2330" s="195"/>
      <c r="B2330" s="196" t="s">
        <v>226</v>
      </c>
      <c r="C2330"/>
      <c r="D2330" s="197"/>
      <c r="E2330" s="197"/>
      <c r="F2330" s="197"/>
      <c r="G2330" s="197"/>
      <c r="H2330" s="209"/>
      <c r="I2330" s="209"/>
      <c r="M2330" s="212"/>
    </row>
    <row r="2331" spans="1:13">
      <c r="A2331" s="195"/>
      <c r="B2331" s="195" t="s">
        <v>205</v>
      </c>
      <c r="C2331"/>
      <c r="D2331" s="197"/>
      <c r="E2331" s="197"/>
      <c r="F2331" s="197"/>
      <c r="G2331" s="197"/>
      <c r="H2331" s="209"/>
      <c r="I2331" s="209"/>
      <c r="M2331" s="212"/>
    </row>
    <row r="2332" spans="1:13">
      <c r="A2332" s="195"/>
      <c r="B2332" s="195" t="s">
        <v>206</v>
      </c>
      <c r="C2332"/>
      <c r="D2332" s="197"/>
      <c r="E2332" s="197"/>
      <c r="F2332" s="197"/>
      <c r="G2332" s="197"/>
      <c r="H2332" s="209"/>
      <c r="I2332" s="209"/>
      <c r="M2332" s="212"/>
    </row>
    <row r="2333" spans="1:13">
      <c r="A2333" s="195"/>
      <c r="B2333" s="195" t="s">
        <v>207</v>
      </c>
      <c r="C2333"/>
      <c r="D2333" s="197"/>
      <c r="E2333" s="197"/>
      <c r="F2333" s="197"/>
      <c r="G2333" s="197"/>
      <c r="H2333" s="209"/>
      <c r="I2333" s="209"/>
    </row>
    <row r="2334" spans="1:13">
      <c r="A2334" s="195"/>
      <c r="B2334" s="196" t="s">
        <v>227</v>
      </c>
      <c r="C2334"/>
      <c r="D2334" s="197"/>
      <c r="E2334" s="197"/>
      <c r="F2334" s="197"/>
      <c r="G2334" s="197"/>
      <c r="H2334" s="209"/>
      <c r="I2334" s="209"/>
      <c r="K2334"/>
    </row>
    <row r="2335" spans="1:13" ht="29.25" thickBot="1">
      <c r="A2335" s="182" t="str">
        <f>"回収シフト  第"&amp;ROUNDUP(DAY(B2338)/7,0)  &amp;"  "&amp;TEXT(B2338,"aaaa")</f>
        <v>回収シフト  第4  金曜日</v>
      </c>
      <c r="B2335" s="183"/>
      <c r="C2335" s="183"/>
      <c r="D2335" s="183"/>
      <c r="E2335" s="183"/>
      <c r="F2335" s="183"/>
      <c r="G2335" s="184"/>
      <c r="H2335" s="184"/>
      <c r="I2335" s="184"/>
      <c r="K2335" s="183"/>
      <c r="L2335" s="183"/>
    </row>
    <row r="2336" spans="1:13" ht="15.75" thickBot="1">
      <c r="A2336"/>
      <c r="B2336"/>
      <c r="C2336"/>
      <c r="D2336" s="186" t="s">
        <v>201</v>
      </c>
      <c r="E2336" s="186" t="s">
        <v>202</v>
      </c>
      <c r="F2336" s="186" t="s">
        <v>203</v>
      </c>
      <c r="G2336" s="186" t="s">
        <v>204</v>
      </c>
      <c r="H2336" s="186" t="s">
        <v>267</v>
      </c>
      <c r="I2336" s="217" t="s">
        <v>267</v>
      </c>
      <c r="K2336" s="230" t="s">
        <v>257</v>
      </c>
      <c r="L2336" s="231"/>
      <c r="M2336" s="212"/>
    </row>
    <row r="2337" spans="1:13">
      <c r="A2337" s="187"/>
      <c r="B2337" s="188">
        <v>46119</v>
      </c>
      <c r="C2337" s="187"/>
      <c r="D2337" s="189" t="s">
        <v>859</v>
      </c>
      <c r="E2337" s="189" t="s">
        <v>849</v>
      </c>
      <c r="F2337" s="189" t="s">
        <v>921</v>
      </c>
      <c r="G2337" s="189" t="s">
        <v>857</v>
      </c>
      <c r="H2337" s="189" t="s">
        <v>852</v>
      </c>
      <c r="I2337" s="218" t="s">
        <v>852</v>
      </c>
      <c r="K2337" s="232" t="s">
        <v>258</v>
      </c>
      <c r="L2337" s="190" t="str">
        <f ca="1">_xlfn.XLOOKUP($B2338,シフト抽出!$19:$19,シフト抽出!$20:$20,"該当なし",0,1)</f>
        <v/>
      </c>
      <c r="M2337" s="212"/>
    </row>
    <row r="2338" spans="1:13" ht="19.5" thickBot="1">
      <c r="A2338"/>
      <c r="B2338" s="191">
        <f>B2285+1</f>
        <v>46164</v>
      </c>
      <c r="C2338" s="192"/>
      <c r="D2338" s="193"/>
      <c r="E2338" s="193"/>
      <c r="F2338" s="193"/>
      <c r="G2338" s="193"/>
      <c r="H2338" s="193"/>
      <c r="I2338" s="219"/>
      <c r="K2338" s="233"/>
      <c r="L2338" s="194" t="str">
        <f ca="1">_xlfn.XLOOKUP($B2338,シフト抽出!$19:$19,シフト抽出!$21:$21,"該当なし",0,1)</f>
        <v/>
      </c>
      <c r="M2338" s="212"/>
    </row>
    <row r="2339" spans="1:13">
      <c r="A2339" s="195"/>
      <c r="B2339" s="196">
        <v>0.25</v>
      </c>
      <c r="C2339"/>
      <c r="D2339" s="197"/>
      <c r="E2339" s="196"/>
      <c r="F2339" s="197"/>
      <c r="G2339" s="197"/>
      <c r="H2339" s="197"/>
      <c r="I2339" s="209"/>
      <c r="K2339" s="234" t="s">
        <v>259</v>
      </c>
      <c r="L2339" s="198" t="str">
        <f ca="1">_xlfn.XLOOKUP($B2338,シフト抽出!$19:$19,シフト抽出!$23:$23,"該当なし",0,1)</f>
        <v/>
      </c>
      <c r="M2339" s="212"/>
    </row>
    <row r="2340" spans="1:13" ht="15.75" thickBot="1">
      <c r="A2340" s="195"/>
      <c r="B2340" s="195" t="s">
        <v>205</v>
      </c>
      <c r="C2340"/>
      <c r="D2340" s="197"/>
      <c r="E2340" s="197" t="s">
        <v>115</v>
      </c>
      <c r="F2340" s="197"/>
      <c r="G2340" s="197"/>
      <c r="H2340" s="197"/>
      <c r="I2340" s="209"/>
      <c r="K2340" s="235"/>
      <c r="L2340" s="199" t="str">
        <f ca="1">_xlfn.XLOOKUP($B2338,シフト抽出!$19:$19,シフト抽出!$24:$24,"該当なし",0,1)</f>
        <v/>
      </c>
      <c r="M2340" s="212"/>
    </row>
    <row r="2341" spans="1:13">
      <c r="A2341" s="195"/>
      <c r="B2341" s="195" t="s">
        <v>206</v>
      </c>
      <c r="C2341"/>
      <c r="D2341" s="197" t="s">
        <v>238</v>
      </c>
      <c r="E2341" s="197" t="s">
        <v>807</v>
      </c>
      <c r="F2341" s="197"/>
      <c r="G2341" s="197"/>
      <c r="H2341" s="197"/>
      <c r="I2341" s="209"/>
      <c r="K2341" s="224" t="s">
        <v>260</v>
      </c>
      <c r="L2341" s="200" t="str">
        <f ca="1">_xlfn.XLOOKUP($B2338,シフト抽出!$19:$19,シフト抽出!$26:$26,"該当なし",0,1)</f>
        <v/>
      </c>
      <c r="M2341" s="212"/>
    </row>
    <row r="2342" spans="1:13">
      <c r="A2342" s="195"/>
      <c r="B2342" s="195" t="s">
        <v>207</v>
      </c>
      <c r="C2342"/>
      <c r="D2342" s="197" t="s">
        <v>238</v>
      </c>
      <c r="E2342" s="197"/>
      <c r="F2342" s="197"/>
      <c r="G2342" s="197"/>
      <c r="H2342" s="197"/>
      <c r="I2342" s="209"/>
      <c r="K2342" s="225"/>
      <c r="L2342" s="201" t="str">
        <f ca="1">_xlfn.XLOOKUP($B2338,シフト抽出!$19:$19,シフト抽出!$27:$27,"該当なし",0,1)</f>
        <v/>
      </c>
      <c r="M2342" s="212"/>
    </row>
    <row r="2343" spans="1:13">
      <c r="A2343" s="195"/>
      <c r="B2343" s="202" t="s">
        <v>208</v>
      </c>
      <c r="C2343"/>
      <c r="D2343" s="197" t="s">
        <v>238</v>
      </c>
      <c r="E2343" s="197" t="s">
        <v>420</v>
      </c>
      <c r="F2343" s="197" t="s">
        <v>851</v>
      </c>
      <c r="G2343" s="197" t="s">
        <v>22</v>
      </c>
      <c r="H2343" s="197"/>
      <c r="I2343" s="209"/>
      <c r="J2343" s="203"/>
      <c r="K2343" s="225"/>
      <c r="L2343" s="201" t="str">
        <f ca="1">_xlfn.XLOOKUP($B2338,シフト抽出!$19:$19,シフト抽出!$28:$28,"該当なし",0,1)</f>
        <v/>
      </c>
      <c r="M2343" s="212"/>
    </row>
    <row r="2344" spans="1:13" ht="15.75" thickBot="1">
      <c r="A2344" s="195"/>
      <c r="B2344" s="195" t="s">
        <v>205</v>
      </c>
      <c r="C2344"/>
      <c r="D2344" s="197" t="s">
        <v>238</v>
      </c>
      <c r="E2344" s="197" t="s">
        <v>420</v>
      </c>
      <c r="F2344" s="197" t="s">
        <v>851</v>
      </c>
      <c r="G2344" s="197" t="s">
        <v>22</v>
      </c>
      <c r="H2344" s="197"/>
      <c r="I2344" s="209"/>
      <c r="J2344" s="203"/>
      <c r="K2344" s="226"/>
      <c r="L2344" s="204" t="str">
        <f ca="1">_xlfn.XLOOKUP($B2338,シフト抽出!$19:$19,シフト抽出!$29:$29,"該当なし",0,1)</f>
        <v/>
      </c>
      <c r="M2344" s="212"/>
    </row>
    <row r="2345" spans="1:13" ht="15.75" thickBot="1">
      <c r="A2345" s="195"/>
      <c r="B2345" s="195" t="s">
        <v>206</v>
      </c>
      <c r="C2345"/>
      <c r="D2345" s="197" t="s">
        <v>238</v>
      </c>
      <c r="E2345" s="197" t="s">
        <v>420</v>
      </c>
      <c r="F2345" s="197" t="s">
        <v>851</v>
      </c>
      <c r="G2345" s="197" t="s">
        <v>793</v>
      </c>
      <c r="H2345" s="197"/>
      <c r="I2345" s="209"/>
      <c r="K2345" s="205" t="s">
        <v>261</v>
      </c>
      <c r="L2345" s="205">
        <f>_xlfn.XLOOKUP($B2338,予定表!B:B,予定表!R:R,"該当なし",0,1)</f>
        <v>0</v>
      </c>
      <c r="M2345" s="212"/>
    </row>
    <row r="2346" spans="1:13">
      <c r="A2346" s="195"/>
      <c r="B2346" s="195" t="s">
        <v>207</v>
      </c>
      <c r="C2346"/>
      <c r="D2346" s="197" t="s">
        <v>238</v>
      </c>
      <c r="E2346" s="197" t="s">
        <v>420</v>
      </c>
      <c r="F2346" s="197" t="s">
        <v>851</v>
      </c>
      <c r="G2346" s="197" t="s">
        <v>793</v>
      </c>
      <c r="H2346" s="197"/>
      <c r="I2346" s="209"/>
      <c r="K2346" s="227" t="s">
        <v>262</v>
      </c>
      <c r="L2346" s="206" t="str">
        <f>_xlfn.XLOOKUP($B2338,予定表!$B:$B,予定表!E:E,"該当なし",0,1)</f>
        <v>IWD海老名中央</v>
      </c>
      <c r="M2346" s="212"/>
    </row>
    <row r="2347" spans="1:13">
      <c r="A2347" s="195"/>
      <c r="B2347" s="196" t="s">
        <v>209</v>
      </c>
      <c r="C2347"/>
      <c r="D2347" s="197"/>
      <c r="E2347" s="197" t="s">
        <v>420</v>
      </c>
      <c r="F2347" s="197" t="s">
        <v>851</v>
      </c>
      <c r="G2347" s="197" t="s">
        <v>268</v>
      </c>
      <c r="H2347" s="197" t="s">
        <v>4</v>
      </c>
      <c r="I2347" s="209" t="s">
        <v>4</v>
      </c>
      <c r="K2347" s="228"/>
      <c r="L2347" s="207">
        <f>_xlfn.XLOOKUP($B2338,予定表!$B:$B,予定表!F:F,"該当なし",0,1)</f>
        <v>0</v>
      </c>
      <c r="M2347" s="212"/>
    </row>
    <row r="2348" spans="1:13">
      <c r="A2348" s="195"/>
      <c r="B2348" s="195" t="s">
        <v>205</v>
      </c>
      <c r="C2348"/>
      <c r="D2348" s="197" t="s">
        <v>264</v>
      </c>
      <c r="E2348" s="197" t="s">
        <v>420</v>
      </c>
      <c r="F2348" s="197" t="s">
        <v>851</v>
      </c>
      <c r="G2348" s="197" t="s">
        <v>268</v>
      </c>
      <c r="H2348" s="197" t="s">
        <v>60</v>
      </c>
      <c r="I2348" s="209" t="s">
        <v>60</v>
      </c>
      <c r="K2348" s="228"/>
      <c r="L2348" s="207">
        <f>_xlfn.XLOOKUP($B2338,予定表!$B:$B,予定表!G:G,"該当なし",0,1)</f>
        <v>0</v>
      </c>
      <c r="M2348" s="212"/>
    </row>
    <row r="2349" spans="1:13">
      <c r="A2349" s="195"/>
      <c r="B2349" s="195" t="s">
        <v>206</v>
      </c>
      <c r="C2349"/>
      <c r="D2349" s="197" t="s">
        <v>239</v>
      </c>
      <c r="E2349" s="197" t="s">
        <v>414</v>
      </c>
      <c r="F2349" s="197" t="s">
        <v>62</v>
      </c>
      <c r="G2349" s="197" t="s">
        <v>268</v>
      </c>
      <c r="H2349" s="197" t="s">
        <v>60</v>
      </c>
      <c r="I2349" s="209" t="s">
        <v>60</v>
      </c>
      <c r="K2349" s="228"/>
      <c r="L2349" s="207" t="str">
        <f>_xlfn.XLOOKUP($B2338,予定表!$B:$B,予定表!H:H,"該当なし",0,1)</f>
        <v>資さんうどん</v>
      </c>
      <c r="M2349" s="212"/>
    </row>
    <row r="2350" spans="1:13">
      <c r="A2350" s="195"/>
      <c r="B2350" s="195" t="s">
        <v>207</v>
      </c>
      <c r="C2350"/>
      <c r="D2350" s="197" t="s">
        <v>239</v>
      </c>
      <c r="E2350" s="197" t="s">
        <v>414</v>
      </c>
      <c r="F2350" s="197" t="s">
        <v>62</v>
      </c>
      <c r="G2350" s="197" t="s">
        <v>268</v>
      </c>
      <c r="H2350" s="197" t="s">
        <v>60</v>
      </c>
      <c r="I2350" s="209" t="s">
        <v>60</v>
      </c>
      <c r="K2350" s="228"/>
      <c r="L2350" s="207" t="str">
        <f>_xlfn.XLOOKUP($B2338,予定表!$B:$B,予定表!I:I,"該当なし",0,1)</f>
        <v/>
      </c>
      <c r="M2350" s="212"/>
    </row>
    <row r="2351" spans="1:13">
      <c r="A2351" s="195"/>
      <c r="B2351" s="196" t="s">
        <v>212</v>
      </c>
      <c r="C2351"/>
      <c r="D2351" s="197" t="s">
        <v>240</v>
      </c>
      <c r="E2351" s="197" t="s">
        <v>414</v>
      </c>
      <c r="F2351" s="197" t="s">
        <v>62</v>
      </c>
      <c r="G2351" s="197" t="s">
        <v>268</v>
      </c>
      <c r="H2351" s="197"/>
      <c r="I2351" s="209"/>
      <c r="K2351" s="228"/>
      <c r="L2351" s="207" t="str">
        <f>_xlfn.XLOOKUP($B2338,予定表!$B:$B,予定表!J:J,"該当なし",0,1)</f>
        <v/>
      </c>
      <c r="M2351" s="212"/>
    </row>
    <row r="2352" spans="1:13">
      <c r="A2352" s="195"/>
      <c r="B2352" s="195" t="s">
        <v>205</v>
      </c>
      <c r="C2352"/>
      <c r="D2352" s="197" t="s">
        <v>240</v>
      </c>
      <c r="E2352" s="197" t="s">
        <v>414</v>
      </c>
      <c r="F2352" s="197" t="s">
        <v>62</v>
      </c>
      <c r="G2352" s="197" t="s">
        <v>268</v>
      </c>
      <c r="H2352" s="197" t="s">
        <v>848</v>
      </c>
      <c r="I2352" s="209" t="s">
        <v>848</v>
      </c>
      <c r="K2352" s="228"/>
      <c r="L2352" s="207" t="str">
        <f>_xlfn.XLOOKUP($B2338,予定表!$B:$B,予定表!K:K,"該当なし",0,1)</f>
        <v/>
      </c>
      <c r="M2352" s="212"/>
    </row>
    <row r="2353" spans="1:13">
      <c r="A2353" s="195"/>
      <c r="B2353" s="195" t="s">
        <v>206</v>
      </c>
      <c r="C2353"/>
      <c r="D2353" s="197" t="s">
        <v>214</v>
      </c>
      <c r="E2353" s="197" t="s">
        <v>854</v>
      </c>
      <c r="F2353" s="197" t="s">
        <v>62</v>
      </c>
      <c r="G2353" s="197" t="s">
        <v>268</v>
      </c>
      <c r="H2353" s="197" t="s">
        <v>848</v>
      </c>
      <c r="I2353" s="209" t="s">
        <v>848</v>
      </c>
      <c r="K2353" s="228"/>
      <c r="L2353" s="207" t="str">
        <f>_xlfn.XLOOKUP($B2338,予定表!$B:$B,予定表!L:L,"該当なし",0,1)</f>
        <v/>
      </c>
      <c r="M2353" s="212"/>
    </row>
    <row r="2354" spans="1:13" ht="15.75" thickBot="1">
      <c r="A2354" s="195"/>
      <c r="B2354" s="195" t="s">
        <v>207</v>
      </c>
      <c r="C2354"/>
      <c r="D2354" s="197" t="s">
        <v>214</v>
      </c>
      <c r="E2354" s="197" t="s">
        <v>854</v>
      </c>
      <c r="F2354" s="197" t="s">
        <v>62</v>
      </c>
      <c r="G2354" s="197" t="s">
        <v>515</v>
      </c>
      <c r="H2354" s="197" t="s">
        <v>848</v>
      </c>
      <c r="I2354" s="209" t="s">
        <v>848</v>
      </c>
      <c r="K2354" s="229"/>
      <c r="L2354" s="204" t="str">
        <f>_xlfn.XLOOKUP($A2335,ﾘｽﾄマスタ!$U$8:$U$17,ﾘｽﾄマスタ!$V$8:$V$17,"",0)</f>
        <v/>
      </c>
      <c r="M2354" s="212"/>
    </row>
    <row r="2355" spans="1:13" ht="15.75" thickBot="1">
      <c r="A2355" s="195"/>
      <c r="B2355" s="196" t="s">
        <v>251</v>
      </c>
      <c r="C2355"/>
      <c r="D2355" s="197" t="s">
        <v>214</v>
      </c>
      <c r="E2355" s="197" t="s">
        <v>854</v>
      </c>
      <c r="F2355" s="197" t="s">
        <v>62</v>
      </c>
      <c r="G2355" s="197" t="s">
        <v>515</v>
      </c>
      <c r="H2355" s="197" t="s">
        <v>848</v>
      </c>
      <c r="I2355" s="209" t="s">
        <v>848</v>
      </c>
      <c r="K2355" s="208" t="s">
        <v>277</v>
      </c>
      <c r="L2355" s="208" t="str">
        <f ca="1">_xlfn.XLOOKUP($B2338,シフト抽出!$19:$19,シフト抽出!$30:$30,"該当なし",0,1)</f>
        <v/>
      </c>
      <c r="M2355" s="212"/>
    </row>
    <row r="2356" spans="1:13">
      <c r="A2356" s="195"/>
      <c r="B2356" s="195" t="s">
        <v>205</v>
      </c>
      <c r="C2356"/>
      <c r="D2356" s="197" t="s">
        <v>214</v>
      </c>
      <c r="E2356" s="197" t="s">
        <v>854</v>
      </c>
      <c r="F2356" s="197" t="s">
        <v>62</v>
      </c>
      <c r="G2356" s="197" t="s">
        <v>269</v>
      </c>
      <c r="H2356" s="197" t="s">
        <v>848</v>
      </c>
      <c r="I2356" s="209" t="s">
        <v>848</v>
      </c>
      <c r="M2356" s="212"/>
    </row>
    <row r="2357" spans="1:13">
      <c r="A2357" s="195"/>
      <c r="B2357" s="195" t="s">
        <v>206</v>
      </c>
      <c r="C2357"/>
      <c r="D2357" s="197" t="s">
        <v>353</v>
      </c>
      <c r="E2357" s="197" t="s">
        <v>216</v>
      </c>
      <c r="F2357" s="197" t="s">
        <v>114</v>
      </c>
      <c r="G2357" s="197" t="s">
        <v>269</v>
      </c>
      <c r="H2357" s="197" t="s">
        <v>848</v>
      </c>
      <c r="I2357" s="209" t="s">
        <v>848</v>
      </c>
      <c r="M2357" s="212"/>
    </row>
    <row r="2358" spans="1:13">
      <c r="A2358" s="195"/>
      <c r="B2358" s="195" t="s">
        <v>207</v>
      </c>
      <c r="C2358"/>
      <c r="D2358" s="197" t="s">
        <v>353</v>
      </c>
      <c r="E2358" s="197" t="s">
        <v>216</v>
      </c>
      <c r="F2358" s="197" t="s">
        <v>114</v>
      </c>
      <c r="G2358" s="197" t="s">
        <v>269</v>
      </c>
      <c r="H2358" s="197" t="s">
        <v>848</v>
      </c>
      <c r="I2358" s="209" t="s">
        <v>848</v>
      </c>
      <c r="M2358" s="212"/>
    </row>
    <row r="2359" spans="1:13">
      <c r="A2359" s="195"/>
      <c r="B2359" s="196" t="s">
        <v>217</v>
      </c>
      <c r="C2359"/>
      <c r="D2359" s="197" t="s">
        <v>353</v>
      </c>
      <c r="E2359" s="197" t="s">
        <v>216</v>
      </c>
      <c r="F2359" s="197" t="s">
        <v>51</v>
      </c>
      <c r="G2359" s="197" t="s">
        <v>446</v>
      </c>
      <c r="H2359" s="197" t="s">
        <v>848</v>
      </c>
      <c r="I2359" s="209" t="s">
        <v>848</v>
      </c>
      <c r="M2359" s="212"/>
    </row>
    <row r="2360" spans="1:13">
      <c r="A2360" s="195"/>
      <c r="B2360" s="195" t="s">
        <v>205</v>
      </c>
      <c r="C2360"/>
      <c r="D2360" s="197" t="s">
        <v>353</v>
      </c>
      <c r="E2360" s="197" t="s">
        <v>216</v>
      </c>
      <c r="F2360" s="197" t="s">
        <v>51</v>
      </c>
      <c r="G2360" s="197" t="s">
        <v>446</v>
      </c>
      <c r="H2360" s="197" t="s">
        <v>848</v>
      </c>
      <c r="I2360" s="209" t="s">
        <v>848</v>
      </c>
      <c r="M2360" s="212"/>
    </row>
    <row r="2361" spans="1:13">
      <c r="A2361" s="195"/>
      <c r="B2361" s="195" t="s">
        <v>206</v>
      </c>
      <c r="C2361"/>
      <c r="D2361" s="197" t="s">
        <v>761</v>
      </c>
      <c r="E2361" s="197" t="s">
        <v>216</v>
      </c>
      <c r="F2361" s="197" t="s">
        <v>51</v>
      </c>
      <c r="G2361" s="197" t="s">
        <v>446</v>
      </c>
      <c r="H2361" s="197" t="s">
        <v>848</v>
      </c>
      <c r="I2361" s="209" t="s">
        <v>848</v>
      </c>
      <c r="M2361" s="212"/>
    </row>
    <row r="2362" spans="1:13">
      <c r="A2362" s="195"/>
      <c r="B2362" s="195" t="s">
        <v>207</v>
      </c>
      <c r="C2362"/>
      <c r="D2362" s="197" t="s">
        <v>761</v>
      </c>
      <c r="E2362" s="197" t="s">
        <v>216</v>
      </c>
      <c r="F2362" s="197" t="s">
        <v>51</v>
      </c>
      <c r="G2362" s="197"/>
      <c r="H2362" s="197"/>
      <c r="I2362" s="209"/>
      <c r="M2362" s="212"/>
    </row>
    <row r="2363" spans="1:13">
      <c r="A2363" s="195"/>
      <c r="B2363" s="196" t="s">
        <v>219</v>
      </c>
      <c r="C2363"/>
      <c r="D2363" s="197" t="s">
        <v>761</v>
      </c>
      <c r="E2363" s="197" t="s">
        <v>216</v>
      </c>
      <c r="F2363" s="197"/>
      <c r="G2363" s="197"/>
      <c r="H2363" s="197"/>
      <c r="I2363" s="209"/>
      <c r="M2363" s="212"/>
    </row>
    <row r="2364" spans="1:13">
      <c r="A2364" s="195"/>
      <c r="B2364" s="195" t="s">
        <v>205</v>
      </c>
      <c r="C2364"/>
      <c r="D2364" s="197" t="s">
        <v>761</v>
      </c>
      <c r="E2364" s="197" t="s">
        <v>216</v>
      </c>
      <c r="F2364" s="197"/>
      <c r="G2364" s="197"/>
      <c r="H2364" s="197"/>
      <c r="I2364" s="209"/>
      <c r="M2364" s="212"/>
    </row>
    <row r="2365" spans="1:13">
      <c r="A2365" s="195"/>
      <c r="B2365" s="195" t="s">
        <v>206</v>
      </c>
      <c r="C2365"/>
      <c r="D2365" s="197"/>
      <c r="E2365" s="197"/>
      <c r="F2365" s="197"/>
      <c r="G2365" s="197"/>
      <c r="H2365" s="197" t="s">
        <v>415</v>
      </c>
      <c r="I2365" s="209" t="s">
        <v>415</v>
      </c>
      <c r="M2365" s="212"/>
    </row>
    <row r="2366" spans="1:13">
      <c r="A2366" s="195"/>
      <c r="B2366" s="195" t="s">
        <v>207</v>
      </c>
      <c r="C2366"/>
      <c r="D2366" s="197"/>
      <c r="E2366" s="197"/>
      <c r="F2366" s="197"/>
      <c r="G2366" s="197"/>
      <c r="H2366" s="197" t="s">
        <v>415</v>
      </c>
      <c r="I2366" s="209" t="s">
        <v>415</v>
      </c>
      <c r="M2366" s="212"/>
    </row>
    <row r="2367" spans="1:13">
      <c r="A2367" s="195"/>
      <c r="B2367" s="196" t="s">
        <v>220</v>
      </c>
      <c r="C2367"/>
      <c r="D2367" s="189"/>
      <c r="E2367" s="189"/>
      <c r="F2367" s="197"/>
      <c r="G2367" s="189"/>
      <c r="H2367" s="197" t="s">
        <v>231</v>
      </c>
      <c r="I2367" s="209" t="s">
        <v>231</v>
      </c>
      <c r="M2367" s="212"/>
    </row>
    <row r="2368" spans="1:13">
      <c r="A2368" s="195"/>
      <c r="B2368" s="195" t="s">
        <v>205</v>
      </c>
      <c r="C2368"/>
      <c r="D2368" s="197" t="s">
        <v>224</v>
      </c>
      <c r="E2368" s="197" t="s">
        <v>273</v>
      </c>
      <c r="F2368" s="197" t="s">
        <v>416</v>
      </c>
      <c r="G2368" s="197" t="s">
        <v>56</v>
      </c>
      <c r="H2368" s="197" t="s">
        <v>231</v>
      </c>
      <c r="I2368" s="209" t="s">
        <v>231</v>
      </c>
      <c r="M2368" s="212"/>
    </row>
    <row r="2369" spans="1:13">
      <c r="A2369" s="195"/>
      <c r="B2369" s="195" t="s">
        <v>206</v>
      </c>
      <c r="C2369"/>
      <c r="D2369" s="197" t="s">
        <v>224</v>
      </c>
      <c r="E2369" s="197" t="s">
        <v>273</v>
      </c>
      <c r="F2369" s="197" t="s">
        <v>945</v>
      </c>
      <c r="G2369" s="197" t="s">
        <v>56</v>
      </c>
      <c r="H2369" s="197" t="s">
        <v>211</v>
      </c>
      <c r="I2369" s="209" t="s">
        <v>211</v>
      </c>
      <c r="M2369" s="212"/>
    </row>
    <row r="2370" spans="1:13">
      <c r="A2370" s="195"/>
      <c r="B2370" s="195" t="s">
        <v>207</v>
      </c>
      <c r="C2370"/>
      <c r="D2370" s="197" t="s">
        <v>224</v>
      </c>
      <c r="E2370" s="197" t="s">
        <v>273</v>
      </c>
      <c r="F2370" s="197" t="s">
        <v>416</v>
      </c>
      <c r="G2370" s="197" t="s">
        <v>56</v>
      </c>
      <c r="H2370" s="197" t="s">
        <v>211</v>
      </c>
      <c r="I2370" s="209" t="s">
        <v>211</v>
      </c>
      <c r="M2370" s="212"/>
    </row>
    <row r="2371" spans="1:13">
      <c r="A2371" s="195"/>
      <c r="B2371" s="196" t="s">
        <v>222</v>
      </c>
      <c r="C2371"/>
      <c r="D2371" s="197" t="s">
        <v>88</v>
      </c>
      <c r="E2371" s="197" t="s">
        <v>266</v>
      </c>
      <c r="F2371" s="197" t="s">
        <v>416</v>
      </c>
      <c r="G2371" s="197"/>
      <c r="H2371" s="197"/>
      <c r="I2371" s="209"/>
      <c r="M2371" s="212"/>
    </row>
    <row r="2372" spans="1:13">
      <c r="A2372" s="195"/>
      <c r="B2372" s="195" t="s">
        <v>205</v>
      </c>
      <c r="C2372"/>
      <c r="D2372" s="197" t="s">
        <v>280</v>
      </c>
      <c r="E2372" s="197" t="s">
        <v>266</v>
      </c>
      <c r="F2372" s="197" t="s">
        <v>759</v>
      </c>
      <c r="G2372" s="197" t="s">
        <v>270</v>
      </c>
      <c r="H2372" s="197" t="s">
        <v>856</v>
      </c>
      <c r="I2372" s="209" t="s">
        <v>856</v>
      </c>
      <c r="M2372" s="212"/>
    </row>
    <row r="2373" spans="1:13">
      <c r="A2373" s="195"/>
      <c r="B2373" s="195" t="s">
        <v>206</v>
      </c>
      <c r="C2373"/>
      <c r="D2373" s="197" t="s">
        <v>160</v>
      </c>
      <c r="E2373" s="197" t="s">
        <v>266</v>
      </c>
      <c r="F2373" s="197" t="s">
        <v>759</v>
      </c>
      <c r="G2373" s="197" t="s">
        <v>270</v>
      </c>
      <c r="H2373" s="197" t="s">
        <v>856</v>
      </c>
      <c r="I2373" s="209" t="s">
        <v>856</v>
      </c>
      <c r="M2373" s="212"/>
    </row>
    <row r="2374" spans="1:13">
      <c r="A2374" s="195"/>
      <c r="B2374" s="195" t="s">
        <v>207</v>
      </c>
      <c r="C2374"/>
      <c r="D2374" s="197" t="s">
        <v>215</v>
      </c>
      <c r="E2374" s="197" t="s">
        <v>266</v>
      </c>
      <c r="F2374" s="197" t="s">
        <v>759</v>
      </c>
      <c r="G2374" s="197" t="s">
        <v>270</v>
      </c>
      <c r="H2374" s="197" t="s">
        <v>856</v>
      </c>
      <c r="I2374" s="209" t="s">
        <v>856</v>
      </c>
      <c r="M2374" s="212"/>
    </row>
    <row r="2375" spans="1:13">
      <c r="A2375" s="195"/>
      <c r="B2375" s="196" t="s">
        <v>223</v>
      </c>
      <c r="C2375"/>
      <c r="D2375" s="197" t="s">
        <v>423</v>
      </c>
      <c r="E2375" s="197" t="s">
        <v>252</v>
      </c>
      <c r="F2375" s="197" t="s">
        <v>759</v>
      </c>
      <c r="G2375" s="197" t="s">
        <v>270</v>
      </c>
      <c r="H2375" s="197" t="s">
        <v>856</v>
      </c>
      <c r="I2375" s="209" t="s">
        <v>856</v>
      </c>
      <c r="M2375" s="212"/>
    </row>
    <row r="2376" spans="1:13">
      <c r="A2376" s="195"/>
      <c r="B2376" s="195" t="s">
        <v>205</v>
      </c>
      <c r="C2376"/>
      <c r="D2376" s="197" t="s">
        <v>588</v>
      </c>
      <c r="E2376" s="197" t="s">
        <v>252</v>
      </c>
      <c r="F2376" s="197" t="s">
        <v>759</v>
      </c>
      <c r="G2376" s="197" t="s">
        <v>270</v>
      </c>
      <c r="H2376" s="197" t="s">
        <v>856</v>
      </c>
      <c r="I2376" s="209" t="s">
        <v>856</v>
      </c>
      <c r="M2376" s="212"/>
    </row>
    <row r="2377" spans="1:13">
      <c r="A2377" s="195"/>
      <c r="B2377" s="195" t="s">
        <v>206</v>
      </c>
      <c r="C2377"/>
      <c r="D2377" s="197" t="s">
        <v>127</v>
      </c>
      <c r="E2377" s="197" t="s">
        <v>252</v>
      </c>
      <c r="F2377" s="197"/>
      <c r="G2377" s="197" t="s">
        <v>270</v>
      </c>
      <c r="H2377" s="197" t="s">
        <v>856</v>
      </c>
      <c r="I2377" s="209" t="s">
        <v>856</v>
      </c>
      <c r="M2377" s="212"/>
    </row>
    <row r="2378" spans="1:13">
      <c r="A2378" s="195"/>
      <c r="B2378" s="195" t="s">
        <v>207</v>
      </c>
      <c r="C2378"/>
      <c r="D2378" s="197"/>
      <c r="E2378" s="197" t="s">
        <v>252</v>
      </c>
      <c r="F2378" s="197"/>
      <c r="G2378" s="197" t="s">
        <v>270</v>
      </c>
      <c r="H2378" s="197" t="s">
        <v>856</v>
      </c>
      <c r="I2378" s="209" t="s">
        <v>856</v>
      </c>
      <c r="M2378" s="212"/>
    </row>
    <row r="2379" spans="1:13">
      <c r="A2379" s="195"/>
      <c r="B2379" s="196" t="s">
        <v>225</v>
      </c>
      <c r="C2379"/>
      <c r="D2379" s="197"/>
      <c r="E2379" s="197" t="s">
        <v>252</v>
      </c>
      <c r="F2379" s="197"/>
      <c r="G2379" s="197" t="s">
        <v>270</v>
      </c>
      <c r="H2379" s="197" t="s">
        <v>415</v>
      </c>
      <c r="I2379" s="209" t="s">
        <v>415</v>
      </c>
      <c r="M2379" s="212"/>
    </row>
    <row r="2380" spans="1:13">
      <c r="A2380" s="195"/>
      <c r="B2380" s="195" t="s">
        <v>205</v>
      </c>
      <c r="C2380"/>
      <c r="D2380" s="197"/>
      <c r="E2380" s="197" t="s">
        <v>252</v>
      </c>
      <c r="F2380" s="197"/>
      <c r="G2380" s="197" t="s">
        <v>270</v>
      </c>
      <c r="H2380" s="209" t="s">
        <v>415</v>
      </c>
      <c r="I2380" s="209" t="s">
        <v>415</v>
      </c>
      <c r="M2380" s="212"/>
    </row>
    <row r="2381" spans="1:13">
      <c r="A2381" s="195"/>
      <c r="B2381" s="195" t="s">
        <v>206</v>
      </c>
      <c r="C2381"/>
      <c r="D2381" s="197"/>
      <c r="E2381" s="197" t="s">
        <v>252</v>
      </c>
      <c r="F2381" s="197"/>
      <c r="G2381" s="197" t="s">
        <v>270</v>
      </c>
      <c r="H2381" s="209" t="s">
        <v>415</v>
      </c>
      <c r="I2381" s="209" t="s">
        <v>415</v>
      </c>
      <c r="M2381" s="212"/>
    </row>
    <row r="2382" spans="1:13">
      <c r="A2382" s="195"/>
      <c r="B2382" s="195" t="s">
        <v>207</v>
      </c>
      <c r="C2382"/>
      <c r="D2382" s="197"/>
      <c r="E2382" s="197" t="s">
        <v>252</v>
      </c>
      <c r="F2382" s="197"/>
      <c r="G2382" s="197" t="s">
        <v>270</v>
      </c>
      <c r="H2382" s="209" t="s">
        <v>415</v>
      </c>
      <c r="I2382" s="209" t="s">
        <v>415</v>
      </c>
      <c r="M2382" s="212"/>
    </row>
    <row r="2383" spans="1:13">
      <c r="A2383" s="195"/>
      <c r="B2383" s="196" t="s">
        <v>226</v>
      </c>
      <c r="C2383"/>
      <c r="D2383" s="197"/>
      <c r="E2383" s="197"/>
      <c r="F2383" s="197"/>
      <c r="G2383" s="197" t="s">
        <v>270</v>
      </c>
      <c r="H2383" s="209"/>
      <c r="I2383" s="209"/>
      <c r="M2383" s="212"/>
    </row>
    <row r="2384" spans="1:13">
      <c r="A2384" s="195"/>
      <c r="B2384" s="195" t="s">
        <v>205</v>
      </c>
      <c r="C2384"/>
      <c r="D2384" s="197"/>
      <c r="E2384" s="197"/>
      <c r="F2384" s="197"/>
      <c r="G2384" s="197" t="s">
        <v>270</v>
      </c>
      <c r="H2384" s="209"/>
      <c r="I2384" s="209"/>
      <c r="M2384" s="212"/>
    </row>
    <row r="2385" spans="1:14">
      <c r="A2385" s="195"/>
      <c r="B2385" s="195" t="s">
        <v>206</v>
      </c>
      <c r="C2385"/>
      <c r="D2385" s="197"/>
      <c r="E2385" s="197"/>
      <c r="F2385" s="197"/>
      <c r="G2385" s="197" t="s">
        <v>270</v>
      </c>
      <c r="H2385" s="209"/>
      <c r="I2385" s="209"/>
      <c r="M2385" s="212"/>
    </row>
    <row r="2386" spans="1:14">
      <c r="A2386" s="195"/>
      <c r="B2386" s="195" t="s">
        <v>207</v>
      </c>
      <c r="C2386"/>
      <c r="D2386" s="197"/>
      <c r="E2386" s="197"/>
      <c r="F2386" s="197"/>
      <c r="G2386" s="197" t="s">
        <v>270</v>
      </c>
      <c r="H2386" s="209"/>
      <c r="I2386" s="209"/>
      <c r="M2386" s="212"/>
    </row>
    <row r="2387" spans="1:14">
      <c r="A2387" s="195"/>
      <c r="B2387" s="196" t="s">
        <v>227</v>
      </c>
      <c r="C2387"/>
      <c r="D2387" s="197"/>
      <c r="E2387" s="197"/>
      <c r="F2387" s="197"/>
      <c r="G2387" s="197"/>
      <c r="H2387" s="209"/>
      <c r="I2387" s="209"/>
      <c r="K2387"/>
      <c r="M2387" s="212"/>
    </row>
    <row r="2388" spans="1:14" ht="29.25" thickBot="1">
      <c r="A2388" s="182" t="str">
        <f>"回収シフト  第"&amp;ROUNDUP(DAY(B2391)/7,0)  &amp;"  "&amp;TEXT(B2391,"aaaa")</f>
        <v>回収シフト  第4  土曜日</v>
      </c>
      <c r="B2388" s="183"/>
      <c r="C2388" s="183"/>
      <c r="D2388" s="183"/>
      <c r="E2388" s="183"/>
      <c r="F2388" s="183"/>
      <c r="G2388" s="184"/>
      <c r="H2388" s="184"/>
      <c r="I2388" s="184"/>
      <c r="K2388" s="183"/>
      <c r="L2388" s="183"/>
      <c r="M2388" s="50"/>
      <c r="N2388" s="50"/>
    </row>
    <row r="2389" spans="1:14" ht="15.75" thickBot="1">
      <c r="A2389"/>
      <c r="B2389"/>
      <c r="C2389"/>
      <c r="D2389" s="186" t="s">
        <v>201</v>
      </c>
      <c r="E2389" s="186" t="s">
        <v>202</v>
      </c>
      <c r="F2389" s="186" t="s">
        <v>203</v>
      </c>
      <c r="G2389" s="186" t="s">
        <v>204</v>
      </c>
      <c r="H2389" s="186" t="s">
        <v>267</v>
      </c>
      <c r="I2389" s="217" t="s">
        <v>267</v>
      </c>
      <c r="K2389" s="230" t="s">
        <v>257</v>
      </c>
      <c r="L2389" s="231"/>
      <c r="M2389" s="212"/>
    </row>
    <row r="2390" spans="1:14">
      <c r="A2390" s="187"/>
      <c r="B2390" s="188">
        <v>46119</v>
      </c>
      <c r="C2390" s="187"/>
      <c r="D2390" s="189" t="s">
        <v>906</v>
      </c>
      <c r="E2390" s="189" t="s">
        <v>720</v>
      </c>
      <c r="F2390" s="189"/>
      <c r="G2390" s="189"/>
      <c r="H2390" s="189"/>
      <c r="I2390" s="218"/>
      <c r="K2390" s="232" t="s">
        <v>258</v>
      </c>
      <c r="L2390" s="190" t="str">
        <f ca="1">_xlfn.XLOOKUP($B2391,シフト抽出!$19:$19,シフト抽出!$20:$20,"該当なし",0,1)</f>
        <v/>
      </c>
      <c r="M2390" s="212"/>
    </row>
    <row r="2391" spans="1:14" ht="19.5" thickBot="1">
      <c r="A2391"/>
      <c r="B2391" s="191">
        <f>B2338+1</f>
        <v>46165</v>
      </c>
      <c r="C2391" s="192"/>
      <c r="D2391" s="193"/>
      <c r="E2391" s="193"/>
      <c r="F2391" s="193"/>
      <c r="G2391" s="193"/>
      <c r="H2391" s="193"/>
      <c r="I2391" s="219"/>
      <c r="K2391" s="233"/>
      <c r="L2391" s="194" t="str">
        <f ca="1">_xlfn.XLOOKUP($B2391,シフト抽出!$19:$19,シフト抽出!$21:$21,"該当なし",0,1)</f>
        <v/>
      </c>
      <c r="M2391" s="212"/>
    </row>
    <row r="2392" spans="1:14">
      <c r="A2392" s="195"/>
      <c r="B2392" s="196">
        <v>0.25</v>
      </c>
      <c r="C2392"/>
      <c r="D2392" s="197"/>
      <c r="E2392" s="196"/>
      <c r="F2392" s="197"/>
      <c r="G2392" s="197"/>
      <c r="H2392" s="197"/>
      <c r="I2392" s="209"/>
      <c r="K2392" s="234" t="s">
        <v>259</v>
      </c>
      <c r="L2392" s="198" t="str">
        <f ca="1">_xlfn.XLOOKUP($B2391,シフト抽出!$19:$19,シフト抽出!$23:$23,"該当なし",0,1)</f>
        <v/>
      </c>
      <c r="M2392" s="212"/>
    </row>
    <row r="2393" spans="1:14" ht="15.75" thickBot="1">
      <c r="A2393" s="195"/>
      <c r="B2393" s="195" t="s">
        <v>205</v>
      </c>
      <c r="C2393"/>
      <c r="D2393" s="197"/>
      <c r="E2393" s="197"/>
      <c r="F2393" s="197"/>
      <c r="G2393" s="197"/>
      <c r="H2393" s="197"/>
      <c r="I2393" s="209"/>
      <c r="K2393" s="235"/>
      <c r="L2393" s="199" t="str">
        <f ca="1">_xlfn.XLOOKUP($B2391,シフト抽出!$19:$19,シフト抽出!$24:$24,"該当なし",0,1)</f>
        <v/>
      </c>
      <c r="M2393" s="212"/>
    </row>
    <row r="2394" spans="1:14">
      <c r="A2394" s="195"/>
      <c r="B2394" s="195" t="s">
        <v>206</v>
      </c>
      <c r="C2394"/>
      <c r="D2394" s="197"/>
      <c r="E2394" s="197"/>
      <c r="F2394" s="197"/>
      <c r="G2394" s="197"/>
      <c r="H2394" s="197"/>
      <c r="I2394" s="209"/>
      <c r="K2394" s="224" t="s">
        <v>260</v>
      </c>
      <c r="L2394" s="200" t="str">
        <f ca="1">_xlfn.XLOOKUP($B2391,シフト抽出!$19:$19,シフト抽出!$26:$26,"該当なし",0,1)</f>
        <v/>
      </c>
      <c r="M2394" s="212"/>
    </row>
    <row r="2395" spans="1:14">
      <c r="A2395" s="195"/>
      <c r="B2395" s="195" t="s">
        <v>207</v>
      </c>
      <c r="C2395"/>
      <c r="D2395" s="197"/>
      <c r="E2395" s="197"/>
      <c r="F2395" s="197"/>
      <c r="G2395" s="197"/>
      <c r="H2395" s="197"/>
      <c r="I2395" s="209"/>
      <c r="K2395" s="225"/>
      <c r="L2395" s="201" t="str">
        <f ca="1">_xlfn.XLOOKUP($B2391,シフト抽出!$19:$19,シフト抽出!$27:$27,"該当なし",0,1)</f>
        <v/>
      </c>
      <c r="M2395" s="212"/>
    </row>
    <row r="2396" spans="1:14">
      <c r="A2396" s="195"/>
      <c r="B2396" s="202" t="s">
        <v>208</v>
      </c>
      <c r="C2396"/>
      <c r="D2396" s="197"/>
      <c r="E2396" s="197"/>
      <c r="F2396" s="197"/>
      <c r="G2396" s="197"/>
      <c r="H2396" s="197"/>
      <c r="I2396" s="209"/>
      <c r="J2396" s="203"/>
      <c r="K2396" s="225"/>
      <c r="L2396" s="201" t="str">
        <f ca="1">_xlfn.XLOOKUP($B2391,シフト抽出!$19:$19,シフト抽出!$28:$28,"該当なし",0,1)</f>
        <v/>
      </c>
      <c r="M2396" s="212"/>
    </row>
    <row r="2397" spans="1:14" ht="15.75" thickBot="1">
      <c r="A2397" s="195"/>
      <c r="B2397" s="195" t="s">
        <v>205</v>
      </c>
      <c r="C2397"/>
      <c r="D2397" s="197"/>
      <c r="E2397" s="197"/>
      <c r="F2397" s="197"/>
      <c r="G2397" s="197"/>
      <c r="H2397" s="197"/>
      <c r="I2397" s="209"/>
      <c r="J2397" s="203"/>
      <c r="K2397" s="226"/>
      <c r="L2397" s="204" t="str">
        <f ca="1">_xlfn.XLOOKUP($B2391,シフト抽出!$19:$19,シフト抽出!$29:$29,"該当なし",0,1)</f>
        <v/>
      </c>
      <c r="M2397" s="212"/>
    </row>
    <row r="2398" spans="1:14" ht="15.75" thickBot="1">
      <c r="A2398" s="195"/>
      <c r="B2398" s="195" t="s">
        <v>206</v>
      </c>
      <c r="C2398"/>
      <c r="D2398" s="197"/>
      <c r="E2398" s="197"/>
      <c r="F2398" s="197"/>
      <c r="G2398" s="197"/>
      <c r="H2398" s="197"/>
      <c r="I2398" s="209"/>
      <c r="K2398" s="205" t="s">
        <v>261</v>
      </c>
      <c r="L2398" s="205">
        <f>_xlfn.XLOOKUP($B2391,予定表!B:B,予定表!R:R,"該当なし",0,1)</f>
        <v>0</v>
      </c>
      <c r="M2398" s="212"/>
    </row>
    <row r="2399" spans="1:14">
      <c r="A2399" s="195"/>
      <c r="B2399" s="195" t="s">
        <v>207</v>
      </c>
      <c r="C2399"/>
      <c r="D2399" s="197"/>
      <c r="E2399" s="197"/>
      <c r="F2399" s="197"/>
      <c r="G2399" s="197"/>
      <c r="H2399" s="197"/>
      <c r="I2399" s="209"/>
      <c r="K2399" s="227" t="s">
        <v>262</v>
      </c>
      <c r="L2399" s="206">
        <f>_xlfn.XLOOKUP($B2391,予定表!$B:$B,予定表!E:E,"該当なし",0,1)</f>
        <v>0</v>
      </c>
      <c r="M2399" s="212"/>
    </row>
    <row r="2400" spans="1:14">
      <c r="A2400" s="195"/>
      <c r="B2400" s="196" t="s">
        <v>209</v>
      </c>
      <c r="C2400"/>
      <c r="D2400" s="197" t="s">
        <v>4</v>
      </c>
      <c r="E2400" s="197" t="s">
        <v>4</v>
      </c>
      <c r="F2400" s="197"/>
      <c r="G2400" s="197"/>
      <c r="H2400" s="197"/>
      <c r="I2400" s="209"/>
      <c r="K2400" s="228"/>
      <c r="L2400" s="207">
        <f>_xlfn.XLOOKUP($B2391,予定表!$B:$B,予定表!F:F,"該当なし",0,1)</f>
        <v>0</v>
      </c>
      <c r="M2400" s="212"/>
    </row>
    <row r="2401" spans="1:13">
      <c r="A2401" s="195"/>
      <c r="B2401" s="195" t="s">
        <v>205</v>
      </c>
      <c r="C2401"/>
      <c r="D2401" s="197" t="s">
        <v>268</v>
      </c>
      <c r="E2401" s="197" t="s">
        <v>22</v>
      </c>
      <c r="F2401" s="197"/>
      <c r="G2401" s="197"/>
      <c r="H2401" s="197"/>
      <c r="I2401" s="209"/>
      <c r="K2401" s="228"/>
      <c r="L2401" s="207">
        <f>_xlfn.XLOOKUP($B2391,予定表!$B:$B,予定表!G:G,"該当なし",0,1)</f>
        <v>0</v>
      </c>
      <c r="M2401" s="212"/>
    </row>
    <row r="2402" spans="1:13">
      <c r="A2402" s="195"/>
      <c r="B2402" s="195" t="s">
        <v>206</v>
      </c>
      <c r="C2402"/>
      <c r="D2402" s="197" t="s">
        <v>268</v>
      </c>
      <c r="E2402" s="197" t="s">
        <v>22</v>
      </c>
      <c r="F2402" s="197"/>
      <c r="G2402" s="197"/>
      <c r="H2402" s="197"/>
      <c r="I2402" s="209"/>
      <c r="K2402" s="228"/>
      <c r="L2402" s="207" t="str">
        <f>_xlfn.XLOOKUP($B2391,予定表!$B:$B,予定表!H:H,"該当なし",0,1)</f>
        <v>資さんうどん</v>
      </c>
      <c r="M2402" s="212"/>
    </row>
    <row r="2403" spans="1:13">
      <c r="A2403" s="195"/>
      <c r="B2403" s="195" t="s">
        <v>207</v>
      </c>
      <c r="C2403"/>
      <c r="D2403" s="197" t="s">
        <v>268</v>
      </c>
      <c r="E2403" s="197" t="s">
        <v>793</v>
      </c>
      <c r="F2403" s="197"/>
      <c r="G2403" s="197"/>
      <c r="H2403" s="197"/>
      <c r="I2403" s="209"/>
      <c r="K2403" s="228"/>
      <c r="L2403" s="207" t="str">
        <f>_xlfn.XLOOKUP($B2391,予定表!$B:$B,予定表!I:I,"該当なし",0,1)</f>
        <v/>
      </c>
      <c r="M2403" s="212"/>
    </row>
    <row r="2404" spans="1:13">
      <c r="A2404" s="195"/>
      <c r="B2404" s="196" t="s">
        <v>212</v>
      </c>
      <c r="C2404"/>
      <c r="D2404" s="197" t="s">
        <v>268</v>
      </c>
      <c r="E2404" s="197" t="s">
        <v>241</v>
      </c>
      <c r="F2404" s="197"/>
      <c r="G2404" s="197"/>
      <c r="H2404" s="197"/>
      <c r="I2404" s="209"/>
      <c r="K2404" s="228"/>
      <c r="L2404" s="207" t="str">
        <f>_xlfn.XLOOKUP($B2391,予定表!$B:$B,予定表!J:J,"該当なし",0,1)</f>
        <v/>
      </c>
      <c r="M2404" s="212"/>
    </row>
    <row r="2405" spans="1:13">
      <c r="A2405" s="195"/>
      <c r="B2405" s="195" t="s">
        <v>205</v>
      </c>
      <c r="C2405"/>
      <c r="D2405" s="197" t="s">
        <v>268</v>
      </c>
      <c r="E2405" s="197" t="s">
        <v>241</v>
      </c>
      <c r="F2405" s="197"/>
      <c r="G2405" s="197"/>
      <c r="H2405" s="197"/>
      <c r="I2405" s="209"/>
      <c r="K2405" s="228"/>
      <c r="L2405" s="207" t="str">
        <f>_xlfn.XLOOKUP($B2391,予定表!$B:$B,予定表!K:K,"該当なし",0,1)</f>
        <v/>
      </c>
      <c r="M2405" s="212"/>
    </row>
    <row r="2406" spans="1:13">
      <c r="A2406" s="195"/>
      <c r="B2406" s="195" t="s">
        <v>206</v>
      </c>
      <c r="C2406"/>
      <c r="D2406" s="197" t="s">
        <v>515</v>
      </c>
      <c r="E2406" s="197" t="s">
        <v>244</v>
      </c>
      <c r="F2406" s="197"/>
      <c r="G2406" s="197"/>
      <c r="H2406" s="197"/>
      <c r="I2406" s="209"/>
      <c r="K2406" s="228"/>
      <c r="L2406" s="207" t="str">
        <f>_xlfn.XLOOKUP($B2391,予定表!$B:$B,予定表!L:L,"該当なし",0,1)</f>
        <v/>
      </c>
      <c r="M2406" s="212"/>
    </row>
    <row r="2407" spans="1:13" ht="15.75" thickBot="1">
      <c r="A2407" s="195"/>
      <c r="B2407" s="195" t="s">
        <v>207</v>
      </c>
      <c r="C2407"/>
      <c r="D2407" s="197" t="s">
        <v>515</v>
      </c>
      <c r="E2407" s="197" t="s">
        <v>244</v>
      </c>
      <c r="F2407" s="197"/>
      <c r="G2407" s="197"/>
      <c r="H2407" s="197"/>
      <c r="I2407" s="209"/>
      <c r="K2407" s="229"/>
      <c r="L2407" s="204" t="str">
        <f>_xlfn.XLOOKUP($A2388,ﾘｽﾄマスタ!$U$8:$U$17,ﾘｽﾄマスタ!$V$8:$V$17,"",0)</f>
        <v/>
      </c>
      <c r="M2407" s="212"/>
    </row>
    <row r="2408" spans="1:13" ht="15.75" thickBot="1">
      <c r="A2408" s="195"/>
      <c r="B2408" s="196" t="s">
        <v>251</v>
      </c>
      <c r="C2408"/>
      <c r="D2408" s="197" t="s">
        <v>515</v>
      </c>
      <c r="E2408" s="197" t="s">
        <v>114</v>
      </c>
      <c r="F2408" s="197"/>
      <c r="G2408" s="197"/>
      <c r="H2408" s="197"/>
      <c r="I2408" s="209"/>
      <c r="K2408" s="208" t="s">
        <v>277</v>
      </c>
      <c r="L2408" s="208" t="str">
        <f ca="1">_xlfn.XLOOKUP($B2391,シフト抽出!$19:$19,シフト抽出!$30:$30,"該当なし",0,1)</f>
        <v/>
      </c>
      <c r="M2408" s="212"/>
    </row>
    <row r="2409" spans="1:13">
      <c r="A2409" s="195"/>
      <c r="B2409" s="195" t="s">
        <v>205</v>
      </c>
      <c r="C2409"/>
      <c r="D2409" s="197" t="s">
        <v>242</v>
      </c>
      <c r="E2409" s="197" t="s">
        <v>114</v>
      </c>
      <c r="F2409" s="197"/>
      <c r="G2409" s="197"/>
      <c r="H2409" s="197"/>
      <c r="I2409" s="209"/>
      <c r="M2409" s="212"/>
    </row>
    <row r="2410" spans="1:13">
      <c r="A2410" s="195"/>
      <c r="B2410" s="195" t="s">
        <v>206</v>
      </c>
      <c r="C2410"/>
      <c r="D2410" s="197" t="s">
        <v>242</v>
      </c>
      <c r="E2410" s="197"/>
      <c r="F2410" s="197"/>
      <c r="G2410" s="197"/>
      <c r="H2410" s="197"/>
      <c r="I2410" s="209"/>
      <c r="M2410" s="212"/>
    </row>
    <row r="2411" spans="1:13">
      <c r="A2411" s="195"/>
      <c r="B2411" s="195" t="s">
        <v>207</v>
      </c>
      <c r="C2411"/>
      <c r="D2411" s="197" t="s">
        <v>242</v>
      </c>
      <c r="E2411" s="197" t="s">
        <v>851</v>
      </c>
      <c r="F2411" s="197"/>
      <c r="G2411" s="197"/>
      <c r="H2411" s="197"/>
      <c r="I2411" s="209"/>
      <c r="M2411" s="212"/>
    </row>
    <row r="2412" spans="1:13">
      <c r="A2412" s="195"/>
      <c r="B2412" s="196" t="s">
        <v>217</v>
      </c>
      <c r="C2412"/>
      <c r="D2412" s="197" t="s">
        <v>242</v>
      </c>
      <c r="E2412" s="197" t="s">
        <v>851</v>
      </c>
      <c r="F2412" s="197"/>
      <c r="G2412" s="197"/>
      <c r="H2412" s="197"/>
      <c r="I2412" s="209"/>
      <c r="M2412" s="212"/>
    </row>
    <row r="2413" spans="1:13">
      <c r="A2413" s="195"/>
      <c r="B2413" s="195" t="s">
        <v>205</v>
      </c>
      <c r="C2413"/>
      <c r="D2413" s="197" t="s">
        <v>242</v>
      </c>
      <c r="E2413" s="197" t="s">
        <v>851</v>
      </c>
      <c r="F2413" s="197"/>
      <c r="G2413" s="197"/>
      <c r="H2413" s="197"/>
      <c r="I2413" s="209"/>
      <c r="M2413" s="212"/>
    </row>
    <row r="2414" spans="1:13">
      <c r="A2414" s="195"/>
      <c r="B2414" s="195" t="s">
        <v>206</v>
      </c>
      <c r="C2414"/>
      <c r="D2414" s="197" t="s">
        <v>242</v>
      </c>
      <c r="E2414" s="197" t="s">
        <v>851</v>
      </c>
      <c r="F2414" s="197"/>
      <c r="G2414" s="197"/>
      <c r="H2414" s="197"/>
      <c r="I2414" s="209"/>
      <c r="M2414" s="212"/>
    </row>
    <row r="2415" spans="1:13">
      <c r="A2415" s="195"/>
      <c r="B2415" s="195" t="s">
        <v>207</v>
      </c>
      <c r="C2415"/>
      <c r="D2415" s="197"/>
      <c r="E2415" s="197" t="s">
        <v>851</v>
      </c>
      <c r="F2415" s="197"/>
      <c r="G2415" s="197"/>
      <c r="H2415" s="197"/>
      <c r="I2415" s="209"/>
      <c r="M2415" s="212"/>
    </row>
    <row r="2416" spans="1:13">
      <c r="A2416" s="195"/>
      <c r="B2416" s="196" t="s">
        <v>219</v>
      </c>
      <c r="C2416"/>
      <c r="D2416" s="197"/>
      <c r="E2416" s="197" t="s">
        <v>851</v>
      </c>
      <c r="F2416" s="197"/>
      <c r="G2416" s="197"/>
      <c r="H2416" s="197"/>
      <c r="I2416" s="209"/>
      <c r="M2416" s="212"/>
    </row>
    <row r="2417" spans="1:13">
      <c r="A2417" s="195"/>
      <c r="B2417" s="195" t="s">
        <v>205</v>
      </c>
      <c r="C2417"/>
      <c r="D2417" s="197"/>
      <c r="E2417" s="197"/>
      <c r="F2417" s="197"/>
      <c r="G2417" s="197"/>
      <c r="H2417" s="197"/>
      <c r="I2417" s="209"/>
      <c r="M2417" s="212"/>
    </row>
    <row r="2418" spans="1:13">
      <c r="A2418" s="195"/>
      <c r="B2418" s="195" t="s">
        <v>206</v>
      </c>
      <c r="C2418"/>
      <c r="D2418" s="197"/>
      <c r="E2418" s="197"/>
      <c r="F2418" s="197"/>
      <c r="G2418" s="197"/>
      <c r="H2418" s="197"/>
      <c r="I2418" s="209"/>
      <c r="M2418" s="212"/>
    </row>
    <row r="2419" spans="1:13">
      <c r="A2419" s="195"/>
      <c r="B2419" s="195" t="s">
        <v>207</v>
      </c>
      <c r="C2419"/>
      <c r="D2419" s="197"/>
      <c r="E2419" s="197"/>
      <c r="F2419" s="197"/>
      <c r="G2419" s="197"/>
      <c r="H2419" s="197"/>
      <c r="I2419" s="209"/>
      <c r="M2419" s="212"/>
    </row>
    <row r="2420" spans="1:13">
      <c r="A2420" s="195"/>
      <c r="B2420" s="196" t="s">
        <v>220</v>
      </c>
      <c r="C2420"/>
      <c r="D2420" s="197" t="s">
        <v>7</v>
      </c>
      <c r="E2420" s="197" t="s">
        <v>7</v>
      </c>
      <c r="F2420" s="197"/>
      <c r="G2420" s="189"/>
      <c r="H2420" s="197"/>
      <c r="I2420" s="209"/>
      <c r="M2420" s="212"/>
    </row>
    <row r="2421" spans="1:13">
      <c r="A2421" s="195"/>
      <c r="B2421" s="195" t="s">
        <v>205</v>
      </c>
      <c r="C2421"/>
      <c r="D2421" s="197" t="s">
        <v>886</v>
      </c>
      <c r="E2421" s="197" t="s">
        <v>228</v>
      </c>
      <c r="F2421" s="197"/>
      <c r="G2421" s="197"/>
      <c r="H2421" s="197"/>
      <c r="I2421" s="209"/>
      <c r="M2421" s="212"/>
    </row>
    <row r="2422" spans="1:13">
      <c r="A2422" s="195"/>
      <c r="B2422" s="195" t="s">
        <v>206</v>
      </c>
      <c r="C2422"/>
      <c r="D2422" s="197" t="s">
        <v>946</v>
      </c>
      <c r="E2422" s="197" t="s">
        <v>228</v>
      </c>
      <c r="F2422" s="197"/>
      <c r="G2422" s="197"/>
      <c r="H2422" s="197"/>
      <c r="I2422" s="209"/>
      <c r="M2422" s="212"/>
    </row>
    <row r="2423" spans="1:13">
      <c r="A2423" s="195"/>
      <c r="B2423" s="195" t="s">
        <v>207</v>
      </c>
      <c r="C2423"/>
      <c r="D2423" s="197" t="s">
        <v>886</v>
      </c>
      <c r="E2423" s="197" t="s">
        <v>228</v>
      </c>
      <c r="F2423" s="197"/>
      <c r="G2423" s="197"/>
      <c r="H2423" s="197"/>
      <c r="I2423" s="209"/>
      <c r="M2423" s="212"/>
    </row>
    <row r="2424" spans="1:13">
      <c r="A2424" s="195"/>
      <c r="B2424" s="196" t="s">
        <v>222</v>
      </c>
      <c r="C2424"/>
      <c r="D2424" s="197" t="s">
        <v>886</v>
      </c>
      <c r="E2424" s="197" t="s">
        <v>228</v>
      </c>
      <c r="F2424" s="197"/>
      <c r="G2424" s="197"/>
      <c r="H2424" s="197"/>
      <c r="I2424" s="209"/>
      <c r="M2424" s="212"/>
    </row>
    <row r="2425" spans="1:13">
      <c r="A2425" s="195"/>
      <c r="B2425" s="195" t="s">
        <v>205</v>
      </c>
      <c r="C2425"/>
      <c r="D2425" s="197"/>
      <c r="E2425" s="197" t="s">
        <v>228</v>
      </c>
      <c r="F2425" s="197"/>
      <c r="G2425" s="197"/>
      <c r="H2425" s="197"/>
      <c r="I2425" s="209"/>
      <c r="M2425" s="212"/>
    </row>
    <row r="2426" spans="1:13">
      <c r="A2426" s="195"/>
      <c r="B2426" s="195" t="s">
        <v>206</v>
      </c>
      <c r="C2426"/>
      <c r="D2426" s="197" t="s">
        <v>270</v>
      </c>
      <c r="E2426" s="197" t="s">
        <v>228</v>
      </c>
      <c r="F2426" s="197"/>
      <c r="G2426" s="197"/>
      <c r="H2426" s="197"/>
      <c r="I2426" s="209"/>
      <c r="M2426" s="212"/>
    </row>
    <row r="2427" spans="1:13">
      <c r="A2427" s="195"/>
      <c r="B2427" s="195" t="s">
        <v>207</v>
      </c>
      <c r="C2427"/>
      <c r="D2427" s="197" t="s">
        <v>270</v>
      </c>
      <c r="E2427" s="197" t="s">
        <v>228</v>
      </c>
      <c r="F2427" s="197"/>
      <c r="G2427" s="197"/>
      <c r="H2427" s="197"/>
      <c r="I2427" s="209"/>
      <c r="M2427" s="212"/>
    </row>
    <row r="2428" spans="1:13">
      <c r="A2428" s="195"/>
      <c r="B2428" s="196" t="s">
        <v>223</v>
      </c>
      <c r="C2428"/>
      <c r="D2428" s="197" t="s">
        <v>270</v>
      </c>
      <c r="E2428" s="197" t="s">
        <v>228</v>
      </c>
      <c r="F2428" s="197"/>
      <c r="G2428" s="197"/>
      <c r="H2428" s="197"/>
      <c r="I2428" s="209"/>
      <c r="M2428" s="212"/>
    </row>
    <row r="2429" spans="1:13">
      <c r="A2429" s="195"/>
      <c r="B2429" s="195" t="s">
        <v>205</v>
      </c>
      <c r="C2429"/>
      <c r="D2429" s="197" t="s">
        <v>270</v>
      </c>
      <c r="E2429" s="197" t="s">
        <v>273</v>
      </c>
      <c r="F2429" s="197"/>
      <c r="G2429" s="197"/>
      <c r="H2429" s="197"/>
      <c r="I2429" s="209"/>
      <c r="M2429" s="212"/>
    </row>
    <row r="2430" spans="1:13">
      <c r="A2430" s="195"/>
      <c r="B2430" s="195" t="s">
        <v>206</v>
      </c>
      <c r="C2430"/>
      <c r="D2430" s="197" t="s">
        <v>270</v>
      </c>
      <c r="E2430" s="197" t="s">
        <v>273</v>
      </c>
      <c r="F2430" s="197"/>
      <c r="G2430" s="197"/>
      <c r="H2430" s="197"/>
      <c r="I2430" s="209"/>
      <c r="M2430" s="212"/>
    </row>
    <row r="2431" spans="1:13">
      <c r="A2431" s="195"/>
      <c r="B2431" s="195" t="s">
        <v>207</v>
      </c>
      <c r="C2431"/>
      <c r="D2431" s="197" t="s">
        <v>270</v>
      </c>
      <c r="E2431" s="197" t="s">
        <v>273</v>
      </c>
      <c r="F2431" s="197"/>
      <c r="G2431" s="197"/>
      <c r="H2431" s="197"/>
      <c r="I2431" s="209"/>
      <c r="M2431" s="212"/>
    </row>
    <row r="2432" spans="1:13">
      <c r="A2432" s="195"/>
      <c r="B2432" s="196" t="s">
        <v>225</v>
      </c>
      <c r="C2432"/>
      <c r="D2432" s="197" t="s">
        <v>270</v>
      </c>
      <c r="E2432" s="197" t="s">
        <v>263</v>
      </c>
      <c r="F2432" s="197"/>
      <c r="G2432" s="197"/>
      <c r="H2432" s="197"/>
      <c r="I2432" s="209"/>
      <c r="M2432" s="212"/>
    </row>
    <row r="2433" spans="1:14">
      <c r="A2433" s="195"/>
      <c r="B2433" s="195" t="s">
        <v>205</v>
      </c>
      <c r="C2433"/>
      <c r="D2433" s="197" t="s">
        <v>270</v>
      </c>
      <c r="E2433" s="197" t="s">
        <v>263</v>
      </c>
      <c r="F2433" s="197"/>
      <c r="G2433" s="197"/>
      <c r="H2433" s="209"/>
      <c r="I2433" s="209"/>
      <c r="M2433" s="212"/>
    </row>
    <row r="2434" spans="1:14">
      <c r="A2434" s="195"/>
      <c r="B2434" s="195" t="s">
        <v>206</v>
      </c>
      <c r="C2434"/>
      <c r="D2434" s="197" t="s">
        <v>270</v>
      </c>
      <c r="E2434" s="197" t="s">
        <v>263</v>
      </c>
      <c r="F2434" s="197"/>
      <c r="G2434" s="197"/>
      <c r="H2434" s="209"/>
      <c r="I2434" s="209"/>
      <c r="M2434" s="212"/>
    </row>
    <row r="2435" spans="1:14">
      <c r="A2435" s="195"/>
      <c r="B2435" s="195" t="s">
        <v>207</v>
      </c>
      <c r="C2435"/>
      <c r="D2435" s="197" t="s">
        <v>270</v>
      </c>
      <c r="E2435" s="197" t="s">
        <v>263</v>
      </c>
      <c r="F2435" s="197"/>
      <c r="G2435" s="197"/>
      <c r="H2435" s="209"/>
      <c r="I2435" s="209"/>
      <c r="M2435" s="212"/>
    </row>
    <row r="2436" spans="1:14">
      <c r="A2436" s="195"/>
      <c r="B2436" s="196" t="s">
        <v>226</v>
      </c>
      <c r="C2436"/>
      <c r="D2436" s="197" t="s">
        <v>270</v>
      </c>
      <c r="E2436" s="197"/>
      <c r="F2436" s="197"/>
      <c r="G2436" s="197"/>
      <c r="H2436" s="209"/>
      <c r="I2436" s="209"/>
      <c r="M2436" s="212"/>
    </row>
    <row r="2437" spans="1:14">
      <c r="A2437" s="195"/>
      <c r="B2437" s="195" t="s">
        <v>205</v>
      </c>
      <c r="C2437"/>
      <c r="D2437" s="197" t="s">
        <v>270</v>
      </c>
      <c r="E2437" s="197"/>
      <c r="F2437" s="197"/>
      <c r="G2437" s="197"/>
      <c r="H2437" s="209"/>
      <c r="I2437" s="209"/>
      <c r="M2437" s="212"/>
    </row>
    <row r="2438" spans="1:14">
      <c r="A2438" s="195"/>
      <c r="B2438" s="195" t="s">
        <v>206</v>
      </c>
      <c r="C2438"/>
      <c r="D2438" s="197" t="s">
        <v>270</v>
      </c>
      <c r="E2438" s="197"/>
      <c r="F2438" s="197"/>
      <c r="G2438" s="197"/>
      <c r="H2438" s="209"/>
      <c r="I2438" s="209"/>
      <c r="M2438" s="212"/>
    </row>
    <row r="2439" spans="1:14">
      <c r="A2439" s="195"/>
      <c r="B2439" s="195" t="s">
        <v>207</v>
      </c>
      <c r="C2439"/>
      <c r="D2439" s="197" t="s">
        <v>270</v>
      </c>
      <c r="E2439" s="197"/>
      <c r="F2439" s="197"/>
      <c r="G2439" s="197"/>
      <c r="H2439" s="209"/>
      <c r="I2439" s="209"/>
      <c r="M2439" s="212"/>
    </row>
    <row r="2440" spans="1:14">
      <c r="A2440" s="195"/>
      <c r="B2440" s="196" t="s">
        <v>227</v>
      </c>
      <c r="C2440"/>
      <c r="D2440" s="197"/>
      <c r="E2440" s="197"/>
      <c r="F2440" s="197"/>
      <c r="G2440" s="197"/>
      <c r="H2440" s="209"/>
      <c r="I2440" s="209"/>
      <c r="K2440"/>
      <c r="M2440" s="212"/>
    </row>
    <row r="2441" spans="1:14" ht="29.25" thickBot="1">
      <c r="A2441" s="182" t="str">
        <f>"回収シフト  第"&amp;ROUNDUP(DAY(B2444)/7,0)  &amp;"  "&amp;TEXT(B2444,"aaaa")</f>
        <v>回収シフト  第4  月曜日</v>
      </c>
      <c r="B2441" s="183"/>
      <c r="C2441" s="183"/>
      <c r="D2441" s="183"/>
      <c r="E2441" s="183"/>
      <c r="F2441" s="183"/>
      <c r="G2441" s="184"/>
      <c r="H2441" s="184"/>
      <c r="I2441" s="184"/>
      <c r="K2441" s="183"/>
      <c r="L2441" s="183"/>
      <c r="M2441" s="50"/>
      <c r="N2441" s="50"/>
    </row>
    <row r="2442" spans="1:14" ht="15.75" thickBot="1">
      <c r="A2442"/>
      <c r="B2442"/>
      <c r="C2442"/>
      <c r="D2442" s="186" t="s">
        <v>201</v>
      </c>
      <c r="E2442" s="186" t="s">
        <v>202</v>
      </c>
      <c r="F2442" s="186" t="s">
        <v>203</v>
      </c>
      <c r="G2442" s="186" t="s">
        <v>204</v>
      </c>
      <c r="H2442" s="186" t="s">
        <v>267</v>
      </c>
      <c r="I2442" s="217" t="s">
        <v>267</v>
      </c>
      <c r="K2442" s="230" t="s">
        <v>257</v>
      </c>
      <c r="L2442" s="231"/>
      <c r="M2442" s="212"/>
    </row>
    <row r="2443" spans="1:14">
      <c r="A2443" s="187"/>
      <c r="B2443" s="188">
        <v>45495</v>
      </c>
      <c r="C2443" s="187"/>
      <c r="D2443" s="189" t="s">
        <v>921</v>
      </c>
      <c r="E2443" s="189" t="s">
        <v>248</v>
      </c>
      <c r="F2443" s="189" t="s">
        <v>890</v>
      </c>
      <c r="G2443" s="189" t="s">
        <v>859</v>
      </c>
      <c r="H2443" s="189" t="s">
        <v>852</v>
      </c>
      <c r="I2443" s="218" t="s">
        <v>852</v>
      </c>
      <c r="K2443" s="232" t="s">
        <v>258</v>
      </c>
      <c r="L2443" s="190" t="str">
        <f ca="1">_xlfn.XLOOKUP($B2444,シフト抽出!$19:$19,シフト抽出!$20:$20,"該当なし",0,1)</f>
        <v/>
      </c>
      <c r="M2443" s="212"/>
    </row>
    <row r="2444" spans="1:14" ht="19.5" thickBot="1">
      <c r="A2444"/>
      <c r="B2444" s="191">
        <f>B2391+2</f>
        <v>46167</v>
      </c>
      <c r="C2444" s="192"/>
      <c r="D2444" s="193"/>
      <c r="E2444" s="193"/>
      <c r="F2444" s="193"/>
      <c r="G2444" s="193"/>
      <c r="H2444" s="193"/>
      <c r="I2444" s="219"/>
      <c r="K2444" s="233"/>
      <c r="L2444" s="194" t="str">
        <f ca="1">_xlfn.XLOOKUP($B2444,シフト抽出!$19:$19,シフト抽出!$21:$21,"該当なし",0,1)</f>
        <v/>
      </c>
      <c r="M2444" s="212"/>
    </row>
    <row r="2445" spans="1:14">
      <c r="A2445" s="195"/>
      <c r="B2445" s="196">
        <v>0.25</v>
      </c>
      <c r="C2445"/>
      <c r="D2445" s="197"/>
      <c r="E2445" s="196"/>
      <c r="F2445" s="197"/>
      <c r="G2445" s="197"/>
      <c r="H2445" s="197"/>
      <c r="I2445" s="209"/>
      <c r="K2445" s="234" t="s">
        <v>259</v>
      </c>
      <c r="L2445" s="198" t="str">
        <f ca="1">_xlfn.XLOOKUP($B2444,シフト抽出!$19:$19,シフト抽出!$23:$23,"該当なし",0,1)</f>
        <v/>
      </c>
      <c r="M2445" s="212"/>
    </row>
    <row r="2446" spans="1:14" ht="15.75" thickBot="1">
      <c r="A2446" s="195"/>
      <c r="B2446" s="195" t="s">
        <v>205</v>
      </c>
      <c r="C2446"/>
      <c r="D2446" s="197"/>
      <c r="E2446" s="197"/>
      <c r="F2446" s="197"/>
      <c r="G2446" s="197"/>
      <c r="H2446" s="197"/>
      <c r="I2446" s="209"/>
      <c r="K2446" s="235"/>
      <c r="L2446" s="199" t="str">
        <f ca="1">_xlfn.XLOOKUP($B2444,シフト抽出!$19:$19,シフト抽出!$24:$24,"該当なし",0,1)</f>
        <v/>
      </c>
      <c r="M2446" s="212"/>
    </row>
    <row r="2447" spans="1:14">
      <c r="A2447" s="195"/>
      <c r="B2447" s="195" t="s">
        <v>206</v>
      </c>
      <c r="C2447"/>
      <c r="D2447" s="197"/>
      <c r="E2447" s="197"/>
      <c r="F2447" s="197"/>
      <c r="G2447" s="197"/>
      <c r="H2447" s="197"/>
      <c r="I2447" s="209"/>
      <c r="K2447" s="224" t="s">
        <v>260</v>
      </c>
      <c r="L2447" s="200" t="str">
        <f ca="1">_xlfn.XLOOKUP($B2444,シフト抽出!$19:$19,シフト抽出!$26:$26,"該当なし",0,1)</f>
        <v/>
      </c>
      <c r="M2447" s="212"/>
    </row>
    <row r="2448" spans="1:14">
      <c r="A2448" s="195"/>
      <c r="B2448" s="195" t="s">
        <v>207</v>
      </c>
      <c r="C2448"/>
      <c r="D2448" s="197"/>
      <c r="E2448" s="197"/>
      <c r="F2448" s="197"/>
      <c r="G2448" s="197"/>
      <c r="H2448" s="197"/>
      <c r="I2448" s="209"/>
      <c r="K2448" s="225"/>
      <c r="L2448" s="201" t="str">
        <f ca="1">_xlfn.XLOOKUP($B2444,シフト抽出!$19:$19,シフト抽出!$27:$27,"該当なし",0,1)</f>
        <v/>
      </c>
      <c r="M2448" s="212"/>
    </row>
    <row r="2449" spans="1:13">
      <c r="A2449" s="195"/>
      <c r="B2449" s="202" t="s">
        <v>208</v>
      </c>
      <c r="C2449"/>
      <c r="D2449" s="197"/>
      <c r="E2449" s="197"/>
      <c r="F2449" s="197"/>
      <c r="G2449" s="197"/>
      <c r="H2449" s="197"/>
      <c r="I2449" s="209"/>
      <c r="J2449" s="203"/>
      <c r="K2449" s="225"/>
      <c r="L2449" s="201" t="str">
        <f ca="1">_xlfn.XLOOKUP($B2444,シフト抽出!$19:$19,シフト抽出!$28:$28,"該当なし",0,1)</f>
        <v/>
      </c>
      <c r="M2449" s="212"/>
    </row>
    <row r="2450" spans="1:13" ht="15.75" thickBot="1">
      <c r="A2450" s="195"/>
      <c r="B2450" s="195" t="s">
        <v>205</v>
      </c>
      <c r="C2450"/>
      <c r="D2450" s="197"/>
      <c r="E2450" s="197"/>
      <c r="F2450" s="197"/>
      <c r="G2450" s="197"/>
      <c r="H2450" s="197"/>
      <c r="I2450" s="209"/>
      <c r="J2450" s="203"/>
      <c r="K2450" s="226"/>
      <c r="L2450" s="204" t="str">
        <f ca="1">_xlfn.XLOOKUP($B2444,シフト抽出!$19:$19,シフト抽出!$29:$29,"該当なし",0,1)</f>
        <v/>
      </c>
      <c r="M2450" s="212"/>
    </row>
    <row r="2451" spans="1:13" ht="15.75" thickBot="1">
      <c r="A2451" s="195"/>
      <c r="B2451" s="195" t="s">
        <v>206</v>
      </c>
      <c r="C2451"/>
      <c r="D2451" s="197"/>
      <c r="E2451" s="197"/>
      <c r="F2451" s="197"/>
      <c r="G2451" s="197"/>
      <c r="H2451" s="197"/>
      <c r="I2451" s="209"/>
      <c r="K2451" s="205" t="s">
        <v>261</v>
      </c>
      <c r="L2451" s="205">
        <f>_xlfn.XLOOKUP($B2444,予定表!B:B,予定表!R:R,"該当なし",0,1)</f>
        <v>0</v>
      </c>
      <c r="M2451" s="212"/>
    </row>
    <row r="2452" spans="1:13">
      <c r="A2452" s="195"/>
      <c r="B2452" s="195" t="s">
        <v>207</v>
      </c>
      <c r="C2452"/>
      <c r="D2452" s="197"/>
      <c r="E2452" s="197"/>
      <c r="F2452" s="197"/>
      <c r="G2452" s="197"/>
      <c r="H2452" s="197"/>
      <c r="I2452" s="209"/>
      <c r="K2452" s="227" t="s">
        <v>262</v>
      </c>
      <c r="L2452" s="206">
        <f>_xlfn.XLOOKUP($B2444,予定表!$B:$B,予定表!E:E,"該当なし",0,1)</f>
        <v>0</v>
      </c>
      <c r="M2452" s="212"/>
    </row>
    <row r="2453" spans="1:13">
      <c r="A2453" s="195"/>
      <c r="B2453" s="196" t="s">
        <v>209</v>
      </c>
      <c r="C2453"/>
      <c r="D2453" s="197" t="s">
        <v>264</v>
      </c>
      <c r="E2453" s="197" t="s">
        <v>414</v>
      </c>
      <c r="F2453" s="197" t="s">
        <v>851</v>
      </c>
      <c r="G2453" s="197" t="s">
        <v>268</v>
      </c>
      <c r="H2453" s="197" t="s">
        <v>848</v>
      </c>
      <c r="I2453" s="209" t="s">
        <v>848</v>
      </c>
      <c r="K2453" s="228"/>
      <c r="L2453" s="207" t="str">
        <f>_xlfn.XLOOKUP($B2444,予定表!$B:$B,予定表!F:F,"該当なし",0,1)</f>
        <v>ディーミング</v>
      </c>
      <c r="M2453" s="212"/>
    </row>
    <row r="2454" spans="1:13">
      <c r="A2454" s="195"/>
      <c r="B2454" s="195" t="s">
        <v>205</v>
      </c>
      <c r="C2454"/>
      <c r="D2454" s="197" t="s">
        <v>793</v>
      </c>
      <c r="E2454" s="197" t="s">
        <v>414</v>
      </c>
      <c r="F2454" s="197" t="s">
        <v>851</v>
      </c>
      <c r="G2454" s="197" t="s">
        <v>268</v>
      </c>
      <c r="H2454" s="197" t="s">
        <v>848</v>
      </c>
      <c r="I2454" s="209" t="s">
        <v>848</v>
      </c>
      <c r="K2454" s="228"/>
      <c r="L2454" s="207" t="str">
        <f>_xlfn.XLOOKUP($B2444,予定表!$B:$B,予定表!G:G,"該当なし",0,1)</f>
        <v>キョクレイストレッチ</v>
      </c>
      <c r="M2454" s="212"/>
    </row>
    <row r="2455" spans="1:13">
      <c r="A2455" s="195"/>
      <c r="B2455" s="195" t="s">
        <v>206</v>
      </c>
      <c r="C2455"/>
      <c r="D2455" s="197" t="s">
        <v>793</v>
      </c>
      <c r="E2455" s="197" t="s">
        <v>414</v>
      </c>
      <c r="F2455" s="197" t="s">
        <v>851</v>
      </c>
      <c r="G2455" s="197" t="s">
        <v>268</v>
      </c>
      <c r="H2455" s="197" t="s">
        <v>848</v>
      </c>
      <c r="I2455" s="209" t="s">
        <v>848</v>
      </c>
      <c r="K2455" s="228"/>
      <c r="L2455" s="207" t="str">
        <f>_xlfn.XLOOKUP($B2444,予定表!$B:$B,予定表!H:H,"該当なし",0,1)</f>
        <v>資さんうどん</v>
      </c>
      <c r="M2455" s="212"/>
    </row>
    <row r="2456" spans="1:13">
      <c r="A2456" s="195"/>
      <c r="B2456" s="195" t="s">
        <v>207</v>
      </c>
      <c r="C2456"/>
      <c r="D2456" s="197" t="s">
        <v>119</v>
      </c>
      <c r="E2456" s="197" t="s">
        <v>414</v>
      </c>
      <c r="F2456" s="197" t="s">
        <v>851</v>
      </c>
      <c r="G2456" s="197" t="s">
        <v>268</v>
      </c>
      <c r="H2456" s="197" t="s">
        <v>848</v>
      </c>
      <c r="I2456" s="209" t="s">
        <v>848</v>
      </c>
      <c r="K2456" s="228"/>
      <c r="L2456" s="207" t="str">
        <f>_xlfn.XLOOKUP($B2444,予定表!$B:$B,予定表!I:I,"該当なし",0,1)</f>
        <v/>
      </c>
      <c r="M2456" s="212"/>
    </row>
    <row r="2457" spans="1:13">
      <c r="A2457" s="195"/>
      <c r="B2457" s="196" t="s">
        <v>212</v>
      </c>
      <c r="C2457"/>
      <c r="D2457" s="197" t="s">
        <v>278</v>
      </c>
      <c r="E2457" s="197" t="s">
        <v>414</v>
      </c>
      <c r="F2457" s="197" t="s">
        <v>851</v>
      </c>
      <c r="G2457" s="197" t="s">
        <v>268</v>
      </c>
      <c r="H2457" s="197" t="s">
        <v>848</v>
      </c>
      <c r="I2457" s="209" t="s">
        <v>848</v>
      </c>
      <c r="K2457" s="228"/>
      <c r="L2457" s="207" t="str">
        <f>_xlfn.XLOOKUP($B2444,予定表!$B:$B,予定表!J:J,"該当なし",0,1)</f>
        <v/>
      </c>
      <c r="M2457" s="212"/>
    </row>
    <row r="2458" spans="1:13">
      <c r="A2458" s="195"/>
      <c r="B2458" s="195" t="s">
        <v>205</v>
      </c>
      <c r="C2458"/>
      <c r="D2458" s="197" t="s">
        <v>213</v>
      </c>
      <c r="E2458" s="197" t="s">
        <v>414</v>
      </c>
      <c r="F2458" s="197" t="s">
        <v>851</v>
      </c>
      <c r="G2458" s="197" t="s">
        <v>515</v>
      </c>
      <c r="H2458" s="197" t="s">
        <v>229</v>
      </c>
      <c r="I2458" s="209" t="s">
        <v>229</v>
      </c>
      <c r="K2458" s="228"/>
      <c r="L2458" s="207" t="str">
        <f>_xlfn.XLOOKUP($B2444,予定表!$B:$B,予定表!K:K,"該当なし",0,1)</f>
        <v/>
      </c>
      <c r="M2458" s="212"/>
    </row>
    <row r="2459" spans="1:13">
      <c r="A2459" s="195"/>
      <c r="B2459" s="195" t="s">
        <v>206</v>
      </c>
      <c r="C2459"/>
      <c r="D2459" s="197" t="s">
        <v>144</v>
      </c>
      <c r="E2459" s="197" t="s">
        <v>862</v>
      </c>
      <c r="F2459" s="197"/>
      <c r="G2459" s="197" t="s">
        <v>515</v>
      </c>
      <c r="H2459" s="197" t="s">
        <v>229</v>
      </c>
      <c r="I2459" s="209" t="s">
        <v>229</v>
      </c>
      <c r="K2459" s="228"/>
      <c r="L2459" s="207" t="str">
        <f>_xlfn.XLOOKUP($B2444,予定表!$B:$B,予定表!L:L,"該当なし",0,1)</f>
        <v/>
      </c>
      <c r="M2459" s="212"/>
    </row>
    <row r="2460" spans="1:13" ht="15.75" thickBot="1">
      <c r="A2460" s="195"/>
      <c r="B2460" s="195" t="s">
        <v>207</v>
      </c>
      <c r="C2460"/>
      <c r="D2460" s="197" t="s">
        <v>144</v>
      </c>
      <c r="E2460" s="197" t="s">
        <v>214</v>
      </c>
      <c r="F2460" s="197" t="s">
        <v>252</v>
      </c>
      <c r="G2460" s="197" t="s">
        <v>269</v>
      </c>
      <c r="H2460" s="197" t="s">
        <v>229</v>
      </c>
      <c r="I2460" s="209" t="s">
        <v>229</v>
      </c>
      <c r="K2460" s="229"/>
      <c r="L2460" s="204" t="str">
        <f>_xlfn.XLOOKUP($A2441,ﾘｽﾄマスタ!$U$8:$U$17,ﾘｽﾄマスタ!$V$8:$V$17,"",0)</f>
        <v/>
      </c>
      <c r="M2460" s="212"/>
    </row>
    <row r="2461" spans="1:13" ht="15.75" thickBot="1">
      <c r="A2461" s="195"/>
      <c r="B2461" s="196" t="s">
        <v>251</v>
      </c>
      <c r="C2461"/>
      <c r="D2461" s="197" t="s">
        <v>218</v>
      </c>
      <c r="E2461" s="197" t="s">
        <v>214</v>
      </c>
      <c r="F2461" s="197" t="s">
        <v>252</v>
      </c>
      <c r="G2461" s="197" t="s">
        <v>269</v>
      </c>
      <c r="H2461" s="197" t="s">
        <v>230</v>
      </c>
      <c r="I2461" s="209" t="s">
        <v>230</v>
      </c>
      <c r="K2461" s="208" t="s">
        <v>277</v>
      </c>
      <c r="L2461" s="208" t="str">
        <f ca="1">_xlfn.XLOOKUP($B2444,シフト抽出!$19:$19,シフト抽出!$30:$30,"該当なし",0,1)</f>
        <v/>
      </c>
      <c r="M2461" s="212"/>
    </row>
    <row r="2462" spans="1:13">
      <c r="A2462" s="195"/>
      <c r="B2462" s="195" t="s">
        <v>205</v>
      </c>
      <c r="C2462"/>
      <c r="D2462" s="197" t="s">
        <v>78</v>
      </c>
      <c r="E2462" s="197" t="s">
        <v>214</v>
      </c>
      <c r="F2462" s="197" t="s">
        <v>252</v>
      </c>
      <c r="G2462" s="197" t="s">
        <v>269</v>
      </c>
      <c r="H2462" s="197" t="s">
        <v>230</v>
      </c>
      <c r="I2462" s="209" t="s">
        <v>230</v>
      </c>
      <c r="M2462" s="212"/>
    </row>
    <row r="2463" spans="1:13">
      <c r="A2463" s="195"/>
      <c r="B2463" s="195" t="s">
        <v>206</v>
      </c>
      <c r="C2463"/>
      <c r="D2463" s="197" t="s">
        <v>78</v>
      </c>
      <c r="E2463" s="197" t="s">
        <v>214</v>
      </c>
      <c r="F2463" s="197" t="s">
        <v>252</v>
      </c>
      <c r="G2463" s="197" t="s">
        <v>269</v>
      </c>
      <c r="H2463" s="197" t="s">
        <v>230</v>
      </c>
      <c r="I2463" s="209" t="s">
        <v>230</v>
      </c>
      <c r="M2463" s="212"/>
    </row>
    <row r="2464" spans="1:13">
      <c r="A2464" s="195"/>
      <c r="B2464" s="195" t="s">
        <v>207</v>
      </c>
      <c r="C2464"/>
      <c r="D2464" s="197" t="s">
        <v>146</v>
      </c>
      <c r="E2464" s="197" t="s">
        <v>761</v>
      </c>
      <c r="F2464" s="197" t="s">
        <v>252</v>
      </c>
      <c r="G2464" s="197" t="s">
        <v>446</v>
      </c>
      <c r="H2464" s="197" t="s">
        <v>230</v>
      </c>
      <c r="I2464" s="209" t="s">
        <v>230</v>
      </c>
      <c r="M2464" s="212"/>
    </row>
    <row r="2465" spans="1:13">
      <c r="A2465" s="195"/>
      <c r="B2465" s="196" t="s">
        <v>217</v>
      </c>
      <c r="C2465"/>
      <c r="D2465" s="197" t="s">
        <v>146</v>
      </c>
      <c r="E2465" s="197" t="s">
        <v>761</v>
      </c>
      <c r="F2465" s="197" t="s">
        <v>252</v>
      </c>
      <c r="G2465" s="197" t="s">
        <v>446</v>
      </c>
      <c r="H2465" s="197" t="s">
        <v>230</v>
      </c>
      <c r="I2465" s="209" t="s">
        <v>230</v>
      </c>
      <c r="M2465" s="212"/>
    </row>
    <row r="2466" spans="1:13">
      <c r="A2466" s="195"/>
      <c r="B2466" s="195" t="s">
        <v>205</v>
      </c>
      <c r="C2466"/>
      <c r="D2466" s="197" t="s">
        <v>146</v>
      </c>
      <c r="E2466" s="197" t="s">
        <v>761</v>
      </c>
      <c r="F2466" s="197" t="s">
        <v>252</v>
      </c>
      <c r="G2466" s="197" t="s">
        <v>114</v>
      </c>
      <c r="H2466" s="197" t="s">
        <v>230</v>
      </c>
      <c r="I2466" s="209" t="s">
        <v>230</v>
      </c>
      <c r="M2466" s="212"/>
    </row>
    <row r="2467" spans="1:13">
      <c r="A2467" s="195"/>
      <c r="B2467" s="195" t="s">
        <v>206</v>
      </c>
      <c r="C2467"/>
      <c r="D2467" s="197" t="s">
        <v>51</v>
      </c>
      <c r="E2467" s="197"/>
      <c r="F2467" s="197" t="s">
        <v>252</v>
      </c>
      <c r="G2467" s="197" t="s">
        <v>114</v>
      </c>
      <c r="H2467" s="197"/>
      <c r="I2467" s="209"/>
      <c r="M2467" s="212"/>
    </row>
    <row r="2468" spans="1:13">
      <c r="A2468" s="195"/>
      <c r="B2468" s="195" t="s">
        <v>207</v>
      </c>
      <c r="C2468"/>
      <c r="D2468" s="197" t="s">
        <v>51</v>
      </c>
      <c r="E2468" s="197"/>
      <c r="F2468" s="197" t="s">
        <v>252</v>
      </c>
      <c r="G2468" s="197"/>
      <c r="H2468" s="197"/>
      <c r="I2468" s="209"/>
      <c r="M2468" s="212"/>
    </row>
    <row r="2469" spans="1:13">
      <c r="A2469" s="195"/>
      <c r="B2469" s="196" t="s">
        <v>219</v>
      </c>
      <c r="C2469"/>
      <c r="D2469" s="197" t="s">
        <v>51</v>
      </c>
      <c r="E2469" s="197"/>
      <c r="F2469" s="197" t="s">
        <v>252</v>
      </c>
      <c r="G2469" s="197"/>
      <c r="H2469" s="197"/>
      <c r="I2469" s="209"/>
      <c r="M2469" s="212"/>
    </row>
    <row r="2470" spans="1:13">
      <c r="A2470" s="195"/>
      <c r="B2470" s="195" t="s">
        <v>205</v>
      </c>
      <c r="C2470"/>
      <c r="D2470" s="197"/>
      <c r="E2470" s="197"/>
      <c r="F2470" s="197" t="s">
        <v>252</v>
      </c>
      <c r="G2470" s="197"/>
      <c r="H2470" s="197"/>
      <c r="I2470" s="209"/>
      <c r="M2470" s="212"/>
    </row>
    <row r="2471" spans="1:13">
      <c r="A2471" s="195"/>
      <c r="B2471" s="195" t="s">
        <v>206</v>
      </c>
      <c r="C2471"/>
      <c r="D2471" s="197"/>
      <c r="E2471" s="197"/>
      <c r="F2471" s="197"/>
      <c r="G2471" s="197"/>
      <c r="H2471" s="197"/>
      <c r="I2471" s="209"/>
      <c r="M2471" s="212"/>
    </row>
    <row r="2472" spans="1:13">
      <c r="A2472" s="195"/>
      <c r="B2472" s="195" t="s">
        <v>207</v>
      </c>
      <c r="C2472"/>
      <c r="D2472" s="189" t="s">
        <v>923</v>
      </c>
      <c r="E2472" s="189"/>
      <c r="F2472" s="189" t="s">
        <v>850</v>
      </c>
      <c r="G2472" s="189" t="s">
        <v>864</v>
      </c>
      <c r="H2472" s="197"/>
      <c r="I2472" s="209"/>
      <c r="M2472" s="212"/>
    </row>
    <row r="2473" spans="1:13">
      <c r="A2473" s="195"/>
      <c r="B2473" s="196" t="s">
        <v>220</v>
      </c>
      <c r="C2473"/>
      <c r="D2473" s="197" t="s">
        <v>759</v>
      </c>
      <c r="E2473" s="197" t="s">
        <v>848</v>
      </c>
      <c r="F2473" s="197" t="s">
        <v>193</v>
      </c>
      <c r="G2473" s="197" t="s">
        <v>56</v>
      </c>
      <c r="H2473" s="209" t="s">
        <v>415</v>
      </c>
      <c r="I2473" s="209" t="s">
        <v>415</v>
      </c>
      <c r="M2473" s="212"/>
    </row>
    <row r="2474" spans="1:13">
      <c r="A2474" s="195"/>
      <c r="B2474" s="195" t="s">
        <v>205</v>
      </c>
      <c r="C2474"/>
      <c r="D2474" s="197" t="s">
        <v>759</v>
      </c>
      <c r="E2474" s="197" t="s">
        <v>848</v>
      </c>
      <c r="F2474" s="197" t="s">
        <v>122</v>
      </c>
      <c r="G2474" s="197" t="s">
        <v>56</v>
      </c>
      <c r="H2474" s="209" t="s">
        <v>415</v>
      </c>
      <c r="I2474" s="209" t="s">
        <v>415</v>
      </c>
      <c r="M2474" s="212"/>
    </row>
    <row r="2475" spans="1:13">
      <c r="A2475" s="195"/>
      <c r="B2475" s="195" t="s">
        <v>206</v>
      </c>
      <c r="C2475"/>
      <c r="D2475" s="197" t="s">
        <v>759</v>
      </c>
      <c r="E2475" s="197" t="s">
        <v>848</v>
      </c>
      <c r="F2475" s="197"/>
      <c r="G2475" s="197" t="s">
        <v>56</v>
      </c>
      <c r="H2475" s="209" t="s">
        <v>415</v>
      </c>
      <c r="I2475" s="209" t="s">
        <v>415</v>
      </c>
      <c r="M2475" s="212"/>
    </row>
    <row r="2476" spans="1:13">
      <c r="A2476" s="195"/>
      <c r="B2476" s="195" t="s">
        <v>207</v>
      </c>
      <c r="C2476"/>
      <c r="D2476" s="197" t="s">
        <v>216</v>
      </c>
      <c r="E2476" s="197" t="s">
        <v>273</v>
      </c>
      <c r="F2476" s="197" t="s">
        <v>224</v>
      </c>
      <c r="G2476" s="197" t="s">
        <v>56</v>
      </c>
      <c r="H2476" s="209" t="s">
        <v>415</v>
      </c>
      <c r="I2476" s="209" t="s">
        <v>415</v>
      </c>
      <c r="M2476" s="212"/>
    </row>
    <row r="2477" spans="1:13">
      <c r="A2477" s="195"/>
      <c r="B2477" s="196" t="s">
        <v>222</v>
      </c>
      <c r="C2477"/>
      <c r="D2477" s="197" t="s">
        <v>216</v>
      </c>
      <c r="E2477" s="197" t="s">
        <v>273</v>
      </c>
      <c r="F2477" s="197" t="s">
        <v>865</v>
      </c>
      <c r="G2477" s="197" t="s">
        <v>424</v>
      </c>
      <c r="H2477" s="209" t="s">
        <v>415</v>
      </c>
      <c r="I2477" s="209" t="s">
        <v>415</v>
      </c>
      <c r="M2477" s="212"/>
    </row>
    <row r="2478" spans="1:13">
      <c r="A2478" s="195"/>
      <c r="B2478" s="195" t="s">
        <v>205</v>
      </c>
      <c r="C2478"/>
      <c r="D2478" s="197" t="s">
        <v>216</v>
      </c>
      <c r="E2478" s="197" t="s">
        <v>273</v>
      </c>
      <c r="F2478" s="197" t="s">
        <v>866</v>
      </c>
      <c r="G2478" s="197" t="s">
        <v>270</v>
      </c>
      <c r="H2478" s="209" t="s">
        <v>415</v>
      </c>
      <c r="I2478" s="209" t="s">
        <v>415</v>
      </c>
      <c r="M2478" s="212"/>
    </row>
    <row r="2479" spans="1:13">
      <c r="A2479" s="195"/>
      <c r="B2479" s="195" t="s">
        <v>206</v>
      </c>
      <c r="C2479"/>
      <c r="D2479" s="197" t="s">
        <v>160</v>
      </c>
      <c r="E2479" s="197" t="s">
        <v>252</v>
      </c>
      <c r="F2479" s="197" t="s">
        <v>416</v>
      </c>
      <c r="G2479" s="197" t="s">
        <v>270</v>
      </c>
      <c r="H2479" s="209" t="s">
        <v>415</v>
      </c>
      <c r="I2479" s="209" t="s">
        <v>415</v>
      </c>
      <c r="M2479" s="212"/>
    </row>
    <row r="2480" spans="1:13">
      <c r="A2480" s="195"/>
      <c r="B2480" s="195" t="s">
        <v>207</v>
      </c>
      <c r="C2480"/>
      <c r="D2480" s="197" t="s">
        <v>215</v>
      </c>
      <c r="E2480" s="197" t="s">
        <v>252</v>
      </c>
      <c r="F2480" s="197" t="s">
        <v>901</v>
      </c>
      <c r="G2480" s="197" t="s">
        <v>270</v>
      </c>
      <c r="H2480" s="209" t="s">
        <v>415</v>
      </c>
      <c r="I2480" s="209" t="s">
        <v>415</v>
      </c>
      <c r="M2480" s="212"/>
    </row>
    <row r="2481" spans="1:14">
      <c r="A2481" s="195"/>
      <c r="B2481" s="196" t="s">
        <v>223</v>
      </c>
      <c r="C2481"/>
      <c r="D2481" s="197" t="s">
        <v>280</v>
      </c>
      <c r="E2481" s="197" t="s">
        <v>252</v>
      </c>
      <c r="F2481" s="197" t="s">
        <v>416</v>
      </c>
      <c r="G2481" s="197" t="s">
        <v>270</v>
      </c>
      <c r="H2481" s="209" t="s">
        <v>415</v>
      </c>
      <c r="I2481" s="209" t="s">
        <v>415</v>
      </c>
      <c r="M2481" s="212"/>
    </row>
    <row r="2482" spans="1:14">
      <c r="A2482" s="195"/>
      <c r="B2482" s="195" t="s">
        <v>205</v>
      </c>
      <c r="C2482"/>
      <c r="D2482" s="197" t="s">
        <v>127</v>
      </c>
      <c r="E2482" s="197" t="s">
        <v>252</v>
      </c>
      <c r="F2482" s="197" t="s">
        <v>62</v>
      </c>
      <c r="G2482" s="197" t="s">
        <v>270</v>
      </c>
      <c r="H2482" s="209" t="s">
        <v>415</v>
      </c>
      <c r="I2482" s="209" t="s">
        <v>415</v>
      </c>
      <c r="M2482" s="212"/>
    </row>
    <row r="2483" spans="1:14">
      <c r="A2483" s="195"/>
      <c r="B2483" s="195" t="s">
        <v>206</v>
      </c>
      <c r="C2483"/>
      <c r="D2483" s="197"/>
      <c r="E2483" s="197" t="s">
        <v>252</v>
      </c>
      <c r="F2483" s="197" t="s">
        <v>62</v>
      </c>
      <c r="G2483" s="197" t="s">
        <v>270</v>
      </c>
      <c r="H2483" s="209" t="s">
        <v>415</v>
      </c>
      <c r="I2483" s="209" t="s">
        <v>415</v>
      </c>
      <c r="M2483" s="212"/>
    </row>
    <row r="2484" spans="1:14">
      <c r="A2484" s="195"/>
      <c r="B2484" s="195" t="s">
        <v>207</v>
      </c>
      <c r="C2484"/>
      <c r="D2484" s="197"/>
      <c r="E2484" s="197" t="s">
        <v>252</v>
      </c>
      <c r="F2484" s="197" t="s">
        <v>62</v>
      </c>
      <c r="G2484" s="197" t="s">
        <v>270</v>
      </c>
      <c r="H2484" s="209" t="s">
        <v>415</v>
      </c>
      <c r="I2484" s="209" t="s">
        <v>415</v>
      </c>
      <c r="M2484" s="212"/>
    </row>
    <row r="2485" spans="1:14">
      <c r="A2485" s="195"/>
      <c r="B2485" s="196" t="s">
        <v>225</v>
      </c>
      <c r="C2485"/>
      <c r="D2485" s="197"/>
      <c r="E2485" s="197" t="s">
        <v>252</v>
      </c>
      <c r="F2485" s="197" t="s">
        <v>62</v>
      </c>
      <c r="G2485" s="197" t="s">
        <v>270</v>
      </c>
      <c r="H2485" s="209" t="s">
        <v>415</v>
      </c>
      <c r="I2485" s="209" t="s">
        <v>415</v>
      </c>
      <c r="M2485" s="212"/>
    </row>
    <row r="2486" spans="1:14">
      <c r="A2486" s="195"/>
      <c r="B2486" s="195" t="s">
        <v>205</v>
      </c>
      <c r="C2486"/>
      <c r="D2486" s="197"/>
      <c r="E2486" s="197"/>
      <c r="F2486" s="197" t="s">
        <v>62</v>
      </c>
      <c r="G2486" s="197" t="s">
        <v>270</v>
      </c>
      <c r="H2486" s="209" t="s">
        <v>415</v>
      </c>
      <c r="I2486" s="209" t="s">
        <v>415</v>
      </c>
      <c r="M2486" s="212"/>
    </row>
    <row r="2487" spans="1:14">
      <c r="A2487" s="195"/>
      <c r="B2487" s="195" t="s">
        <v>206</v>
      </c>
      <c r="C2487"/>
      <c r="D2487" s="197"/>
      <c r="E2487" s="197"/>
      <c r="F2487" s="197" t="s">
        <v>62</v>
      </c>
      <c r="G2487" s="197" t="s">
        <v>270</v>
      </c>
      <c r="H2487" s="209" t="s">
        <v>415</v>
      </c>
      <c r="I2487" s="209" t="s">
        <v>415</v>
      </c>
      <c r="M2487" s="212"/>
    </row>
    <row r="2488" spans="1:14">
      <c r="A2488" s="195"/>
      <c r="B2488" s="195" t="s">
        <v>207</v>
      </c>
      <c r="C2488"/>
      <c r="D2488" s="197"/>
      <c r="E2488" s="197"/>
      <c r="F2488" s="197" t="s">
        <v>62</v>
      </c>
      <c r="G2488" s="197" t="s">
        <v>270</v>
      </c>
      <c r="H2488" s="209" t="s">
        <v>415</v>
      </c>
      <c r="I2488" s="209" t="s">
        <v>415</v>
      </c>
      <c r="M2488" s="212"/>
    </row>
    <row r="2489" spans="1:14">
      <c r="A2489" s="195"/>
      <c r="B2489" s="196" t="s">
        <v>226</v>
      </c>
      <c r="C2489"/>
      <c r="D2489" s="197"/>
      <c r="E2489" s="197"/>
      <c r="F2489" s="197"/>
      <c r="G2489" s="197" t="s">
        <v>270</v>
      </c>
      <c r="H2489" s="209"/>
      <c r="I2489" s="209"/>
      <c r="M2489" s="212"/>
    </row>
    <row r="2490" spans="1:14">
      <c r="A2490" s="195"/>
      <c r="B2490" s="195" t="s">
        <v>205</v>
      </c>
      <c r="C2490"/>
      <c r="D2490" s="197"/>
      <c r="E2490" s="197"/>
      <c r="F2490" s="197"/>
      <c r="G2490" s="197" t="s">
        <v>270</v>
      </c>
      <c r="H2490" s="209"/>
      <c r="I2490" s="209"/>
      <c r="M2490" s="212"/>
    </row>
    <row r="2491" spans="1:14">
      <c r="A2491" s="195"/>
      <c r="B2491" s="195" t="s">
        <v>206</v>
      </c>
      <c r="C2491"/>
      <c r="D2491" s="197"/>
      <c r="E2491" s="197"/>
      <c r="F2491" s="197"/>
      <c r="G2491" s="197" t="s">
        <v>270</v>
      </c>
      <c r="H2491" s="209"/>
      <c r="I2491" s="209"/>
      <c r="M2491" s="212"/>
    </row>
    <row r="2492" spans="1:14">
      <c r="A2492" s="195"/>
      <c r="B2492" s="195" t="s">
        <v>207</v>
      </c>
      <c r="C2492"/>
      <c r="D2492" s="197"/>
      <c r="E2492" s="197"/>
      <c r="F2492" s="197"/>
      <c r="G2492" s="197" t="s">
        <v>270</v>
      </c>
      <c r="H2492" s="209"/>
      <c r="I2492" s="209"/>
      <c r="M2492" s="212"/>
    </row>
    <row r="2493" spans="1:14">
      <c r="A2493" s="195"/>
      <c r="B2493" s="196" t="s">
        <v>227</v>
      </c>
      <c r="C2493"/>
      <c r="D2493" s="197"/>
      <c r="E2493" s="197"/>
      <c r="F2493" s="197"/>
      <c r="G2493" s="197"/>
      <c r="H2493" s="209"/>
      <c r="I2493" s="209"/>
      <c r="K2493"/>
      <c r="M2493" s="212"/>
    </row>
    <row r="2494" spans="1:14" ht="29.25" thickBot="1">
      <c r="A2494" s="182" t="str">
        <f>"回収シフト  第"&amp;ROUNDUP(DAY(B2497)/7,0)  &amp;"  "&amp;TEXT(B2497,"aaaa")</f>
        <v>回収シフト  第4  火曜日</v>
      </c>
      <c r="B2494" s="183"/>
      <c r="C2494" s="183"/>
      <c r="D2494" s="183"/>
      <c r="E2494" s="183"/>
      <c r="F2494" s="183"/>
      <c r="G2494" s="184"/>
      <c r="H2494" s="184"/>
      <c r="I2494" s="184"/>
      <c r="K2494" s="183"/>
      <c r="L2494" s="183"/>
      <c r="M2494" s="50"/>
      <c r="N2494" s="50"/>
    </row>
    <row r="2495" spans="1:14" ht="15.75" thickBot="1">
      <c r="A2495"/>
      <c r="B2495"/>
      <c r="C2495"/>
      <c r="D2495" s="186" t="s">
        <v>201</v>
      </c>
      <c r="E2495" s="186" t="s">
        <v>202</v>
      </c>
      <c r="F2495" s="186" t="s">
        <v>203</v>
      </c>
      <c r="G2495" s="186" t="s">
        <v>204</v>
      </c>
      <c r="H2495" s="186" t="s">
        <v>267</v>
      </c>
      <c r="I2495" s="217" t="s">
        <v>267</v>
      </c>
      <c r="K2495" s="230" t="s">
        <v>257</v>
      </c>
      <c r="L2495" s="231"/>
      <c r="M2495" s="212"/>
    </row>
    <row r="2496" spans="1:14">
      <c r="A2496" s="187"/>
      <c r="B2496" s="188">
        <v>46119</v>
      </c>
      <c r="C2496" s="187"/>
      <c r="D2496" s="189" t="s">
        <v>874</v>
      </c>
      <c r="E2496" s="189" t="s">
        <v>937</v>
      </c>
      <c r="F2496" s="189" t="s">
        <v>850</v>
      </c>
      <c r="G2496" s="189" t="s">
        <v>864</v>
      </c>
      <c r="H2496" s="189" t="s">
        <v>852</v>
      </c>
      <c r="I2496" s="218" t="s">
        <v>852</v>
      </c>
      <c r="K2496" s="232" t="s">
        <v>258</v>
      </c>
      <c r="L2496" s="190" t="str">
        <f ca="1">_xlfn.XLOOKUP($B2497,シフト抽出!$19:$19,シフト抽出!$20:$20,"該当なし",0,1)</f>
        <v/>
      </c>
      <c r="M2496" s="212"/>
    </row>
    <row r="2497" spans="1:13" ht="19.5" thickBot="1">
      <c r="A2497"/>
      <c r="B2497" s="191">
        <f>B2444+1</f>
        <v>46168</v>
      </c>
      <c r="C2497" s="192"/>
      <c r="D2497" s="193"/>
      <c r="E2497" s="193"/>
      <c r="F2497" s="193"/>
      <c r="G2497" s="193"/>
      <c r="H2497" s="193"/>
      <c r="I2497" s="219"/>
      <c r="K2497" s="233"/>
      <c r="L2497" s="194" t="str">
        <f ca="1">_xlfn.XLOOKUP($B2497,シフト抽出!$19:$19,シフト抽出!$21:$21,"該当なし",0,1)</f>
        <v/>
      </c>
      <c r="M2497" s="212"/>
    </row>
    <row r="2498" spans="1:13">
      <c r="A2498" s="195"/>
      <c r="B2498" s="196">
        <v>0.25</v>
      </c>
      <c r="C2498"/>
      <c r="D2498" s="197"/>
      <c r="E2498" s="196"/>
      <c r="F2498" s="197"/>
      <c r="G2498" s="197"/>
      <c r="H2498" s="197"/>
      <c r="I2498" s="209"/>
      <c r="K2498" s="234" t="s">
        <v>259</v>
      </c>
      <c r="L2498" s="198" t="str">
        <f ca="1">_xlfn.XLOOKUP($B2497,シフト抽出!$19:$19,シフト抽出!$23:$23,"該当なし",0,1)</f>
        <v/>
      </c>
      <c r="M2498" s="212"/>
    </row>
    <row r="2499" spans="1:13" ht="15.75" thickBot="1">
      <c r="A2499" s="195"/>
      <c r="B2499" s="195" t="s">
        <v>205</v>
      </c>
      <c r="C2499"/>
      <c r="D2499" s="197"/>
      <c r="E2499" s="197"/>
      <c r="F2499" s="197"/>
      <c r="G2499" s="197"/>
      <c r="H2499" s="197"/>
      <c r="I2499" s="209"/>
      <c r="K2499" s="235"/>
      <c r="L2499" s="199" t="str">
        <f ca="1">_xlfn.XLOOKUP($B2497,シフト抽出!$19:$19,シフト抽出!$24:$24,"該当なし",0,1)</f>
        <v/>
      </c>
      <c r="M2499" s="212"/>
    </row>
    <row r="2500" spans="1:13">
      <c r="A2500" s="195"/>
      <c r="B2500" s="195" t="s">
        <v>206</v>
      </c>
      <c r="C2500"/>
      <c r="D2500" s="197"/>
      <c r="E2500" s="197"/>
      <c r="F2500" s="197"/>
      <c r="G2500" s="197"/>
      <c r="H2500" s="197"/>
      <c r="I2500" s="209"/>
      <c r="K2500" s="224" t="s">
        <v>260</v>
      </c>
      <c r="L2500" s="200" t="str">
        <f ca="1">_xlfn.XLOOKUP($B2497,シフト抽出!$19:$19,シフト抽出!$26:$26,"該当なし",0,1)</f>
        <v/>
      </c>
      <c r="M2500" s="212"/>
    </row>
    <row r="2501" spans="1:13">
      <c r="A2501" s="195"/>
      <c r="B2501" s="195" t="s">
        <v>207</v>
      </c>
      <c r="C2501"/>
      <c r="D2501" s="197"/>
      <c r="E2501" s="197"/>
      <c r="F2501" s="197"/>
      <c r="G2501" s="197"/>
      <c r="H2501" s="197"/>
      <c r="I2501" s="209"/>
      <c r="K2501" s="225"/>
      <c r="L2501" s="201" t="str">
        <f ca="1">_xlfn.XLOOKUP($B2497,シフト抽出!$19:$19,シフト抽出!$27:$27,"該当なし",0,1)</f>
        <v/>
      </c>
      <c r="M2501" s="212"/>
    </row>
    <row r="2502" spans="1:13">
      <c r="A2502" s="195"/>
      <c r="B2502" s="202" t="s">
        <v>208</v>
      </c>
      <c r="C2502"/>
      <c r="D2502" s="197" t="s">
        <v>4</v>
      </c>
      <c r="E2502" s="197" t="s">
        <v>4</v>
      </c>
      <c r="F2502" s="197"/>
      <c r="G2502" s="197" t="s">
        <v>4</v>
      </c>
      <c r="H2502" s="197"/>
      <c r="I2502" s="209"/>
      <c r="J2502" s="203"/>
      <c r="K2502" s="225"/>
      <c r="L2502" s="201" t="str">
        <f ca="1">_xlfn.XLOOKUP($B2497,シフト抽出!$19:$19,シフト抽出!$28:$28,"該当なし",0,1)</f>
        <v/>
      </c>
      <c r="M2502" s="212"/>
    </row>
    <row r="2503" spans="1:13" ht="15.75" thickBot="1">
      <c r="A2503" s="195"/>
      <c r="B2503" s="195" t="s">
        <v>205</v>
      </c>
      <c r="C2503"/>
      <c r="D2503" s="197" t="s">
        <v>414</v>
      </c>
      <c r="E2503" s="197" t="s">
        <v>420</v>
      </c>
      <c r="F2503" s="197" t="s">
        <v>851</v>
      </c>
      <c r="G2503" s="197" t="s">
        <v>22</v>
      </c>
      <c r="H2503" s="197"/>
      <c r="I2503" s="209"/>
      <c r="J2503" s="203"/>
      <c r="K2503" s="226"/>
      <c r="L2503" s="204" t="str">
        <f ca="1">_xlfn.XLOOKUP($B2497,シフト抽出!$19:$19,シフト抽出!$29:$29,"該当なし",0,1)</f>
        <v/>
      </c>
      <c r="M2503" s="212"/>
    </row>
    <row r="2504" spans="1:13" ht="15.75" thickBot="1">
      <c r="A2504" s="195"/>
      <c r="B2504" s="195" t="s">
        <v>206</v>
      </c>
      <c r="C2504"/>
      <c r="D2504" s="197" t="s">
        <v>414</v>
      </c>
      <c r="E2504" s="197" t="s">
        <v>420</v>
      </c>
      <c r="F2504" s="197" t="s">
        <v>851</v>
      </c>
      <c r="G2504" s="197" t="s">
        <v>22</v>
      </c>
      <c r="H2504" s="197"/>
      <c r="I2504" s="209"/>
      <c r="K2504" s="205" t="s">
        <v>261</v>
      </c>
      <c r="L2504" s="205">
        <f>_xlfn.XLOOKUP($B2497,予定表!B:B,予定表!R:R,"該当なし",0,1)</f>
        <v>0</v>
      </c>
      <c r="M2504" s="212"/>
    </row>
    <row r="2505" spans="1:13">
      <c r="A2505" s="195"/>
      <c r="B2505" s="195" t="s">
        <v>207</v>
      </c>
      <c r="C2505"/>
      <c r="D2505" s="197" t="s">
        <v>414</v>
      </c>
      <c r="E2505" s="197" t="s">
        <v>420</v>
      </c>
      <c r="F2505" s="197" t="s">
        <v>851</v>
      </c>
      <c r="G2505" s="197" t="s">
        <v>22</v>
      </c>
      <c r="H2505" s="197"/>
      <c r="I2505" s="209"/>
      <c r="K2505" s="227" t="s">
        <v>262</v>
      </c>
      <c r="L2505" s="206">
        <f>_xlfn.XLOOKUP($B2497,予定表!$B:$B,予定表!E:E,"該当なし",0,1)</f>
        <v>0</v>
      </c>
      <c r="M2505" s="212"/>
    </row>
    <row r="2506" spans="1:13">
      <c r="A2506" s="195"/>
      <c r="B2506" s="196" t="s">
        <v>209</v>
      </c>
      <c r="C2506"/>
      <c r="D2506" s="197" t="s">
        <v>414</v>
      </c>
      <c r="E2506" s="197" t="s">
        <v>420</v>
      </c>
      <c r="F2506" s="197" t="s">
        <v>851</v>
      </c>
      <c r="G2506" s="197" t="s">
        <v>268</v>
      </c>
      <c r="H2506" s="197" t="s">
        <v>4</v>
      </c>
      <c r="I2506" s="209" t="s">
        <v>4</v>
      </c>
      <c r="K2506" s="228"/>
      <c r="L2506" s="207">
        <f>_xlfn.XLOOKUP($B2497,予定表!$B:$B,予定表!F:F,"該当なし",0,1)</f>
        <v>0</v>
      </c>
      <c r="M2506" s="212"/>
    </row>
    <row r="2507" spans="1:13">
      <c r="A2507" s="195"/>
      <c r="B2507" s="195" t="s">
        <v>205</v>
      </c>
      <c r="C2507"/>
      <c r="D2507" s="197" t="s">
        <v>414</v>
      </c>
      <c r="E2507" s="197" t="s">
        <v>420</v>
      </c>
      <c r="F2507" s="197" t="s">
        <v>851</v>
      </c>
      <c r="G2507" s="197" t="s">
        <v>268</v>
      </c>
      <c r="H2507" s="197" t="s">
        <v>60</v>
      </c>
      <c r="I2507" s="209" t="s">
        <v>60</v>
      </c>
      <c r="K2507" s="228"/>
      <c r="L2507" s="207">
        <f>_xlfn.XLOOKUP($B2497,予定表!$B:$B,予定表!G:G,"該当なし",0,1)</f>
        <v>0</v>
      </c>
      <c r="M2507" s="212"/>
    </row>
    <row r="2508" spans="1:13">
      <c r="A2508" s="195"/>
      <c r="B2508" s="195" t="s">
        <v>206</v>
      </c>
      <c r="C2508"/>
      <c r="D2508" s="197" t="s">
        <v>214</v>
      </c>
      <c r="E2508" s="197" t="s">
        <v>273</v>
      </c>
      <c r="F2508" s="197" t="s">
        <v>851</v>
      </c>
      <c r="G2508" s="197" t="s">
        <v>268</v>
      </c>
      <c r="H2508" s="197" t="s">
        <v>60</v>
      </c>
      <c r="I2508" s="209" t="s">
        <v>60</v>
      </c>
      <c r="K2508" s="228"/>
      <c r="L2508" s="207">
        <f>_xlfn.XLOOKUP($B2497,予定表!$B:$B,予定表!H:H,"該当なし",0,1)</f>
        <v>0</v>
      </c>
      <c r="M2508" s="212"/>
    </row>
    <row r="2509" spans="1:13">
      <c r="A2509" s="195"/>
      <c r="B2509" s="195" t="s">
        <v>207</v>
      </c>
      <c r="C2509"/>
      <c r="D2509" s="197" t="s">
        <v>214</v>
      </c>
      <c r="E2509" s="197" t="s">
        <v>273</v>
      </c>
      <c r="F2509" s="197"/>
      <c r="G2509" s="197" t="s">
        <v>268</v>
      </c>
      <c r="H2509" s="197" t="s">
        <v>60</v>
      </c>
      <c r="I2509" s="209" t="s">
        <v>60</v>
      </c>
      <c r="K2509" s="228"/>
      <c r="L2509" s="207" t="str">
        <f>_xlfn.XLOOKUP($B2497,予定表!$B:$B,予定表!I:I,"該当なし",0,1)</f>
        <v/>
      </c>
      <c r="M2509" s="212"/>
    </row>
    <row r="2510" spans="1:13">
      <c r="A2510" s="195"/>
      <c r="B2510" s="196" t="s">
        <v>212</v>
      </c>
      <c r="C2510"/>
      <c r="D2510" s="197" t="s">
        <v>214</v>
      </c>
      <c r="E2510" s="197" t="s">
        <v>273</v>
      </c>
      <c r="F2510" s="197" t="s">
        <v>252</v>
      </c>
      <c r="G2510" s="197" t="s">
        <v>169</v>
      </c>
      <c r="H2510" s="197"/>
      <c r="I2510" s="209"/>
      <c r="K2510" s="228"/>
      <c r="L2510" s="207" t="str">
        <f>_xlfn.XLOOKUP($B2497,予定表!$B:$B,予定表!J:J,"該当なし",0,1)</f>
        <v/>
      </c>
      <c r="M2510" s="212"/>
    </row>
    <row r="2511" spans="1:13">
      <c r="A2511" s="195"/>
      <c r="B2511" s="195" t="s">
        <v>205</v>
      </c>
      <c r="C2511"/>
      <c r="D2511" s="197" t="s">
        <v>214</v>
      </c>
      <c r="E2511" s="197" t="s">
        <v>947</v>
      </c>
      <c r="F2511" s="197" t="s">
        <v>252</v>
      </c>
      <c r="G2511" s="197" t="s">
        <v>169</v>
      </c>
      <c r="H2511" s="197" t="s">
        <v>848</v>
      </c>
      <c r="I2511" s="209" t="s">
        <v>848</v>
      </c>
      <c r="K2511" s="228"/>
      <c r="L2511" s="207" t="str">
        <f>_xlfn.XLOOKUP($B2497,予定表!$B:$B,予定表!K:K,"該当なし",0,1)</f>
        <v/>
      </c>
      <c r="M2511" s="212"/>
    </row>
    <row r="2512" spans="1:13">
      <c r="A2512" s="195"/>
      <c r="B2512" s="195" t="s">
        <v>206</v>
      </c>
      <c r="C2512"/>
      <c r="D2512" s="197" t="s">
        <v>353</v>
      </c>
      <c r="E2512" s="197" t="s">
        <v>228</v>
      </c>
      <c r="F2512" s="197" t="s">
        <v>252</v>
      </c>
      <c r="G2512" s="197" t="s">
        <v>169</v>
      </c>
      <c r="H2512" s="197" t="s">
        <v>848</v>
      </c>
      <c r="I2512" s="209" t="s">
        <v>848</v>
      </c>
      <c r="K2512" s="228"/>
      <c r="L2512" s="207" t="str">
        <f>_xlfn.XLOOKUP($B2497,予定表!$B:$B,予定表!L:L,"該当なし",0,1)</f>
        <v/>
      </c>
      <c r="M2512" s="212"/>
    </row>
    <row r="2513" spans="1:13" ht="15.75" thickBot="1">
      <c r="A2513" s="195"/>
      <c r="B2513" s="195" t="s">
        <v>207</v>
      </c>
      <c r="C2513"/>
      <c r="D2513" s="197" t="s">
        <v>353</v>
      </c>
      <c r="E2513" s="197" t="s">
        <v>228</v>
      </c>
      <c r="F2513" s="197" t="s">
        <v>252</v>
      </c>
      <c r="G2513" s="197" t="s">
        <v>169</v>
      </c>
      <c r="H2513" s="197" t="s">
        <v>848</v>
      </c>
      <c r="I2513" s="209" t="s">
        <v>848</v>
      </c>
      <c r="K2513" s="229"/>
      <c r="L2513" s="204" t="str">
        <f>_xlfn.XLOOKUP($A2494,ﾘｽﾄマスタ!$U$8:$U$17,ﾘｽﾄマスタ!$V$8:$V$17,"",0)</f>
        <v>東冷厚木,ﾏﾙﾅｶ</v>
      </c>
      <c r="M2513" s="212"/>
    </row>
    <row r="2514" spans="1:13" ht="15.75" thickBot="1">
      <c r="A2514" s="195"/>
      <c r="B2514" s="196" t="s">
        <v>251</v>
      </c>
      <c r="C2514"/>
      <c r="D2514" s="197" t="s">
        <v>353</v>
      </c>
      <c r="E2514" s="197" t="s">
        <v>228</v>
      </c>
      <c r="F2514" s="197" t="s">
        <v>252</v>
      </c>
      <c r="G2514" s="197" t="s">
        <v>279</v>
      </c>
      <c r="H2514" s="197" t="s">
        <v>848</v>
      </c>
      <c r="I2514" s="209" t="s">
        <v>848</v>
      </c>
      <c r="K2514" s="208" t="s">
        <v>277</v>
      </c>
      <c r="L2514" s="208" t="str">
        <f ca="1">_xlfn.XLOOKUP($B2497,シフト抽出!$19:$19,シフト抽出!$30:$30,"該当なし",0,1)</f>
        <v/>
      </c>
      <c r="M2514" s="212"/>
    </row>
    <row r="2515" spans="1:13">
      <c r="A2515" s="195"/>
      <c r="B2515" s="195" t="s">
        <v>205</v>
      </c>
      <c r="C2515"/>
      <c r="D2515" s="197" t="s">
        <v>761</v>
      </c>
      <c r="E2515" s="197" t="s">
        <v>228</v>
      </c>
      <c r="F2515" s="197" t="s">
        <v>252</v>
      </c>
      <c r="G2515" s="197" t="s">
        <v>279</v>
      </c>
      <c r="H2515" s="197" t="s">
        <v>848</v>
      </c>
      <c r="I2515" s="209" t="s">
        <v>848</v>
      </c>
      <c r="M2515" s="212"/>
    </row>
    <row r="2516" spans="1:13">
      <c r="A2516" s="195"/>
      <c r="B2516" s="195" t="s">
        <v>206</v>
      </c>
      <c r="C2516"/>
      <c r="D2516" s="197" t="s">
        <v>761</v>
      </c>
      <c r="E2516" s="197" t="s">
        <v>263</v>
      </c>
      <c r="F2516" s="197" t="s">
        <v>252</v>
      </c>
      <c r="G2516" s="197" t="s">
        <v>279</v>
      </c>
      <c r="H2516" s="197" t="s">
        <v>229</v>
      </c>
      <c r="I2516" s="209" t="s">
        <v>229</v>
      </c>
      <c r="M2516" s="212"/>
    </row>
    <row r="2517" spans="1:13">
      <c r="A2517" s="195"/>
      <c r="B2517" s="195" t="s">
        <v>207</v>
      </c>
      <c r="C2517"/>
      <c r="D2517" s="197" t="s">
        <v>88</v>
      </c>
      <c r="E2517" s="197" t="s">
        <v>263</v>
      </c>
      <c r="F2517" s="197" t="s">
        <v>252</v>
      </c>
      <c r="G2517" s="197" t="s">
        <v>279</v>
      </c>
      <c r="H2517" s="197" t="s">
        <v>229</v>
      </c>
      <c r="I2517" s="209" t="s">
        <v>229</v>
      </c>
      <c r="M2517" s="212"/>
    </row>
    <row r="2518" spans="1:13">
      <c r="A2518" s="195"/>
      <c r="B2518" s="196" t="s">
        <v>217</v>
      </c>
      <c r="C2518"/>
      <c r="D2518" s="197" t="s">
        <v>160</v>
      </c>
      <c r="E2518" s="197" t="s">
        <v>263</v>
      </c>
      <c r="F2518" s="197" t="s">
        <v>252</v>
      </c>
      <c r="G2518" s="197" t="s">
        <v>279</v>
      </c>
      <c r="H2518" s="197" t="s">
        <v>230</v>
      </c>
      <c r="I2518" s="209" t="s">
        <v>230</v>
      </c>
      <c r="M2518" s="212"/>
    </row>
    <row r="2519" spans="1:13">
      <c r="A2519" s="195"/>
      <c r="B2519" s="195" t="s">
        <v>205</v>
      </c>
      <c r="C2519"/>
      <c r="D2519" s="197" t="s">
        <v>51</v>
      </c>
      <c r="E2519" s="197" t="s">
        <v>263</v>
      </c>
      <c r="F2519" s="197" t="s">
        <v>252</v>
      </c>
      <c r="G2519" s="197" t="s">
        <v>279</v>
      </c>
      <c r="H2519" s="197" t="s">
        <v>230</v>
      </c>
      <c r="I2519" s="209" t="s">
        <v>230</v>
      </c>
      <c r="M2519" s="212"/>
    </row>
    <row r="2520" spans="1:13">
      <c r="A2520" s="195"/>
      <c r="B2520" s="195" t="s">
        <v>206</v>
      </c>
      <c r="C2520"/>
      <c r="D2520" s="197" t="s">
        <v>51</v>
      </c>
      <c r="E2520" s="197" t="s">
        <v>426</v>
      </c>
      <c r="F2520" s="197" t="s">
        <v>252</v>
      </c>
      <c r="G2520" s="197"/>
      <c r="H2520" s="197" t="s">
        <v>230</v>
      </c>
      <c r="I2520" s="209" t="s">
        <v>230</v>
      </c>
      <c r="M2520" s="212"/>
    </row>
    <row r="2521" spans="1:13">
      <c r="A2521" s="195"/>
      <c r="B2521" s="195" t="s">
        <v>207</v>
      </c>
      <c r="C2521"/>
      <c r="D2521" s="197" t="s">
        <v>51</v>
      </c>
      <c r="E2521" s="197" t="s">
        <v>426</v>
      </c>
      <c r="F2521" s="197" t="s">
        <v>252</v>
      </c>
      <c r="G2521" s="197"/>
      <c r="H2521" s="197" t="s">
        <v>230</v>
      </c>
      <c r="I2521" s="209" t="s">
        <v>230</v>
      </c>
      <c r="M2521" s="212"/>
    </row>
    <row r="2522" spans="1:13">
      <c r="A2522" s="195"/>
      <c r="B2522" s="196" t="s">
        <v>219</v>
      </c>
      <c r="C2522"/>
      <c r="D2522" s="197"/>
      <c r="E2522" s="197"/>
      <c r="F2522" s="197"/>
      <c r="G2522" s="197"/>
      <c r="H2522" s="197" t="s">
        <v>230</v>
      </c>
      <c r="I2522" s="209" t="s">
        <v>230</v>
      </c>
      <c r="M2522" s="212"/>
    </row>
    <row r="2523" spans="1:13">
      <c r="A2523" s="195"/>
      <c r="B2523" s="195" t="s">
        <v>205</v>
      </c>
      <c r="C2523"/>
      <c r="D2523" s="197"/>
      <c r="E2523" s="197"/>
      <c r="F2523" s="197"/>
      <c r="G2523" s="197"/>
      <c r="H2523" s="197" t="s">
        <v>230</v>
      </c>
      <c r="I2523" s="209" t="s">
        <v>230</v>
      </c>
      <c r="M2523" s="212"/>
    </row>
    <row r="2524" spans="1:13">
      <c r="A2524" s="195"/>
      <c r="B2524" s="195" t="s">
        <v>206</v>
      </c>
      <c r="C2524"/>
      <c r="D2524" s="197"/>
      <c r="E2524" s="197"/>
      <c r="F2524" s="197"/>
      <c r="G2524" s="197"/>
      <c r="H2524" s="197"/>
      <c r="I2524" s="209"/>
      <c r="M2524" s="212"/>
    </row>
    <row r="2525" spans="1:13">
      <c r="A2525" s="195"/>
      <c r="B2525" s="195" t="s">
        <v>207</v>
      </c>
      <c r="C2525"/>
      <c r="D2525" s="197"/>
      <c r="E2525" s="197"/>
      <c r="F2525" s="197"/>
      <c r="G2525" s="197"/>
      <c r="H2525" s="197"/>
      <c r="I2525" s="209"/>
      <c r="M2525" s="212"/>
    </row>
    <row r="2526" spans="1:13">
      <c r="A2526" s="195"/>
      <c r="B2526" s="196" t="s">
        <v>220</v>
      </c>
      <c r="C2526"/>
      <c r="D2526" s="197"/>
      <c r="E2526" s="197"/>
      <c r="F2526" s="197"/>
      <c r="G2526" s="197"/>
      <c r="H2526" s="197"/>
      <c r="I2526" s="209"/>
      <c r="M2526" s="212"/>
    </row>
    <row r="2527" spans="1:13">
      <c r="A2527" s="195"/>
      <c r="B2527" s="195" t="s">
        <v>205</v>
      </c>
      <c r="C2527"/>
      <c r="D2527" s="197" t="s">
        <v>114</v>
      </c>
      <c r="E2527" s="197" t="s">
        <v>393</v>
      </c>
      <c r="F2527" s="197" t="s">
        <v>394</v>
      </c>
      <c r="G2527" s="197" t="s">
        <v>56</v>
      </c>
      <c r="H2527" s="197" t="s">
        <v>390</v>
      </c>
      <c r="I2527" s="209" t="s">
        <v>390</v>
      </c>
      <c r="M2527" s="212"/>
    </row>
    <row r="2528" spans="1:13">
      <c r="A2528" s="195"/>
      <c r="B2528" s="195" t="s">
        <v>206</v>
      </c>
      <c r="C2528"/>
      <c r="D2528" s="197" t="s">
        <v>114</v>
      </c>
      <c r="E2528" s="197" t="s">
        <v>393</v>
      </c>
      <c r="F2528" s="197" t="s">
        <v>394</v>
      </c>
      <c r="G2528" s="197" t="s">
        <v>56</v>
      </c>
      <c r="H2528" s="197" t="s">
        <v>390</v>
      </c>
      <c r="I2528" s="209" t="s">
        <v>390</v>
      </c>
      <c r="M2528" s="212"/>
    </row>
    <row r="2529" spans="1:13">
      <c r="A2529" s="195"/>
      <c r="B2529" s="195" t="s">
        <v>207</v>
      </c>
      <c r="C2529"/>
      <c r="D2529" s="197" t="s">
        <v>114</v>
      </c>
      <c r="E2529" s="197" t="s">
        <v>393</v>
      </c>
      <c r="F2529" s="197" t="s">
        <v>394</v>
      </c>
      <c r="G2529" s="197" t="s">
        <v>56</v>
      </c>
      <c r="H2529" s="197"/>
      <c r="I2529" s="209"/>
      <c r="M2529" s="212"/>
    </row>
    <row r="2530" spans="1:13">
      <c r="A2530" s="195"/>
      <c r="B2530" s="196" t="s">
        <v>222</v>
      </c>
      <c r="C2530"/>
      <c r="D2530" s="197" t="s">
        <v>129</v>
      </c>
      <c r="E2530" s="197" t="s">
        <v>393</v>
      </c>
      <c r="F2530" s="197" t="s">
        <v>394</v>
      </c>
      <c r="G2530" s="197" t="s">
        <v>56</v>
      </c>
      <c r="H2530" s="197" t="s">
        <v>231</v>
      </c>
      <c r="I2530" s="209" t="s">
        <v>231</v>
      </c>
      <c r="M2530" s="212"/>
    </row>
    <row r="2531" spans="1:13">
      <c r="A2531" s="195"/>
      <c r="B2531" s="195" t="s">
        <v>205</v>
      </c>
      <c r="C2531"/>
      <c r="D2531" s="197" t="s">
        <v>129</v>
      </c>
      <c r="E2531" s="197" t="s">
        <v>393</v>
      </c>
      <c r="F2531" s="197" t="s">
        <v>394</v>
      </c>
      <c r="G2531" s="197"/>
      <c r="H2531" s="197" t="s">
        <v>232</v>
      </c>
      <c r="I2531" s="209" t="s">
        <v>232</v>
      </c>
      <c r="M2531" s="212"/>
    </row>
    <row r="2532" spans="1:13">
      <c r="A2532" s="195"/>
      <c r="B2532" s="195" t="s">
        <v>206</v>
      </c>
      <c r="C2532"/>
      <c r="D2532" s="197"/>
      <c r="E2532" s="197" t="s">
        <v>252</v>
      </c>
      <c r="F2532" s="197" t="s">
        <v>394</v>
      </c>
      <c r="G2532" s="197" t="s">
        <v>270</v>
      </c>
      <c r="H2532" s="197" t="s">
        <v>211</v>
      </c>
      <c r="I2532" s="209" t="s">
        <v>211</v>
      </c>
      <c r="M2532" s="212"/>
    </row>
    <row r="2533" spans="1:13">
      <c r="A2533" s="195"/>
      <c r="B2533" s="195" t="s">
        <v>207</v>
      </c>
      <c r="C2533"/>
      <c r="D2533" s="197" t="s">
        <v>515</v>
      </c>
      <c r="E2533" s="197" t="s">
        <v>252</v>
      </c>
      <c r="F2533" s="197" t="s">
        <v>394</v>
      </c>
      <c r="G2533" s="197" t="s">
        <v>270</v>
      </c>
      <c r="H2533" s="197" t="s">
        <v>211</v>
      </c>
      <c r="I2533" s="209" t="s">
        <v>211</v>
      </c>
      <c r="M2533" s="212"/>
    </row>
    <row r="2534" spans="1:13">
      <c r="A2534" s="195"/>
      <c r="B2534" s="196" t="s">
        <v>223</v>
      </c>
      <c r="C2534"/>
      <c r="D2534" s="197" t="s">
        <v>515</v>
      </c>
      <c r="E2534" s="197" t="s">
        <v>252</v>
      </c>
      <c r="F2534" s="197" t="s">
        <v>394</v>
      </c>
      <c r="G2534" s="197" t="s">
        <v>270</v>
      </c>
      <c r="H2534" s="197"/>
      <c r="I2534" s="209"/>
      <c r="M2534" s="212"/>
    </row>
    <row r="2535" spans="1:13">
      <c r="A2535" s="195"/>
      <c r="B2535" s="195" t="s">
        <v>205</v>
      </c>
      <c r="C2535"/>
      <c r="D2535" s="197" t="s">
        <v>269</v>
      </c>
      <c r="E2535" s="197" t="s">
        <v>252</v>
      </c>
      <c r="F2535" s="197" t="s">
        <v>394</v>
      </c>
      <c r="G2535" s="197" t="s">
        <v>270</v>
      </c>
      <c r="H2535" s="197" t="s">
        <v>856</v>
      </c>
      <c r="I2535" s="209" t="s">
        <v>856</v>
      </c>
      <c r="M2535" s="212"/>
    </row>
    <row r="2536" spans="1:13">
      <c r="A2536" s="195"/>
      <c r="B2536" s="195" t="s">
        <v>206</v>
      </c>
      <c r="C2536"/>
      <c r="D2536" s="197" t="s">
        <v>269</v>
      </c>
      <c r="E2536" s="197" t="s">
        <v>252</v>
      </c>
      <c r="F2536" s="197" t="s">
        <v>394</v>
      </c>
      <c r="G2536" s="197" t="s">
        <v>270</v>
      </c>
      <c r="H2536" s="197" t="s">
        <v>856</v>
      </c>
      <c r="I2536" s="209" t="s">
        <v>856</v>
      </c>
      <c r="M2536" s="212"/>
    </row>
    <row r="2537" spans="1:13">
      <c r="A2537" s="195"/>
      <c r="B2537" s="195" t="s">
        <v>207</v>
      </c>
      <c r="C2537"/>
      <c r="D2537" s="197" t="s">
        <v>269</v>
      </c>
      <c r="E2537" s="197" t="s">
        <v>252</v>
      </c>
      <c r="F2537" s="197" t="s">
        <v>394</v>
      </c>
      <c r="G2537" s="197" t="s">
        <v>270</v>
      </c>
      <c r="H2537" s="197" t="s">
        <v>856</v>
      </c>
      <c r="I2537" s="209" t="s">
        <v>856</v>
      </c>
      <c r="M2537" s="212"/>
    </row>
    <row r="2538" spans="1:13">
      <c r="A2538" s="195"/>
      <c r="B2538" s="196" t="s">
        <v>225</v>
      </c>
      <c r="C2538"/>
      <c r="D2538" s="197" t="s">
        <v>269</v>
      </c>
      <c r="E2538" s="197" t="s">
        <v>252</v>
      </c>
      <c r="F2538" s="197" t="s">
        <v>62</v>
      </c>
      <c r="G2538" s="197" t="s">
        <v>270</v>
      </c>
      <c r="H2538" s="197" t="s">
        <v>856</v>
      </c>
      <c r="I2538" s="209" t="s">
        <v>856</v>
      </c>
      <c r="M2538" s="212"/>
    </row>
    <row r="2539" spans="1:13">
      <c r="A2539" s="195"/>
      <c r="B2539" s="195" t="s">
        <v>205</v>
      </c>
      <c r="C2539"/>
      <c r="D2539" s="197" t="s">
        <v>475</v>
      </c>
      <c r="E2539" s="197" t="s">
        <v>252</v>
      </c>
      <c r="F2539" s="197" t="s">
        <v>62</v>
      </c>
      <c r="G2539" s="197" t="s">
        <v>270</v>
      </c>
      <c r="H2539" s="209" t="s">
        <v>856</v>
      </c>
      <c r="I2539" s="209" t="s">
        <v>856</v>
      </c>
      <c r="M2539" s="212"/>
    </row>
    <row r="2540" spans="1:13">
      <c r="A2540" s="195"/>
      <c r="B2540" s="195" t="s">
        <v>206</v>
      </c>
      <c r="C2540"/>
      <c r="D2540" s="197" t="s">
        <v>361</v>
      </c>
      <c r="E2540" s="197" t="s">
        <v>252</v>
      </c>
      <c r="F2540" s="197" t="s">
        <v>62</v>
      </c>
      <c r="G2540" s="197" t="s">
        <v>270</v>
      </c>
      <c r="H2540" s="209" t="s">
        <v>856</v>
      </c>
      <c r="I2540" s="209" t="s">
        <v>856</v>
      </c>
      <c r="M2540" s="212"/>
    </row>
    <row r="2541" spans="1:13">
      <c r="A2541" s="195"/>
      <c r="B2541" s="195" t="s">
        <v>207</v>
      </c>
      <c r="C2541"/>
      <c r="D2541" s="197"/>
      <c r="E2541" s="197"/>
      <c r="F2541" s="197"/>
      <c r="G2541" s="197" t="s">
        <v>270</v>
      </c>
      <c r="H2541" s="209"/>
      <c r="I2541" s="209"/>
      <c r="M2541" s="212"/>
    </row>
    <row r="2542" spans="1:13">
      <c r="A2542" s="195"/>
      <c r="B2542" s="196" t="s">
        <v>226</v>
      </c>
      <c r="C2542"/>
      <c r="D2542" s="197"/>
      <c r="E2542" s="197"/>
      <c r="F2542" s="197"/>
      <c r="G2542" s="197"/>
      <c r="H2542" s="209"/>
      <c r="I2542" s="209"/>
      <c r="M2542" s="212"/>
    </row>
    <row r="2543" spans="1:13">
      <c r="A2543" s="195"/>
      <c r="B2543" s="195" t="s">
        <v>205</v>
      </c>
      <c r="C2543"/>
      <c r="D2543" s="197"/>
      <c r="E2543" s="197"/>
      <c r="F2543" s="197"/>
      <c r="G2543" s="197"/>
      <c r="H2543" s="209"/>
      <c r="I2543" s="209"/>
      <c r="M2543" s="212"/>
    </row>
    <row r="2544" spans="1:13">
      <c r="A2544" s="195"/>
      <c r="B2544" s="195" t="s">
        <v>206</v>
      </c>
      <c r="C2544"/>
      <c r="D2544" s="197"/>
      <c r="E2544" s="197"/>
      <c r="F2544" s="197"/>
      <c r="G2544" s="197"/>
      <c r="H2544" s="209"/>
      <c r="I2544" s="209"/>
      <c r="M2544" s="212"/>
    </row>
    <row r="2545" spans="1:13">
      <c r="A2545" s="195"/>
      <c r="B2545" s="195" t="s">
        <v>207</v>
      </c>
      <c r="C2545"/>
      <c r="D2545" s="197"/>
      <c r="E2545" s="197"/>
      <c r="F2545" s="197"/>
      <c r="G2545" s="197"/>
      <c r="H2545" s="209"/>
      <c r="I2545" s="209"/>
      <c r="M2545" s="212"/>
    </row>
    <row r="2546" spans="1:13">
      <c r="A2546" s="195"/>
      <c r="B2546" s="196" t="s">
        <v>227</v>
      </c>
      <c r="C2546"/>
      <c r="D2546" s="197"/>
      <c r="E2546" s="197"/>
      <c r="F2546" s="197"/>
      <c r="G2546" s="197"/>
      <c r="H2546" s="209"/>
      <c r="I2546" s="209"/>
      <c r="K2546"/>
      <c r="M2546" s="212"/>
    </row>
    <row r="2547" spans="1:13" ht="29.25" thickBot="1">
      <c r="A2547" s="182" t="str">
        <f>"回収シフト  第"&amp;ROUNDUP(DAY(B2550)/7,0)  &amp;"  "&amp;TEXT(B2550,"aaaa")</f>
        <v>回収シフト  第4  水曜日</v>
      </c>
      <c r="B2547" s="183"/>
      <c r="C2547" s="183"/>
      <c r="D2547" s="183"/>
      <c r="E2547" s="183"/>
      <c r="F2547" s="183"/>
      <c r="G2547" s="184"/>
      <c r="H2547" s="184"/>
      <c r="I2547" s="184"/>
      <c r="K2547" s="183"/>
      <c r="L2547" s="183"/>
    </row>
    <row r="2548" spans="1:13" ht="15.75" thickBot="1">
      <c r="A2548"/>
      <c r="B2548"/>
      <c r="C2548"/>
      <c r="D2548" s="186" t="s">
        <v>201</v>
      </c>
      <c r="E2548" s="186" t="s">
        <v>202</v>
      </c>
      <c r="F2548" s="186" t="s">
        <v>203</v>
      </c>
      <c r="G2548" s="186" t="s">
        <v>204</v>
      </c>
      <c r="H2548" s="186" t="s">
        <v>267</v>
      </c>
      <c r="I2548" s="217" t="s">
        <v>267</v>
      </c>
      <c r="K2548" s="230" t="s">
        <v>257</v>
      </c>
      <c r="L2548" s="231"/>
    </row>
    <row r="2549" spans="1:13">
      <c r="A2549" s="187"/>
      <c r="B2549" s="188">
        <v>46119</v>
      </c>
      <c r="C2549" s="187"/>
      <c r="D2549" s="189" t="s">
        <v>728</v>
      </c>
      <c r="E2549" s="189" t="s">
        <v>937</v>
      </c>
      <c r="F2549" s="189" t="s">
        <v>850</v>
      </c>
      <c r="G2549" s="189" t="s">
        <v>859</v>
      </c>
      <c r="H2549" s="189" t="s">
        <v>852</v>
      </c>
      <c r="I2549" s="218" t="s">
        <v>852</v>
      </c>
      <c r="K2549" s="232" t="s">
        <v>258</v>
      </c>
      <c r="L2549" s="190" t="str">
        <f ca="1">_xlfn.XLOOKUP($B2550,シフト抽出!$19:$19,シフト抽出!$20:$20,"該当なし",0,1)</f>
        <v/>
      </c>
    </row>
    <row r="2550" spans="1:13" ht="19.5" thickBot="1">
      <c r="A2550"/>
      <c r="B2550" s="191">
        <f>B2497+1</f>
        <v>46169</v>
      </c>
      <c r="C2550" s="192"/>
      <c r="D2550" s="193"/>
      <c r="E2550" s="193"/>
      <c r="F2550" s="193"/>
      <c r="G2550" s="193"/>
      <c r="H2550" s="193"/>
      <c r="I2550" s="219"/>
      <c r="K2550" s="233"/>
      <c r="L2550" s="194" t="str">
        <f ca="1">_xlfn.XLOOKUP($B2550,シフト抽出!$19:$19,シフト抽出!$21:$21,"該当なし",0,1)</f>
        <v/>
      </c>
    </row>
    <row r="2551" spans="1:13">
      <c r="A2551" s="195"/>
      <c r="B2551" s="196">
        <v>0.25</v>
      </c>
      <c r="C2551"/>
      <c r="D2551" s="197"/>
      <c r="E2551" s="196"/>
      <c r="F2551" s="197"/>
      <c r="G2551" s="197"/>
      <c r="H2551" s="197"/>
      <c r="I2551" s="209"/>
      <c r="K2551" s="234" t="s">
        <v>259</v>
      </c>
      <c r="L2551" s="198" t="str">
        <f ca="1">_xlfn.XLOOKUP($B2550,シフト抽出!$19:$19,シフト抽出!$23:$23,"該当なし",0,1)</f>
        <v/>
      </c>
    </row>
    <row r="2552" spans="1:13" ht="15.75" thickBot="1">
      <c r="A2552" s="195"/>
      <c r="B2552" s="195" t="s">
        <v>205</v>
      </c>
      <c r="C2552"/>
      <c r="D2552" s="197"/>
      <c r="E2552" s="197"/>
      <c r="F2552" s="197"/>
      <c r="G2552" s="197"/>
      <c r="H2552" s="197"/>
      <c r="I2552" s="209"/>
      <c r="K2552" s="235"/>
      <c r="L2552" s="199" t="str">
        <f ca="1">_xlfn.XLOOKUP($B2550,シフト抽出!$19:$19,シフト抽出!$24:$24,"該当なし",0,1)</f>
        <v/>
      </c>
    </row>
    <row r="2553" spans="1:13">
      <c r="A2553" s="195"/>
      <c r="B2553" s="195" t="s">
        <v>206</v>
      </c>
      <c r="C2553"/>
      <c r="D2553" s="197"/>
      <c r="E2553" s="197" t="s">
        <v>107</v>
      </c>
      <c r="F2553" s="197"/>
      <c r="G2553" s="197"/>
      <c r="H2553" s="197"/>
      <c r="I2553" s="209"/>
      <c r="K2553" s="224" t="s">
        <v>260</v>
      </c>
      <c r="L2553" s="200" t="str">
        <f ca="1">_xlfn.XLOOKUP($B2550,シフト抽出!$19:$19,シフト抽出!$26:$26,"該当なし",0,1)</f>
        <v/>
      </c>
    </row>
    <row r="2554" spans="1:13">
      <c r="A2554" s="195"/>
      <c r="B2554" s="195" t="s">
        <v>207</v>
      </c>
      <c r="C2554"/>
      <c r="D2554" s="197"/>
      <c r="E2554" s="197"/>
      <c r="F2554" s="197"/>
      <c r="G2554" s="197"/>
      <c r="H2554" s="197"/>
      <c r="I2554" s="209"/>
      <c r="K2554" s="225"/>
      <c r="L2554" s="201" t="str">
        <f ca="1">_xlfn.XLOOKUP($B2550,シフト抽出!$19:$19,シフト抽出!$27:$27,"該当なし",0,1)</f>
        <v/>
      </c>
    </row>
    <row r="2555" spans="1:13">
      <c r="A2555" s="195"/>
      <c r="B2555" s="202" t="s">
        <v>208</v>
      </c>
      <c r="C2555"/>
      <c r="D2555" s="197" t="s">
        <v>414</v>
      </c>
      <c r="E2555" s="197" t="s">
        <v>106</v>
      </c>
      <c r="F2555" s="197" t="s">
        <v>851</v>
      </c>
      <c r="G2555" s="197" t="s">
        <v>22</v>
      </c>
      <c r="H2555" s="197" t="s">
        <v>106</v>
      </c>
      <c r="I2555" s="209" t="s">
        <v>106</v>
      </c>
      <c r="J2555" s="203"/>
      <c r="K2555" s="225"/>
      <c r="L2555" s="201" t="str">
        <f ca="1">_xlfn.XLOOKUP($B2550,シフト抽出!$19:$19,シフト抽出!$28:$28,"該当なし",0,1)</f>
        <v/>
      </c>
    </row>
    <row r="2556" spans="1:13" ht="15.75" thickBot="1">
      <c r="A2556" s="195"/>
      <c r="B2556" s="195" t="s">
        <v>205</v>
      </c>
      <c r="C2556"/>
      <c r="D2556" s="197" t="s">
        <v>414</v>
      </c>
      <c r="E2556" s="197" t="s">
        <v>106</v>
      </c>
      <c r="F2556" s="197" t="s">
        <v>851</v>
      </c>
      <c r="G2556" s="197" t="s">
        <v>22</v>
      </c>
      <c r="H2556" s="197" t="s">
        <v>106</v>
      </c>
      <c r="I2556" s="209" t="s">
        <v>106</v>
      </c>
      <c r="J2556" s="203"/>
      <c r="K2556" s="226"/>
      <c r="L2556" s="204" t="str">
        <f ca="1">_xlfn.XLOOKUP($B2550,シフト抽出!$19:$19,シフト抽出!$29:$29,"該当なし",0,1)</f>
        <v/>
      </c>
    </row>
    <row r="2557" spans="1:13" ht="15.75" thickBot="1">
      <c r="A2557" s="195"/>
      <c r="B2557" s="195" t="s">
        <v>206</v>
      </c>
      <c r="C2557"/>
      <c r="D2557" s="197" t="s">
        <v>414</v>
      </c>
      <c r="E2557" s="197" t="s">
        <v>106</v>
      </c>
      <c r="F2557" s="197" t="s">
        <v>851</v>
      </c>
      <c r="G2557" s="197" t="s">
        <v>788</v>
      </c>
      <c r="H2557" s="197" t="s">
        <v>106</v>
      </c>
      <c r="I2557" s="209" t="s">
        <v>106</v>
      </c>
      <c r="K2557" s="205" t="s">
        <v>261</v>
      </c>
      <c r="L2557" s="205">
        <f>_xlfn.XLOOKUP($B2550,予定表!B:B,予定表!R:R,"該当なし",0,1)</f>
        <v>0</v>
      </c>
    </row>
    <row r="2558" spans="1:13">
      <c r="A2558" s="195"/>
      <c r="B2558" s="195" t="s">
        <v>207</v>
      </c>
      <c r="C2558"/>
      <c r="D2558" s="197" t="s">
        <v>414</v>
      </c>
      <c r="E2558" s="197" t="s">
        <v>106</v>
      </c>
      <c r="F2558" s="197" t="s">
        <v>851</v>
      </c>
      <c r="G2558" s="197" t="s">
        <v>788</v>
      </c>
      <c r="H2558" s="197" t="s">
        <v>106</v>
      </c>
      <c r="I2558" s="209" t="s">
        <v>106</v>
      </c>
      <c r="K2558" s="227" t="s">
        <v>262</v>
      </c>
      <c r="L2558" s="206">
        <f>_xlfn.XLOOKUP($B2550,予定表!$B:$B,予定表!E:E,"該当なし",0,1)</f>
        <v>0</v>
      </c>
    </row>
    <row r="2559" spans="1:13">
      <c r="A2559" s="195"/>
      <c r="B2559" s="196" t="s">
        <v>209</v>
      </c>
      <c r="C2559"/>
      <c r="D2559" s="197" t="s">
        <v>414</v>
      </c>
      <c r="E2559" s="197" t="s">
        <v>106</v>
      </c>
      <c r="F2559" s="197" t="s">
        <v>264</v>
      </c>
      <c r="G2559" s="197" t="s">
        <v>268</v>
      </c>
      <c r="H2559" s="197" t="s">
        <v>106</v>
      </c>
      <c r="I2559" s="209" t="s">
        <v>106</v>
      </c>
      <c r="K2559" s="228"/>
      <c r="L2559" s="207">
        <f>_xlfn.XLOOKUP($B2550,予定表!$B:$B,予定表!F:F,"該当なし",0,1)</f>
        <v>0</v>
      </c>
    </row>
    <row r="2560" spans="1:13">
      <c r="A2560" s="195"/>
      <c r="B2560" s="195" t="s">
        <v>205</v>
      </c>
      <c r="C2560"/>
      <c r="D2560" s="197" t="s">
        <v>414</v>
      </c>
      <c r="E2560" s="197" t="s">
        <v>106</v>
      </c>
      <c r="F2560" s="197" t="s">
        <v>264</v>
      </c>
      <c r="G2560" s="197" t="s">
        <v>268</v>
      </c>
      <c r="H2560" s="197" t="s">
        <v>106</v>
      </c>
      <c r="I2560" s="209" t="s">
        <v>106</v>
      </c>
      <c r="K2560" s="228"/>
      <c r="L2560" s="207">
        <f>_xlfn.XLOOKUP($B2550,予定表!$B:$B,予定表!G:G,"該当なし",0,1)</f>
        <v>0</v>
      </c>
    </row>
    <row r="2561" spans="1:12">
      <c r="A2561" s="195"/>
      <c r="B2561" s="195" t="s">
        <v>206</v>
      </c>
      <c r="C2561"/>
      <c r="D2561" s="197" t="s">
        <v>214</v>
      </c>
      <c r="E2561" s="197" t="s">
        <v>106</v>
      </c>
      <c r="F2561" s="197"/>
      <c r="G2561" s="197" t="s">
        <v>268</v>
      </c>
      <c r="H2561" s="197" t="s">
        <v>106</v>
      </c>
      <c r="I2561" s="209" t="s">
        <v>106</v>
      </c>
      <c r="K2561" s="228"/>
      <c r="L2561" s="207" t="str">
        <f>_xlfn.XLOOKUP($B2550,予定表!$B:$B,予定表!H:H,"該当なし",0,1)</f>
        <v>資さんうどん</v>
      </c>
    </row>
    <row r="2562" spans="1:12">
      <c r="A2562" s="195"/>
      <c r="B2562" s="195" t="s">
        <v>207</v>
      </c>
      <c r="C2562"/>
      <c r="D2562" s="197" t="s">
        <v>214</v>
      </c>
      <c r="E2562" s="197" t="s">
        <v>106</v>
      </c>
      <c r="F2562" s="197"/>
      <c r="G2562" s="197" t="s">
        <v>268</v>
      </c>
      <c r="H2562" s="197" t="s">
        <v>106</v>
      </c>
      <c r="I2562" s="209" t="s">
        <v>106</v>
      </c>
      <c r="K2562" s="228"/>
      <c r="L2562" s="207" t="str">
        <f>_xlfn.XLOOKUP($B2550,予定表!$B:$B,予定表!I:I,"該当なし",0,1)</f>
        <v/>
      </c>
    </row>
    <row r="2563" spans="1:12">
      <c r="A2563" s="195"/>
      <c r="B2563" s="196" t="s">
        <v>212</v>
      </c>
      <c r="C2563"/>
      <c r="D2563" s="197" t="s">
        <v>214</v>
      </c>
      <c r="E2563" s="197" t="s">
        <v>106</v>
      </c>
      <c r="F2563" s="197"/>
      <c r="G2563" s="197" t="s">
        <v>268</v>
      </c>
      <c r="H2563" s="197" t="s">
        <v>106</v>
      </c>
      <c r="I2563" s="209" t="s">
        <v>106</v>
      </c>
      <c r="K2563" s="228"/>
      <c r="L2563" s="207" t="str">
        <f>_xlfn.XLOOKUP($B2550,予定表!$B:$B,予定表!J:J,"該当なし",0,1)</f>
        <v/>
      </c>
    </row>
    <row r="2564" spans="1:12">
      <c r="A2564" s="195"/>
      <c r="B2564" s="195" t="s">
        <v>205</v>
      </c>
      <c r="C2564"/>
      <c r="D2564" s="197" t="s">
        <v>214</v>
      </c>
      <c r="E2564" s="197" t="s">
        <v>106</v>
      </c>
      <c r="F2564" s="197" t="s">
        <v>397</v>
      </c>
      <c r="G2564" s="197" t="s">
        <v>268</v>
      </c>
      <c r="H2564" s="197" t="s">
        <v>106</v>
      </c>
      <c r="I2564" s="209" t="s">
        <v>106</v>
      </c>
      <c r="K2564" s="228"/>
      <c r="L2564" s="207" t="str">
        <f>_xlfn.XLOOKUP($B2550,予定表!$B:$B,予定表!K:K,"該当なし",0,1)</f>
        <v/>
      </c>
    </row>
    <row r="2565" spans="1:12">
      <c r="A2565" s="195"/>
      <c r="B2565" s="195" t="s">
        <v>206</v>
      </c>
      <c r="C2565"/>
      <c r="D2565" s="197" t="s">
        <v>761</v>
      </c>
      <c r="E2565" s="197" t="s">
        <v>106</v>
      </c>
      <c r="F2565" s="197" t="s">
        <v>397</v>
      </c>
      <c r="G2565" s="197" t="s">
        <v>515</v>
      </c>
      <c r="H2565" s="197" t="s">
        <v>106</v>
      </c>
      <c r="I2565" s="209" t="s">
        <v>106</v>
      </c>
      <c r="K2565" s="228"/>
      <c r="L2565" s="207" t="str">
        <f>_xlfn.XLOOKUP($B2550,予定表!$B:$B,予定表!L:L,"該当なし",0,1)</f>
        <v/>
      </c>
    </row>
    <row r="2566" spans="1:12" ht="15.75" thickBot="1">
      <c r="A2566" s="195"/>
      <c r="B2566" s="195" t="s">
        <v>207</v>
      </c>
      <c r="C2566"/>
      <c r="D2566" s="197" t="s">
        <v>761</v>
      </c>
      <c r="E2566" s="197" t="s">
        <v>106</v>
      </c>
      <c r="F2566" s="197" t="s">
        <v>224</v>
      </c>
      <c r="G2566" s="197" t="s">
        <v>515</v>
      </c>
      <c r="H2566" s="197" t="s">
        <v>106</v>
      </c>
      <c r="I2566" s="209" t="s">
        <v>106</v>
      </c>
      <c r="K2566" s="229"/>
      <c r="L2566" s="204" t="str">
        <f>_xlfn.XLOOKUP($A2547,ﾘｽﾄマスタ!$U$8:$U$17,ﾘｽﾄマスタ!$V$8:$V$17,"",0)</f>
        <v>裕源・自衛隊</v>
      </c>
    </row>
    <row r="2567" spans="1:12" ht="15.75" thickBot="1">
      <c r="A2567" s="195"/>
      <c r="B2567" s="196" t="s">
        <v>251</v>
      </c>
      <c r="C2567"/>
      <c r="D2567" s="197" t="s">
        <v>761</v>
      </c>
      <c r="E2567" s="197" t="s">
        <v>106</v>
      </c>
      <c r="F2567" s="197" t="s">
        <v>224</v>
      </c>
      <c r="G2567" s="197" t="s">
        <v>269</v>
      </c>
      <c r="H2567" s="197" t="s">
        <v>416</v>
      </c>
      <c r="I2567" s="209" t="s">
        <v>416</v>
      </c>
      <c r="K2567" s="208" t="s">
        <v>277</v>
      </c>
      <c r="L2567" s="208" t="str">
        <f ca="1">_xlfn.XLOOKUP($B2550,シフト抽出!$19:$19,シフト抽出!$30:$30,"該当なし",0,1)</f>
        <v/>
      </c>
    </row>
    <row r="2568" spans="1:12">
      <c r="A2568" s="195"/>
      <c r="B2568" s="195" t="s">
        <v>205</v>
      </c>
      <c r="C2568"/>
      <c r="D2568" s="197" t="s">
        <v>280</v>
      </c>
      <c r="E2568" s="197" t="s">
        <v>106</v>
      </c>
      <c r="F2568" s="197" t="s">
        <v>224</v>
      </c>
      <c r="G2568" s="197" t="s">
        <v>269</v>
      </c>
      <c r="H2568" s="197" t="s">
        <v>416</v>
      </c>
      <c r="I2568" s="209" t="s">
        <v>416</v>
      </c>
    </row>
    <row r="2569" spans="1:12">
      <c r="A2569" s="195"/>
      <c r="B2569" s="195" t="s">
        <v>206</v>
      </c>
      <c r="C2569"/>
      <c r="D2569" s="197" t="s">
        <v>280</v>
      </c>
      <c r="E2569" s="197" t="s">
        <v>106</v>
      </c>
      <c r="F2569" s="197" t="s">
        <v>51</v>
      </c>
      <c r="G2569" s="197" t="s">
        <v>269</v>
      </c>
      <c r="H2569" s="197" t="s">
        <v>948</v>
      </c>
      <c r="I2569" s="209" t="s">
        <v>948</v>
      </c>
    </row>
    <row r="2570" spans="1:12">
      <c r="A2570" s="195"/>
      <c r="B2570" s="195" t="s">
        <v>207</v>
      </c>
      <c r="C2570"/>
      <c r="D2570" s="197" t="s">
        <v>127</v>
      </c>
      <c r="E2570" s="197" t="s">
        <v>106</v>
      </c>
      <c r="F2570" s="197" t="s">
        <v>51</v>
      </c>
      <c r="G2570" s="197" t="s">
        <v>446</v>
      </c>
      <c r="H2570" s="197" t="s">
        <v>416</v>
      </c>
      <c r="I2570" s="209" t="s">
        <v>416</v>
      </c>
    </row>
    <row r="2571" spans="1:12">
      <c r="A2571" s="195"/>
      <c r="B2571" s="196" t="s">
        <v>217</v>
      </c>
      <c r="C2571"/>
      <c r="D2571" s="197" t="s">
        <v>215</v>
      </c>
      <c r="E2571" s="197" t="s">
        <v>106</v>
      </c>
      <c r="F2571" s="197" t="s">
        <v>51</v>
      </c>
      <c r="G2571" s="197" t="s">
        <v>114</v>
      </c>
      <c r="H2571" s="197" t="s">
        <v>416</v>
      </c>
      <c r="I2571" s="209" t="s">
        <v>416</v>
      </c>
    </row>
    <row r="2572" spans="1:12">
      <c r="A2572" s="195"/>
      <c r="B2572" s="195" t="s">
        <v>205</v>
      </c>
      <c r="C2572"/>
      <c r="D2572" s="197" t="s">
        <v>215</v>
      </c>
      <c r="E2572" s="197" t="s">
        <v>106</v>
      </c>
      <c r="F2572" s="197" t="s">
        <v>51</v>
      </c>
      <c r="G2572" s="197" t="s">
        <v>114</v>
      </c>
      <c r="H2572" s="197" t="s">
        <v>416</v>
      </c>
      <c r="I2572" s="209" t="s">
        <v>416</v>
      </c>
    </row>
    <row r="2573" spans="1:12">
      <c r="A2573" s="195"/>
      <c r="B2573" s="195" t="s">
        <v>206</v>
      </c>
      <c r="C2573"/>
      <c r="D2573" s="197" t="s">
        <v>160</v>
      </c>
      <c r="E2573" s="197" t="s">
        <v>106</v>
      </c>
      <c r="F2573" s="197" t="s">
        <v>51</v>
      </c>
      <c r="G2573" s="197" t="s">
        <v>114</v>
      </c>
      <c r="H2573" s="197" t="s">
        <v>416</v>
      </c>
      <c r="I2573" s="209" t="s">
        <v>416</v>
      </c>
    </row>
    <row r="2574" spans="1:12">
      <c r="A2574" s="195"/>
      <c r="B2574" s="195" t="s">
        <v>207</v>
      </c>
      <c r="C2574"/>
      <c r="D2574" s="197" t="s">
        <v>160</v>
      </c>
      <c r="E2574" s="197" t="s">
        <v>106</v>
      </c>
      <c r="F2574" s="197"/>
      <c r="G2574" s="197"/>
      <c r="H2574" s="197" t="s">
        <v>416</v>
      </c>
      <c r="I2574" s="209" t="s">
        <v>416</v>
      </c>
    </row>
    <row r="2575" spans="1:12">
      <c r="A2575" s="195"/>
      <c r="B2575" s="196" t="s">
        <v>219</v>
      </c>
      <c r="C2575"/>
      <c r="D2575" s="197"/>
      <c r="E2575" s="197" t="s">
        <v>106</v>
      </c>
      <c r="F2575" s="197"/>
      <c r="G2575" s="197"/>
      <c r="H2575" s="197" t="s">
        <v>416</v>
      </c>
      <c r="I2575" s="209" t="s">
        <v>416</v>
      </c>
    </row>
    <row r="2576" spans="1:12">
      <c r="A2576" s="195"/>
      <c r="B2576" s="195" t="s">
        <v>205</v>
      </c>
      <c r="C2576"/>
      <c r="D2576" s="197"/>
      <c r="E2576" s="197" t="s">
        <v>106</v>
      </c>
      <c r="F2576" s="197"/>
      <c r="G2576" s="197"/>
      <c r="H2576" s="197" t="s">
        <v>416</v>
      </c>
      <c r="I2576" s="209" t="s">
        <v>416</v>
      </c>
    </row>
    <row r="2577" spans="1:9">
      <c r="A2577" s="195"/>
      <c r="B2577" s="195" t="s">
        <v>206</v>
      </c>
      <c r="C2577"/>
      <c r="D2577" s="197"/>
      <c r="E2577" s="197"/>
      <c r="F2577" s="197"/>
      <c r="G2577" s="197"/>
      <c r="H2577" s="197" t="s">
        <v>416</v>
      </c>
      <c r="I2577" s="209" t="s">
        <v>416</v>
      </c>
    </row>
    <row r="2578" spans="1:9">
      <c r="A2578" s="195"/>
      <c r="B2578" s="195" t="s">
        <v>207</v>
      </c>
      <c r="C2578"/>
      <c r="D2578" s="197"/>
      <c r="E2578" s="197"/>
      <c r="F2578" s="197"/>
      <c r="G2578" s="197"/>
      <c r="H2578" s="197" t="s">
        <v>416</v>
      </c>
      <c r="I2578" s="209" t="s">
        <v>416</v>
      </c>
    </row>
    <row r="2579" spans="1:9">
      <c r="A2579" s="195"/>
      <c r="B2579" s="196" t="s">
        <v>220</v>
      </c>
      <c r="C2579"/>
      <c r="D2579" s="189" t="s">
        <v>874</v>
      </c>
      <c r="E2579" s="197"/>
      <c r="F2579" s="197"/>
      <c r="G2579" s="189" t="s">
        <v>864</v>
      </c>
      <c r="H2579" s="197"/>
      <c r="I2579" s="209"/>
    </row>
    <row r="2580" spans="1:9">
      <c r="A2580" s="195"/>
      <c r="B2580" s="195" t="s">
        <v>205</v>
      </c>
      <c r="C2580"/>
      <c r="D2580" s="197" t="s">
        <v>759</v>
      </c>
      <c r="E2580" s="197" t="s">
        <v>273</v>
      </c>
      <c r="F2580" s="197" t="s">
        <v>848</v>
      </c>
      <c r="G2580" s="197" t="s">
        <v>56</v>
      </c>
      <c r="H2580" s="197"/>
      <c r="I2580" s="209"/>
    </row>
    <row r="2581" spans="1:9">
      <c r="A2581" s="195"/>
      <c r="B2581" s="195" t="s">
        <v>206</v>
      </c>
      <c r="C2581"/>
      <c r="D2581" s="197" t="s">
        <v>759</v>
      </c>
      <c r="E2581" s="197" t="s">
        <v>273</v>
      </c>
      <c r="F2581" s="197" t="s">
        <v>848</v>
      </c>
      <c r="G2581" s="197" t="s">
        <v>56</v>
      </c>
      <c r="H2581" s="197"/>
      <c r="I2581" s="209"/>
    </row>
    <row r="2582" spans="1:9">
      <c r="A2582" s="195"/>
      <c r="B2582" s="195" t="s">
        <v>207</v>
      </c>
      <c r="C2582"/>
      <c r="D2582" s="197" t="s">
        <v>759</v>
      </c>
      <c r="E2582" s="197" t="s">
        <v>273</v>
      </c>
      <c r="F2582" s="197" t="s">
        <v>848</v>
      </c>
      <c r="G2582" s="197" t="s">
        <v>56</v>
      </c>
      <c r="H2582" s="197"/>
      <c r="I2582" s="209"/>
    </row>
    <row r="2583" spans="1:9">
      <c r="A2583" s="195"/>
      <c r="B2583" s="196" t="s">
        <v>222</v>
      </c>
      <c r="C2583"/>
      <c r="D2583" s="197" t="s">
        <v>759</v>
      </c>
      <c r="E2583" s="197" t="s">
        <v>273</v>
      </c>
      <c r="F2583" s="197" t="s">
        <v>848</v>
      </c>
      <c r="G2583" s="197" t="s">
        <v>4</v>
      </c>
      <c r="H2583" s="197" t="s">
        <v>848</v>
      </c>
      <c r="I2583" s="209" t="s">
        <v>848</v>
      </c>
    </row>
    <row r="2584" spans="1:9">
      <c r="A2584" s="195"/>
      <c r="B2584" s="195" t="s">
        <v>205</v>
      </c>
      <c r="C2584"/>
      <c r="D2584" s="197" t="s">
        <v>759</v>
      </c>
      <c r="E2584" s="197" t="s">
        <v>186</v>
      </c>
      <c r="F2584" s="197" t="s">
        <v>848</v>
      </c>
      <c r="G2584" s="197" t="s">
        <v>270</v>
      </c>
      <c r="H2584" s="197" t="s">
        <v>848</v>
      </c>
      <c r="I2584" s="209" t="s">
        <v>848</v>
      </c>
    </row>
    <row r="2585" spans="1:9">
      <c r="A2585" s="195"/>
      <c r="B2585" s="195" t="s">
        <v>206</v>
      </c>
      <c r="C2585"/>
      <c r="D2585" s="197" t="s">
        <v>759</v>
      </c>
      <c r="E2585" s="197" t="s">
        <v>186</v>
      </c>
      <c r="F2585" s="197" t="s">
        <v>848</v>
      </c>
      <c r="G2585" s="197" t="s">
        <v>270</v>
      </c>
      <c r="H2585" s="197" t="s">
        <v>848</v>
      </c>
      <c r="I2585" s="209" t="s">
        <v>848</v>
      </c>
    </row>
    <row r="2586" spans="1:9">
      <c r="A2586" s="195"/>
      <c r="B2586" s="195" t="s">
        <v>207</v>
      </c>
      <c r="C2586"/>
      <c r="D2586" s="197" t="s">
        <v>216</v>
      </c>
      <c r="E2586" s="197" t="s">
        <v>252</v>
      </c>
      <c r="F2586" s="197" t="s">
        <v>848</v>
      </c>
      <c r="G2586" s="197" t="s">
        <v>270</v>
      </c>
      <c r="H2586" s="197" t="s">
        <v>848</v>
      </c>
      <c r="I2586" s="209" t="s">
        <v>848</v>
      </c>
    </row>
    <row r="2587" spans="1:9">
      <c r="A2587" s="195"/>
      <c r="B2587" s="196" t="s">
        <v>223</v>
      </c>
      <c r="C2587"/>
      <c r="D2587" s="197" t="s">
        <v>216</v>
      </c>
      <c r="E2587" s="197" t="s">
        <v>252</v>
      </c>
      <c r="F2587" s="197" t="s">
        <v>848</v>
      </c>
      <c r="G2587" s="197" t="s">
        <v>270</v>
      </c>
      <c r="H2587" s="197" t="s">
        <v>848</v>
      </c>
      <c r="I2587" s="209" t="s">
        <v>848</v>
      </c>
    </row>
    <row r="2588" spans="1:9">
      <c r="A2588" s="195"/>
      <c r="B2588" s="195" t="s">
        <v>205</v>
      </c>
      <c r="C2588"/>
      <c r="D2588" s="197" t="s">
        <v>216</v>
      </c>
      <c r="E2588" s="197" t="s">
        <v>252</v>
      </c>
      <c r="F2588" s="197" t="s">
        <v>848</v>
      </c>
      <c r="G2588" s="197" t="s">
        <v>270</v>
      </c>
      <c r="H2588" s="197" t="s">
        <v>229</v>
      </c>
      <c r="I2588" s="209" t="s">
        <v>229</v>
      </c>
    </row>
    <row r="2589" spans="1:9">
      <c r="A2589" s="195"/>
      <c r="B2589" s="195" t="s">
        <v>206</v>
      </c>
      <c r="C2589"/>
      <c r="D2589" s="197" t="s">
        <v>216</v>
      </c>
      <c r="E2589" s="197" t="s">
        <v>252</v>
      </c>
      <c r="F2589" s="197"/>
      <c r="G2589" s="197" t="s">
        <v>270</v>
      </c>
      <c r="H2589" s="197" t="s">
        <v>229</v>
      </c>
      <c r="I2589" s="209" t="s">
        <v>229</v>
      </c>
    </row>
    <row r="2590" spans="1:9">
      <c r="A2590" s="195"/>
      <c r="B2590" s="195" t="s">
        <v>207</v>
      </c>
      <c r="C2590"/>
      <c r="D2590" s="197" t="s">
        <v>523</v>
      </c>
      <c r="E2590" s="197" t="s">
        <v>252</v>
      </c>
      <c r="F2590" s="197"/>
      <c r="G2590" s="197" t="s">
        <v>270</v>
      </c>
      <c r="H2590" s="197" t="s">
        <v>230</v>
      </c>
      <c r="I2590" s="209" t="s">
        <v>230</v>
      </c>
    </row>
    <row r="2591" spans="1:9">
      <c r="A2591" s="195"/>
      <c r="B2591" s="196" t="s">
        <v>225</v>
      </c>
      <c r="C2591"/>
      <c r="D2591" s="197" t="s">
        <v>523</v>
      </c>
      <c r="E2591" s="197" t="s">
        <v>252</v>
      </c>
      <c r="F2591" s="197"/>
      <c r="G2591" s="197" t="s">
        <v>270</v>
      </c>
      <c r="H2591" s="197" t="s">
        <v>230</v>
      </c>
      <c r="I2591" s="209" t="s">
        <v>230</v>
      </c>
    </row>
    <row r="2592" spans="1:9">
      <c r="A2592" s="195"/>
      <c r="B2592" s="195" t="s">
        <v>205</v>
      </c>
      <c r="C2592"/>
      <c r="D2592" s="197"/>
      <c r="E2592" s="197" t="s">
        <v>252</v>
      </c>
      <c r="F2592" s="197"/>
      <c r="G2592" s="197" t="s">
        <v>270</v>
      </c>
      <c r="H2592" s="197" t="s">
        <v>230</v>
      </c>
      <c r="I2592" s="209" t="s">
        <v>230</v>
      </c>
    </row>
    <row r="2593" spans="1:13">
      <c r="A2593" s="195"/>
      <c r="B2593" s="195" t="s">
        <v>206</v>
      </c>
      <c r="C2593"/>
      <c r="D2593" s="197"/>
      <c r="E2593" s="197" t="s">
        <v>252</v>
      </c>
      <c r="F2593" s="197"/>
      <c r="G2593" s="197" t="s">
        <v>270</v>
      </c>
      <c r="H2593" s="197" t="s">
        <v>230</v>
      </c>
      <c r="I2593" s="209" t="s">
        <v>230</v>
      </c>
    </row>
    <row r="2594" spans="1:13">
      <c r="A2594" s="195"/>
      <c r="B2594" s="195" t="s">
        <v>207</v>
      </c>
      <c r="C2594"/>
      <c r="D2594" s="197"/>
      <c r="E2594" s="197" t="s">
        <v>252</v>
      </c>
      <c r="F2594" s="197"/>
      <c r="G2594" s="197" t="s">
        <v>270</v>
      </c>
      <c r="H2594" s="197"/>
      <c r="I2594" s="209"/>
    </row>
    <row r="2595" spans="1:13">
      <c r="A2595" s="195"/>
      <c r="B2595" s="196" t="s">
        <v>226</v>
      </c>
      <c r="C2595"/>
      <c r="D2595" s="197"/>
      <c r="E2595" s="197"/>
      <c r="F2595" s="197"/>
      <c r="G2595" s="197" t="s">
        <v>270</v>
      </c>
      <c r="H2595" s="209"/>
      <c r="I2595" s="209"/>
    </row>
    <row r="2596" spans="1:13">
      <c r="A2596" s="195"/>
      <c r="B2596" s="195" t="s">
        <v>205</v>
      </c>
      <c r="C2596"/>
      <c r="D2596" s="197"/>
      <c r="E2596" s="197"/>
      <c r="F2596" s="197"/>
      <c r="G2596" s="197"/>
      <c r="H2596" s="209"/>
      <c r="I2596" s="209"/>
    </row>
    <row r="2597" spans="1:13">
      <c r="A2597" s="195"/>
      <c r="B2597" s="195" t="s">
        <v>206</v>
      </c>
      <c r="C2597"/>
      <c r="D2597" s="197"/>
      <c r="E2597" s="197"/>
      <c r="F2597" s="197"/>
      <c r="G2597" s="197"/>
      <c r="H2597" s="209"/>
      <c r="I2597" s="209"/>
    </row>
    <row r="2598" spans="1:13">
      <c r="A2598" s="195"/>
      <c r="B2598" s="195" t="s">
        <v>207</v>
      </c>
      <c r="C2598"/>
      <c r="D2598" s="197"/>
      <c r="E2598" s="197"/>
      <c r="F2598" s="197"/>
      <c r="G2598" s="197"/>
      <c r="H2598" s="209"/>
      <c r="I2598" s="209"/>
    </row>
    <row r="2599" spans="1:13">
      <c r="A2599" s="195"/>
      <c r="B2599" s="196" t="s">
        <v>227</v>
      </c>
      <c r="C2599"/>
      <c r="D2599" s="197"/>
      <c r="E2599" s="197"/>
      <c r="F2599" s="197"/>
      <c r="G2599" s="197"/>
      <c r="H2599" s="209"/>
      <c r="I2599" s="209"/>
      <c r="K2599"/>
    </row>
    <row r="2600" spans="1:13" ht="29.25" thickBot="1">
      <c r="A2600" s="182" t="str">
        <f>"回収シフト  第"&amp;ROUNDUP(DAY(B2603)/7,0)  &amp;"  "&amp;TEXT(B2603,"aaaa")</f>
        <v>回収シフト  第4  木曜日</v>
      </c>
      <c r="B2600" s="183"/>
      <c r="C2600" s="183"/>
      <c r="D2600" s="183"/>
      <c r="E2600" s="183"/>
      <c r="F2600" s="183"/>
      <c r="G2600" s="184"/>
      <c r="H2600" s="184"/>
      <c r="I2600" s="184"/>
      <c r="K2600" s="183"/>
      <c r="L2600" s="183"/>
      <c r="M2600" s="178"/>
    </row>
    <row r="2601" spans="1:13" ht="15.75" thickBot="1">
      <c r="A2601"/>
      <c r="B2601"/>
      <c r="C2601"/>
      <c r="D2601" s="186" t="s">
        <v>201</v>
      </c>
      <c r="E2601" s="186" t="s">
        <v>202</v>
      </c>
      <c r="F2601" s="186" t="s">
        <v>203</v>
      </c>
      <c r="G2601" s="186" t="s">
        <v>204</v>
      </c>
      <c r="H2601" s="186" t="s">
        <v>267</v>
      </c>
      <c r="I2601" s="217" t="s">
        <v>267</v>
      </c>
      <c r="K2601" s="230" t="s">
        <v>257</v>
      </c>
      <c r="L2601" s="231"/>
      <c r="M2601" s="211"/>
    </row>
    <row r="2602" spans="1:13">
      <c r="A2602" s="187"/>
      <c r="B2602" s="188">
        <v>46119</v>
      </c>
      <c r="C2602" s="187"/>
      <c r="D2602" s="189" t="s">
        <v>728</v>
      </c>
      <c r="E2602" s="189" t="s">
        <v>937</v>
      </c>
      <c r="F2602" s="189" t="s">
        <v>850</v>
      </c>
      <c r="G2602" s="189" t="s">
        <v>859</v>
      </c>
      <c r="H2602" s="189" t="s">
        <v>852</v>
      </c>
      <c r="I2602" s="218" t="s">
        <v>852</v>
      </c>
      <c r="K2602" s="232" t="s">
        <v>258</v>
      </c>
      <c r="L2602" s="190" t="str">
        <f ca="1">_xlfn.XLOOKUP($B2603,シフト抽出!$19:$19,シフト抽出!$20:$20,"該当なし",0,1)</f>
        <v/>
      </c>
      <c r="M2602" s="212"/>
    </row>
    <row r="2603" spans="1:13" ht="19.5" thickBot="1">
      <c r="A2603"/>
      <c r="B2603" s="191">
        <f>B2550+1</f>
        <v>46170</v>
      </c>
      <c r="C2603" s="192"/>
      <c r="D2603" s="193"/>
      <c r="E2603" s="193"/>
      <c r="F2603" s="193"/>
      <c r="G2603" s="193"/>
      <c r="H2603" s="193"/>
      <c r="I2603" s="219"/>
      <c r="K2603" s="233"/>
      <c r="L2603" s="194" t="str">
        <f ca="1">_xlfn.XLOOKUP($B2603,シフト抽出!$19:$19,シフト抽出!$21:$21,"該当なし",0,1)</f>
        <v/>
      </c>
      <c r="M2603" s="212"/>
    </row>
    <row r="2604" spans="1:13">
      <c r="A2604" s="195"/>
      <c r="B2604" s="196">
        <v>0.25</v>
      </c>
      <c r="C2604"/>
      <c r="D2604" s="197"/>
      <c r="E2604" s="197"/>
      <c r="F2604" s="197" t="s">
        <v>949</v>
      </c>
      <c r="G2604" s="197"/>
      <c r="H2604" s="197"/>
      <c r="I2604" s="209"/>
      <c r="K2604" s="234" t="s">
        <v>259</v>
      </c>
      <c r="L2604" s="198" t="str">
        <f ca="1">_xlfn.XLOOKUP($B2603,シフト抽出!$19:$19,シフト抽出!$23:$23,"該当なし",0,1)</f>
        <v/>
      </c>
      <c r="M2604" s="212"/>
    </row>
    <row r="2605" spans="1:13" ht="15.75" thickBot="1">
      <c r="A2605" s="195"/>
      <c r="B2605" s="195" t="s">
        <v>205</v>
      </c>
      <c r="C2605"/>
      <c r="D2605" s="197"/>
      <c r="E2605" s="197"/>
      <c r="F2605" s="197"/>
      <c r="G2605" s="197"/>
      <c r="H2605" s="197"/>
      <c r="I2605" s="209"/>
      <c r="K2605" s="235"/>
      <c r="L2605" s="199" t="str">
        <f ca="1">_xlfn.XLOOKUP($B2603,シフト抽出!$19:$19,シフト抽出!$24:$24,"該当なし",0,1)</f>
        <v/>
      </c>
      <c r="M2605" s="212"/>
    </row>
    <row r="2606" spans="1:13">
      <c r="A2606" s="195"/>
      <c r="B2606" s="195" t="s">
        <v>206</v>
      </c>
      <c r="C2606"/>
      <c r="D2606" s="197"/>
      <c r="E2606" s="197"/>
      <c r="F2606" s="197"/>
      <c r="G2606" s="197"/>
      <c r="H2606" s="197"/>
      <c r="I2606" s="209"/>
      <c r="K2606" s="224" t="s">
        <v>260</v>
      </c>
      <c r="L2606" s="200" t="str">
        <f ca="1">_xlfn.XLOOKUP($B2603,シフト抽出!$19:$19,シフト抽出!$26:$26,"該当なし",0,1)</f>
        <v/>
      </c>
      <c r="M2606" s="212"/>
    </row>
    <row r="2607" spans="1:13">
      <c r="A2607" s="195"/>
      <c r="B2607" s="195" t="s">
        <v>207</v>
      </c>
      <c r="C2607"/>
      <c r="D2607" s="197"/>
      <c r="E2607" s="197"/>
      <c r="F2607" s="197"/>
      <c r="G2607" s="197"/>
      <c r="H2607" s="197"/>
      <c r="I2607" s="209"/>
      <c r="K2607" s="225"/>
      <c r="L2607" s="201" t="str">
        <f ca="1">_xlfn.XLOOKUP($B2603,シフト抽出!$19:$19,シフト抽出!$27:$27,"該当なし",0,1)</f>
        <v/>
      </c>
      <c r="M2607" s="212"/>
    </row>
    <row r="2608" spans="1:13">
      <c r="A2608" s="195"/>
      <c r="B2608" s="202" t="s">
        <v>208</v>
      </c>
      <c r="C2608"/>
      <c r="D2608" s="197" t="s">
        <v>4</v>
      </c>
      <c r="E2608" s="197" t="s">
        <v>4</v>
      </c>
      <c r="F2608" s="197"/>
      <c r="G2608" s="197" t="s">
        <v>4</v>
      </c>
      <c r="H2608" s="197"/>
      <c r="I2608" s="209"/>
      <c r="J2608" s="203"/>
      <c r="K2608" s="225"/>
      <c r="L2608" s="201" t="str">
        <f ca="1">_xlfn.XLOOKUP($B2603,シフト抽出!$19:$19,シフト抽出!$28:$28,"該当なし",0,1)</f>
        <v/>
      </c>
      <c r="M2608" s="212"/>
    </row>
    <row r="2609" spans="1:13" ht="15.75" thickBot="1">
      <c r="A2609" s="195"/>
      <c r="B2609" s="195" t="s">
        <v>205</v>
      </c>
      <c r="C2609"/>
      <c r="D2609" s="197" t="s">
        <v>414</v>
      </c>
      <c r="E2609" s="197" t="s">
        <v>421</v>
      </c>
      <c r="F2609" s="197" t="s">
        <v>851</v>
      </c>
      <c r="G2609" s="197" t="s">
        <v>22</v>
      </c>
      <c r="H2609" s="197"/>
      <c r="I2609" s="209"/>
      <c r="J2609" s="203"/>
      <c r="K2609" s="226"/>
      <c r="L2609" s="204" t="str">
        <f ca="1">_xlfn.XLOOKUP($B2603,シフト抽出!$19:$19,シフト抽出!$29:$29,"該当なし",0,1)</f>
        <v/>
      </c>
      <c r="M2609" s="212"/>
    </row>
    <row r="2610" spans="1:13" ht="15.75" thickBot="1">
      <c r="A2610" s="195"/>
      <c r="B2610" s="195" t="s">
        <v>206</v>
      </c>
      <c r="C2610"/>
      <c r="D2610" s="197" t="s">
        <v>414</v>
      </c>
      <c r="E2610" s="197" t="s">
        <v>421</v>
      </c>
      <c r="F2610" s="197" t="s">
        <v>851</v>
      </c>
      <c r="G2610" s="197" t="s">
        <v>22</v>
      </c>
      <c r="H2610" s="197"/>
      <c r="I2610" s="209"/>
      <c r="K2610" s="205" t="s">
        <v>261</v>
      </c>
      <c r="L2610" s="205">
        <f>_xlfn.XLOOKUP($B2603,予定表!B:B,予定表!R:R,"該当なし",0,1)</f>
        <v>0</v>
      </c>
      <c r="M2610" s="212"/>
    </row>
    <row r="2611" spans="1:13">
      <c r="A2611" s="195"/>
      <c r="B2611" s="195" t="s">
        <v>207</v>
      </c>
      <c r="C2611"/>
      <c r="D2611" s="197" t="s">
        <v>414</v>
      </c>
      <c r="E2611" s="197" t="s">
        <v>421</v>
      </c>
      <c r="F2611" s="197" t="s">
        <v>851</v>
      </c>
      <c r="G2611" s="197" t="s">
        <v>22</v>
      </c>
      <c r="H2611" s="197"/>
      <c r="I2611" s="209"/>
      <c r="K2611" s="227" t="s">
        <v>262</v>
      </c>
      <c r="L2611" s="206" t="str">
        <f>_xlfn.XLOOKUP($B2603,予定表!$B:$B,予定表!E:E,"該当なし",0,1)</f>
        <v>BS機密書類</v>
      </c>
      <c r="M2611" s="212"/>
    </row>
    <row r="2612" spans="1:13">
      <c r="A2612" s="195"/>
      <c r="B2612" s="196" t="s">
        <v>209</v>
      </c>
      <c r="C2612"/>
      <c r="D2612" s="197" t="s">
        <v>414</v>
      </c>
      <c r="E2612" s="197" t="s">
        <v>421</v>
      </c>
      <c r="F2612" s="197" t="s">
        <v>851</v>
      </c>
      <c r="G2612" s="197" t="s">
        <v>22</v>
      </c>
      <c r="H2612" s="197" t="s">
        <v>4</v>
      </c>
      <c r="I2612" s="209" t="s">
        <v>4</v>
      </c>
      <c r="K2612" s="228"/>
      <c r="L2612" s="207" t="str">
        <f>_xlfn.XLOOKUP($B2603,予定表!$B:$B,予定表!F:F,"該当なし",0,1)</f>
        <v>ディーミング</v>
      </c>
      <c r="M2612" s="212"/>
    </row>
    <row r="2613" spans="1:13">
      <c r="A2613" s="195"/>
      <c r="B2613" s="195" t="s">
        <v>205</v>
      </c>
      <c r="C2613"/>
      <c r="D2613" s="197" t="s">
        <v>414</v>
      </c>
      <c r="E2613" s="197" t="s">
        <v>421</v>
      </c>
      <c r="F2613" s="197"/>
      <c r="G2613" s="197" t="s">
        <v>268</v>
      </c>
      <c r="H2613" s="197" t="s">
        <v>60</v>
      </c>
      <c r="I2613" s="209" t="s">
        <v>60</v>
      </c>
      <c r="K2613" s="228"/>
      <c r="L2613" s="207">
        <f>_xlfn.XLOOKUP($B2603,予定表!$B:$B,予定表!G:G,"該当なし",0,1)</f>
        <v>0</v>
      </c>
      <c r="M2613" s="212"/>
    </row>
    <row r="2614" spans="1:13">
      <c r="A2614" s="195"/>
      <c r="B2614" s="195" t="s">
        <v>206</v>
      </c>
      <c r="C2614"/>
      <c r="D2614" s="197" t="s">
        <v>214</v>
      </c>
      <c r="E2614" s="197" t="s">
        <v>273</v>
      </c>
      <c r="F2614" s="197" t="s">
        <v>62</v>
      </c>
      <c r="G2614" s="197" t="s">
        <v>268</v>
      </c>
      <c r="H2614" s="197" t="s">
        <v>60</v>
      </c>
      <c r="I2614" s="209" t="s">
        <v>60</v>
      </c>
      <c r="K2614" s="228"/>
      <c r="L2614" s="207">
        <f>_xlfn.XLOOKUP($B2603,予定表!$B:$B,予定表!H:H,"該当なし",0,1)</f>
        <v>0</v>
      </c>
      <c r="M2614" s="212"/>
    </row>
    <row r="2615" spans="1:13">
      <c r="A2615" s="195"/>
      <c r="B2615" s="195" t="s">
        <v>207</v>
      </c>
      <c r="C2615"/>
      <c r="D2615" s="197" t="s">
        <v>214</v>
      </c>
      <c r="E2615" s="197" t="s">
        <v>273</v>
      </c>
      <c r="F2615" s="197" t="s">
        <v>62</v>
      </c>
      <c r="G2615" s="197" t="s">
        <v>268</v>
      </c>
      <c r="H2615" s="197" t="s">
        <v>60</v>
      </c>
      <c r="I2615" s="209" t="s">
        <v>60</v>
      </c>
      <c r="K2615" s="228"/>
      <c r="L2615" s="207" t="str">
        <f>_xlfn.XLOOKUP($B2603,予定表!$B:$B,予定表!I:I,"該当なし",0,1)</f>
        <v/>
      </c>
      <c r="M2615" s="212"/>
    </row>
    <row r="2616" spans="1:13">
      <c r="A2616" s="195"/>
      <c r="B2616" s="196" t="s">
        <v>212</v>
      </c>
      <c r="C2616"/>
      <c r="D2616" s="197" t="s">
        <v>214</v>
      </c>
      <c r="E2616" s="197" t="s">
        <v>930</v>
      </c>
      <c r="F2616" s="197" t="s">
        <v>62</v>
      </c>
      <c r="G2616" s="197" t="s">
        <v>268</v>
      </c>
      <c r="H2616" s="197"/>
      <c r="I2616" s="209"/>
      <c r="K2616" s="228"/>
      <c r="L2616" s="207" t="str">
        <f>_xlfn.XLOOKUP($B2603,予定表!$B:$B,予定表!J:J,"該当なし",0,1)</f>
        <v/>
      </c>
      <c r="M2616" s="212"/>
    </row>
    <row r="2617" spans="1:13">
      <c r="A2617" s="195"/>
      <c r="B2617" s="195" t="s">
        <v>205</v>
      </c>
      <c r="C2617"/>
      <c r="D2617" s="197" t="s">
        <v>761</v>
      </c>
      <c r="E2617" s="197" t="s">
        <v>228</v>
      </c>
      <c r="F2617" s="197" t="s">
        <v>62</v>
      </c>
      <c r="G2617" s="197" t="s">
        <v>268</v>
      </c>
      <c r="H2617" s="197" t="s">
        <v>230</v>
      </c>
      <c r="I2617" s="209" t="s">
        <v>230</v>
      </c>
      <c r="K2617" s="228"/>
      <c r="L2617" s="207" t="str">
        <f>_xlfn.XLOOKUP($B2603,予定表!$B:$B,予定表!K:K,"該当なし",0,1)</f>
        <v/>
      </c>
      <c r="M2617" s="212"/>
    </row>
    <row r="2618" spans="1:13">
      <c r="A2618" s="195"/>
      <c r="B2618" s="195" t="s">
        <v>206</v>
      </c>
      <c r="C2618"/>
      <c r="D2618" s="197" t="s">
        <v>761</v>
      </c>
      <c r="E2618" s="197" t="s">
        <v>228</v>
      </c>
      <c r="F2618" s="197" t="s">
        <v>62</v>
      </c>
      <c r="G2618" s="197" t="s">
        <v>268</v>
      </c>
      <c r="H2618" s="197" t="s">
        <v>230</v>
      </c>
      <c r="I2618" s="209" t="s">
        <v>230</v>
      </c>
      <c r="K2618" s="228"/>
      <c r="L2618" s="207" t="str">
        <f>_xlfn.XLOOKUP($B2603,予定表!$B:$B,予定表!L:L,"該当なし",0,1)</f>
        <v/>
      </c>
      <c r="M2618" s="212"/>
    </row>
    <row r="2619" spans="1:13" ht="15.75" thickBot="1">
      <c r="A2619" s="195"/>
      <c r="B2619" s="195" t="s">
        <v>207</v>
      </c>
      <c r="C2619"/>
      <c r="D2619" s="197" t="s">
        <v>761</v>
      </c>
      <c r="E2619" s="197" t="s">
        <v>228</v>
      </c>
      <c r="F2619" s="197" t="s">
        <v>62</v>
      </c>
      <c r="G2619" s="197" t="s">
        <v>268</v>
      </c>
      <c r="H2619" s="197" t="s">
        <v>230</v>
      </c>
      <c r="I2619" s="209" t="s">
        <v>230</v>
      </c>
      <c r="K2619" s="229"/>
      <c r="L2619" s="204" t="str">
        <f>_xlfn.XLOOKUP($A2600,ﾘｽﾄマスタ!$U$8:$U$17,ﾘｽﾄマスタ!$V$8:$V$17,"",0)</f>
        <v/>
      </c>
      <c r="M2619" s="212"/>
    </row>
    <row r="2620" spans="1:13" ht="15.75" thickBot="1">
      <c r="A2620" s="195"/>
      <c r="B2620" s="196" t="s">
        <v>251</v>
      </c>
      <c r="C2620"/>
      <c r="D2620" s="197" t="s">
        <v>416</v>
      </c>
      <c r="E2620" s="197" t="s">
        <v>228</v>
      </c>
      <c r="F2620" s="197" t="s">
        <v>62</v>
      </c>
      <c r="G2620" s="197" t="s">
        <v>268</v>
      </c>
      <c r="H2620" s="197" t="s">
        <v>229</v>
      </c>
      <c r="I2620" s="209" t="s">
        <v>229</v>
      </c>
      <c r="K2620" s="208" t="s">
        <v>277</v>
      </c>
      <c r="L2620" s="208" t="str">
        <f ca="1">_xlfn.XLOOKUP($B2603,シフト抽出!$19:$19,シフト抽出!$30:$30,"該当なし",0,1)</f>
        <v/>
      </c>
      <c r="M2620" s="212"/>
    </row>
    <row r="2621" spans="1:13">
      <c r="A2621" s="195"/>
      <c r="B2621" s="195" t="s">
        <v>205</v>
      </c>
      <c r="C2621"/>
      <c r="D2621" s="197" t="s">
        <v>771</v>
      </c>
      <c r="E2621" s="197" t="s">
        <v>228</v>
      </c>
      <c r="F2621" s="197" t="s">
        <v>62</v>
      </c>
      <c r="G2621" s="197" t="s">
        <v>169</v>
      </c>
      <c r="H2621" s="197" t="s">
        <v>229</v>
      </c>
      <c r="I2621" s="209" t="s">
        <v>229</v>
      </c>
      <c r="M2621" s="212"/>
    </row>
    <row r="2622" spans="1:13">
      <c r="A2622" s="195"/>
      <c r="B2622" s="195" t="s">
        <v>206</v>
      </c>
      <c r="C2622"/>
      <c r="D2622" s="197" t="s">
        <v>416</v>
      </c>
      <c r="E2622" s="197" t="s">
        <v>263</v>
      </c>
      <c r="F2622" s="197"/>
      <c r="G2622" s="197" t="s">
        <v>169</v>
      </c>
      <c r="H2622" s="197" t="s">
        <v>848</v>
      </c>
      <c r="I2622" s="209" t="s">
        <v>848</v>
      </c>
      <c r="M2622" s="212"/>
    </row>
    <row r="2623" spans="1:13">
      <c r="A2623" s="195"/>
      <c r="B2623" s="195" t="s">
        <v>207</v>
      </c>
      <c r="C2623"/>
      <c r="D2623" s="197" t="s">
        <v>416</v>
      </c>
      <c r="E2623" s="197" t="s">
        <v>263</v>
      </c>
      <c r="F2623" s="197" t="s">
        <v>51</v>
      </c>
      <c r="G2623" s="197" t="s">
        <v>169</v>
      </c>
      <c r="H2623" s="197" t="s">
        <v>848</v>
      </c>
      <c r="I2623" s="209" t="s">
        <v>848</v>
      </c>
      <c r="M2623" s="212"/>
    </row>
    <row r="2624" spans="1:13">
      <c r="A2624" s="195"/>
      <c r="B2624" s="196" t="s">
        <v>217</v>
      </c>
      <c r="C2624"/>
      <c r="D2624" s="197" t="s">
        <v>416</v>
      </c>
      <c r="E2624" s="197" t="s">
        <v>263</v>
      </c>
      <c r="F2624" s="197" t="s">
        <v>51</v>
      </c>
      <c r="G2624" s="197" t="s">
        <v>169</v>
      </c>
      <c r="H2624" s="197" t="s">
        <v>848</v>
      </c>
      <c r="I2624" s="209" t="s">
        <v>848</v>
      </c>
      <c r="M2624" s="212"/>
    </row>
    <row r="2625" spans="1:13">
      <c r="A2625" s="195"/>
      <c r="B2625" s="195" t="s">
        <v>205</v>
      </c>
      <c r="C2625"/>
      <c r="D2625" s="197" t="s">
        <v>416</v>
      </c>
      <c r="E2625" s="197" t="s">
        <v>848</v>
      </c>
      <c r="F2625" s="197" t="s">
        <v>51</v>
      </c>
      <c r="G2625" s="197" t="s">
        <v>169</v>
      </c>
      <c r="H2625" s="197" t="s">
        <v>848</v>
      </c>
      <c r="I2625" s="209" t="s">
        <v>848</v>
      </c>
      <c r="M2625" s="212"/>
    </row>
    <row r="2626" spans="1:13">
      <c r="A2626" s="195"/>
      <c r="B2626" s="195" t="s">
        <v>206</v>
      </c>
      <c r="C2626"/>
      <c r="D2626" s="197"/>
      <c r="E2626" s="197" t="s">
        <v>848</v>
      </c>
      <c r="F2626" s="197" t="s">
        <v>51</v>
      </c>
      <c r="G2626" s="197" t="s">
        <v>278</v>
      </c>
      <c r="H2626" s="197" t="s">
        <v>848</v>
      </c>
      <c r="I2626" s="209" t="s">
        <v>848</v>
      </c>
      <c r="M2626" s="212"/>
    </row>
    <row r="2627" spans="1:13">
      <c r="A2627" s="195"/>
      <c r="B2627" s="195" t="s">
        <v>207</v>
      </c>
      <c r="C2627"/>
      <c r="D2627" s="197"/>
      <c r="E2627" s="197" t="s">
        <v>848</v>
      </c>
      <c r="F2627" s="197" t="s">
        <v>51</v>
      </c>
      <c r="G2627" s="197" t="s">
        <v>278</v>
      </c>
      <c r="H2627" s="197" t="s">
        <v>848</v>
      </c>
      <c r="I2627" s="209" t="s">
        <v>848</v>
      </c>
      <c r="M2627" s="212"/>
    </row>
    <row r="2628" spans="1:13">
      <c r="A2628" s="195"/>
      <c r="B2628" s="196" t="s">
        <v>219</v>
      </c>
      <c r="C2628"/>
      <c r="D2628" s="197"/>
      <c r="E2628" s="197" t="s">
        <v>848</v>
      </c>
      <c r="F2628" s="197"/>
      <c r="G2628" s="197"/>
      <c r="H2628" s="197"/>
      <c r="I2628" s="209"/>
      <c r="M2628" s="212"/>
    </row>
    <row r="2629" spans="1:13">
      <c r="A2629" s="195"/>
      <c r="B2629" s="195" t="s">
        <v>205</v>
      </c>
      <c r="C2629"/>
      <c r="D2629" s="197"/>
      <c r="E2629" s="197" t="s">
        <v>848</v>
      </c>
      <c r="F2629" s="197"/>
      <c r="G2629" s="197"/>
      <c r="H2629" s="197"/>
      <c r="I2629" s="209"/>
      <c r="M2629" s="212"/>
    </row>
    <row r="2630" spans="1:13">
      <c r="A2630" s="195"/>
      <c r="B2630" s="195" t="s">
        <v>206</v>
      </c>
      <c r="C2630"/>
      <c r="D2630" s="197"/>
      <c r="E2630" s="197"/>
      <c r="F2630" s="197"/>
      <c r="G2630" s="197"/>
      <c r="H2630" s="197"/>
      <c r="I2630" s="209"/>
      <c r="M2630" s="212"/>
    </row>
    <row r="2631" spans="1:13">
      <c r="A2631" s="195"/>
      <c r="B2631" s="195" t="s">
        <v>207</v>
      </c>
      <c r="C2631"/>
      <c r="D2631" s="197"/>
      <c r="E2631" s="197"/>
      <c r="F2631" s="197"/>
      <c r="G2631" s="197"/>
      <c r="H2631" s="197"/>
      <c r="I2631" s="209"/>
      <c r="M2631" s="212"/>
    </row>
    <row r="2632" spans="1:13">
      <c r="A2632" s="195"/>
      <c r="B2632" s="196" t="s">
        <v>220</v>
      </c>
      <c r="C2632"/>
      <c r="D2632" s="189" t="s">
        <v>874</v>
      </c>
      <c r="E2632" s="197"/>
      <c r="F2632" s="189" t="s">
        <v>890</v>
      </c>
      <c r="G2632" s="189" t="s">
        <v>276</v>
      </c>
      <c r="H2632" s="197"/>
      <c r="I2632" s="209"/>
      <c r="M2632" s="212"/>
    </row>
    <row r="2633" spans="1:13">
      <c r="A2633" s="195"/>
      <c r="B2633" s="195" t="s">
        <v>205</v>
      </c>
      <c r="C2633"/>
      <c r="D2633" s="197" t="s">
        <v>114</v>
      </c>
      <c r="E2633" s="197" t="s">
        <v>160</v>
      </c>
      <c r="F2633" s="197" t="s">
        <v>252</v>
      </c>
      <c r="G2633" s="197" t="s">
        <v>56</v>
      </c>
      <c r="H2633" s="197" t="s">
        <v>415</v>
      </c>
      <c r="I2633" s="209" t="s">
        <v>415</v>
      </c>
      <c r="M2633" s="212"/>
    </row>
    <row r="2634" spans="1:13">
      <c r="A2634" s="195"/>
      <c r="B2634" s="195" t="s">
        <v>206</v>
      </c>
      <c r="C2634"/>
      <c r="D2634" s="197" t="s">
        <v>114</v>
      </c>
      <c r="E2634" s="197" t="s">
        <v>160</v>
      </c>
      <c r="F2634" s="197" t="s">
        <v>252</v>
      </c>
      <c r="G2634" s="197" t="s">
        <v>56</v>
      </c>
      <c r="H2634" s="197" t="s">
        <v>415</v>
      </c>
      <c r="I2634" s="209" t="s">
        <v>415</v>
      </c>
      <c r="M2634" s="212"/>
    </row>
    <row r="2635" spans="1:13">
      <c r="A2635" s="195"/>
      <c r="B2635" s="195" t="s">
        <v>207</v>
      </c>
      <c r="C2635"/>
      <c r="D2635" s="197" t="s">
        <v>129</v>
      </c>
      <c r="E2635" s="197" t="s">
        <v>95</v>
      </c>
      <c r="F2635" s="197" t="s">
        <v>252</v>
      </c>
      <c r="G2635" s="197" t="s">
        <v>56</v>
      </c>
      <c r="H2635" s="197" t="s">
        <v>415</v>
      </c>
      <c r="I2635" s="209" t="s">
        <v>415</v>
      </c>
      <c r="M2635" s="212"/>
    </row>
    <row r="2636" spans="1:13">
      <c r="A2636" s="195"/>
      <c r="B2636" s="196" t="s">
        <v>222</v>
      </c>
      <c r="C2636"/>
      <c r="D2636" s="197" t="s">
        <v>129</v>
      </c>
      <c r="E2636" s="197" t="s">
        <v>95</v>
      </c>
      <c r="F2636" s="197" t="s">
        <v>252</v>
      </c>
      <c r="G2636" s="197" t="s">
        <v>56</v>
      </c>
      <c r="H2636" s="197" t="s">
        <v>415</v>
      </c>
      <c r="I2636" s="209" t="s">
        <v>415</v>
      </c>
      <c r="M2636" s="212"/>
    </row>
    <row r="2637" spans="1:13">
      <c r="A2637" s="195"/>
      <c r="B2637" s="195" t="s">
        <v>205</v>
      </c>
      <c r="C2637"/>
      <c r="D2637" s="197" t="s">
        <v>129</v>
      </c>
      <c r="E2637" s="197" t="s">
        <v>95</v>
      </c>
      <c r="F2637" s="197" t="s">
        <v>252</v>
      </c>
      <c r="G2637" s="197"/>
      <c r="H2637" s="197" t="s">
        <v>415</v>
      </c>
      <c r="I2637" s="209" t="s">
        <v>415</v>
      </c>
      <c r="M2637" s="212"/>
    </row>
    <row r="2638" spans="1:13">
      <c r="A2638" s="195"/>
      <c r="B2638" s="195" t="s">
        <v>206</v>
      </c>
      <c r="C2638"/>
      <c r="D2638" s="197"/>
      <c r="E2638" s="197" t="s">
        <v>95</v>
      </c>
      <c r="F2638" s="197" t="s">
        <v>252</v>
      </c>
      <c r="G2638" s="197" t="s">
        <v>270</v>
      </c>
      <c r="H2638" s="197" t="s">
        <v>415</v>
      </c>
      <c r="I2638" s="209" t="s">
        <v>415</v>
      </c>
      <c r="M2638" s="212"/>
    </row>
    <row r="2639" spans="1:13">
      <c r="A2639" s="195"/>
      <c r="B2639" s="195" t="s">
        <v>207</v>
      </c>
      <c r="C2639"/>
      <c r="D2639" s="197" t="s">
        <v>515</v>
      </c>
      <c r="E2639" s="197" t="s">
        <v>95</v>
      </c>
      <c r="F2639" s="197" t="s">
        <v>252</v>
      </c>
      <c r="G2639" s="197" t="s">
        <v>270</v>
      </c>
      <c r="H2639" s="197" t="s">
        <v>415</v>
      </c>
      <c r="I2639" s="209" t="s">
        <v>415</v>
      </c>
      <c r="M2639" s="212"/>
    </row>
    <row r="2640" spans="1:13">
      <c r="A2640" s="195"/>
      <c r="B2640" s="196" t="s">
        <v>223</v>
      </c>
      <c r="C2640"/>
      <c r="D2640" s="197" t="s">
        <v>515</v>
      </c>
      <c r="E2640" s="197" t="s">
        <v>95</v>
      </c>
      <c r="F2640" s="197" t="s">
        <v>252</v>
      </c>
      <c r="G2640" s="197" t="s">
        <v>270</v>
      </c>
      <c r="H2640" s="197" t="s">
        <v>415</v>
      </c>
      <c r="I2640" s="209" t="s">
        <v>415</v>
      </c>
      <c r="M2640" s="212"/>
    </row>
    <row r="2641" spans="1:13">
      <c r="A2641" s="195"/>
      <c r="B2641" s="195" t="s">
        <v>205</v>
      </c>
      <c r="C2641"/>
      <c r="D2641" s="197" t="s">
        <v>269</v>
      </c>
      <c r="E2641" s="197" t="s">
        <v>95</v>
      </c>
      <c r="F2641" s="197" t="s">
        <v>252</v>
      </c>
      <c r="G2641" s="197" t="s">
        <v>270</v>
      </c>
      <c r="H2641" s="197" t="s">
        <v>415</v>
      </c>
      <c r="I2641" s="209" t="s">
        <v>415</v>
      </c>
      <c r="M2641" s="212"/>
    </row>
    <row r="2642" spans="1:13">
      <c r="A2642" s="195"/>
      <c r="B2642" s="195" t="s">
        <v>206</v>
      </c>
      <c r="C2642"/>
      <c r="D2642" s="197" t="s">
        <v>269</v>
      </c>
      <c r="E2642" s="197" t="s">
        <v>95</v>
      </c>
      <c r="F2642" s="197" t="s">
        <v>252</v>
      </c>
      <c r="G2642" s="197" t="s">
        <v>270</v>
      </c>
      <c r="H2642" s="197" t="s">
        <v>92</v>
      </c>
      <c r="I2642" s="209" t="s">
        <v>92</v>
      </c>
      <c r="M2642" s="212"/>
    </row>
    <row r="2643" spans="1:13">
      <c r="A2643" s="195"/>
      <c r="B2643" s="195" t="s">
        <v>207</v>
      </c>
      <c r="C2643"/>
      <c r="D2643" s="197" t="s">
        <v>362</v>
      </c>
      <c r="E2643" s="197" t="s">
        <v>95</v>
      </c>
      <c r="F2643" s="197" t="s">
        <v>252</v>
      </c>
      <c r="G2643" s="197" t="s">
        <v>270</v>
      </c>
      <c r="H2643" s="197" t="s">
        <v>92</v>
      </c>
      <c r="I2643" s="209" t="s">
        <v>92</v>
      </c>
      <c r="M2643" s="212"/>
    </row>
    <row r="2644" spans="1:13">
      <c r="A2644" s="195"/>
      <c r="B2644" s="196" t="s">
        <v>225</v>
      </c>
      <c r="C2644"/>
      <c r="D2644" s="197" t="s">
        <v>237</v>
      </c>
      <c r="E2644" s="197" t="s">
        <v>95</v>
      </c>
      <c r="F2644" s="197" t="s">
        <v>252</v>
      </c>
      <c r="G2644" s="197" t="s">
        <v>270</v>
      </c>
      <c r="H2644" s="197" t="s">
        <v>92</v>
      </c>
      <c r="I2644" s="209" t="s">
        <v>92</v>
      </c>
      <c r="M2644" s="212"/>
    </row>
    <row r="2645" spans="1:13">
      <c r="A2645" s="195"/>
      <c r="B2645" s="195" t="s">
        <v>205</v>
      </c>
      <c r="C2645"/>
      <c r="D2645" s="197" t="s">
        <v>236</v>
      </c>
      <c r="E2645" s="197" t="s">
        <v>95</v>
      </c>
      <c r="F2645" s="197"/>
      <c r="G2645" s="197" t="s">
        <v>270</v>
      </c>
      <c r="H2645" s="197" t="s">
        <v>92</v>
      </c>
      <c r="I2645" s="209" t="s">
        <v>92</v>
      </c>
      <c r="M2645" s="212"/>
    </row>
    <row r="2646" spans="1:13">
      <c r="A2646" s="195"/>
      <c r="B2646" s="195" t="s">
        <v>206</v>
      </c>
      <c r="C2646"/>
      <c r="D2646" s="197" t="s">
        <v>193</v>
      </c>
      <c r="E2646" s="197" t="s">
        <v>95</v>
      </c>
      <c r="F2646" s="197"/>
      <c r="G2646" s="197" t="s">
        <v>270</v>
      </c>
      <c r="H2646" s="197" t="s">
        <v>92</v>
      </c>
      <c r="I2646" s="209" t="s">
        <v>92</v>
      </c>
      <c r="M2646" s="212"/>
    </row>
    <row r="2647" spans="1:13">
      <c r="A2647" s="195"/>
      <c r="B2647" s="195" t="s">
        <v>207</v>
      </c>
      <c r="C2647"/>
      <c r="D2647" s="197"/>
      <c r="E2647" s="197"/>
      <c r="F2647" s="197"/>
      <c r="G2647" s="197" t="s">
        <v>270</v>
      </c>
      <c r="H2647" s="197" t="s">
        <v>92</v>
      </c>
      <c r="I2647" s="209" t="s">
        <v>92</v>
      </c>
      <c r="M2647" s="212"/>
    </row>
    <row r="2648" spans="1:13">
      <c r="A2648" s="195"/>
      <c r="B2648" s="196" t="s">
        <v>226</v>
      </c>
      <c r="C2648"/>
      <c r="D2648" s="197"/>
      <c r="E2648" s="197"/>
      <c r="F2648" s="197"/>
      <c r="G2648" s="197"/>
      <c r="H2648" s="209"/>
      <c r="I2648" s="209"/>
      <c r="M2648" s="212"/>
    </row>
    <row r="2649" spans="1:13">
      <c r="A2649" s="195"/>
      <c r="B2649" s="195" t="s">
        <v>205</v>
      </c>
      <c r="C2649"/>
      <c r="D2649" s="197"/>
      <c r="E2649" s="197"/>
      <c r="F2649" s="197"/>
      <c r="G2649" s="197"/>
      <c r="H2649" s="209"/>
      <c r="I2649" s="209"/>
      <c r="M2649" s="212"/>
    </row>
    <row r="2650" spans="1:13">
      <c r="A2650" s="195"/>
      <c r="B2650" s="195" t="s">
        <v>206</v>
      </c>
      <c r="C2650"/>
      <c r="D2650" s="197"/>
      <c r="E2650" s="197"/>
      <c r="F2650" s="197"/>
      <c r="G2650" s="197"/>
      <c r="H2650" s="209"/>
      <c r="I2650" s="209"/>
      <c r="M2650" s="212"/>
    </row>
    <row r="2651" spans="1:13">
      <c r="A2651" s="195"/>
      <c r="B2651" s="195" t="s">
        <v>207</v>
      </c>
      <c r="C2651"/>
      <c r="D2651" s="197"/>
      <c r="E2651" s="197"/>
      <c r="F2651" s="197"/>
      <c r="G2651" s="197"/>
      <c r="H2651" s="209"/>
      <c r="I2651" s="209"/>
    </row>
    <row r="2652" spans="1:13">
      <c r="A2652" s="195"/>
      <c r="B2652" s="196" t="s">
        <v>227</v>
      </c>
      <c r="C2652"/>
      <c r="D2652" s="197"/>
      <c r="E2652" s="197"/>
      <c r="F2652" s="197"/>
      <c r="G2652" s="197"/>
      <c r="H2652" s="209"/>
      <c r="I2652" s="209"/>
      <c r="K2652"/>
    </row>
    <row r="2653" spans="1:13" ht="29.25" thickBot="1">
      <c r="A2653" s="182" t="str">
        <f>"回収シフト  第"&amp;ROUNDUP(DAY(B2656)/7,0)  &amp;"  "&amp;TEXT(B2656,"aaaa")</f>
        <v>回収シフト  第5  金曜日</v>
      </c>
      <c r="B2653" s="183"/>
      <c r="C2653" s="183"/>
      <c r="D2653" s="183"/>
      <c r="E2653" s="183"/>
      <c r="F2653" s="183"/>
      <c r="G2653" s="184"/>
      <c r="H2653" s="184"/>
      <c r="I2653" s="184"/>
      <c r="K2653" s="183"/>
      <c r="L2653" s="183"/>
    </row>
    <row r="2654" spans="1:13" ht="15.75" thickBot="1">
      <c r="A2654"/>
      <c r="B2654"/>
      <c r="C2654"/>
      <c r="D2654" s="186" t="s">
        <v>201</v>
      </c>
      <c r="E2654" s="186" t="s">
        <v>202</v>
      </c>
      <c r="F2654" s="186" t="s">
        <v>203</v>
      </c>
      <c r="G2654" s="186" t="s">
        <v>204</v>
      </c>
      <c r="H2654" s="186" t="s">
        <v>267</v>
      </c>
      <c r="I2654" s="217" t="s">
        <v>267</v>
      </c>
      <c r="K2654" s="230" t="s">
        <v>257</v>
      </c>
      <c r="L2654" s="231"/>
      <c r="M2654" s="212"/>
    </row>
    <row r="2655" spans="1:13">
      <c r="A2655" s="187"/>
      <c r="B2655" s="188">
        <v>46119</v>
      </c>
      <c r="C2655" s="187"/>
      <c r="D2655" s="189" t="s">
        <v>849</v>
      </c>
      <c r="E2655" s="189" t="s">
        <v>923</v>
      </c>
      <c r="F2655" s="189" t="s">
        <v>890</v>
      </c>
      <c r="G2655" s="189" t="s">
        <v>276</v>
      </c>
      <c r="H2655" s="189" t="s">
        <v>852</v>
      </c>
      <c r="I2655" s="218" t="s">
        <v>852</v>
      </c>
      <c r="K2655" s="232" t="s">
        <v>258</v>
      </c>
      <c r="L2655" s="190" t="str">
        <f ca="1">_xlfn.XLOOKUP($B2656,シフト抽出!$19:$19,シフト抽出!$20:$20,"該当なし",0,1)</f>
        <v/>
      </c>
      <c r="M2655" s="212"/>
    </row>
    <row r="2656" spans="1:13" ht="19.5" thickBot="1">
      <c r="A2656"/>
      <c r="B2656" s="191">
        <f>B2603+1</f>
        <v>46171</v>
      </c>
      <c r="C2656" s="192"/>
      <c r="D2656" s="193"/>
      <c r="E2656" s="193"/>
      <c r="F2656" s="193"/>
      <c r="G2656" s="193"/>
      <c r="H2656" s="193"/>
      <c r="I2656" s="219"/>
      <c r="K2656" s="233"/>
      <c r="L2656" s="194" t="str">
        <f ca="1">_xlfn.XLOOKUP($B2656,シフト抽出!$19:$19,シフト抽出!$21:$21,"該当なし",0,1)</f>
        <v/>
      </c>
      <c r="M2656" s="212"/>
    </row>
    <row r="2657" spans="1:13">
      <c r="A2657" s="195"/>
      <c r="B2657" s="196">
        <v>0.25</v>
      </c>
      <c r="C2657"/>
      <c r="D2657" s="197"/>
      <c r="E2657" s="196"/>
      <c r="F2657" s="197"/>
      <c r="G2657" s="197"/>
      <c r="H2657" s="197"/>
      <c r="I2657" s="209"/>
      <c r="K2657" s="234" t="s">
        <v>259</v>
      </c>
      <c r="L2657" s="198" t="str">
        <f ca="1">_xlfn.XLOOKUP($B2656,シフト抽出!$19:$19,シフト抽出!$23:$23,"該当なし",0,1)</f>
        <v/>
      </c>
      <c r="M2657" s="212"/>
    </row>
    <row r="2658" spans="1:13" ht="15.75" thickBot="1">
      <c r="A2658" s="195"/>
      <c r="B2658" s="195" t="s">
        <v>205</v>
      </c>
      <c r="C2658"/>
      <c r="D2658" s="197"/>
      <c r="E2658" s="197"/>
      <c r="F2658" s="197"/>
      <c r="G2658" s="197"/>
      <c r="H2658" s="197"/>
      <c r="I2658" s="209"/>
      <c r="K2658" s="235"/>
      <c r="L2658" s="199" t="str">
        <f ca="1">_xlfn.XLOOKUP($B2656,シフト抽出!$19:$19,シフト抽出!$24:$24,"該当なし",0,1)</f>
        <v/>
      </c>
      <c r="M2658" s="212"/>
    </row>
    <row r="2659" spans="1:13">
      <c r="A2659" s="195"/>
      <c r="B2659" s="195" t="s">
        <v>206</v>
      </c>
      <c r="C2659"/>
      <c r="D2659" s="197" t="s">
        <v>238</v>
      </c>
      <c r="E2659" s="197"/>
      <c r="F2659" s="197"/>
      <c r="G2659" s="197"/>
      <c r="H2659" s="197"/>
      <c r="I2659" s="209"/>
      <c r="K2659" s="224" t="s">
        <v>260</v>
      </c>
      <c r="L2659" s="200" t="str">
        <f ca="1">_xlfn.XLOOKUP($B2656,シフト抽出!$19:$19,シフト抽出!$26:$26,"該当なし",0,1)</f>
        <v/>
      </c>
      <c r="M2659" s="212"/>
    </row>
    <row r="2660" spans="1:13">
      <c r="A2660" s="195"/>
      <c r="B2660" s="195" t="s">
        <v>207</v>
      </c>
      <c r="C2660"/>
      <c r="D2660" s="197" t="s">
        <v>238</v>
      </c>
      <c r="E2660" s="197"/>
      <c r="F2660" s="197"/>
      <c r="G2660" s="197"/>
      <c r="H2660" s="197"/>
      <c r="I2660" s="209"/>
      <c r="K2660" s="225"/>
      <c r="L2660" s="201" t="str">
        <f ca="1">_xlfn.XLOOKUP($B2656,シフト抽出!$19:$19,シフト抽出!$27:$27,"該当なし",0,1)</f>
        <v/>
      </c>
      <c r="M2660" s="212"/>
    </row>
    <row r="2661" spans="1:13">
      <c r="A2661" s="195"/>
      <c r="B2661" s="202" t="s">
        <v>208</v>
      </c>
      <c r="C2661"/>
      <c r="D2661" s="197" t="s">
        <v>238</v>
      </c>
      <c r="E2661" s="197" t="s">
        <v>4</v>
      </c>
      <c r="F2661" s="197"/>
      <c r="G2661" s="197" t="s">
        <v>22</v>
      </c>
      <c r="H2661" s="197"/>
      <c r="I2661" s="209"/>
      <c r="J2661" s="203"/>
      <c r="K2661" s="225"/>
      <c r="L2661" s="201" t="str">
        <f ca="1">_xlfn.XLOOKUP($B2656,シフト抽出!$19:$19,シフト抽出!$28:$28,"該当なし",0,1)</f>
        <v/>
      </c>
      <c r="M2661" s="212"/>
    </row>
    <row r="2662" spans="1:13" ht="15.75" thickBot="1">
      <c r="A2662" s="195"/>
      <c r="B2662" s="195" t="s">
        <v>205</v>
      </c>
      <c r="C2662"/>
      <c r="D2662" s="197" t="s">
        <v>238</v>
      </c>
      <c r="E2662" s="197" t="s">
        <v>420</v>
      </c>
      <c r="F2662" s="197" t="s">
        <v>111</v>
      </c>
      <c r="G2662" s="197" t="s">
        <v>22</v>
      </c>
      <c r="H2662" s="197"/>
      <c r="I2662" s="209"/>
      <c r="J2662" s="203"/>
      <c r="K2662" s="226"/>
      <c r="L2662" s="204" t="str">
        <f ca="1">_xlfn.XLOOKUP($B2656,シフト抽出!$19:$19,シフト抽出!$29:$29,"該当なし",0,1)</f>
        <v/>
      </c>
      <c r="M2662" s="212"/>
    </row>
    <row r="2663" spans="1:13" ht="15.75" thickBot="1">
      <c r="A2663" s="195"/>
      <c r="B2663" s="195" t="s">
        <v>206</v>
      </c>
      <c r="C2663"/>
      <c r="D2663" s="197" t="s">
        <v>238</v>
      </c>
      <c r="E2663" s="197" t="s">
        <v>420</v>
      </c>
      <c r="F2663" s="197" t="s">
        <v>111</v>
      </c>
      <c r="G2663" s="197" t="s">
        <v>788</v>
      </c>
      <c r="H2663" s="197"/>
      <c r="I2663" s="209"/>
      <c r="K2663" s="205" t="s">
        <v>261</v>
      </c>
      <c r="L2663" s="205">
        <f>_xlfn.XLOOKUP($B2656,予定表!B:B,予定表!R:R,"該当なし",0,1)</f>
        <v>0</v>
      </c>
      <c r="M2663" s="212"/>
    </row>
    <row r="2664" spans="1:13">
      <c r="A2664" s="195"/>
      <c r="B2664" s="195" t="s">
        <v>207</v>
      </c>
      <c r="C2664"/>
      <c r="D2664" s="197" t="s">
        <v>238</v>
      </c>
      <c r="E2664" s="197" t="s">
        <v>420</v>
      </c>
      <c r="F2664" s="197" t="s">
        <v>111</v>
      </c>
      <c r="G2664" s="197" t="s">
        <v>788</v>
      </c>
      <c r="H2664" s="197"/>
      <c r="I2664" s="209"/>
      <c r="K2664" s="227" t="s">
        <v>262</v>
      </c>
      <c r="L2664" s="206" t="str">
        <f>_xlfn.XLOOKUP($B2656,予定表!$B:$B,予定表!E:E,"該当なし",0,1)</f>
        <v>ジャクソン</v>
      </c>
      <c r="M2664" s="212"/>
    </row>
    <row r="2665" spans="1:13">
      <c r="A2665" s="195"/>
      <c r="B2665" s="196" t="s">
        <v>209</v>
      </c>
      <c r="C2665"/>
      <c r="D2665" s="197"/>
      <c r="E2665" s="197" t="s">
        <v>420</v>
      </c>
      <c r="F2665" s="197" t="s">
        <v>111</v>
      </c>
      <c r="G2665" s="197" t="s">
        <v>268</v>
      </c>
      <c r="H2665" s="197" t="s">
        <v>4</v>
      </c>
      <c r="I2665" s="209" t="s">
        <v>4</v>
      </c>
      <c r="K2665" s="228"/>
      <c r="L2665" s="207">
        <f>_xlfn.XLOOKUP($B2656,予定表!$B:$B,予定表!F:F,"該当なし",0,1)</f>
        <v>0</v>
      </c>
      <c r="M2665" s="212"/>
    </row>
    <row r="2666" spans="1:13">
      <c r="A2666" s="195"/>
      <c r="B2666" s="195" t="s">
        <v>205</v>
      </c>
      <c r="C2666"/>
      <c r="D2666" s="197" t="s">
        <v>264</v>
      </c>
      <c r="E2666" s="197" t="s">
        <v>420</v>
      </c>
      <c r="F2666" s="197" t="s">
        <v>111</v>
      </c>
      <c r="G2666" s="197" t="s">
        <v>268</v>
      </c>
      <c r="H2666" s="197" t="s">
        <v>60</v>
      </c>
      <c r="I2666" s="209" t="s">
        <v>60</v>
      </c>
      <c r="K2666" s="228"/>
      <c r="L2666" s="207">
        <f>_xlfn.XLOOKUP($B2656,予定表!$B:$B,予定表!G:G,"該当なし",0,1)</f>
        <v>0</v>
      </c>
      <c r="M2666" s="212"/>
    </row>
    <row r="2667" spans="1:13">
      <c r="A2667" s="195"/>
      <c r="B2667" s="195" t="s">
        <v>206</v>
      </c>
      <c r="C2667"/>
      <c r="D2667" s="197" t="s">
        <v>239</v>
      </c>
      <c r="E2667" s="197" t="s">
        <v>414</v>
      </c>
      <c r="F2667" s="197" t="s">
        <v>111</v>
      </c>
      <c r="G2667" s="197" t="s">
        <v>268</v>
      </c>
      <c r="H2667" s="197" t="s">
        <v>60</v>
      </c>
      <c r="I2667" s="209" t="s">
        <v>60</v>
      </c>
      <c r="K2667" s="228"/>
      <c r="L2667" s="207" t="str">
        <f>_xlfn.XLOOKUP($B2656,予定表!$B:$B,予定表!H:H,"該当なし",0,1)</f>
        <v>資さんうどん</v>
      </c>
      <c r="M2667" s="212"/>
    </row>
    <row r="2668" spans="1:13">
      <c r="A2668" s="195"/>
      <c r="B2668" s="195" t="s">
        <v>207</v>
      </c>
      <c r="C2668"/>
      <c r="D2668" s="197" t="s">
        <v>425</v>
      </c>
      <c r="E2668" s="197" t="s">
        <v>414</v>
      </c>
      <c r="F2668" s="197" t="s">
        <v>111</v>
      </c>
      <c r="G2668" s="197" t="s">
        <v>268</v>
      </c>
      <c r="H2668" s="197" t="s">
        <v>60</v>
      </c>
      <c r="I2668" s="209" t="s">
        <v>60</v>
      </c>
      <c r="K2668" s="228"/>
      <c r="L2668" s="207" t="str">
        <f>_xlfn.XLOOKUP($B2656,予定表!$B:$B,予定表!I:I,"該当なし",0,1)</f>
        <v/>
      </c>
      <c r="M2668" s="212"/>
    </row>
    <row r="2669" spans="1:13">
      <c r="A2669" s="195"/>
      <c r="B2669" s="196" t="s">
        <v>212</v>
      </c>
      <c r="C2669"/>
      <c r="D2669" s="197" t="s">
        <v>240</v>
      </c>
      <c r="E2669" s="197" t="s">
        <v>414</v>
      </c>
      <c r="F2669" s="197"/>
      <c r="G2669" s="197" t="s">
        <v>268</v>
      </c>
      <c r="H2669" s="197"/>
      <c r="I2669" s="209"/>
      <c r="K2669" s="228"/>
      <c r="L2669" s="207" t="str">
        <f>_xlfn.XLOOKUP($B2656,予定表!$B:$B,予定表!J:J,"該当なし",0,1)</f>
        <v/>
      </c>
      <c r="M2669" s="212"/>
    </row>
    <row r="2670" spans="1:13">
      <c r="A2670" s="195"/>
      <c r="B2670" s="195" t="s">
        <v>205</v>
      </c>
      <c r="C2670"/>
      <c r="D2670" s="197" t="s">
        <v>240</v>
      </c>
      <c r="E2670" s="197" t="s">
        <v>414</v>
      </c>
      <c r="F2670" s="197" t="s">
        <v>395</v>
      </c>
      <c r="G2670" s="197" t="s">
        <v>268</v>
      </c>
      <c r="H2670" s="197" t="s">
        <v>848</v>
      </c>
      <c r="I2670" s="209" t="s">
        <v>848</v>
      </c>
      <c r="K2670" s="228"/>
      <c r="L2670" s="207" t="str">
        <f>_xlfn.XLOOKUP($B2656,予定表!$B:$B,予定表!K:K,"該当なし",0,1)</f>
        <v/>
      </c>
      <c r="M2670" s="212"/>
    </row>
    <row r="2671" spans="1:13">
      <c r="A2671" s="195"/>
      <c r="B2671" s="195" t="s">
        <v>206</v>
      </c>
      <c r="C2671"/>
      <c r="D2671" s="197" t="s">
        <v>353</v>
      </c>
      <c r="E2671" s="197" t="s">
        <v>854</v>
      </c>
      <c r="F2671" s="197" t="s">
        <v>395</v>
      </c>
      <c r="G2671" s="197" t="s">
        <v>515</v>
      </c>
      <c r="H2671" s="197" t="s">
        <v>848</v>
      </c>
      <c r="I2671" s="209" t="s">
        <v>848</v>
      </c>
      <c r="K2671" s="228"/>
      <c r="L2671" s="207" t="str">
        <f>_xlfn.XLOOKUP($B2656,予定表!$B:$B,予定表!L:L,"該当なし",0,1)</f>
        <v/>
      </c>
      <c r="M2671" s="212"/>
    </row>
    <row r="2672" spans="1:13" ht="15.75" thickBot="1">
      <c r="A2672" s="195"/>
      <c r="B2672" s="195" t="s">
        <v>207</v>
      </c>
      <c r="C2672"/>
      <c r="D2672" s="197" t="s">
        <v>353</v>
      </c>
      <c r="E2672" s="197" t="s">
        <v>854</v>
      </c>
      <c r="F2672" s="197" t="s">
        <v>395</v>
      </c>
      <c r="G2672" s="197" t="s">
        <v>515</v>
      </c>
      <c r="H2672" s="197" t="s">
        <v>848</v>
      </c>
      <c r="I2672" s="209" t="s">
        <v>848</v>
      </c>
      <c r="K2672" s="229"/>
      <c r="L2672" s="204" t="str">
        <f>_xlfn.XLOOKUP($A2653,ﾘｽﾄマスタ!$U$8:$U$17,ﾘｽﾄマスタ!$V$8:$V$17,"",0)</f>
        <v/>
      </c>
      <c r="M2672" s="212"/>
    </row>
    <row r="2673" spans="1:13" ht="15.75" thickBot="1">
      <c r="A2673" s="195"/>
      <c r="B2673" s="196" t="s">
        <v>251</v>
      </c>
      <c r="C2673"/>
      <c r="D2673" s="197" t="s">
        <v>353</v>
      </c>
      <c r="E2673" s="197" t="s">
        <v>854</v>
      </c>
      <c r="F2673" s="197" t="s">
        <v>395</v>
      </c>
      <c r="G2673" s="197" t="s">
        <v>515</v>
      </c>
      <c r="H2673" s="197" t="s">
        <v>848</v>
      </c>
      <c r="I2673" s="209" t="s">
        <v>848</v>
      </c>
      <c r="K2673" s="208" t="s">
        <v>277</v>
      </c>
      <c r="L2673" s="208" t="str">
        <f ca="1">_xlfn.XLOOKUP($B2656,シフト抽出!$19:$19,シフト抽出!$30:$30,"該当なし",0,1)</f>
        <v/>
      </c>
      <c r="M2673" s="212"/>
    </row>
    <row r="2674" spans="1:13">
      <c r="A2674" s="195"/>
      <c r="B2674" s="195" t="s">
        <v>205</v>
      </c>
      <c r="C2674"/>
      <c r="D2674" s="197" t="s">
        <v>761</v>
      </c>
      <c r="E2674" s="197" t="s">
        <v>854</v>
      </c>
      <c r="F2674" s="197" t="s">
        <v>395</v>
      </c>
      <c r="G2674" s="197" t="s">
        <v>269</v>
      </c>
      <c r="H2674" s="197" t="s">
        <v>848</v>
      </c>
      <c r="I2674" s="209" t="s">
        <v>848</v>
      </c>
      <c r="M2674" s="212"/>
    </row>
    <row r="2675" spans="1:13">
      <c r="A2675" s="195"/>
      <c r="B2675" s="195" t="s">
        <v>206</v>
      </c>
      <c r="C2675"/>
      <c r="D2675" s="197" t="s">
        <v>761</v>
      </c>
      <c r="E2675" s="197" t="s">
        <v>216</v>
      </c>
      <c r="F2675" s="197" t="s">
        <v>395</v>
      </c>
      <c r="G2675" s="197" t="s">
        <v>269</v>
      </c>
      <c r="H2675" s="197" t="s">
        <v>848</v>
      </c>
      <c r="I2675" s="209" t="s">
        <v>848</v>
      </c>
      <c r="M2675" s="212"/>
    </row>
    <row r="2676" spans="1:13">
      <c r="A2676" s="195"/>
      <c r="B2676" s="195" t="s">
        <v>207</v>
      </c>
      <c r="C2676"/>
      <c r="D2676" s="197" t="s">
        <v>761</v>
      </c>
      <c r="E2676" s="197" t="s">
        <v>216</v>
      </c>
      <c r="F2676" s="197" t="s">
        <v>395</v>
      </c>
      <c r="G2676" s="197" t="s">
        <v>446</v>
      </c>
      <c r="H2676" s="197" t="s">
        <v>848</v>
      </c>
      <c r="I2676" s="209" t="s">
        <v>848</v>
      </c>
      <c r="M2676" s="212"/>
    </row>
    <row r="2677" spans="1:13">
      <c r="A2677" s="195"/>
      <c r="B2677" s="196" t="s">
        <v>217</v>
      </c>
      <c r="C2677"/>
      <c r="D2677" s="197" t="s">
        <v>851</v>
      </c>
      <c r="E2677" s="197" t="s">
        <v>216</v>
      </c>
      <c r="F2677" s="197" t="s">
        <v>395</v>
      </c>
      <c r="G2677" s="197" t="s">
        <v>446</v>
      </c>
      <c r="H2677" s="197" t="s">
        <v>848</v>
      </c>
      <c r="I2677" s="209" t="s">
        <v>848</v>
      </c>
      <c r="M2677" s="212"/>
    </row>
    <row r="2678" spans="1:13">
      <c r="A2678" s="195"/>
      <c r="B2678" s="195" t="s">
        <v>205</v>
      </c>
      <c r="C2678"/>
      <c r="D2678" s="197" t="s">
        <v>851</v>
      </c>
      <c r="E2678" s="197" t="s">
        <v>216</v>
      </c>
      <c r="F2678" s="197" t="s">
        <v>395</v>
      </c>
      <c r="G2678" s="197" t="s">
        <v>114</v>
      </c>
      <c r="H2678" s="197" t="s">
        <v>848</v>
      </c>
      <c r="I2678" s="209" t="s">
        <v>848</v>
      </c>
      <c r="M2678" s="212"/>
    </row>
    <row r="2679" spans="1:13">
      <c r="A2679" s="195"/>
      <c r="B2679" s="195" t="s">
        <v>206</v>
      </c>
      <c r="C2679"/>
      <c r="D2679" s="197" t="s">
        <v>851</v>
      </c>
      <c r="E2679" s="197" t="s">
        <v>216</v>
      </c>
      <c r="F2679" s="197" t="s">
        <v>395</v>
      </c>
      <c r="G2679" s="197" t="s">
        <v>114</v>
      </c>
      <c r="H2679" s="197" t="s">
        <v>848</v>
      </c>
      <c r="I2679" s="209" t="s">
        <v>848</v>
      </c>
      <c r="M2679" s="212"/>
    </row>
    <row r="2680" spans="1:13">
      <c r="A2680" s="195"/>
      <c r="B2680" s="195" t="s">
        <v>207</v>
      </c>
      <c r="C2680"/>
      <c r="D2680" s="197" t="s">
        <v>851</v>
      </c>
      <c r="E2680" s="197" t="s">
        <v>51</v>
      </c>
      <c r="F2680" s="197" t="s">
        <v>395</v>
      </c>
      <c r="G2680" s="197" t="s">
        <v>114</v>
      </c>
      <c r="H2680" s="197"/>
      <c r="I2680" s="209"/>
      <c r="M2680" s="212"/>
    </row>
    <row r="2681" spans="1:13">
      <c r="A2681" s="195"/>
      <c r="B2681" s="196" t="s">
        <v>219</v>
      </c>
      <c r="C2681"/>
      <c r="D2681" s="197" t="s">
        <v>851</v>
      </c>
      <c r="E2681" s="197" t="s">
        <v>51</v>
      </c>
      <c r="F2681" s="197" t="s">
        <v>395</v>
      </c>
      <c r="G2681" s="197"/>
      <c r="H2681" s="197"/>
      <c r="I2681" s="209"/>
      <c r="M2681" s="212"/>
    </row>
    <row r="2682" spans="1:13">
      <c r="A2682" s="195"/>
      <c r="B2682" s="195" t="s">
        <v>205</v>
      </c>
      <c r="C2682"/>
      <c r="D2682" s="197" t="s">
        <v>851</v>
      </c>
      <c r="E2682" s="197" t="s">
        <v>51</v>
      </c>
      <c r="F2682" s="197" t="s">
        <v>395</v>
      </c>
      <c r="G2682" s="197"/>
      <c r="H2682" s="197"/>
      <c r="I2682" s="209"/>
      <c r="M2682" s="212"/>
    </row>
    <row r="2683" spans="1:13">
      <c r="A2683" s="195"/>
      <c r="B2683" s="195" t="s">
        <v>206</v>
      </c>
      <c r="C2683"/>
      <c r="D2683" s="197"/>
      <c r="E2683" s="197"/>
      <c r="F2683" s="197"/>
      <c r="G2683" s="197"/>
      <c r="H2683" s="197" t="s">
        <v>231</v>
      </c>
      <c r="I2683" s="209" t="s">
        <v>231</v>
      </c>
      <c r="M2683" s="212"/>
    </row>
    <row r="2684" spans="1:13">
      <c r="A2684" s="195"/>
      <c r="B2684" s="195" t="s">
        <v>207</v>
      </c>
      <c r="C2684"/>
      <c r="D2684" s="197"/>
      <c r="E2684" s="197"/>
      <c r="F2684" s="197"/>
      <c r="G2684" s="197"/>
      <c r="H2684" s="197" t="s">
        <v>231</v>
      </c>
      <c r="I2684" s="209" t="s">
        <v>231</v>
      </c>
      <c r="M2684" s="212"/>
    </row>
    <row r="2685" spans="1:13">
      <c r="A2685" s="195"/>
      <c r="B2685" s="196" t="s">
        <v>220</v>
      </c>
      <c r="C2685"/>
      <c r="D2685" s="197"/>
      <c r="E2685" s="197"/>
      <c r="F2685" s="189" t="s">
        <v>850</v>
      </c>
      <c r="G2685" s="189" t="s">
        <v>864</v>
      </c>
      <c r="H2685" s="197" t="s">
        <v>231</v>
      </c>
      <c r="I2685" s="209" t="s">
        <v>231</v>
      </c>
      <c r="M2685" s="212"/>
    </row>
    <row r="2686" spans="1:13">
      <c r="A2686" s="195"/>
      <c r="B2686" s="195" t="s">
        <v>205</v>
      </c>
      <c r="C2686"/>
      <c r="D2686" s="197" t="s">
        <v>224</v>
      </c>
      <c r="E2686" s="197" t="s">
        <v>273</v>
      </c>
      <c r="F2686" s="197" t="s">
        <v>759</v>
      </c>
      <c r="G2686" s="197" t="s">
        <v>56</v>
      </c>
      <c r="H2686" s="197" t="s">
        <v>231</v>
      </c>
      <c r="I2686" s="209" t="s">
        <v>231</v>
      </c>
      <c r="M2686" s="212"/>
    </row>
    <row r="2687" spans="1:13">
      <c r="A2687" s="195"/>
      <c r="B2687" s="195" t="s">
        <v>206</v>
      </c>
      <c r="C2687"/>
      <c r="D2687" s="197" t="s">
        <v>224</v>
      </c>
      <c r="E2687" s="197" t="s">
        <v>273</v>
      </c>
      <c r="F2687" s="197" t="s">
        <v>759</v>
      </c>
      <c r="G2687" s="197" t="s">
        <v>56</v>
      </c>
      <c r="H2687" s="197" t="s">
        <v>211</v>
      </c>
      <c r="I2687" s="209" t="s">
        <v>211</v>
      </c>
      <c r="M2687" s="212"/>
    </row>
    <row r="2688" spans="1:13">
      <c r="A2688" s="195"/>
      <c r="B2688" s="195" t="s">
        <v>207</v>
      </c>
      <c r="C2688"/>
      <c r="D2688" s="197" t="s">
        <v>224</v>
      </c>
      <c r="E2688" s="197" t="s">
        <v>273</v>
      </c>
      <c r="F2688" s="197" t="s">
        <v>759</v>
      </c>
      <c r="G2688" s="197" t="s">
        <v>56</v>
      </c>
      <c r="H2688" s="197" t="s">
        <v>211</v>
      </c>
      <c r="I2688" s="209" t="s">
        <v>211</v>
      </c>
      <c r="M2688" s="212"/>
    </row>
    <row r="2689" spans="1:13">
      <c r="A2689" s="195"/>
      <c r="B2689" s="196" t="s">
        <v>222</v>
      </c>
      <c r="C2689"/>
      <c r="D2689" s="197" t="s">
        <v>214</v>
      </c>
      <c r="E2689" s="197" t="s">
        <v>266</v>
      </c>
      <c r="F2689" s="197" t="s">
        <v>759</v>
      </c>
      <c r="G2689" s="197"/>
      <c r="H2689" s="197"/>
      <c r="I2689" s="209"/>
      <c r="M2689" s="212"/>
    </row>
    <row r="2690" spans="1:13">
      <c r="A2690" s="195"/>
      <c r="B2690" s="195" t="s">
        <v>205</v>
      </c>
      <c r="C2690"/>
      <c r="D2690" s="197" t="s">
        <v>214</v>
      </c>
      <c r="E2690" s="197" t="s">
        <v>266</v>
      </c>
      <c r="F2690" s="197" t="s">
        <v>416</v>
      </c>
      <c r="G2690" s="197" t="s">
        <v>270</v>
      </c>
      <c r="H2690" s="197" t="s">
        <v>856</v>
      </c>
      <c r="I2690" s="209" t="s">
        <v>856</v>
      </c>
      <c r="M2690" s="212"/>
    </row>
    <row r="2691" spans="1:13">
      <c r="A2691" s="195"/>
      <c r="B2691" s="195" t="s">
        <v>206</v>
      </c>
      <c r="C2691"/>
      <c r="D2691" s="197" t="s">
        <v>214</v>
      </c>
      <c r="E2691" s="197" t="s">
        <v>266</v>
      </c>
      <c r="F2691" s="197" t="s">
        <v>951</v>
      </c>
      <c r="G2691" s="197" t="s">
        <v>270</v>
      </c>
      <c r="H2691" s="197" t="s">
        <v>856</v>
      </c>
      <c r="I2691" s="209" t="s">
        <v>856</v>
      </c>
      <c r="M2691" s="212"/>
    </row>
    <row r="2692" spans="1:13">
      <c r="A2692" s="195"/>
      <c r="B2692" s="195" t="s">
        <v>207</v>
      </c>
      <c r="C2692"/>
      <c r="D2692" s="197" t="s">
        <v>214</v>
      </c>
      <c r="E2692" s="197" t="s">
        <v>266</v>
      </c>
      <c r="F2692" s="197" t="s">
        <v>416</v>
      </c>
      <c r="G2692" s="197" t="s">
        <v>270</v>
      </c>
      <c r="H2692" s="197" t="s">
        <v>856</v>
      </c>
      <c r="I2692" s="209" t="s">
        <v>856</v>
      </c>
      <c r="M2692" s="212"/>
    </row>
    <row r="2693" spans="1:13">
      <c r="A2693" s="195"/>
      <c r="B2693" s="196" t="s">
        <v>223</v>
      </c>
      <c r="C2693"/>
      <c r="D2693" s="197" t="s">
        <v>88</v>
      </c>
      <c r="E2693" s="197" t="s">
        <v>252</v>
      </c>
      <c r="F2693" s="197" t="s">
        <v>927</v>
      </c>
      <c r="G2693" s="197" t="s">
        <v>270</v>
      </c>
      <c r="H2693" s="197" t="s">
        <v>856</v>
      </c>
      <c r="I2693" s="209" t="s">
        <v>856</v>
      </c>
      <c r="M2693" s="212"/>
    </row>
    <row r="2694" spans="1:13">
      <c r="A2694" s="195"/>
      <c r="B2694" s="195" t="s">
        <v>205</v>
      </c>
      <c r="C2694"/>
      <c r="D2694" s="197" t="s">
        <v>280</v>
      </c>
      <c r="E2694" s="197" t="s">
        <v>252</v>
      </c>
      <c r="F2694" s="197" t="s">
        <v>950</v>
      </c>
      <c r="G2694" s="197" t="s">
        <v>270</v>
      </c>
      <c r="H2694" s="197" t="s">
        <v>856</v>
      </c>
      <c r="I2694" s="209" t="s">
        <v>856</v>
      </c>
      <c r="M2694" s="212"/>
    </row>
    <row r="2695" spans="1:13">
      <c r="A2695" s="195"/>
      <c r="B2695" s="195" t="s">
        <v>206</v>
      </c>
      <c r="C2695"/>
      <c r="D2695" s="197" t="s">
        <v>160</v>
      </c>
      <c r="E2695" s="197" t="s">
        <v>252</v>
      </c>
      <c r="F2695" s="197" t="s">
        <v>927</v>
      </c>
      <c r="G2695" s="197" t="s">
        <v>270</v>
      </c>
      <c r="H2695" s="197" t="s">
        <v>856</v>
      </c>
      <c r="I2695" s="209" t="s">
        <v>856</v>
      </c>
      <c r="M2695" s="212"/>
    </row>
    <row r="2696" spans="1:13">
      <c r="A2696" s="195"/>
      <c r="B2696" s="195" t="s">
        <v>207</v>
      </c>
      <c r="C2696"/>
      <c r="D2696" s="197" t="s">
        <v>160</v>
      </c>
      <c r="E2696" s="197" t="s">
        <v>252</v>
      </c>
      <c r="F2696" s="197" t="s">
        <v>927</v>
      </c>
      <c r="G2696" s="197" t="s">
        <v>270</v>
      </c>
      <c r="H2696" s="197" t="s">
        <v>856</v>
      </c>
      <c r="I2696" s="209" t="s">
        <v>856</v>
      </c>
      <c r="M2696" s="212"/>
    </row>
    <row r="2697" spans="1:13">
      <c r="A2697" s="195"/>
      <c r="B2697" s="196" t="s">
        <v>225</v>
      </c>
      <c r="C2697"/>
      <c r="D2697" s="197" t="s">
        <v>215</v>
      </c>
      <c r="E2697" s="197" t="s">
        <v>252</v>
      </c>
      <c r="F2697" s="197" t="s">
        <v>927</v>
      </c>
      <c r="G2697" s="197" t="s">
        <v>270</v>
      </c>
      <c r="H2697" s="197" t="s">
        <v>415</v>
      </c>
      <c r="I2697" s="209" t="s">
        <v>415</v>
      </c>
      <c r="M2697" s="212"/>
    </row>
    <row r="2698" spans="1:13">
      <c r="A2698" s="195"/>
      <c r="B2698" s="195" t="s">
        <v>205</v>
      </c>
      <c r="C2698"/>
      <c r="D2698" s="197" t="s">
        <v>423</v>
      </c>
      <c r="E2698" s="197" t="s">
        <v>252</v>
      </c>
      <c r="F2698" s="197" t="s">
        <v>927</v>
      </c>
      <c r="G2698" s="197" t="s">
        <v>270</v>
      </c>
      <c r="H2698" s="209" t="s">
        <v>415</v>
      </c>
      <c r="I2698" s="209" t="s">
        <v>415</v>
      </c>
      <c r="M2698" s="212"/>
    </row>
    <row r="2699" spans="1:13">
      <c r="A2699" s="195"/>
      <c r="B2699" s="195" t="s">
        <v>206</v>
      </c>
      <c r="C2699"/>
      <c r="D2699" s="197" t="s">
        <v>588</v>
      </c>
      <c r="E2699" s="197" t="s">
        <v>252</v>
      </c>
      <c r="F2699" s="197" t="s">
        <v>927</v>
      </c>
      <c r="G2699" s="197" t="s">
        <v>270</v>
      </c>
      <c r="H2699" s="209" t="s">
        <v>415</v>
      </c>
      <c r="I2699" s="209" t="s">
        <v>415</v>
      </c>
      <c r="M2699" s="212"/>
    </row>
    <row r="2700" spans="1:13">
      <c r="A2700" s="195"/>
      <c r="B2700" s="195" t="s">
        <v>207</v>
      </c>
      <c r="C2700"/>
      <c r="D2700" s="197" t="s">
        <v>127</v>
      </c>
      <c r="E2700" s="197" t="s">
        <v>252</v>
      </c>
      <c r="F2700" s="197" t="s">
        <v>62</v>
      </c>
      <c r="G2700" s="197" t="s">
        <v>270</v>
      </c>
      <c r="H2700" s="209" t="s">
        <v>415</v>
      </c>
      <c r="I2700" s="209" t="s">
        <v>415</v>
      </c>
      <c r="M2700" s="212"/>
    </row>
    <row r="2701" spans="1:13">
      <c r="A2701" s="195"/>
      <c r="B2701" s="196" t="s">
        <v>226</v>
      </c>
      <c r="C2701"/>
      <c r="D2701" s="197"/>
      <c r="E2701" s="197"/>
      <c r="F2701" s="197"/>
      <c r="G2701" s="197" t="s">
        <v>270</v>
      </c>
      <c r="H2701" s="209"/>
      <c r="I2701" s="209"/>
      <c r="M2701" s="212"/>
    </row>
    <row r="2702" spans="1:13">
      <c r="A2702" s="195"/>
      <c r="B2702" s="195" t="s">
        <v>205</v>
      </c>
      <c r="C2702"/>
      <c r="D2702" s="197"/>
      <c r="E2702" s="197"/>
      <c r="F2702" s="197"/>
      <c r="G2702" s="197" t="s">
        <v>270</v>
      </c>
      <c r="H2702" s="209"/>
      <c r="I2702" s="209"/>
      <c r="M2702" s="212"/>
    </row>
    <row r="2703" spans="1:13">
      <c r="A2703" s="195"/>
      <c r="B2703" s="195" t="s">
        <v>206</v>
      </c>
      <c r="C2703"/>
      <c r="D2703" s="197"/>
      <c r="E2703" s="197"/>
      <c r="F2703" s="197"/>
      <c r="G2703" s="197" t="s">
        <v>270</v>
      </c>
      <c r="H2703" s="209"/>
      <c r="I2703" s="209"/>
      <c r="M2703" s="212"/>
    </row>
    <row r="2704" spans="1:13">
      <c r="A2704" s="195"/>
      <c r="B2704" s="195" t="s">
        <v>207</v>
      </c>
      <c r="C2704"/>
      <c r="D2704" s="197"/>
      <c r="E2704" s="197"/>
      <c r="F2704" s="197"/>
      <c r="G2704" s="197" t="s">
        <v>270</v>
      </c>
      <c r="H2704" s="209"/>
      <c r="I2704" s="209"/>
      <c r="M2704" s="212"/>
    </row>
    <row r="2705" spans="1:14">
      <c r="A2705" s="195"/>
      <c r="B2705" s="196" t="s">
        <v>227</v>
      </c>
      <c r="C2705"/>
      <c r="D2705" s="197"/>
      <c r="E2705" s="197"/>
      <c r="F2705" s="197"/>
      <c r="G2705" s="197"/>
      <c r="H2705" s="209"/>
      <c r="I2705" s="209"/>
      <c r="K2705"/>
      <c r="M2705" s="212"/>
    </row>
    <row r="2706" spans="1:14" ht="29.25" thickBot="1">
      <c r="A2706" s="182" t="str">
        <f>"回収シフト  第"&amp;ROUNDUP(DAY(B2709)/7,0)  &amp;"  "&amp;TEXT(B2709,"aaaa")</f>
        <v>回収シフト  第5  土曜日</v>
      </c>
      <c r="B2706" s="183"/>
      <c r="C2706" s="183"/>
      <c r="D2706" s="183"/>
      <c r="E2706" s="183"/>
      <c r="F2706" s="183"/>
      <c r="G2706" s="184"/>
      <c r="H2706" s="184"/>
      <c r="I2706" s="184"/>
      <c r="K2706" s="183"/>
      <c r="L2706" s="183"/>
      <c r="M2706" s="50"/>
      <c r="N2706" s="50"/>
    </row>
    <row r="2707" spans="1:14" ht="15.75" thickBot="1">
      <c r="A2707"/>
      <c r="B2707"/>
      <c r="C2707"/>
      <c r="D2707" s="186" t="s">
        <v>201</v>
      </c>
      <c r="E2707" s="186" t="s">
        <v>202</v>
      </c>
      <c r="F2707" s="186" t="s">
        <v>203</v>
      </c>
      <c r="G2707" s="186" t="s">
        <v>204</v>
      </c>
      <c r="H2707" s="186" t="s">
        <v>267</v>
      </c>
      <c r="I2707" s="217" t="s">
        <v>267</v>
      </c>
      <c r="K2707" s="230" t="s">
        <v>257</v>
      </c>
      <c r="L2707" s="231"/>
      <c r="M2707" s="212"/>
    </row>
    <row r="2708" spans="1:14">
      <c r="A2708" s="187"/>
      <c r="B2708" s="188">
        <v>46119</v>
      </c>
      <c r="C2708" s="187"/>
      <c r="D2708" s="189"/>
      <c r="E2708" s="189"/>
      <c r="F2708" s="189"/>
      <c r="G2708" s="189"/>
      <c r="H2708" s="189"/>
      <c r="I2708" s="218"/>
      <c r="K2708" s="232" t="s">
        <v>258</v>
      </c>
      <c r="L2708" s="190" t="str">
        <f>_xlfn.XLOOKUP($B2709,シフト抽出!$19:$19,シフト抽出!$20:$20,"該当なし",0,1)</f>
        <v>該当なし</v>
      </c>
      <c r="M2708" s="212"/>
    </row>
    <row r="2709" spans="1:14" ht="19.5" thickBot="1">
      <c r="A2709"/>
      <c r="B2709" s="191">
        <f>B2656+1</f>
        <v>46172</v>
      </c>
      <c r="C2709" s="192"/>
      <c r="D2709" s="193"/>
      <c r="E2709" s="193"/>
      <c r="F2709" s="193"/>
      <c r="G2709" s="193"/>
      <c r="H2709" s="193"/>
      <c r="I2709" s="219"/>
      <c r="K2709" s="233"/>
      <c r="L2709" s="194" t="str">
        <f>_xlfn.XLOOKUP($B2709,シフト抽出!$19:$19,シフト抽出!$21:$21,"該当なし",0,1)</f>
        <v>該当なし</v>
      </c>
      <c r="M2709" s="212"/>
    </row>
    <row r="2710" spans="1:14">
      <c r="A2710" s="195"/>
      <c r="B2710" s="196">
        <v>0.25</v>
      </c>
      <c r="C2710"/>
      <c r="D2710" s="197"/>
      <c r="E2710" s="196"/>
      <c r="F2710" s="197"/>
      <c r="G2710" s="197"/>
      <c r="H2710" s="197"/>
      <c r="I2710" s="209"/>
      <c r="K2710" s="234" t="s">
        <v>259</v>
      </c>
      <c r="L2710" s="198" t="str">
        <f>_xlfn.XLOOKUP($B2709,シフト抽出!$19:$19,シフト抽出!$23:$23,"該当なし",0,1)</f>
        <v>該当なし</v>
      </c>
      <c r="M2710" s="212"/>
    </row>
    <row r="2711" spans="1:14" ht="15.75" thickBot="1">
      <c r="A2711" s="195"/>
      <c r="B2711" s="195" t="s">
        <v>205</v>
      </c>
      <c r="C2711"/>
      <c r="D2711" s="197"/>
      <c r="E2711" s="197"/>
      <c r="F2711" s="197"/>
      <c r="G2711" s="197"/>
      <c r="H2711" s="197"/>
      <c r="I2711" s="209"/>
      <c r="K2711" s="235"/>
      <c r="L2711" s="199" t="str">
        <f>_xlfn.XLOOKUP($B2709,シフト抽出!$19:$19,シフト抽出!$24:$24,"該当なし",0,1)</f>
        <v>該当なし</v>
      </c>
      <c r="M2711" s="212"/>
    </row>
    <row r="2712" spans="1:14">
      <c r="A2712" s="195"/>
      <c r="B2712" s="195" t="s">
        <v>206</v>
      </c>
      <c r="C2712"/>
      <c r="D2712" s="197"/>
      <c r="E2712" s="197"/>
      <c r="F2712" s="197"/>
      <c r="G2712" s="197"/>
      <c r="H2712" s="197"/>
      <c r="I2712" s="209"/>
      <c r="K2712" s="224" t="s">
        <v>260</v>
      </c>
      <c r="L2712" s="200" t="str">
        <f>_xlfn.XLOOKUP($B2709,シフト抽出!$19:$19,シフト抽出!$26:$26,"該当なし",0,1)</f>
        <v>該当なし</v>
      </c>
      <c r="M2712" s="212"/>
    </row>
    <row r="2713" spans="1:14">
      <c r="A2713" s="195"/>
      <c r="B2713" s="195" t="s">
        <v>207</v>
      </c>
      <c r="C2713"/>
      <c r="D2713" s="197"/>
      <c r="E2713" s="197"/>
      <c r="F2713" s="197"/>
      <c r="G2713" s="197"/>
      <c r="H2713" s="197"/>
      <c r="I2713" s="209"/>
      <c r="K2713" s="225"/>
      <c r="L2713" s="201" t="str">
        <f>_xlfn.XLOOKUP($B2709,シフト抽出!$19:$19,シフト抽出!$27:$27,"該当なし",0,1)</f>
        <v>該当なし</v>
      </c>
      <c r="M2713" s="212"/>
    </row>
    <row r="2714" spans="1:14">
      <c r="A2714" s="195"/>
      <c r="B2714" s="202" t="s">
        <v>208</v>
      </c>
      <c r="C2714"/>
      <c r="D2714" s="197"/>
      <c r="E2714" s="197"/>
      <c r="F2714" s="197"/>
      <c r="G2714" s="197"/>
      <c r="H2714" s="197"/>
      <c r="I2714" s="209"/>
      <c r="J2714" s="203"/>
      <c r="K2714" s="225"/>
      <c r="L2714" s="201" t="str">
        <f>_xlfn.XLOOKUP($B2709,シフト抽出!$19:$19,シフト抽出!$28:$28,"該当なし",0,1)</f>
        <v>該当なし</v>
      </c>
      <c r="M2714" s="212"/>
    </row>
    <row r="2715" spans="1:14" ht="15.75" thickBot="1">
      <c r="A2715" s="195"/>
      <c r="B2715" s="195" t="s">
        <v>205</v>
      </c>
      <c r="C2715"/>
      <c r="D2715" s="197"/>
      <c r="E2715" s="197"/>
      <c r="F2715" s="197"/>
      <c r="G2715" s="197"/>
      <c r="H2715" s="197"/>
      <c r="I2715" s="209"/>
      <c r="J2715" s="203"/>
      <c r="K2715" s="226"/>
      <c r="L2715" s="204" t="str">
        <f>_xlfn.XLOOKUP($B2709,シフト抽出!$19:$19,シフト抽出!$29:$29,"該当なし",0,1)</f>
        <v>該当なし</v>
      </c>
      <c r="M2715" s="212"/>
    </row>
    <row r="2716" spans="1:14" ht="15.75" thickBot="1">
      <c r="A2716" s="195"/>
      <c r="B2716" s="195" t="s">
        <v>206</v>
      </c>
      <c r="C2716"/>
      <c r="D2716" s="197"/>
      <c r="E2716" s="197"/>
      <c r="F2716" s="197"/>
      <c r="G2716" s="197"/>
      <c r="H2716" s="197"/>
      <c r="I2716" s="209"/>
      <c r="K2716" s="205" t="s">
        <v>261</v>
      </c>
      <c r="L2716" s="205">
        <f>_xlfn.XLOOKUP($B2709,予定表!B:B,予定表!R:R,"該当なし",0,1)</f>
        <v>0</v>
      </c>
      <c r="M2716" s="212"/>
    </row>
    <row r="2717" spans="1:14">
      <c r="A2717" s="195"/>
      <c r="B2717" s="195" t="s">
        <v>207</v>
      </c>
      <c r="C2717"/>
      <c r="D2717" s="197"/>
      <c r="E2717" s="197"/>
      <c r="F2717" s="197"/>
      <c r="G2717" s="197"/>
      <c r="H2717" s="197"/>
      <c r="I2717" s="209"/>
      <c r="K2717" s="227" t="s">
        <v>262</v>
      </c>
      <c r="L2717" s="206">
        <f>_xlfn.XLOOKUP($B2709,予定表!$B:$B,予定表!E:E,"該当なし",0,1)</f>
        <v>0</v>
      </c>
      <c r="M2717" s="212"/>
    </row>
    <row r="2718" spans="1:14">
      <c r="A2718" s="195"/>
      <c r="B2718" s="196" t="s">
        <v>209</v>
      </c>
      <c r="C2718"/>
      <c r="D2718" s="197" t="s">
        <v>4</v>
      </c>
      <c r="E2718" s="197" t="s">
        <v>4</v>
      </c>
      <c r="F2718" s="197"/>
      <c r="G2718" s="197"/>
      <c r="H2718" s="197"/>
      <c r="I2718" s="209"/>
      <c r="K2718" s="228"/>
      <c r="L2718" s="207">
        <f>_xlfn.XLOOKUP($B2709,予定表!$B:$B,予定表!F:F,"該当なし",0,1)</f>
        <v>0</v>
      </c>
      <c r="M2718" s="212"/>
    </row>
    <row r="2719" spans="1:14">
      <c r="A2719" s="195"/>
      <c r="B2719" s="195" t="s">
        <v>205</v>
      </c>
      <c r="C2719"/>
      <c r="D2719" s="197" t="s">
        <v>268</v>
      </c>
      <c r="E2719" s="197" t="s">
        <v>22</v>
      </c>
      <c r="F2719" s="197"/>
      <c r="G2719" s="197"/>
      <c r="H2719" s="197"/>
      <c r="I2719" s="209"/>
      <c r="K2719" s="228"/>
      <c r="L2719" s="207">
        <f>_xlfn.XLOOKUP($B2709,予定表!$B:$B,予定表!G:G,"該当なし",0,1)</f>
        <v>0</v>
      </c>
      <c r="M2719" s="212"/>
    </row>
    <row r="2720" spans="1:14">
      <c r="A2720" s="195"/>
      <c r="B2720" s="195" t="s">
        <v>206</v>
      </c>
      <c r="C2720"/>
      <c r="D2720" s="197" t="s">
        <v>268</v>
      </c>
      <c r="E2720" s="197" t="s">
        <v>22</v>
      </c>
      <c r="F2720" s="197"/>
      <c r="G2720" s="197"/>
      <c r="H2720" s="197"/>
      <c r="I2720" s="209"/>
      <c r="K2720" s="228"/>
      <c r="L2720" s="207" t="str">
        <f>_xlfn.XLOOKUP($B2709,予定表!$B:$B,予定表!H:H,"該当なし",0,1)</f>
        <v>資さんうどん</v>
      </c>
      <c r="M2720" s="212"/>
    </row>
    <row r="2721" spans="1:13">
      <c r="A2721" s="195"/>
      <c r="B2721" s="195" t="s">
        <v>207</v>
      </c>
      <c r="C2721"/>
      <c r="D2721" s="197" t="s">
        <v>268</v>
      </c>
      <c r="E2721" s="197" t="s">
        <v>793</v>
      </c>
      <c r="F2721" s="197"/>
      <c r="G2721" s="197"/>
      <c r="H2721" s="197"/>
      <c r="I2721" s="209"/>
      <c r="K2721" s="228"/>
      <c r="L2721" s="207" t="str">
        <f>_xlfn.XLOOKUP($B2709,予定表!$B:$B,予定表!I:I,"該当なし",0,1)</f>
        <v/>
      </c>
      <c r="M2721" s="212"/>
    </row>
    <row r="2722" spans="1:13">
      <c r="A2722" s="195"/>
      <c r="B2722" s="196" t="s">
        <v>212</v>
      </c>
      <c r="C2722"/>
      <c r="D2722" s="197" t="s">
        <v>268</v>
      </c>
      <c r="E2722" s="197" t="s">
        <v>241</v>
      </c>
      <c r="F2722" s="197"/>
      <c r="G2722" s="197"/>
      <c r="H2722" s="197"/>
      <c r="I2722" s="209"/>
      <c r="K2722" s="228"/>
      <c r="L2722" s="207" t="str">
        <f>_xlfn.XLOOKUP($B2709,予定表!$B:$B,予定表!J:J,"該当なし",0,1)</f>
        <v/>
      </c>
      <c r="M2722" s="212"/>
    </row>
    <row r="2723" spans="1:13">
      <c r="A2723" s="195"/>
      <c r="B2723" s="195" t="s">
        <v>205</v>
      </c>
      <c r="C2723"/>
      <c r="D2723" s="197" t="s">
        <v>268</v>
      </c>
      <c r="E2723" s="197" t="s">
        <v>241</v>
      </c>
      <c r="F2723" s="197"/>
      <c r="G2723" s="197"/>
      <c r="H2723" s="197"/>
      <c r="I2723" s="209"/>
      <c r="K2723" s="228"/>
      <c r="L2723" s="207" t="str">
        <f>_xlfn.XLOOKUP($B2709,予定表!$B:$B,予定表!K:K,"該当なし",0,1)</f>
        <v/>
      </c>
      <c r="M2723" s="212"/>
    </row>
    <row r="2724" spans="1:13">
      <c r="A2724" s="195"/>
      <c r="B2724" s="195" t="s">
        <v>206</v>
      </c>
      <c r="C2724"/>
      <c r="D2724" s="197" t="s">
        <v>515</v>
      </c>
      <c r="E2724" s="197" t="s">
        <v>244</v>
      </c>
      <c r="F2724" s="197"/>
      <c r="G2724" s="197"/>
      <c r="H2724" s="197"/>
      <c r="I2724" s="209"/>
      <c r="K2724" s="228"/>
      <c r="L2724" s="207" t="str">
        <f>_xlfn.XLOOKUP($B2709,予定表!$B:$B,予定表!L:L,"該当なし",0,1)</f>
        <v/>
      </c>
      <c r="M2724" s="212"/>
    </row>
    <row r="2725" spans="1:13" ht="15.75" thickBot="1">
      <c r="A2725" s="195"/>
      <c r="B2725" s="195" t="s">
        <v>207</v>
      </c>
      <c r="C2725"/>
      <c r="D2725" s="197" t="s">
        <v>515</v>
      </c>
      <c r="E2725" s="197" t="s">
        <v>244</v>
      </c>
      <c r="F2725" s="197"/>
      <c r="G2725" s="197"/>
      <c r="H2725" s="197"/>
      <c r="I2725" s="209"/>
      <c r="K2725" s="229"/>
      <c r="L2725" s="204" t="str">
        <f>_xlfn.XLOOKUP($A2706,ﾘｽﾄマスタ!$U$8:$U$17,ﾘｽﾄマスタ!$V$8:$V$17,"",0)</f>
        <v/>
      </c>
      <c r="M2725" s="212"/>
    </row>
    <row r="2726" spans="1:13" ht="15.75" thickBot="1">
      <c r="A2726" s="195"/>
      <c r="B2726" s="196" t="s">
        <v>251</v>
      </c>
      <c r="C2726"/>
      <c r="D2726" s="197" t="s">
        <v>515</v>
      </c>
      <c r="E2726" s="197" t="s">
        <v>114</v>
      </c>
      <c r="F2726" s="197"/>
      <c r="G2726" s="197"/>
      <c r="H2726" s="197"/>
      <c r="I2726" s="209"/>
      <c r="K2726" s="208" t="s">
        <v>277</v>
      </c>
      <c r="L2726" s="208" t="str">
        <f>_xlfn.XLOOKUP($B2709,シフト抽出!$19:$19,シフト抽出!$30:$30,"該当なし",0,1)</f>
        <v>該当なし</v>
      </c>
      <c r="M2726" s="212"/>
    </row>
    <row r="2727" spans="1:13">
      <c r="A2727" s="195"/>
      <c r="B2727" s="195" t="s">
        <v>205</v>
      </c>
      <c r="C2727"/>
      <c r="D2727" s="197" t="s">
        <v>242</v>
      </c>
      <c r="E2727" s="197" t="s">
        <v>114</v>
      </c>
      <c r="F2727" s="197"/>
      <c r="G2727" s="197"/>
      <c r="H2727" s="197"/>
      <c r="I2727" s="209"/>
      <c r="M2727" s="212"/>
    </row>
    <row r="2728" spans="1:13">
      <c r="A2728" s="195"/>
      <c r="B2728" s="195" t="s">
        <v>206</v>
      </c>
      <c r="C2728"/>
      <c r="D2728" s="197" t="s">
        <v>242</v>
      </c>
      <c r="E2728" s="197"/>
      <c r="F2728" s="197"/>
      <c r="G2728" s="197"/>
      <c r="H2728" s="197"/>
      <c r="I2728" s="209"/>
      <c r="M2728" s="212"/>
    </row>
    <row r="2729" spans="1:13">
      <c r="A2729" s="195"/>
      <c r="B2729" s="195" t="s">
        <v>207</v>
      </c>
      <c r="C2729"/>
      <c r="D2729" s="197" t="s">
        <v>242</v>
      </c>
      <c r="E2729" s="197" t="s">
        <v>851</v>
      </c>
      <c r="F2729" s="197"/>
      <c r="G2729" s="197"/>
      <c r="H2729" s="197"/>
      <c r="I2729" s="209"/>
      <c r="M2729" s="212"/>
    </row>
    <row r="2730" spans="1:13">
      <c r="A2730" s="195"/>
      <c r="B2730" s="196" t="s">
        <v>217</v>
      </c>
      <c r="C2730"/>
      <c r="D2730" s="197" t="s">
        <v>242</v>
      </c>
      <c r="E2730" s="197" t="s">
        <v>851</v>
      </c>
      <c r="F2730" s="197"/>
      <c r="G2730" s="197"/>
      <c r="H2730" s="197"/>
      <c r="I2730" s="209"/>
      <c r="M2730" s="212"/>
    </row>
    <row r="2731" spans="1:13">
      <c r="A2731" s="195"/>
      <c r="B2731" s="195" t="s">
        <v>205</v>
      </c>
      <c r="C2731"/>
      <c r="D2731" s="197" t="s">
        <v>242</v>
      </c>
      <c r="E2731" s="197" t="s">
        <v>851</v>
      </c>
      <c r="F2731" s="197"/>
      <c r="G2731" s="197"/>
      <c r="H2731" s="197"/>
      <c r="I2731" s="209"/>
      <c r="M2731" s="212"/>
    </row>
    <row r="2732" spans="1:13">
      <c r="A2732" s="195"/>
      <c r="B2732" s="195" t="s">
        <v>206</v>
      </c>
      <c r="C2732"/>
      <c r="D2732" s="197" t="s">
        <v>242</v>
      </c>
      <c r="E2732" s="197" t="s">
        <v>851</v>
      </c>
      <c r="F2732" s="197"/>
      <c r="G2732" s="197"/>
      <c r="H2732" s="197"/>
      <c r="I2732" s="209"/>
      <c r="M2732" s="212"/>
    </row>
    <row r="2733" spans="1:13">
      <c r="A2733" s="195"/>
      <c r="B2733" s="195" t="s">
        <v>207</v>
      </c>
      <c r="C2733"/>
      <c r="D2733" s="197"/>
      <c r="E2733" s="197" t="s">
        <v>851</v>
      </c>
      <c r="F2733" s="197"/>
      <c r="G2733" s="197"/>
      <c r="H2733" s="197"/>
      <c r="I2733" s="209"/>
      <c r="M2733" s="212"/>
    </row>
    <row r="2734" spans="1:13">
      <c r="A2734" s="195"/>
      <c r="B2734" s="196" t="s">
        <v>219</v>
      </c>
      <c r="C2734"/>
      <c r="D2734" s="197"/>
      <c r="E2734" s="197" t="s">
        <v>851</v>
      </c>
      <c r="F2734" s="197"/>
      <c r="G2734" s="197"/>
      <c r="H2734" s="197"/>
      <c r="I2734" s="209"/>
      <c r="M2734" s="212"/>
    </row>
    <row r="2735" spans="1:13">
      <c r="A2735" s="195"/>
      <c r="B2735" s="195" t="s">
        <v>205</v>
      </c>
      <c r="C2735"/>
      <c r="D2735" s="197"/>
      <c r="E2735" s="197"/>
      <c r="F2735" s="197"/>
      <c r="G2735" s="197"/>
      <c r="H2735" s="197"/>
      <c r="I2735" s="209"/>
      <c r="M2735" s="212"/>
    </row>
    <row r="2736" spans="1:13">
      <c r="A2736" s="195"/>
      <c r="B2736" s="195" t="s">
        <v>206</v>
      </c>
      <c r="C2736"/>
      <c r="D2736" s="197"/>
      <c r="E2736" s="197"/>
      <c r="F2736" s="197"/>
      <c r="G2736" s="197"/>
      <c r="H2736" s="197"/>
      <c r="I2736" s="209"/>
      <c r="M2736" s="212"/>
    </row>
    <row r="2737" spans="1:13">
      <c r="A2737" s="195"/>
      <c r="B2737" s="195" t="s">
        <v>207</v>
      </c>
      <c r="C2737"/>
      <c r="D2737" s="197"/>
      <c r="E2737" s="197"/>
      <c r="F2737" s="197"/>
      <c r="G2737" s="197"/>
      <c r="H2737" s="197"/>
      <c r="I2737" s="209"/>
      <c r="M2737" s="212"/>
    </row>
    <row r="2738" spans="1:13">
      <c r="A2738" s="195"/>
      <c r="B2738" s="196" t="s">
        <v>220</v>
      </c>
      <c r="C2738"/>
      <c r="D2738" s="197" t="s">
        <v>7</v>
      </c>
      <c r="E2738" s="197" t="s">
        <v>7</v>
      </c>
      <c r="F2738" s="189"/>
      <c r="G2738" s="189"/>
      <c r="H2738" s="197"/>
      <c r="I2738" s="209"/>
      <c r="M2738" s="212"/>
    </row>
    <row r="2739" spans="1:13">
      <c r="A2739" s="195"/>
      <c r="B2739" s="195" t="s">
        <v>205</v>
      </c>
      <c r="C2739"/>
      <c r="D2739" s="197" t="s">
        <v>886</v>
      </c>
      <c r="E2739" s="197" t="s">
        <v>228</v>
      </c>
      <c r="F2739" s="197"/>
      <c r="G2739" s="197"/>
      <c r="H2739" s="197"/>
      <c r="I2739" s="209"/>
      <c r="M2739" s="212"/>
    </row>
    <row r="2740" spans="1:13">
      <c r="A2740" s="195"/>
      <c r="B2740" s="195" t="s">
        <v>206</v>
      </c>
      <c r="C2740"/>
      <c r="D2740" s="197" t="s">
        <v>886</v>
      </c>
      <c r="E2740" s="197" t="s">
        <v>228</v>
      </c>
      <c r="F2740" s="197"/>
      <c r="G2740" s="197"/>
      <c r="H2740" s="197"/>
      <c r="I2740" s="209"/>
      <c r="M2740" s="212"/>
    </row>
    <row r="2741" spans="1:13">
      <c r="A2741" s="195"/>
      <c r="B2741" s="195" t="s">
        <v>207</v>
      </c>
      <c r="C2741"/>
      <c r="D2741" s="197" t="s">
        <v>886</v>
      </c>
      <c r="E2741" s="197" t="s">
        <v>228</v>
      </c>
      <c r="F2741" s="197"/>
      <c r="G2741" s="197"/>
      <c r="H2741" s="197"/>
      <c r="I2741" s="209"/>
      <c r="M2741" s="212"/>
    </row>
    <row r="2742" spans="1:13">
      <c r="A2742" s="195"/>
      <c r="B2742" s="196" t="s">
        <v>222</v>
      </c>
      <c r="C2742"/>
      <c r="D2742" s="197" t="s">
        <v>886</v>
      </c>
      <c r="E2742" s="197" t="s">
        <v>228</v>
      </c>
      <c r="F2742" s="197"/>
      <c r="G2742" s="197"/>
      <c r="H2742" s="197"/>
      <c r="I2742" s="209"/>
      <c r="M2742" s="212"/>
    </row>
    <row r="2743" spans="1:13">
      <c r="A2743" s="195"/>
      <c r="B2743" s="195" t="s">
        <v>205</v>
      </c>
      <c r="C2743"/>
      <c r="D2743" s="197"/>
      <c r="E2743" s="197" t="s">
        <v>228</v>
      </c>
      <c r="F2743" s="197"/>
      <c r="G2743" s="197"/>
      <c r="H2743" s="197"/>
      <c r="I2743" s="209"/>
      <c r="M2743" s="212"/>
    </row>
    <row r="2744" spans="1:13">
      <c r="A2744" s="195"/>
      <c r="B2744" s="195" t="s">
        <v>206</v>
      </c>
      <c r="C2744"/>
      <c r="D2744" s="197" t="s">
        <v>270</v>
      </c>
      <c r="E2744" s="197" t="s">
        <v>228</v>
      </c>
      <c r="F2744" s="197"/>
      <c r="G2744" s="197"/>
      <c r="H2744" s="197"/>
      <c r="I2744" s="209"/>
      <c r="M2744" s="212"/>
    </row>
    <row r="2745" spans="1:13">
      <c r="A2745" s="195"/>
      <c r="B2745" s="195" t="s">
        <v>207</v>
      </c>
      <c r="C2745"/>
      <c r="D2745" s="197" t="s">
        <v>270</v>
      </c>
      <c r="E2745" s="197" t="s">
        <v>228</v>
      </c>
      <c r="F2745" s="197"/>
      <c r="G2745" s="197"/>
      <c r="H2745" s="197"/>
      <c r="I2745" s="209"/>
      <c r="M2745" s="212"/>
    </row>
    <row r="2746" spans="1:13">
      <c r="A2746" s="195"/>
      <c r="B2746" s="196" t="s">
        <v>223</v>
      </c>
      <c r="C2746"/>
      <c r="D2746" s="197" t="s">
        <v>270</v>
      </c>
      <c r="E2746" s="197" t="s">
        <v>228</v>
      </c>
      <c r="F2746" s="197"/>
      <c r="G2746" s="197"/>
      <c r="H2746" s="197"/>
      <c r="I2746" s="209"/>
      <c r="M2746" s="212"/>
    </row>
    <row r="2747" spans="1:13">
      <c r="A2747" s="195"/>
      <c r="B2747" s="195" t="s">
        <v>205</v>
      </c>
      <c r="C2747"/>
      <c r="D2747" s="197" t="s">
        <v>270</v>
      </c>
      <c r="E2747" s="197" t="s">
        <v>273</v>
      </c>
      <c r="F2747" s="197"/>
      <c r="G2747" s="197"/>
      <c r="H2747" s="197"/>
      <c r="I2747" s="209"/>
      <c r="M2747" s="212"/>
    </row>
    <row r="2748" spans="1:13">
      <c r="A2748" s="195"/>
      <c r="B2748" s="195" t="s">
        <v>206</v>
      </c>
      <c r="C2748"/>
      <c r="D2748" s="197" t="s">
        <v>270</v>
      </c>
      <c r="E2748" s="197" t="s">
        <v>273</v>
      </c>
      <c r="F2748" s="197"/>
      <c r="G2748" s="197"/>
      <c r="H2748" s="197"/>
      <c r="I2748" s="209"/>
      <c r="M2748" s="212"/>
    </row>
    <row r="2749" spans="1:13">
      <c r="A2749" s="195"/>
      <c r="B2749" s="195" t="s">
        <v>207</v>
      </c>
      <c r="C2749"/>
      <c r="D2749" s="197" t="s">
        <v>270</v>
      </c>
      <c r="E2749" s="197" t="s">
        <v>273</v>
      </c>
      <c r="F2749" s="197"/>
      <c r="G2749" s="197"/>
      <c r="H2749" s="197"/>
      <c r="I2749" s="209"/>
      <c r="M2749" s="212"/>
    </row>
    <row r="2750" spans="1:13">
      <c r="A2750" s="195"/>
      <c r="B2750" s="196" t="s">
        <v>225</v>
      </c>
      <c r="C2750"/>
      <c r="D2750" s="197" t="s">
        <v>270</v>
      </c>
      <c r="E2750" s="197" t="s">
        <v>263</v>
      </c>
      <c r="F2750" s="197"/>
      <c r="G2750" s="197"/>
      <c r="H2750" s="197"/>
      <c r="I2750" s="209"/>
      <c r="M2750" s="212"/>
    </row>
    <row r="2751" spans="1:13">
      <c r="A2751" s="195"/>
      <c r="B2751" s="195" t="s">
        <v>205</v>
      </c>
      <c r="C2751"/>
      <c r="D2751" s="197" t="s">
        <v>270</v>
      </c>
      <c r="E2751" s="197" t="s">
        <v>263</v>
      </c>
      <c r="F2751" s="197"/>
      <c r="G2751" s="197"/>
      <c r="H2751" s="209"/>
      <c r="I2751" s="209"/>
      <c r="M2751" s="212"/>
    </row>
    <row r="2752" spans="1:13">
      <c r="A2752" s="195"/>
      <c r="B2752" s="195" t="s">
        <v>206</v>
      </c>
      <c r="C2752"/>
      <c r="D2752" s="197" t="s">
        <v>270</v>
      </c>
      <c r="E2752" s="197" t="s">
        <v>263</v>
      </c>
      <c r="F2752" s="197"/>
      <c r="G2752" s="197"/>
      <c r="H2752" s="209"/>
      <c r="I2752" s="209"/>
      <c r="M2752" s="212"/>
    </row>
    <row r="2753" spans="1:14">
      <c r="A2753" s="195"/>
      <c r="B2753" s="195" t="s">
        <v>207</v>
      </c>
      <c r="C2753"/>
      <c r="D2753" s="197" t="s">
        <v>270</v>
      </c>
      <c r="E2753" s="197" t="s">
        <v>263</v>
      </c>
      <c r="F2753" s="197"/>
      <c r="G2753" s="197"/>
      <c r="H2753" s="209"/>
      <c r="I2753" s="209"/>
      <c r="M2753" s="212"/>
    </row>
    <row r="2754" spans="1:14">
      <c r="A2754" s="195"/>
      <c r="B2754" s="196" t="s">
        <v>226</v>
      </c>
      <c r="C2754"/>
      <c r="D2754" s="197" t="s">
        <v>270</v>
      </c>
      <c r="E2754" s="197"/>
      <c r="F2754" s="197"/>
      <c r="G2754" s="197"/>
      <c r="H2754" s="209"/>
      <c r="I2754" s="209"/>
      <c r="M2754" s="212"/>
    </row>
    <row r="2755" spans="1:14">
      <c r="A2755" s="195"/>
      <c r="B2755" s="195" t="s">
        <v>205</v>
      </c>
      <c r="C2755"/>
      <c r="D2755" s="197" t="s">
        <v>270</v>
      </c>
      <c r="E2755" s="197"/>
      <c r="F2755" s="197"/>
      <c r="G2755" s="197"/>
      <c r="H2755" s="209"/>
      <c r="I2755" s="209"/>
      <c r="M2755" s="212"/>
    </row>
    <row r="2756" spans="1:14">
      <c r="A2756" s="195"/>
      <c r="B2756" s="195" t="s">
        <v>206</v>
      </c>
      <c r="C2756"/>
      <c r="D2756" s="197" t="s">
        <v>270</v>
      </c>
      <c r="E2756" s="197"/>
      <c r="F2756" s="197"/>
      <c r="G2756" s="197"/>
      <c r="H2756" s="209"/>
      <c r="I2756" s="209"/>
      <c r="M2756" s="212"/>
    </row>
    <row r="2757" spans="1:14">
      <c r="A2757" s="195"/>
      <c r="B2757" s="195" t="s">
        <v>207</v>
      </c>
      <c r="C2757"/>
      <c r="D2757" s="197" t="s">
        <v>270</v>
      </c>
      <c r="E2757" s="197"/>
      <c r="F2757" s="197"/>
      <c r="G2757" s="197"/>
      <c r="H2757" s="209"/>
      <c r="I2757" s="209"/>
      <c r="M2757" s="212"/>
    </row>
    <row r="2758" spans="1:14">
      <c r="A2758" s="195"/>
      <c r="B2758" s="196" t="s">
        <v>227</v>
      </c>
      <c r="C2758"/>
      <c r="D2758" s="197"/>
      <c r="E2758" s="197"/>
      <c r="F2758" s="197"/>
      <c r="G2758" s="197"/>
      <c r="H2758" s="209"/>
      <c r="I2758" s="209"/>
      <c r="K2758"/>
      <c r="M2758" s="212"/>
    </row>
    <row r="2759" spans="1:14" ht="29.25" thickBot="1">
      <c r="A2759" s="182" t="str">
        <f>"回収シフト  第"&amp;ROUNDUP(DAY(B2762)/7,0)  &amp;"  "&amp;TEXT(B2762,"aaaa")</f>
        <v>回収シフト  第1  月曜日</v>
      </c>
      <c r="B2759" s="183"/>
      <c r="C2759" s="183"/>
      <c r="D2759" s="183"/>
      <c r="E2759" s="183"/>
      <c r="F2759" s="183"/>
      <c r="G2759" s="184"/>
      <c r="H2759" s="184"/>
      <c r="I2759" s="184"/>
      <c r="K2759" s="183"/>
      <c r="L2759" s="183"/>
      <c r="M2759" s="50"/>
      <c r="N2759" s="50"/>
    </row>
    <row r="2760" spans="1:14" ht="15.75" thickBot="1">
      <c r="A2760"/>
      <c r="B2760"/>
      <c r="C2760"/>
      <c r="D2760" s="186" t="s">
        <v>201</v>
      </c>
      <c r="E2760" s="186" t="s">
        <v>202</v>
      </c>
      <c r="F2760" s="186" t="s">
        <v>203</v>
      </c>
      <c r="G2760" s="186" t="s">
        <v>204</v>
      </c>
      <c r="H2760" s="186" t="s">
        <v>267</v>
      </c>
      <c r="I2760" s="217" t="s">
        <v>267</v>
      </c>
      <c r="K2760" s="230" t="s">
        <v>257</v>
      </c>
      <c r="L2760" s="231"/>
      <c r="M2760" s="212"/>
    </row>
    <row r="2761" spans="1:14">
      <c r="A2761" s="187"/>
      <c r="B2761" s="188">
        <v>45495</v>
      </c>
      <c r="C2761" s="187"/>
      <c r="D2761" s="189" t="s">
        <v>925</v>
      </c>
      <c r="E2761" s="189" t="s">
        <v>858</v>
      </c>
      <c r="F2761" s="189" t="s">
        <v>249</v>
      </c>
      <c r="G2761" s="189" t="s">
        <v>874</v>
      </c>
      <c r="H2761" s="189" t="s">
        <v>852</v>
      </c>
      <c r="I2761" s="218" t="s">
        <v>852</v>
      </c>
      <c r="K2761" s="232" t="s">
        <v>258</v>
      </c>
      <c r="L2761" s="190" t="str">
        <f>_xlfn.XLOOKUP($B2762,シフト抽出!$19:$19,シフト抽出!$20:$20,"該当なし",0,1)</f>
        <v>該当なし</v>
      </c>
      <c r="M2761" s="212"/>
    </row>
    <row r="2762" spans="1:14" ht="19.5" thickBot="1">
      <c r="A2762"/>
      <c r="B2762" s="191">
        <f>B2709+2</f>
        <v>46174</v>
      </c>
      <c r="C2762" s="192" t="e">
        <v>#REF!</v>
      </c>
      <c r="D2762" s="193"/>
      <c r="E2762" s="193"/>
      <c r="F2762" s="193"/>
      <c r="G2762" s="193"/>
      <c r="H2762" s="193"/>
      <c r="I2762" s="219"/>
      <c r="K2762" s="233"/>
      <c r="L2762" s="194" t="str">
        <f>_xlfn.XLOOKUP($B2762,シフト抽出!$19:$19,シフト抽出!$21:$21,"該当なし",0,1)</f>
        <v>該当なし</v>
      </c>
      <c r="M2762" s="212"/>
    </row>
    <row r="2763" spans="1:14">
      <c r="A2763" s="195"/>
      <c r="B2763" s="196">
        <v>0.25</v>
      </c>
      <c r="C2763"/>
      <c r="D2763" s="197"/>
      <c r="E2763" s="196"/>
      <c r="F2763" s="197"/>
      <c r="G2763" s="197"/>
      <c r="H2763" s="197"/>
      <c r="I2763" s="209"/>
      <c r="K2763" s="234" t="s">
        <v>259</v>
      </c>
      <c r="L2763" s="198" t="str">
        <f>_xlfn.XLOOKUP($B2762,シフト抽出!$19:$19,シフト抽出!$23:$23,"該当なし",0,1)</f>
        <v>該当なし</v>
      </c>
      <c r="M2763" s="212"/>
    </row>
    <row r="2764" spans="1:14" ht="15.75" thickBot="1">
      <c r="A2764" s="195"/>
      <c r="B2764" s="195" t="s">
        <v>205</v>
      </c>
      <c r="C2764"/>
      <c r="D2764" s="197"/>
      <c r="E2764" s="197"/>
      <c r="F2764" s="197"/>
      <c r="G2764" s="197"/>
      <c r="H2764" s="197"/>
      <c r="I2764" s="209"/>
      <c r="K2764" s="235"/>
      <c r="L2764" s="199" t="str">
        <f>_xlfn.XLOOKUP($B2762,シフト抽出!$19:$19,シフト抽出!$24:$24,"該当なし",0,1)</f>
        <v>該当なし</v>
      </c>
      <c r="M2764" s="212"/>
    </row>
    <row r="2765" spans="1:14">
      <c r="A2765" s="195"/>
      <c r="B2765" s="195" t="s">
        <v>206</v>
      </c>
      <c r="C2765"/>
      <c r="D2765" s="197"/>
      <c r="E2765" s="197" t="s">
        <v>860</v>
      </c>
      <c r="F2765" s="197"/>
      <c r="G2765" s="197"/>
      <c r="H2765" s="197"/>
      <c r="I2765" s="209"/>
      <c r="K2765" s="224" t="s">
        <v>260</v>
      </c>
      <c r="L2765" s="200" t="str">
        <f>_xlfn.XLOOKUP($B2762,シフト抽出!$19:$19,シフト抽出!$26:$26,"該当なし",0,1)</f>
        <v>該当なし</v>
      </c>
      <c r="M2765" s="212"/>
    </row>
    <row r="2766" spans="1:14">
      <c r="A2766" s="195"/>
      <c r="B2766" s="195" t="s">
        <v>207</v>
      </c>
      <c r="C2766"/>
      <c r="D2766" s="197"/>
      <c r="E2766" s="197"/>
      <c r="F2766" s="197"/>
      <c r="G2766" s="197"/>
      <c r="H2766" s="197"/>
      <c r="I2766" s="209"/>
      <c r="K2766" s="225"/>
      <c r="L2766" s="201" t="str">
        <f>_xlfn.XLOOKUP($B2762,シフト抽出!$19:$19,シフト抽出!$27:$27,"該当なし",0,1)</f>
        <v>該当なし</v>
      </c>
      <c r="M2766" s="212"/>
    </row>
    <row r="2767" spans="1:14">
      <c r="A2767" s="195"/>
      <c r="B2767" s="202" t="s">
        <v>208</v>
      </c>
      <c r="C2767"/>
      <c r="D2767" s="197"/>
      <c r="E2767" s="197"/>
      <c r="F2767" s="197"/>
      <c r="G2767" s="197"/>
      <c r="H2767" s="197"/>
      <c r="I2767" s="209"/>
      <c r="J2767" s="203"/>
      <c r="K2767" s="225"/>
      <c r="L2767" s="201" t="str">
        <f>_xlfn.XLOOKUP($B2762,シフト抽出!$19:$19,シフト抽出!$28:$28,"該当なし",0,1)</f>
        <v>該当なし</v>
      </c>
      <c r="M2767" s="212"/>
    </row>
    <row r="2768" spans="1:14" ht="15.75" thickBot="1">
      <c r="A2768" s="195"/>
      <c r="B2768" s="195" t="s">
        <v>205</v>
      </c>
      <c r="C2768"/>
      <c r="D2768" s="197"/>
      <c r="E2768" s="197"/>
      <c r="F2768" s="197"/>
      <c r="G2768" s="197"/>
      <c r="H2768" s="197"/>
      <c r="I2768" s="209"/>
      <c r="J2768" s="203"/>
      <c r="K2768" s="226"/>
      <c r="L2768" s="204" t="str">
        <f>_xlfn.XLOOKUP($B2762,シフト抽出!$19:$19,シフト抽出!$29:$29,"該当なし",0,1)</f>
        <v>該当なし</v>
      </c>
      <c r="M2768" s="212"/>
    </row>
    <row r="2769" spans="1:13" ht="15.75" thickBot="1">
      <c r="A2769" s="195"/>
      <c r="B2769" s="195" t="s">
        <v>206</v>
      </c>
      <c r="C2769"/>
      <c r="D2769" s="197"/>
      <c r="E2769" s="197"/>
      <c r="F2769" s="197"/>
      <c r="G2769" s="197"/>
      <c r="H2769" s="197"/>
      <c r="I2769" s="209"/>
      <c r="K2769" s="205" t="s">
        <v>261</v>
      </c>
      <c r="L2769" s="205">
        <f>_xlfn.XLOOKUP($B2762,予定表!B:B,予定表!R:R,"該当なし",0,1)</f>
        <v>0</v>
      </c>
      <c r="M2769" s="212"/>
    </row>
    <row r="2770" spans="1:13">
      <c r="A2770" s="195"/>
      <c r="B2770" s="195" t="s">
        <v>207</v>
      </c>
      <c r="C2770"/>
      <c r="D2770" s="197"/>
      <c r="E2770" s="197"/>
      <c r="F2770" s="197"/>
      <c r="G2770" s="197"/>
      <c r="H2770" s="197"/>
      <c r="I2770" s="209"/>
      <c r="K2770" s="227" t="s">
        <v>262</v>
      </c>
      <c r="L2770" s="206">
        <f>_xlfn.XLOOKUP($B2762,予定表!$B:$B,予定表!E:E,"該当なし",0,1)</f>
        <v>0</v>
      </c>
      <c r="M2770" s="212"/>
    </row>
    <row r="2771" spans="1:13">
      <c r="A2771" s="195"/>
      <c r="B2771" s="196" t="s">
        <v>209</v>
      </c>
      <c r="C2771"/>
      <c r="D2771" s="197" t="s">
        <v>264</v>
      </c>
      <c r="E2771" s="197" t="s">
        <v>851</v>
      </c>
      <c r="F2771" s="197" t="s">
        <v>62</v>
      </c>
      <c r="G2771" s="197" t="s">
        <v>268</v>
      </c>
      <c r="H2771" s="197" t="s">
        <v>848</v>
      </c>
      <c r="I2771" s="209" t="s">
        <v>848</v>
      </c>
      <c r="K2771" s="228"/>
      <c r="L2771" s="207" t="str">
        <f>_xlfn.XLOOKUP($B2762,予定表!$B:$B,予定表!F:F,"該当なし",0,1)</f>
        <v>ディーミング</v>
      </c>
      <c r="M2771" s="212"/>
    </row>
    <row r="2772" spans="1:13">
      <c r="A2772" s="195"/>
      <c r="B2772" s="195" t="s">
        <v>205</v>
      </c>
      <c r="C2772"/>
      <c r="D2772" s="197" t="s">
        <v>793</v>
      </c>
      <c r="E2772" s="197" t="s">
        <v>851</v>
      </c>
      <c r="F2772" s="197" t="s">
        <v>62</v>
      </c>
      <c r="G2772" s="197" t="s">
        <v>268</v>
      </c>
      <c r="H2772" s="197" t="s">
        <v>848</v>
      </c>
      <c r="I2772" s="209" t="s">
        <v>848</v>
      </c>
      <c r="K2772" s="228"/>
      <c r="L2772" s="207">
        <f>_xlfn.XLOOKUP($B2762,予定表!$B:$B,予定表!G:G,"該当なし",0,1)</f>
        <v>0</v>
      </c>
      <c r="M2772" s="212"/>
    </row>
    <row r="2773" spans="1:13">
      <c r="A2773" s="195"/>
      <c r="B2773" s="195" t="s">
        <v>206</v>
      </c>
      <c r="C2773"/>
      <c r="D2773" s="197" t="s">
        <v>793</v>
      </c>
      <c r="E2773" s="197" t="s">
        <v>851</v>
      </c>
      <c r="F2773" s="197" t="s">
        <v>62</v>
      </c>
      <c r="G2773" s="197" t="s">
        <v>268</v>
      </c>
      <c r="H2773" s="197" t="s">
        <v>848</v>
      </c>
      <c r="I2773" s="209" t="s">
        <v>848</v>
      </c>
      <c r="K2773" s="228"/>
      <c r="L2773" s="207" t="str">
        <f>_xlfn.XLOOKUP($B2762,予定表!$B:$B,予定表!H:H,"該当なし",0,1)</f>
        <v>資さんうどん</v>
      </c>
      <c r="M2773" s="212"/>
    </row>
    <row r="2774" spans="1:13">
      <c r="A2774" s="195"/>
      <c r="B2774" s="195" t="s">
        <v>207</v>
      </c>
      <c r="C2774"/>
      <c r="D2774" s="197" t="s">
        <v>471</v>
      </c>
      <c r="E2774" s="197" t="s">
        <v>851</v>
      </c>
      <c r="F2774" s="197" t="s">
        <v>62</v>
      </c>
      <c r="G2774" s="197" t="s">
        <v>268</v>
      </c>
      <c r="H2774" s="197" t="s">
        <v>848</v>
      </c>
      <c r="I2774" s="209" t="s">
        <v>848</v>
      </c>
      <c r="K2774" s="228"/>
      <c r="L2774" s="207" t="str">
        <f>_xlfn.XLOOKUP($B2762,予定表!$B:$B,予定表!I:I,"該当なし",0,1)</f>
        <v/>
      </c>
      <c r="M2774" s="212"/>
    </row>
    <row r="2775" spans="1:13">
      <c r="A2775" s="195"/>
      <c r="B2775" s="196" t="s">
        <v>212</v>
      </c>
      <c r="C2775"/>
      <c r="D2775" s="197" t="s">
        <v>119</v>
      </c>
      <c r="E2775" s="197" t="s">
        <v>414</v>
      </c>
      <c r="F2775" s="197" t="s">
        <v>62</v>
      </c>
      <c r="G2775" s="197" t="s">
        <v>268</v>
      </c>
      <c r="H2775" s="197" t="s">
        <v>848</v>
      </c>
      <c r="I2775" s="209" t="s">
        <v>848</v>
      </c>
      <c r="K2775" s="228"/>
      <c r="L2775" s="207" t="str">
        <f>_xlfn.XLOOKUP($B2762,予定表!$B:$B,予定表!J:J,"該当なし",0,1)</f>
        <v/>
      </c>
      <c r="M2775" s="212"/>
    </row>
    <row r="2776" spans="1:13">
      <c r="A2776" s="195"/>
      <c r="B2776" s="195" t="s">
        <v>205</v>
      </c>
      <c r="C2776"/>
      <c r="D2776" s="197" t="s">
        <v>119</v>
      </c>
      <c r="E2776" s="197" t="s">
        <v>414</v>
      </c>
      <c r="F2776" s="197" t="s">
        <v>62</v>
      </c>
      <c r="G2776" s="197" t="s">
        <v>268</v>
      </c>
      <c r="H2776" s="197" t="s">
        <v>848</v>
      </c>
      <c r="I2776" s="209" t="s">
        <v>848</v>
      </c>
      <c r="K2776" s="228"/>
      <c r="L2776" s="207" t="str">
        <f>_xlfn.XLOOKUP($B2762,予定表!$B:$B,予定表!K:K,"該当なし",0,1)</f>
        <v/>
      </c>
      <c r="M2776" s="212"/>
    </row>
    <row r="2777" spans="1:13">
      <c r="A2777" s="195"/>
      <c r="B2777" s="195" t="s">
        <v>206</v>
      </c>
      <c r="C2777"/>
      <c r="D2777" s="197" t="s">
        <v>278</v>
      </c>
      <c r="E2777" s="197" t="s">
        <v>414</v>
      </c>
      <c r="F2777" s="197" t="s">
        <v>62</v>
      </c>
      <c r="G2777" s="197" t="s">
        <v>515</v>
      </c>
      <c r="H2777" s="197" t="s">
        <v>848</v>
      </c>
      <c r="I2777" s="209" t="s">
        <v>848</v>
      </c>
      <c r="K2777" s="228"/>
      <c r="L2777" s="207" t="str">
        <f>_xlfn.XLOOKUP($B2762,予定表!$B:$B,予定表!L:L,"該当なし",0,1)</f>
        <v/>
      </c>
      <c r="M2777" s="212"/>
    </row>
    <row r="2778" spans="1:13" ht="15.75" thickBot="1">
      <c r="A2778" s="195"/>
      <c r="B2778" s="195" t="s">
        <v>207</v>
      </c>
      <c r="C2778"/>
      <c r="D2778" s="197" t="s">
        <v>213</v>
      </c>
      <c r="E2778" s="197" t="s">
        <v>414</v>
      </c>
      <c r="F2778" s="197" t="s">
        <v>62</v>
      </c>
      <c r="G2778" s="197" t="s">
        <v>515</v>
      </c>
      <c r="H2778" s="197" t="s">
        <v>848</v>
      </c>
      <c r="I2778" s="209" t="s">
        <v>848</v>
      </c>
      <c r="K2778" s="229"/>
      <c r="L2778" s="204" t="str">
        <f>_xlfn.XLOOKUP($A2759,ﾘｽﾄマスタ!$U$8:$U$17,ﾘｽﾄマスタ!$V$8:$V$17,"",0)</f>
        <v>㈱ｱｸﾃｨｵ・春うららか</v>
      </c>
      <c r="M2778" s="212"/>
    </row>
    <row r="2779" spans="1:13" ht="15.75" thickBot="1">
      <c r="A2779" s="195"/>
      <c r="B2779" s="196" t="s">
        <v>251</v>
      </c>
      <c r="C2779"/>
      <c r="D2779" s="197" t="s">
        <v>144</v>
      </c>
      <c r="E2779" s="197" t="s">
        <v>862</v>
      </c>
      <c r="F2779" s="197" t="s">
        <v>62</v>
      </c>
      <c r="G2779" s="197" t="s">
        <v>269</v>
      </c>
      <c r="H2779" s="197" t="s">
        <v>848</v>
      </c>
      <c r="I2779" s="209" t="s">
        <v>848</v>
      </c>
      <c r="K2779" s="208" t="s">
        <v>277</v>
      </c>
      <c r="L2779" s="208" t="str">
        <f>_xlfn.XLOOKUP($B2762,シフト抽出!$19:$19,シフト抽出!$30:$30,"該当なし",0,1)</f>
        <v>該当なし</v>
      </c>
      <c r="M2779" s="212"/>
    </row>
    <row r="2780" spans="1:13">
      <c r="A2780" s="195"/>
      <c r="B2780" s="195" t="s">
        <v>205</v>
      </c>
      <c r="C2780"/>
      <c r="D2780" s="197" t="s">
        <v>144</v>
      </c>
      <c r="E2780" s="197" t="s">
        <v>214</v>
      </c>
      <c r="F2780" s="197" t="s">
        <v>62</v>
      </c>
      <c r="G2780" s="197" t="s">
        <v>269</v>
      </c>
      <c r="H2780" s="197" t="s">
        <v>229</v>
      </c>
      <c r="I2780" s="209" t="s">
        <v>229</v>
      </c>
      <c r="M2780" s="212"/>
    </row>
    <row r="2781" spans="1:13">
      <c r="A2781" s="195"/>
      <c r="B2781" s="195" t="s">
        <v>206</v>
      </c>
      <c r="C2781"/>
      <c r="D2781" s="197" t="s">
        <v>218</v>
      </c>
      <c r="E2781" s="197" t="s">
        <v>214</v>
      </c>
      <c r="F2781" s="197" t="s">
        <v>62</v>
      </c>
      <c r="G2781" s="197" t="s">
        <v>269</v>
      </c>
      <c r="H2781" s="197" t="s">
        <v>229</v>
      </c>
      <c r="I2781" s="209" t="s">
        <v>229</v>
      </c>
      <c r="M2781" s="212"/>
    </row>
    <row r="2782" spans="1:13">
      <c r="A2782" s="195"/>
      <c r="B2782" s="195" t="s">
        <v>207</v>
      </c>
      <c r="C2782"/>
      <c r="D2782" s="197" t="s">
        <v>78</v>
      </c>
      <c r="E2782" s="197" t="s">
        <v>214</v>
      </c>
      <c r="F2782" s="197" t="s">
        <v>62</v>
      </c>
      <c r="G2782" s="197" t="s">
        <v>269</v>
      </c>
      <c r="H2782" s="197" t="s">
        <v>229</v>
      </c>
      <c r="I2782" s="209" t="s">
        <v>229</v>
      </c>
      <c r="M2782" s="212"/>
    </row>
    <row r="2783" spans="1:13">
      <c r="A2783" s="195"/>
      <c r="B2783" s="196" t="s">
        <v>217</v>
      </c>
      <c r="C2783"/>
      <c r="D2783" s="197" t="s">
        <v>78</v>
      </c>
      <c r="E2783" s="197" t="s">
        <v>214</v>
      </c>
      <c r="F2783" s="197" t="s">
        <v>62</v>
      </c>
      <c r="G2783" s="197" t="s">
        <v>446</v>
      </c>
      <c r="H2783" s="197" t="s">
        <v>230</v>
      </c>
      <c r="I2783" s="209" t="s">
        <v>230</v>
      </c>
      <c r="M2783" s="212"/>
    </row>
    <row r="2784" spans="1:13">
      <c r="A2784" s="195"/>
      <c r="B2784" s="195" t="s">
        <v>205</v>
      </c>
      <c r="C2784"/>
      <c r="D2784" s="197" t="s">
        <v>146</v>
      </c>
      <c r="E2784" s="197" t="s">
        <v>761</v>
      </c>
      <c r="F2784" s="197" t="s">
        <v>62</v>
      </c>
      <c r="G2784" s="197" t="s">
        <v>446</v>
      </c>
      <c r="H2784" s="197" t="s">
        <v>230</v>
      </c>
      <c r="I2784" s="209" t="s">
        <v>230</v>
      </c>
      <c r="M2784" s="212"/>
    </row>
    <row r="2785" spans="1:13">
      <c r="A2785" s="195"/>
      <c r="B2785" s="195" t="s">
        <v>206</v>
      </c>
      <c r="C2785"/>
      <c r="D2785" s="197" t="s">
        <v>146</v>
      </c>
      <c r="E2785" s="197" t="s">
        <v>761</v>
      </c>
      <c r="F2785" s="197" t="s">
        <v>62</v>
      </c>
      <c r="G2785" s="197" t="s">
        <v>114</v>
      </c>
      <c r="H2785" s="197" t="s">
        <v>230</v>
      </c>
      <c r="I2785" s="209" t="s">
        <v>230</v>
      </c>
      <c r="M2785" s="212"/>
    </row>
    <row r="2786" spans="1:13">
      <c r="A2786" s="195"/>
      <c r="B2786" s="195" t="s">
        <v>207</v>
      </c>
      <c r="C2786"/>
      <c r="D2786" s="197" t="s">
        <v>146</v>
      </c>
      <c r="E2786" s="197" t="s">
        <v>761</v>
      </c>
      <c r="F2786" s="197" t="s">
        <v>62</v>
      </c>
      <c r="G2786" s="197" t="s">
        <v>114</v>
      </c>
      <c r="H2786" s="197" t="s">
        <v>230</v>
      </c>
      <c r="I2786" s="209" t="s">
        <v>230</v>
      </c>
      <c r="M2786" s="212"/>
    </row>
    <row r="2787" spans="1:13">
      <c r="A2787" s="195"/>
      <c r="B2787" s="196" t="s">
        <v>219</v>
      </c>
      <c r="C2787"/>
      <c r="D2787" s="197"/>
      <c r="E2787" s="197" t="s">
        <v>761</v>
      </c>
      <c r="F2787" s="197" t="s">
        <v>62</v>
      </c>
      <c r="G2787" s="197" t="s">
        <v>51</v>
      </c>
      <c r="H2787" s="197" t="s">
        <v>230</v>
      </c>
      <c r="I2787" s="209" t="s">
        <v>230</v>
      </c>
      <c r="M2787" s="212"/>
    </row>
    <row r="2788" spans="1:13">
      <c r="A2788" s="195"/>
      <c r="B2788" s="195" t="s">
        <v>205</v>
      </c>
      <c r="C2788"/>
      <c r="D2788" s="197"/>
      <c r="E2788" s="197" t="s">
        <v>761</v>
      </c>
      <c r="F2788" s="197" t="s">
        <v>62</v>
      </c>
      <c r="G2788" s="197" t="s">
        <v>51</v>
      </c>
      <c r="H2788" s="197" t="s">
        <v>230</v>
      </c>
      <c r="I2788" s="209" t="s">
        <v>230</v>
      </c>
      <c r="M2788" s="212"/>
    </row>
    <row r="2789" spans="1:13">
      <c r="A2789" s="195"/>
      <c r="B2789" s="195" t="s">
        <v>206</v>
      </c>
      <c r="C2789"/>
      <c r="D2789" s="197"/>
      <c r="E2789" s="197"/>
      <c r="F2789" s="197"/>
      <c r="G2789" s="197"/>
      <c r="H2789" s="197"/>
      <c r="I2789" s="209"/>
      <c r="M2789" s="212"/>
    </row>
    <row r="2790" spans="1:13">
      <c r="A2790" s="195"/>
      <c r="B2790" s="195" t="s">
        <v>207</v>
      </c>
      <c r="C2790"/>
      <c r="D2790" s="197"/>
      <c r="E2790" s="197"/>
      <c r="F2790" s="197"/>
      <c r="G2790" s="197"/>
      <c r="H2790" s="197"/>
      <c r="I2790" s="209"/>
      <c r="M2790" s="212"/>
    </row>
    <row r="2791" spans="1:13">
      <c r="A2791" s="195"/>
      <c r="B2791" s="196" t="s">
        <v>220</v>
      </c>
      <c r="C2791"/>
      <c r="D2791" s="189" t="s">
        <v>923</v>
      </c>
      <c r="E2791" s="189"/>
      <c r="F2791" s="189" t="s">
        <v>857</v>
      </c>
      <c r="G2791" s="189" t="s">
        <v>867</v>
      </c>
      <c r="H2791" s="189"/>
      <c r="I2791" s="218"/>
      <c r="M2791" s="212"/>
    </row>
    <row r="2792" spans="1:13">
      <c r="A2792" s="195"/>
      <c r="B2792" s="195" t="s">
        <v>205</v>
      </c>
      <c r="C2792"/>
      <c r="D2792" s="197" t="s">
        <v>759</v>
      </c>
      <c r="E2792" s="197" t="s">
        <v>848</v>
      </c>
      <c r="F2792" s="197" t="s">
        <v>56</v>
      </c>
      <c r="G2792" s="197" t="s">
        <v>927</v>
      </c>
      <c r="H2792" s="197" t="s">
        <v>415</v>
      </c>
      <c r="I2792" s="209" t="s">
        <v>415</v>
      </c>
      <c r="M2792" s="212"/>
    </row>
    <row r="2793" spans="1:13">
      <c r="A2793" s="195"/>
      <c r="B2793" s="195" t="s">
        <v>206</v>
      </c>
      <c r="C2793"/>
      <c r="D2793" s="197" t="s">
        <v>759</v>
      </c>
      <c r="E2793" s="197" t="s">
        <v>848</v>
      </c>
      <c r="F2793" s="197" t="s">
        <v>56</v>
      </c>
      <c r="G2793" s="197" t="s">
        <v>927</v>
      </c>
      <c r="H2793" s="197" t="s">
        <v>415</v>
      </c>
      <c r="I2793" s="209" t="s">
        <v>415</v>
      </c>
      <c r="M2793" s="212"/>
    </row>
    <row r="2794" spans="1:13">
      <c r="A2794" s="195"/>
      <c r="B2794" s="195" t="s">
        <v>207</v>
      </c>
      <c r="C2794"/>
      <c r="D2794" s="197" t="s">
        <v>759</v>
      </c>
      <c r="E2794" s="197" t="s">
        <v>848</v>
      </c>
      <c r="F2794" s="197" t="s">
        <v>56</v>
      </c>
      <c r="G2794" s="197" t="s">
        <v>927</v>
      </c>
      <c r="H2794" s="197" t="s">
        <v>415</v>
      </c>
      <c r="I2794" s="209" t="s">
        <v>415</v>
      </c>
      <c r="M2794" s="212"/>
    </row>
    <row r="2795" spans="1:13">
      <c r="A2795" s="195"/>
      <c r="B2795" s="196" t="s">
        <v>222</v>
      </c>
      <c r="C2795"/>
      <c r="D2795" s="197" t="s">
        <v>759</v>
      </c>
      <c r="E2795" s="197" t="s">
        <v>273</v>
      </c>
      <c r="F2795" s="197" t="s">
        <v>56</v>
      </c>
      <c r="G2795" s="197" t="s">
        <v>927</v>
      </c>
      <c r="H2795" s="197" t="s">
        <v>221</v>
      </c>
      <c r="I2795" s="209" t="s">
        <v>221</v>
      </c>
      <c r="M2795" s="212"/>
    </row>
    <row r="2796" spans="1:13">
      <c r="A2796" s="195"/>
      <c r="B2796" s="195" t="s">
        <v>205</v>
      </c>
      <c r="C2796"/>
      <c r="D2796" s="197" t="s">
        <v>759</v>
      </c>
      <c r="E2796" s="197" t="s">
        <v>273</v>
      </c>
      <c r="F2796" s="197" t="s">
        <v>224</v>
      </c>
      <c r="G2796" s="197" t="s">
        <v>270</v>
      </c>
      <c r="H2796" s="197" t="s">
        <v>221</v>
      </c>
      <c r="I2796" s="209" t="s">
        <v>221</v>
      </c>
      <c r="M2796" s="212"/>
    </row>
    <row r="2797" spans="1:13">
      <c r="A2797" s="195"/>
      <c r="B2797" s="195" t="s">
        <v>206</v>
      </c>
      <c r="C2797"/>
      <c r="D2797" s="197" t="s">
        <v>216</v>
      </c>
      <c r="E2797" s="197" t="s">
        <v>273</v>
      </c>
      <c r="F2797" s="197" t="s">
        <v>865</v>
      </c>
      <c r="G2797" s="197" t="s">
        <v>270</v>
      </c>
      <c r="H2797" s="197" t="s">
        <v>221</v>
      </c>
      <c r="I2797" s="209" t="s">
        <v>221</v>
      </c>
      <c r="M2797" s="212"/>
    </row>
    <row r="2798" spans="1:13">
      <c r="A2798" s="195"/>
      <c r="B2798" s="195" t="s">
        <v>207</v>
      </c>
      <c r="C2798"/>
      <c r="D2798" s="197" t="s">
        <v>216</v>
      </c>
      <c r="E2798" s="197" t="s">
        <v>252</v>
      </c>
      <c r="F2798" s="197" t="s">
        <v>866</v>
      </c>
      <c r="G2798" s="197" t="s">
        <v>270</v>
      </c>
      <c r="H2798" s="197" t="s">
        <v>221</v>
      </c>
      <c r="I2798" s="209" t="s">
        <v>221</v>
      </c>
      <c r="M2798" s="212"/>
    </row>
    <row r="2799" spans="1:13">
      <c r="A2799" s="195"/>
      <c r="B2799" s="196" t="s">
        <v>223</v>
      </c>
      <c r="C2799"/>
      <c r="D2799" s="197" t="s">
        <v>216</v>
      </c>
      <c r="E2799" s="197" t="s">
        <v>252</v>
      </c>
      <c r="F2799" s="197" t="s">
        <v>416</v>
      </c>
      <c r="G2799" s="197" t="s">
        <v>270</v>
      </c>
      <c r="H2799" s="197" t="s">
        <v>415</v>
      </c>
      <c r="I2799" s="209" t="s">
        <v>415</v>
      </c>
      <c r="M2799" s="212"/>
    </row>
    <row r="2800" spans="1:13">
      <c r="A2800" s="195"/>
      <c r="B2800" s="195" t="s">
        <v>205</v>
      </c>
      <c r="C2800"/>
      <c r="D2800" s="197" t="s">
        <v>216</v>
      </c>
      <c r="E2800" s="197" t="s">
        <v>252</v>
      </c>
      <c r="F2800" s="197" t="s">
        <v>901</v>
      </c>
      <c r="G2800" s="197" t="s">
        <v>270</v>
      </c>
      <c r="H2800" s="197" t="s">
        <v>415</v>
      </c>
      <c r="I2800" s="209" t="s">
        <v>415</v>
      </c>
      <c r="M2800" s="212"/>
    </row>
    <row r="2801" spans="1:14">
      <c r="A2801" s="195"/>
      <c r="B2801" s="195" t="s">
        <v>206</v>
      </c>
      <c r="C2801"/>
      <c r="D2801" s="197" t="s">
        <v>160</v>
      </c>
      <c r="E2801" s="197" t="s">
        <v>252</v>
      </c>
      <c r="F2801" s="197" t="s">
        <v>416</v>
      </c>
      <c r="G2801" s="197" t="s">
        <v>270</v>
      </c>
      <c r="H2801" s="197" t="s">
        <v>415</v>
      </c>
      <c r="I2801" s="209" t="s">
        <v>415</v>
      </c>
      <c r="M2801" s="212"/>
    </row>
    <row r="2802" spans="1:14">
      <c r="A2802" s="195"/>
      <c r="B2802" s="195" t="s">
        <v>207</v>
      </c>
      <c r="C2802"/>
      <c r="D2802" s="197" t="s">
        <v>215</v>
      </c>
      <c r="E2802" s="197" t="s">
        <v>252</v>
      </c>
      <c r="F2802" s="197" t="s">
        <v>416</v>
      </c>
      <c r="G2802" s="197" t="s">
        <v>270</v>
      </c>
      <c r="H2802" s="197" t="s">
        <v>415</v>
      </c>
      <c r="I2802" s="209" t="s">
        <v>415</v>
      </c>
      <c r="M2802" s="212"/>
    </row>
    <row r="2803" spans="1:14">
      <c r="A2803" s="195"/>
      <c r="B2803" s="196" t="s">
        <v>225</v>
      </c>
      <c r="C2803"/>
      <c r="D2803" s="197" t="s">
        <v>280</v>
      </c>
      <c r="E2803" s="197" t="s">
        <v>252</v>
      </c>
      <c r="F2803" s="197"/>
      <c r="G2803" s="197" t="s">
        <v>270</v>
      </c>
      <c r="H2803" s="197" t="s">
        <v>415</v>
      </c>
      <c r="I2803" s="209" t="s">
        <v>415</v>
      </c>
      <c r="M2803" s="212"/>
    </row>
    <row r="2804" spans="1:14">
      <c r="A2804" s="195"/>
      <c r="B2804" s="195" t="s">
        <v>205</v>
      </c>
      <c r="C2804"/>
      <c r="D2804" s="197" t="s">
        <v>127</v>
      </c>
      <c r="E2804" s="197" t="s">
        <v>252</v>
      </c>
      <c r="F2804" s="197"/>
      <c r="G2804" s="197" t="s">
        <v>270</v>
      </c>
      <c r="H2804" s="209" t="s">
        <v>415</v>
      </c>
      <c r="I2804" s="209" t="s">
        <v>415</v>
      </c>
      <c r="M2804" s="212"/>
    </row>
    <row r="2805" spans="1:14">
      <c r="A2805" s="195"/>
      <c r="B2805" s="195" t="s">
        <v>206</v>
      </c>
      <c r="C2805"/>
      <c r="D2805" s="197"/>
      <c r="E2805" s="197" t="s">
        <v>252</v>
      </c>
      <c r="F2805" s="197"/>
      <c r="G2805" s="197" t="s">
        <v>270</v>
      </c>
      <c r="H2805" s="209" t="s">
        <v>415</v>
      </c>
      <c r="I2805" s="209" t="s">
        <v>415</v>
      </c>
      <c r="M2805" s="212"/>
    </row>
    <row r="2806" spans="1:14">
      <c r="A2806" s="195"/>
      <c r="B2806" s="195" t="s">
        <v>207</v>
      </c>
      <c r="C2806"/>
      <c r="D2806" s="197"/>
      <c r="E2806" s="197" t="s">
        <v>252</v>
      </c>
      <c r="F2806" s="197"/>
      <c r="G2806" s="197" t="s">
        <v>270</v>
      </c>
      <c r="H2806" s="209" t="s">
        <v>415</v>
      </c>
      <c r="I2806" s="209" t="s">
        <v>415</v>
      </c>
      <c r="M2806" s="212"/>
    </row>
    <row r="2807" spans="1:14">
      <c r="A2807" s="195"/>
      <c r="B2807" s="196" t="s">
        <v>226</v>
      </c>
      <c r="C2807"/>
      <c r="D2807" s="197"/>
      <c r="E2807" s="197"/>
      <c r="F2807" s="197"/>
      <c r="G2807" s="197" t="s">
        <v>270</v>
      </c>
      <c r="H2807" s="209" t="s">
        <v>415</v>
      </c>
      <c r="I2807" s="209" t="s">
        <v>415</v>
      </c>
      <c r="M2807" s="212"/>
    </row>
    <row r="2808" spans="1:14">
      <c r="A2808" s="195"/>
      <c r="B2808" s="195" t="s">
        <v>205</v>
      </c>
      <c r="C2808"/>
      <c r="D2808" s="197"/>
      <c r="E2808" s="197"/>
      <c r="F2808" s="197"/>
      <c r="G2808" s="197" t="s">
        <v>270</v>
      </c>
      <c r="H2808" s="209"/>
      <c r="I2808" s="209"/>
      <c r="M2808" s="212"/>
    </row>
    <row r="2809" spans="1:14">
      <c r="A2809" s="195"/>
      <c r="B2809" s="195" t="s">
        <v>206</v>
      </c>
      <c r="C2809"/>
      <c r="D2809" s="197"/>
      <c r="E2809" s="197"/>
      <c r="F2809" s="197"/>
      <c r="G2809" s="197" t="s">
        <v>270</v>
      </c>
      <c r="H2809" s="209"/>
      <c r="I2809" s="209"/>
      <c r="M2809" s="212"/>
    </row>
    <row r="2810" spans="1:14">
      <c r="A2810" s="195"/>
      <c r="B2810" s="195" t="s">
        <v>207</v>
      </c>
      <c r="C2810"/>
      <c r="D2810" s="197"/>
      <c r="E2810" s="197"/>
      <c r="F2810" s="197"/>
      <c r="G2810" s="197" t="s">
        <v>270</v>
      </c>
      <c r="H2810" s="209"/>
      <c r="I2810" s="209"/>
      <c r="M2810" s="212"/>
    </row>
    <row r="2811" spans="1:14">
      <c r="A2811" s="195"/>
      <c r="B2811" s="196" t="s">
        <v>227</v>
      </c>
      <c r="C2811"/>
      <c r="D2811" s="197"/>
      <c r="E2811" s="197"/>
      <c r="F2811" s="197"/>
      <c r="G2811" s="197"/>
      <c r="H2811" s="209"/>
      <c r="I2811" s="209"/>
      <c r="K2811"/>
      <c r="M2811" s="212"/>
    </row>
    <row r="2812" spans="1:14" ht="29.25" thickBot="1">
      <c r="A2812" s="182" t="str">
        <f>"回収シフト  第"&amp;ROUNDUP(DAY(B2815)/7,0)  &amp;"  "&amp;TEXT(B2815,"aaaa")</f>
        <v>回収シフト  第1  火曜日</v>
      </c>
      <c r="B2812" s="183"/>
      <c r="C2812" s="183"/>
      <c r="D2812" s="183"/>
      <c r="E2812" s="183"/>
      <c r="F2812" s="183"/>
      <c r="G2812" s="184"/>
      <c r="H2812" s="184"/>
      <c r="I2812" s="184"/>
      <c r="K2812" s="183"/>
      <c r="L2812" s="183"/>
      <c r="M2812" s="50"/>
      <c r="N2812" s="50"/>
    </row>
    <row r="2813" spans="1:14" ht="15.75" thickBot="1">
      <c r="A2813"/>
      <c r="B2813"/>
      <c r="C2813"/>
      <c r="D2813" s="186" t="s">
        <v>201</v>
      </c>
      <c r="E2813" s="186" t="s">
        <v>202</v>
      </c>
      <c r="F2813" s="186" t="s">
        <v>203</v>
      </c>
      <c r="G2813" s="186" t="s">
        <v>204</v>
      </c>
      <c r="H2813" s="186" t="s">
        <v>267</v>
      </c>
      <c r="I2813" s="217" t="s">
        <v>267</v>
      </c>
      <c r="K2813" s="230" t="s">
        <v>257</v>
      </c>
      <c r="L2813" s="231"/>
      <c r="M2813" s="212"/>
    </row>
    <row r="2814" spans="1:14">
      <c r="A2814" s="187"/>
      <c r="B2814" s="188">
        <v>46119</v>
      </c>
      <c r="C2814" s="187"/>
      <c r="D2814" s="189" t="s">
        <v>923</v>
      </c>
      <c r="E2814" s="189" t="s">
        <v>858</v>
      </c>
      <c r="F2814" s="189" t="s">
        <v>891</v>
      </c>
      <c r="G2814" s="189" t="s">
        <v>874</v>
      </c>
      <c r="H2814" s="189" t="s">
        <v>852</v>
      </c>
      <c r="I2814" s="218" t="s">
        <v>852</v>
      </c>
      <c r="K2814" s="232" t="s">
        <v>258</v>
      </c>
      <c r="L2814" s="190" t="str">
        <f>_xlfn.XLOOKUP($B2815,シフト抽出!$19:$19,シフト抽出!$20:$20,"該当なし",0,1)</f>
        <v>該当なし</v>
      </c>
      <c r="M2814" s="212"/>
    </row>
    <row r="2815" spans="1:14" ht="19.5" thickBot="1">
      <c r="A2815"/>
      <c r="B2815" s="191">
        <f>B2762+1</f>
        <v>46175</v>
      </c>
      <c r="C2815" s="192"/>
      <c r="D2815" s="193"/>
      <c r="E2815" s="193"/>
      <c r="F2815" s="193"/>
      <c r="G2815" s="193"/>
      <c r="H2815" s="193"/>
      <c r="I2815" s="219"/>
      <c r="K2815" s="233"/>
      <c r="L2815" s="194" t="str">
        <f>_xlfn.XLOOKUP($B2815,シフト抽出!$19:$19,シフト抽出!$21:$21,"該当なし",0,1)</f>
        <v>該当なし</v>
      </c>
      <c r="M2815" s="212"/>
    </row>
    <row r="2816" spans="1:14">
      <c r="A2816" s="195"/>
      <c r="B2816" s="196">
        <v>0.25</v>
      </c>
      <c r="C2816"/>
      <c r="D2816" s="197"/>
      <c r="E2816" s="196"/>
      <c r="F2816" s="197"/>
      <c r="G2816" s="197"/>
      <c r="H2816" s="197"/>
      <c r="I2816" s="209"/>
      <c r="K2816" s="234" t="s">
        <v>259</v>
      </c>
      <c r="L2816" s="198" t="str">
        <f>_xlfn.XLOOKUP($B2815,シフト抽出!$19:$19,シフト抽出!$23:$23,"該当なし",0,1)</f>
        <v>該当なし</v>
      </c>
      <c r="M2816" s="212"/>
    </row>
    <row r="2817" spans="1:13" ht="15.75" thickBot="1">
      <c r="A2817" s="195"/>
      <c r="B2817" s="195" t="s">
        <v>205</v>
      </c>
      <c r="C2817"/>
      <c r="D2817" s="197"/>
      <c r="E2817" s="197"/>
      <c r="F2817" s="197"/>
      <c r="G2817" s="197"/>
      <c r="H2817" s="197"/>
      <c r="I2817" s="209"/>
      <c r="K2817" s="235"/>
      <c r="L2817" s="199" t="str">
        <f>_xlfn.XLOOKUP($B2815,シフト抽出!$19:$19,シフト抽出!$24:$24,"該当なし",0,1)</f>
        <v>該当なし</v>
      </c>
      <c r="M2817" s="212"/>
    </row>
    <row r="2818" spans="1:13">
      <c r="A2818" s="195"/>
      <c r="B2818" s="195" t="s">
        <v>206</v>
      </c>
      <c r="C2818"/>
      <c r="D2818" s="197"/>
      <c r="E2818" s="197"/>
      <c r="F2818" s="197"/>
      <c r="G2818" s="197"/>
      <c r="H2818" s="197"/>
      <c r="I2818" s="209"/>
      <c r="K2818" s="224" t="s">
        <v>260</v>
      </c>
      <c r="L2818" s="200" t="str">
        <f>_xlfn.XLOOKUP($B2815,シフト抽出!$19:$19,シフト抽出!$26:$26,"該当なし",0,1)</f>
        <v>該当なし</v>
      </c>
      <c r="M2818" s="212"/>
    </row>
    <row r="2819" spans="1:13">
      <c r="A2819" s="195"/>
      <c r="B2819" s="195" t="s">
        <v>207</v>
      </c>
      <c r="C2819"/>
      <c r="D2819" s="197"/>
      <c r="E2819" s="197"/>
      <c r="F2819" s="197"/>
      <c r="G2819" s="197"/>
      <c r="H2819" s="197"/>
      <c r="I2819" s="209"/>
      <c r="K2819" s="225"/>
      <c r="L2819" s="201" t="str">
        <f>_xlfn.XLOOKUP($B2815,シフト抽出!$19:$19,シフト抽出!$27:$27,"該当なし",0,1)</f>
        <v>該当なし</v>
      </c>
      <c r="M2819" s="212"/>
    </row>
    <row r="2820" spans="1:13">
      <c r="A2820" s="195"/>
      <c r="B2820" s="202" t="s">
        <v>208</v>
      </c>
      <c r="C2820"/>
      <c r="D2820" s="197" t="s">
        <v>4</v>
      </c>
      <c r="E2820" s="197" t="s">
        <v>4</v>
      </c>
      <c r="F2820" s="197"/>
      <c r="G2820" s="197" t="s">
        <v>4</v>
      </c>
      <c r="H2820" s="197"/>
      <c r="I2820" s="209"/>
      <c r="J2820" s="203"/>
      <c r="K2820" s="225"/>
      <c r="L2820" s="201" t="str">
        <f>_xlfn.XLOOKUP($B2815,シフト抽出!$19:$19,シフト抽出!$28:$28,"該当なし",0,1)</f>
        <v>該当なし</v>
      </c>
      <c r="M2820" s="212"/>
    </row>
    <row r="2821" spans="1:13" ht="15.75" thickBot="1">
      <c r="A2821" s="195"/>
      <c r="B2821" s="195" t="s">
        <v>205</v>
      </c>
      <c r="C2821"/>
      <c r="D2821" s="197" t="s">
        <v>414</v>
      </c>
      <c r="E2821" s="197" t="s">
        <v>420</v>
      </c>
      <c r="F2821" s="197" t="s">
        <v>851</v>
      </c>
      <c r="G2821" s="197" t="s">
        <v>22</v>
      </c>
      <c r="H2821" s="197"/>
      <c r="I2821" s="209"/>
      <c r="J2821" s="203"/>
      <c r="K2821" s="226"/>
      <c r="L2821" s="204" t="str">
        <f>_xlfn.XLOOKUP($B2815,シフト抽出!$19:$19,シフト抽出!$29:$29,"該当なし",0,1)</f>
        <v>該当なし</v>
      </c>
      <c r="M2821" s="212"/>
    </row>
    <row r="2822" spans="1:13" ht="15.75" thickBot="1">
      <c r="A2822" s="195"/>
      <c r="B2822" s="195" t="s">
        <v>206</v>
      </c>
      <c r="C2822"/>
      <c r="D2822" s="197" t="s">
        <v>414</v>
      </c>
      <c r="E2822" s="197" t="s">
        <v>420</v>
      </c>
      <c r="F2822" s="197" t="s">
        <v>851</v>
      </c>
      <c r="G2822" s="197" t="s">
        <v>22</v>
      </c>
      <c r="H2822" s="197"/>
      <c r="I2822" s="209"/>
      <c r="K2822" s="205" t="s">
        <v>261</v>
      </c>
      <c r="L2822" s="205">
        <f>_xlfn.XLOOKUP($B2815,予定表!B:B,予定表!R:R,"該当なし",0,1)</f>
        <v>0</v>
      </c>
      <c r="M2822" s="212"/>
    </row>
    <row r="2823" spans="1:13">
      <c r="A2823" s="195"/>
      <c r="B2823" s="195" t="s">
        <v>207</v>
      </c>
      <c r="C2823"/>
      <c r="D2823" s="197" t="s">
        <v>414</v>
      </c>
      <c r="E2823" s="197" t="s">
        <v>420</v>
      </c>
      <c r="F2823" s="197" t="s">
        <v>851</v>
      </c>
      <c r="G2823" s="197" t="s">
        <v>268</v>
      </c>
      <c r="H2823" s="197"/>
      <c r="I2823" s="209"/>
      <c r="K2823" s="227" t="s">
        <v>262</v>
      </c>
      <c r="L2823" s="206">
        <f>_xlfn.XLOOKUP($B2815,予定表!$B:$B,予定表!E:E,"該当なし",0,1)</f>
        <v>0</v>
      </c>
      <c r="M2823" s="212"/>
    </row>
    <row r="2824" spans="1:13">
      <c r="A2824" s="195"/>
      <c r="B2824" s="196" t="s">
        <v>209</v>
      </c>
      <c r="C2824"/>
      <c r="D2824" s="197" t="s">
        <v>414</v>
      </c>
      <c r="E2824" s="197" t="s">
        <v>420</v>
      </c>
      <c r="F2824" s="197" t="s">
        <v>851</v>
      </c>
      <c r="G2824" s="197" t="s">
        <v>268</v>
      </c>
      <c r="H2824" s="197" t="s">
        <v>4</v>
      </c>
      <c r="I2824" s="209" t="s">
        <v>4</v>
      </c>
      <c r="K2824" s="228"/>
      <c r="L2824" s="207">
        <f>_xlfn.XLOOKUP($B2815,予定表!$B:$B,予定表!F:F,"該当なし",0,1)</f>
        <v>0</v>
      </c>
      <c r="M2824" s="212"/>
    </row>
    <row r="2825" spans="1:13">
      <c r="A2825" s="195"/>
      <c r="B2825" s="195" t="s">
        <v>205</v>
      </c>
      <c r="C2825"/>
      <c r="D2825" s="197" t="s">
        <v>414</v>
      </c>
      <c r="E2825" s="197" t="s">
        <v>420</v>
      </c>
      <c r="F2825" s="197" t="s">
        <v>851</v>
      </c>
      <c r="G2825" s="197" t="s">
        <v>268</v>
      </c>
      <c r="H2825" s="197" t="s">
        <v>60</v>
      </c>
      <c r="I2825" s="209" t="s">
        <v>60</v>
      </c>
      <c r="K2825" s="228"/>
      <c r="L2825" s="207">
        <f>_xlfn.XLOOKUP($B2815,予定表!$B:$B,予定表!G:G,"該当なし",0,1)</f>
        <v>0</v>
      </c>
      <c r="M2825" s="212"/>
    </row>
    <row r="2826" spans="1:13">
      <c r="A2826" s="195"/>
      <c r="B2826" s="195" t="s">
        <v>206</v>
      </c>
      <c r="C2826"/>
      <c r="D2826" s="197" t="s">
        <v>214</v>
      </c>
      <c r="E2826" s="197" t="s">
        <v>273</v>
      </c>
      <c r="F2826" s="197"/>
      <c r="G2826" s="197" t="s">
        <v>268</v>
      </c>
      <c r="H2826" s="197" t="s">
        <v>60</v>
      </c>
      <c r="I2826" s="209" t="s">
        <v>60</v>
      </c>
      <c r="K2826" s="228"/>
      <c r="L2826" s="207">
        <f>_xlfn.XLOOKUP($B2815,予定表!$B:$B,予定表!H:H,"該当なし",0,1)</f>
        <v>0</v>
      </c>
      <c r="M2826" s="212"/>
    </row>
    <row r="2827" spans="1:13">
      <c r="A2827" s="195"/>
      <c r="B2827" s="195" t="s">
        <v>207</v>
      </c>
      <c r="C2827"/>
      <c r="D2827" s="197" t="s">
        <v>214</v>
      </c>
      <c r="E2827" s="197" t="s">
        <v>273</v>
      </c>
      <c r="F2827" s="197" t="s">
        <v>395</v>
      </c>
      <c r="G2827" s="197" t="s">
        <v>169</v>
      </c>
      <c r="H2827" s="197" t="s">
        <v>60</v>
      </c>
      <c r="I2827" s="209" t="s">
        <v>60</v>
      </c>
      <c r="K2827" s="228"/>
      <c r="L2827" s="207" t="str">
        <f>_xlfn.XLOOKUP($B2815,予定表!$B:$B,予定表!I:I,"該当なし",0,1)</f>
        <v/>
      </c>
      <c r="M2827" s="212"/>
    </row>
    <row r="2828" spans="1:13">
      <c r="A2828" s="195"/>
      <c r="B2828" s="196" t="s">
        <v>212</v>
      </c>
      <c r="C2828"/>
      <c r="D2828" s="197" t="s">
        <v>214</v>
      </c>
      <c r="E2828" s="197" t="s">
        <v>273</v>
      </c>
      <c r="F2828" s="197" t="s">
        <v>395</v>
      </c>
      <c r="G2828" s="197" t="s">
        <v>169</v>
      </c>
      <c r="H2828" s="197"/>
      <c r="I2828" s="209"/>
      <c r="K2828" s="228"/>
      <c r="L2828" s="207" t="str">
        <f>_xlfn.XLOOKUP($B2815,予定表!$B:$B,予定表!J:J,"該当なし",0,1)</f>
        <v/>
      </c>
      <c r="M2828" s="212"/>
    </row>
    <row r="2829" spans="1:13">
      <c r="A2829" s="195"/>
      <c r="B2829" s="195" t="s">
        <v>205</v>
      </c>
      <c r="C2829"/>
      <c r="D2829" s="197" t="s">
        <v>214</v>
      </c>
      <c r="E2829" s="197" t="s">
        <v>953</v>
      </c>
      <c r="F2829" s="197" t="s">
        <v>395</v>
      </c>
      <c r="G2829" s="197" t="s">
        <v>169</v>
      </c>
      <c r="H2829" s="197" t="s">
        <v>848</v>
      </c>
      <c r="I2829" s="209" t="s">
        <v>848</v>
      </c>
      <c r="K2829" s="228"/>
      <c r="L2829" s="207" t="str">
        <f>_xlfn.XLOOKUP($B2815,予定表!$B:$B,予定表!K:K,"該当なし",0,1)</f>
        <v/>
      </c>
      <c r="M2829" s="212"/>
    </row>
    <row r="2830" spans="1:13">
      <c r="A2830" s="195"/>
      <c r="B2830" s="195" t="s">
        <v>206</v>
      </c>
      <c r="C2830"/>
      <c r="D2830" s="197" t="s">
        <v>353</v>
      </c>
      <c r="E2830" s="197" t="s">
        <v>228</v>
      </c>
      <c r="F2830" s="197" t="s">
        <v>395</v>
      </c>
      <c r="G2830" s="197" t="s">
        <v>169</v>
      </c>
      <c r="H2830" s="197" t="s">
        <v>848</v>
      </c>
      <c r="I2830" s="209" t="s">
        <v>848</v>
      </c>
      <c r="K2830" s="228"/>
      <c r="L2830" s="207" t="str">
        <f>_xlfn.XLOOKUP($B2815,予定表!$B:$B,予定表!L:L,"該当なし",0,1)</f>
        <v/>
      </c>
      <c r="M2830" s="212"/>
    </row>
    <row r="2831" spans="1:13" ht="15.75" thickBot="1">
      <c r="A2831" s="195"/>
      <c r="B2831" s="195" t="s">
        <v>207</v>
      </c>
      <c r="C2831"/>
      <c r="D2831" s="197" t="s">
        <v>353</v>
      </c>
      <c r="E2831" s="197" t="s">
        <v>228</v>
      </c>
      <c r="F2831" s="197" t="s">
        <v>395</v>
      </c>
      <c r="G2831" s="197" t="s">
        <v>169</v>
      </c>
      <c r="H2831" s="197" t="s">
        <v>848</v>
      </c>
      <c r="I2831" s="209" t="s">
        <v>848</v>
      </c>
      <c r="K2831" s="229"/>
      <c r="L2831" s="204" t="str">
        <f>_xlfn.XLOOKUP($A2812,ﾘｽﾄマスタ!$U$8:$U$17,ﾘｽﾄマスタ!$V$8:$V$17,"",0)</f>
        <v xml:space="preserve"> ﾃﾞｼﾞﾌﾟﾛ(偶数月)</v>
      </c>
      <c r="M2831" s="212"/>
    </row>
    <row r="2832" spans="1:13" ht="15.75" thickBot="1">
      <c r="A2832" s="195"/>
      <c r="B2832" s="196" t="s">
        <v>251</v>
      </c>
      <c r="C2832"/>
      <c r="D2832" s="197" t="s">
        <v>761</v>
      </c>
      <c r="E2832" s="197" t="s">
        <v>228</v>
      </c>
      <c r="F2832" s="197" t="s">
        <v>395</v>
      </c>
      <c r="G2832" s="197" t="s">
        <v>279</v>
      </c>
      <c r="H2832" s="197" t="s">
        <v>848</v>
      </c>
      <c r="I2832" s="209" t="s">
        <v>848</v>
      </c>
      <c r="K2832" s="208" t="s">
        <v>277</v>
      </c>
      <c r="L2832" s="208" t="str">
        <f>_xlfn.XLOOKUP($B2815,シフト抽出!$19:$19,シフト抽出!$30:$30,"該当なし",0,1)</f>
        <v>該当なし</v>
      </c>
      <c r="M2832" s="212"/>
    </row>
    <row r="2833" spans="1:13">
      <c r="A2833" s="195"/>
      <c r="B2833" s="195" t="s">
        <v>205</v>
      </c>
      <c r="C2833"/>
      <c r="D2833" s="197" t="s">
        <v>761</v>
      </c>
      <c r="E2833" s="197" t="s">
        <v>228</v>
      </c>
      <c r="F2833" s="197" t="s">
        <v>395</v>
      </c>
      <c r="G2833" s="197" t="s">
        <v>279</v>
      </c>
      <c r="H2833" s="197" t="s">
        <v>848</v>
      </c>
      <c r="I2833" s="209" t="s">
        <v>848</v>
      </c>
      <c r="M2833" s="212"/>
    </row>
    <row r="2834" spans="1:13">
      <c r="A2834" s="195"/>
      <c r="B2834" s="195" t="s">
        <v>206</v>
      </c>
      <c r="C2834"/>
      <c r="D2834" s="197" t="s">
        <v>88</v>
      </c>
      <c r="E2834" s="197" t="s">
        <v>263</v>
      </c>
      <c r="F2834" s="197" t="s">
        <v>395</v>
      </c>
      <c r="G2834" s="197" t="s">
        <v>279</v>
      </c>
      <c r="H2834" s="197" t="s">
        <v>229</v>
      </c>
      <c r="I2834" s="209" t="s">
        <v>229</v>
      </c>
      <c r="M2834" s="212"/>
    </row>
    <row r="2835" spans="1:13">
      <c r="A2835" s="195"/>
      <c r="B2835" s="195" t="s">
        <v>207</v>
      </c>
      <c r="C2835"/>
      <c r="D2835" s="197" t="s">
        <v>88</v>
      </c>
      <c r="E2835" s="197" t="s">
        <v>263</v>
      </c>
      <c r="F2835" s="197" t="s">
        <v>395</v>
      </c>
      <c r="G2835" s="197" t="s">
        <v>279</v>
      </c>
      <c r="H2835" s="197" t="s">
        <v>229</v>
      </c>
      <c r="I2835" s="209" t="s">
        <v>229</v>
      </c>
      <c r="M2835" s="212"/>
    </row>
    <row r="2836" spans="1:13">
      <c r="A2836" s="195"/>
      <c r="B2836" s="196" t="s">
        <v>217</v>
      </c>
      <c r="C2836"/>
      <c r="D2836" s="197" t="s">
        <v>51</v>
      </c>
      <c r="E2836" s="197" t="s">
        <v>263</v>
      </c>
      <c r="F2836" s="197" t="s">
        <v>395</v>
      </c>
      <c r="G2836" s="197" t="s">
        <v>279</v>
      </c>
      <c r="H2836" s="197" t="s">
        <v>230</v>
      </c>
      <c r="I2836" s="209" t="s">
        <v>230</v>
      </c>
      <c r="M2836" s="212"/>
    </row>
    <row r="2837" spans="1:13">
      <c r="A2837" s="195"/>
      <c r="B2837" s="195" t="s">
        <v>205</v>
      </c>
      <c r="C2837"/>
      <c r="D2837" s="197" t="s">
        <v>51</v>
      </c>
      <c r="E2837" s="197" t="s">
        <v>263</v>
      </c>
      <c r="F2837" s="197" t="s">
        <v>395</v>
      </c>
      <c r="G2837" s="197" t="s">
        <v>279</v>
      </c>
      <c r="H2837" s="197" t="s">
        <v>230</v>
      </c>
      <c r="I2837" s="209" t="s">
        <v>230</v>
      </c>
      <c r="M2837" s="212"/>
    </row>
    <row r="2838" spans="1:13">
      <c r="A2838" s="195"/>
      <c r="B2838" s="195" t="s">
        <v>206</v>
      </c>
      <c r="C2838"/>
      <c r="D2838" s="197" t="s">
        <v>51</v>
      </c>
      <c r="E2838" s="197" t="s">
        <v>263</v>
      </c>
      <c r="F2838" s="197" t="s">
        <v>395</v>
      </c>
      <c r="G2838" s="197" t="s">
        <v>279</v>
      </c>
      <c r="H2838" s="197" t="s">
        <v>230</v>
      </c>
      <c r="I2838" s="209" t="s">
        <v>230</v>
      </c>
      <c r="M2838" s="212"/>
    </row>
    <row r="2839" spans="1:13">
      <c r="A2839" s="195"/>
      <c r="B2839" s="195" t="s">
        <v>207</v>
      </c>
      <c r="C2839"/>
      <c r="D2839" s="197" t="s">
        <v>51</v>
      </c>
      <c r="E2839" s="197"/>
      <c r="F2839" s="197" t="s">
        <v>395</v>
      </c>
      <c r="G2839" s="197"/>
      <c r="H2839" s="197" t="s">
        <v>230</v>
      </c>
      <c r="I2839" s="209" t="s">
        <v>230</v>
      </c>
      <c r="M2839" s="212"/>
    </row>
    <row r="2840" spans="1:13">
      <c r="A2840" s="195"/>
      <c r="B2840" s="196" t="s">
        <v>219</v>
      </c>
      <c r="C2840"/>
      <c r="D2840" s="197"/>
      <c r="E2840" s="197"/>
      <c r="F2840" s="197" t="s">
        <v>395</v>
      </c>
      <c r="G2840" s="197"/>
      <c r="H2840" s="197" t="s">
        <v>230</v>
      </c>
      <c r="I2840" s="209" t="s">
        <v>230</v>
      </c>
      <c r="M2840" s="212"/>
    </row>
    <row r="2841" spans="1:13">
      <c r="A2841" s="195"/>
      <c r="B2841" s="195" t="s">
        <v>205</v>
      </c>
      <c r="C2841"/>
      <c r="D2841" s="197"/>
      <c r="E2841" s="197"/>
      <c r="F2841" s="197" t="s">
        <v>395</v>
      </c>
      <c r="G2841" s="197"/>
      <c r="H2841" s="197" t="s">
        <v>230</v>
      </c>
      <c r="I2841" s="209" t="s">
        <v>230</v>
      </c>
      <c r="M2841" s="212"/>
    </row>
    <row r="2842" spans="1:13">
      <c r="A2842" s="195"/>
      <c r="B2842" s="195" t="s">
        <v>206</v>
      </c>
      <c r="C2842"/>
      <c r="D2842" s="197"/>
      <c r="E2842" s="197"/>
      <c r="F2842" s="197"/>
      <c r="G2842" s="197"/>
      <c r="H2842" s="197"/>
      <c r="I2842" s="209"/>
      <c r="M2842" s="212"/>
    </row>
    <row r="2843" spans="1:13">
      <c r="A2843" s="195"/>
      <c r="B2843" s="195" t="s">
        <v>207</v>
      </c>
      <c r="C2843"/>
      <c r="D2843" s="197"/>
      <c r="E2843" s="197"/>
      <c r="F2843" s="197"/>
      <c r="G2843" s="197"/>
      <c r="H2843" s="197"/>
      <c r="I2843" s="209"/>
      <c r="M2843" s="212"/>
    </row>
    <row r="2844" spans="1:13">
      <c r="A2844" s="195"/>
      <c r="B2844" s="196" t="s">
        <v>220</v>
      </c>
      <c r="C2844"/>
      <c r="D2844" s="189"/>
      <c r="E2844" s="197"/>
      <c r="F2844" s="197"/>
      <c r="G2844" s="197"/>
      <c r="H2844" s="197"/>
      <c r="I2844" s="209"/>
      <c r="M2844" s="212"/>
    </row>
    <row r="2845" spans="1:13">
      <c r="A2845" s="195"/>
      <c r="B2845" s="195" t="s">
        <v>205</v>
      </c>
      <c r="C2845"/>
      <c r="D2845" s="197" t="s">
        <v>114</v>
      </c>
      <c r="E2845" s="197" t="s">
        <v>952</v>
      </c>
      <c r="F2845" s="197" t="s">
        <v>62</v>
      </c>
      <c r="G2845" s="197" t="s">
        <v>56</v>
      </c>
      <c r="H2845" s="197" t="s">
        <v>390</v>
      </c>
      <c r="I2845" s="209" t="s">
        <v>390</v>
      </c>
      <c r="M2845" s="212"/>
    </row>
    <row r="2846" spans="1:13">
      <c r="A2846" s="195"/>
      <c r="B2846" s="195" t="s">
        <v>206</v>
      </c>
      <c r="C2846"/>
      <c r="D2846" s="197" t="s">
        <v>114</v>
      </c>
      <c r="E2846" s="197" t="s">
        <v>252</v>
      </c>
      <c r="F2846" s="197" t="s">
        <v>62</v>
      </c>
      <c r="G2846" s="197" t="s">
        <v>56</v>
      </c>
      <c r="H2846" s="197" t="s">
        <v>390</v>
      </c>
      <c r="I2846" s="209" t="s">
        <v>390</v>
      </c>
      <c r="M2846" s="212"/>
    </row>
    <row r="2847" spans="1:13">
      <c r="A2847" s="195"/>
      <c r="B2847" s="195" t="s">
        <v>207</v>
      </c>
      <c r="C2847"/>
      <c r="D2847" s="197" t="s">
        <v>129</v>
      </c>
      <c r="E2847" s="197" t="s">
        <v>252</v>
      </c>
      <c r="F2847" s="197" t="s">
        <v>62</v>
      </c>
      <c r="G2847" s="197" t="s">
        <v>56</v>
      </c>
      <c r="H2847" s="197"/>
      <c r="I2847" s="209"/>
      <c r="M2847" s="212"/>
    </row>
    <row r="2848" spans="1:13">
      <c r="A2848" s="195"/>
      <c r="B2848" s="196" t="s">
        <v>222</v>
      </c>
      <c r="C2848"/>
      <c r="D2848" s="197" t="s">
        <v>129</v>
      </c>
      <c r="E2848" s="197" t="s">
        <v>252</v>
      </c>
      <c r="F2848" s="197" t="s">
        <v>62</v>
      </c>
      <c r="G2848" s="197" t="s">
        <v>56</v>
      </c>
      <c r="H2848" s="197" t="s">
        <v>231</v>
      </c>
      <c r="I2848" s="209" t="s">
        <v>231</v>
      </c>
      <c r="M2848" s="212"/>
    </row>
    <row r="2849" spans="1:13">
      <c r="A2849" s="195"/>
      <c r="B2849" s="195" t="s">
        <v>205</v>
      </c>
      <c r="C2849"/>
      <c r="D2849" s="197" t="s">
        <v>129</v>
      </c>
      <c r="E2849" s="197" t="s">
        <v>252</v>
      </c>
      <c r="F2849" s="197" t="s">
        <v>62</v>
      </c>
      <c r="G2849" s="197"/>
      <c r="H2849" s="197" t="s">
        <v>232</v>
      </c>
      <c r="I2849" s="209" t="s">
        <v>232</v>
      </c>
      <c r="M2849" s="212"/>
    </row>
    <row r="2850" spans="1:13">
      <c r="A2850" s="195"/>
      <c r="B2850" s="195" t="s">
        <v>206</v>
      </c>
      <c r="C2850"/>
      <c r="D2850" s="197"/>
      <c r="E2850" s="197" t="s">
        <v>252</v>
      </c>
      <c r="F2850" s="197" t="s">
        <v>416</v>
      </c>
      <c r="G2850" s="197" t="s">
        <v>270</v>
      </c>
      <c r="H2850" s="197" t="s">
        <v>211</v>
      </c>
      <c r="I2850" s="209" t="s">
        <v>211</v>
      </c>
      <c r="M2850" s="212"/>
    </row>
    <row r="2851" spans="1:13">
      <c r="A2851" s="195"/>
      <c r="B2851" s="195" t="s">
        <v>207</v>
      </c>
      <c r="C2851"/>
      <c r="D2851" s="197" t="s">
        <v>515</v>
      </c>
      <c r="E2851" s="197" t="s">
        <v>252</v>
      </c>
      <c r="F2851" s="197" t="s">
        <v>954</v>
      </c>
      <c r="G2851" s="197" t="s">
        <v>270</v>
      </c>
      <c r="H2851" s="197" t="s">
        <v>211</v>
      </c>
      <c r="I2851" s="209" t="s">
        <v>211</v>
      </c>
      <c r="M2851" s="212"/>
    </row>
    <row r="2852" spans="1:13">
      <c r="A2852" s="195"/>
      <c r="B2852" s="196" t="s">
        <v>223</v>
      </c>
      <c r="C2852"/>
      <c r="D2852" s="197" t="s">
        <v>515</v>
      </c>
      <c r="E2852" s="197" t="s">
        <v>252</v>
      </c>
      <c r="F2852" s="197" t="s">
        <v>416</v>
      </c>
      <c r="G2852" s="197" t="s">
        <v>270</v>
      </c>
      <c r="H2852" s="197"/>
      <c r="I2852" s="209"/>
      <c r="M2852" s="212"/>
    </row>
    <row r="2853" spans="1:13">
      <c r="A2853" s="195"/>
      <c r="B2853" s="195" t="s">
        <v>205</v>
      </c>
      <c r="C2853"/>
      <c r="D2853" s="197" t="s">
        <v>269</v>
      </c>
      <c r="E2853" s="197" t="s">
        <v>252</v>
      </c>
      <c r="F2853" s="197" t="s">
        <v>416</v>
      </c>
      <c r="G2853" s="197" t="s">
        <v>270</v>
      </c>
      <c r="H2853" s="197" t="s">
        <v>856</v>
      </c>
      <c r="I2853" s="209" t="s">
        <v>856</v>
      </c>
      <c r="M2853" s="212"/>
    </row>
    <row r="2854" spans="1:13">
      <c r="A2854" s="195"/>
      <c r="B2854" s="195" t="s">
        <v>206</v>
      </c>
      <c r="C2854"/>
      <c r="D2854" s="197" t="s">
        <v>269</v>
      </c>
      <c r="E2854" s="197" t="s">
        <v>252</v>
      </c>
      <c r="F2854" s="197" t="s">
        <v>416</v>
      </c>
      <c r="G2854" s="197" t="s">
        <v>270</v>
      </c>
      <c r="H2854" s="197" t="s">
        <v>856</v>
      </c>
      <c r="I2854" s="209" t="s">
        <v>856</v>
      </c>
      <c r="M2854" s="212"/>
    </row>
    <row r="2855" spans="1:13">
      <c r="A2855" s="195"/>
      <c r="B2855" s="195" t="s">
        <v>207</v>
      </c>
      <c r="C2855"/>
      <c r="D2855" s="197" t="s">
        <v>269</v>
      </c>
      <c r="E2855" s="197" t="s">
        <v>252</v>
      </c>
      <c r="F2855" s="197" t="s">
        <v>416</v>
      </c>
      <c r="G2855" s="197" t="s">
        <v>270</v>
      </c>
      <c r="H2855" s="197" t="s">
        <v>856</v>
      </c>
      <c r="I2855" s="209" t="s">
        <v>856</v>
      </c>
      <c r="M2855" s="212"/>
    </row>
    <row r="2856" spans="1:13">
      <c r="A2856" s="195"/>
      <c r="B2856" s="196" t="s">
        <v>225</v>
      </c>
      <c r="C2856"/>
      <c r="D2856" s="197" t="s">
        <v>269</v>
      </c>
      <c r="E2856" s="197" t="s">
        <v>252</v>
      </c>
      <c r="F2856" s="197" t="s">
        <v>62</v>
      </c>
      <c r="G2856" s="197" t="s">
        <v>270</v>
      </c>
      <c r="H2856" s="197" t="s">
        <v>856</v>
      </c>
      <c r="I2856" s="209" t="s">
        <v>856</v>
      </c>
      <c r="M2856" s="212"/>
    </row>
    <row r="2857" spans="1:13">
      <c r="A2857" s="195"/>
      <c r="B2857" s="195" t="s">
        <v>205</v>
      </c>
      <c r="C2857"/>
      <c r="D2857" s="197" t="s">
        <v>475</v>
      </c>
      <c r="E2857" s="197" t="s">
        <v>252</v>
      </c>
      <c r="F2857" s="197" t="s">
        <v>62</v>
      </c>
      <c r="G2857" s="197" t="s">
        <v>270</v>
      </c>
      <c r="H2857" s="209" t="s">
        <v>856</v>
      </c>
      <c r="I2857" s="209" t="s">
        <v>856</v>
      </c>
      <c r="M2857" s="212"/>
    </row>
    <row r="2858" spans="1:13">
      <c r="A2858" s="195"/>
      <c r="B2858" s="195" t="s">
        <v>206</v>
      </c>
      <c r="C2858"/>
      <c r="D2858" s="197" t="s">
        <v>361</v>
      </c>
      <c r="E2858" s="197" t="s">
        <v>252</v>
      </c>
      <c r="F2858" s="197" t="s">
        <v>62</v>
      </c>
      <c r="G2858" s="197" t="s">
        <v>270</v>
      </c>
      <c r="H2858" s="209" t="s">
        <v>856</v>
      </c>
      <c r="I2858" s="209" t="s">
        <v>856</v>
      </c>
      <c r="M2858" s="212"/>
    </row>
    <row r="2859" spans="1:13">
      <c r="A2859" s="195"/>
      <c r="B2859" s="195" t="s">
        <v>207</v>
      </c>
      <c r="C2859"/>
      <c r="D2859" s="197"/>
      <c r="E2859" s="197"/>
      <c r="F2859" s="197"/>
      <c r="G2859" s="197"/>
      <c r="H2859" s="209"/>
      <c r="I2859" s="209"/>
      <c r="M2859" s="212"/>
    </row>
    <row r="2860" spans="1:13">
      <c r="A2860" s="195"/>
      <c r="B2860" s="196" t="s">
        <v>226</v>
      </c>
      <c r="C2860"/>
      <c r="D2860" s="197"/>
      <c r="E2860" s="197"/>
      <c r="F2860" s="197"/>
      <c r="G2860" s="197"/>
      <c r="H2860" s="209"/>
      <c r="I2860" s="209"/>
      <c r="M2860" s="212"/>
    </row>
    <row r="2861" spans="1:13">
      <c r="A2861" s="195"/>
      <c r="B2861" s="195" t="s">
        <v>205</v>
      </c>
      <c r="C2861"/>
      <c r="D2861" s="197"/>
      <c r="E2861" s="197"/>
      <c r="F2861" s="197"/>
      <c r="G2861" s="197"/>
      <c r="H2861" s="209"/>
      <c r="I2861" s="209"/>
      <c r="M2861" s="212"/>
    </row>
    <row r="2862" spans="1:13">
      <c r="A2862" s="195"/>
      <c r="B2862" s="195" t="s">
        <v>206</v>
      </c>
      <c r="C2862"/>
      <c r="D2862" s="197"/>
      <c r="E2862" s="197"/>
      <c r="F2862" s="197"/>
      <c r="G2862" s="197"/>
      <c r="H2862" s="209"/>
      <c r="I2862" s="209"/>
      <c r="M2862" s="212"/>
    </row>
    <row r="2863" spans="1:13">
      <c r="A2863" s="195"/>
      <c r="B2863" s="195" t="s">
        <v>207</v>
      </c>
      <c r="C2863"/>
      <c r="D2863" s="197"/>
      <c r="E2863" s="197"/>
      <c r="F2863" s="197"/>
      <c r="G2863" s="197"/>
      <c r="H2863" s="209"/>
      <c r="I2863" s="209"/>
      <c r="M2863" s="212"/>
    </row>
    <row r="2864" spans="1:13">
      <c r="A2864" s="195"/>
      <c r="B2864" s="196" t="s">
        <v>227</v>
      </c>
      <c r="C2864"/>
      <c r="D2864" s="197"/>
      <c r="E2864" s="197"/>
      <c r="F2864" s="197"/>
      <c r="G2864" s="197"/>
      <c r="H2864" s="209"/>
      <c r="I2864" s="209"/>
      <c r="K2864"/>
      <c r="M2864" s="212"/>
    </row>
    <row r="2865" spans="1:12" ht="29.25" thickBot="1">
      <c r="A2865" s="182" t="str">
        <f>"回収シフト  第"&amp;ROUNDUP(DAY(B2868)/7,0)  &amp;"  "&amp;TEXT(B2868,"aaaa")</f>
        <v>回収シフト  第1  水曜日</v>
      </c>
      <c r="B2865" s="183"/>
      <c r="C2865" s="183"/>
      <c r="D2865" s="183"/>
      <c r="E2865" s="183"/>
      <c r="F2865" s="183"/>
      <c r="G2865" s="184"/>
      <c r="H2865" s="184"/>
      <c r="I2865" s="184"/>
      <c r="K2865" s="183"/>
      <c r="L2865" s="183"/>
    </row>
    <row r="2866" spans="1:12" ht="15.75" thickBot="1">
      <c r="A2866"/>
      <c r="B2866"/>
      <c r="C2866"/>
      <c r="D2866" s="186" t="s">
        <v>201</v>
      </c>
      <c r="E2866" s="186" t="s">
        <v>202</v>
      </c>
      <c r="F2866" s="186" t="s">
        <v>203</v>
      </c>
      <c r="G2866" s="186" t="s">
        <v>204</v>
      </c>
      <c r="H2866" s="186" t="s">
        <v>267</v>
      </c>
      <c r="I2866" s="217" t="s">
        <v>267</v>
      </c>
      <c r="K2866" s="230" t="s">
        <v>257</v>
      </c>
      <c r="L2866" s="231"/>
    </row>
    <row r="2867" spans="1:12">
      <c r="A2867" s="187"/>
      <c r="B2867" s="188">
        <v>46119</v>
      </c>
      <c r="C2867" s="187"/>
      <c r="D2867" s="189" t="s">
        <v>925</v>
      </c>
      <c r="E2867" s="189" t="s">
        <v>858</v>
      </c>
      <c r="F2867" s="189" t="s">
        <v>891</v>
      </c>
      <c r="G2867" s="189" t="s">
        <v>874</v>
      </c>
      <c r="H2867" s="189" t="s">
        <v>852</v>
      </c>
      <c r="I2867" s="218" t="s">
        <v>852</v>
      </c>
      <c r="K2867" s="232" t="s">
        <v>258</v>
      </c>
      <c r="L2867" s="190" t="str">
        <f>_xlfn.XLOOKUP($B2868,シフト抽出!$19:$19,シフト抽出!$20:$20,"該当なし",0,1)</f>
        <v>該当なし</v>
      </c>
    </row>
    <row r="2868" spans="1:12" ht="19.5" thickBot="1">
      <c r="A2868"/>
      <c r="B2868" s="191">
        <f>B2815+1</f>
        <v>46176</v>
      </c>
      <c r="C2868" s="192" t="e">
        <v>#REF!</v>
      </c>
      <c r="D2868" s="193"/>
      <c r="E2868" s="193"/>
      <c r="F2868" s="193"/>
      <c r="G2868" s="193"/>
      <c r="H2868" s="193"/>
      <c r="I2868" s="219"/>
      <c r="K2868" s="233"/>
      <c r="L2868" s="194" t="str">
        <f>_xlfn.XLOOKUP($B2868,シフト抽出!$19:$19,シフト抽出!$21:$21,"該当なし",0,1)</f>
        <v>該当なし</v>
      </c>
    </row>
    <row r="2869" spans="1:12">
      <c r="A2869" s="195"/>
      <c r="B2869" s="196">
        <v>0.25</v>
      </c>
      <c r="C2869"/>
      <c r="D2869" s="197"/>
      <c r="E2869" s="196"/>
      <c r="F2869" s="197"/>
      <c r="G2869" s="197"/>
      <c r="H2869" s="197"/>
      <c r="I2869" s="209"/>
      <c r="K2869" s="234" t="s">
        <v>259</v>
      </c>
      <c r="L2869" s="198" t="str">
        <f>_xlfn.XLOOKUP($B2868,シフト抽出!$19:$19,シフト抽出!$23:$23,"該当なし",0,1)</f>
        <v>該当なし</v>
      </c>
    </row>
    <row r="2870" spans="1:12" ht="15.75" thickBot="1">
      <c r="A2870" s="195"/>
      <c r="B2870" s="195" t="s">
        <v>205</v>
      </c>
      <c r="C2870"/>
      <c r="D2870" s="197"/>
      <c r="E2870" s="197"/>
      <c r="F2870" s="197"/>
      <c r="G2870" s="197"/>
      <c r="H2870" s="197"/>
      <c r="I2870" s="209"/>
      <c r="K2870" s="235"/>
      <c r="L2870" s="199" t="str">
        <f>_xlfn.XLOOKUP($B2868,シフト抽出!$19:$19,シフト抽出!$24:$24,"該当なし",0,1)</f>
        <v>該当なし</v>
      </c>
    </row>
    <row r="2871" spans="1:12">
      <c r="A2871" s="195"/>
      <c r="B2871" s="195" t="s">
        <v>206</v>
      </c>
      <c r="C2871"/>
      <c r="D2871" s="197"/>
      <c r="E2871" s="197"/>
      <c r="F2871" s="197"/>
      <c r="G2871" s="197"/>
      <c r="H2871" s="197"/>
      <c r="I2871" s="209"/>
      <c r="K2871" s="224" t="s">
        <v>260</v>
      </c>
      <c r="L2871" s="200" t="str">
        <f>_xlfn.XLOOKUP($B2868,シフト抽出!$19:$19,シフト抽出!$26:$26,"該当なし",0,1)</f>
        <v>該当なし</v>
      </c>
    </row>
    <row r="2872" spans="1:12">
      <c r="A2872" s="195"/>
      <c r="B2872" s="195" t="s">
        <v>207</v>
      </c>
      <c r="C2872"/>
      <c r="D2872" s="197"/>
      <c r="E2872" s="197"/>
      <c r="F2872" s="197"/>
      <c r="G2872" s="197"/>
      <c r="H2872" s="197"/>
      <c r="I2872" s="209"/>
      <c r="K2872" s="225"/>
      <c r="L2872" s="201" t="str">
        <f>_xlfn.XLOOKUP($B2868,シフト抽出!$19:$19,シフト抽出!$27:$27,"該当なし",0,1)</f>
        <v>該当なし</v>
      </c>
    </row>
    <row r="2873" spans="1:12">
      <c r="A2873" s="195"/>
      <c r="B2873" s="202" t="s">
        <v>208</v>
      </c>
      <c r="C2873"/>
      <c r="D2873" s="197"/>
      <c r="E2873" s="197" t="s">
        <v>109</v>
      </c>
      <c r="F2873" s="197"/>
      <c r="G2873" s="197"/>
      <c r="H2873" s="197"/>
      <c r="I2873" s="209"/>
      <c r="J2873" s="203"/>
      <c r="K2873" s="225"/>
      <c r="L2873" s="201" t="str">
        <f>_xlfn.XLOOKUP($B2868,シフト抽出!$19:$19,シフト抽出!$28:$28,"該当なし",0,1)</f>
        <v>該当なし</v>
      </c>
    </row>
    <row r="2874" spans="1:12" ht="15.75" thickBot="1">
      <c r="A2874" s="195"/>
      <c r="B2874" s="195" t="s">
        <v>205</v>
      </c>
      <c r="C2874"/>
      <c r="D2874" s="197"/>
      <c r="E2874" s="197"/>
      <c r="F2874" s="197"/>
      <c r="G2874" s="197"/>
      <c r="H2874" s="197"/>
      <c r="I2874" s="209"/>
      <c r="J2874" s="203"/>
      <c r="K2874" s="226"/>
      <c r="L2874" s="204" t="str">
        <f>_xlfn.XLOOKUP($B2868,シフト抽出!$19:$19,シフト抽出!$29:$29,"該当なし",0,1)</f>
        <v>該当なし</v>
      </c>
    </row>
    <row r="2875" spans="1:12" ht="15.75" thickBot="1">
      <c r="A2875" s="195"/>
      <c r="B2875" s="195" t="s">
        <v>206</v>
      </c>
      <c r="C2875"/>
      <c r="D2875" s="197"/>
      <c r="E2875" s="197"/>
      <c r="F2875" s="197"/>
      <c r="G2875" s="197"/>
      <c r="H2875" s="197"/>
      <c r="I2875" s="209"/>
      <c r="K2875" s="205" t="s">
        <v>261</v>
      </c>
      <c r="L2875" s="205">
        <f>_xlfn.XLOOKUP($B2868,予定表!B:B,予定表!R:R,"該当なし",0,1)</f>
        <v>0</v>
      </c>
    </row>
    <row r="2876" spans="1:12">
      <c r="A2876" s="195"/>
      <c r="B2876" s="195" t="s">
        <v>207</v>
      </c>
      <c r="C2876"/>
      <c r="D2876" s="197"/>
      <c r="E2876" s="197"/>
      <c r="F2876" s="197"/>
      <c r="G2876" s="197"/>
      <c r="H2876" s="197"/>
      <c r="I2876" s="209"/>
      <c r="K2876" s="227" t="s">
        <v>262</v>
      </c>
      <c r="L2876" s="206" t="str">
        <f>_xlfn.XLOOKUP($B2868,予定表!$B:$B,予定表!E:E,"該当なし",0,1)</f>
        <v>小田急切符</v>
      </c>
    </row>
    <row r="2877" spans="1:12">
      <c r="A2877" s="195"/>
      <c r="B2877" s="196" t="s">
        <v>209</v>
      </c>
      <c r="C2877"/>
      <c r="D2877" s="197" t="s">
        <v>22</v>
      </c>
      <c r="E2877" s="197" t="s">
        <v>414</v>
      </c>
      <c r="F2877" s="197" t="s">
        <v>264</v>
      </c>
      <c r="G2877" s="197" t="s">
        <v>268</v>
      </c>
      <c r="H2877" s="197" t="s">
        <v>60</v>
      </c>
      <c r="I2877" s="209" t="s">
        <v>60</v>
      </c>
      <c r="K2877" s="228"/>
      <c r="L2877" s="207">
        <f>_xlfn.XLOOKUP($B2868,予定表!$B:$B,予定表!F:F,"該当なし",0,1)</f>
        <v>0</v>
      </c>
    </row>
    <row r="2878" spans="1:12">
      <c r="A2878" s="195"/>
      <c r="B2878" s="195" t="s">
        <v>205</v>
      </c>
      <c r="C2878"/>
      <c r="D2878" s="197" t="s">
        <v>22</v>
      </c>
      <c r="E2878" s="197" t="s">
        <v>414</v>
      </c>
      <c r="F2878" s="197" t="s">
        <v>280</v>
      </c>
      <c r="G2878" s="197" t="s">
        <v>268</v>
      </c>
      <c r="H2878" s="197" t="s">
        <v>60</v>
      </c>
      <c r="I2878" s="209" t="s">
        <v>60</v>
      </c>
      <c r="K2878" s="228"/>
      <c r="L2878" s="207">
        <f>_xlfn.XLOOKUP($B2868,予定表!$B:$B,予定表!G:G,"該当なし",0,1)</f>
        <v>0</v>
      </c>
    </row>
    <row r="2879" spans="1:12">
      <c r="A2879" s="195"/>
      <c r="B2879" s="195" t="s">
        <v>206</v>
      </c>
      <c r="C2879"/>
      <c r="D2879" s="197" t="s">
        <v>793</v>
      </c>
      <c r="E2879" s="197" t="s">
        <v>414</v>
      </c>
      <c r="F2879" s="197" t="s">
        <v>280</v>
      </c>
      <c r="G2879" s="197" t="s">
        <v>268</v>
      </c>
      <c r="H2879" s="197" t="s">
        <v>60</v>
      </c>
      <c r="I2879" s="209" t="s">
        <v>60</v>
      </c>
      <c r="K2879" s="228"/>
      <c r="L2879" s="207" t="str">
        <f>_xlfn.XLOOKUP($B2868,予定表!$B:$B,予定表!H:H,"該当なし",0,1)</f>
        <v>資さんうどん</v>
      </c>
    </row>
    <row r="2880" spans="1:12">
      <c r="A2880" s="195"/>
      <c r="B2880" s="195" t="s">
        <v>207</v>
      </c>
      <c r="C2880"/>
      <c r="D2880" s="197" t="s">
        <v>793</v>
      </c>
      <c r="E2880" s="197" t="s">
        <v>414</v>
      </c>
      <c r="F2880" s="197" t="s">
        <v>215</v>
      </c>
      <c r="G2880" s="197" t="s">
        <v>268</v>
      </c>
      <c r="H2880" s="197"/>
      <c r="I2880" s="209"/>
      <c r="K2880" s="228"/>
      <c r="L2880" s="207" t="str">
        <f>_xlfn.XLOOKUP($B2868,予定表!$B:$B,予定表!I:I,"該当なし",0,1)</f>
        <v/>
      </c>
    </row>
    <row r="2881" spans="1:12">
      <c r="A2881" s="195"/>
      <c r="B2881" s="196" t="s">
        <v>212</v>
      </c>
      <c r="C2881"/>
      <c r="D2881" s="197" t="s">
        <v>851</v>
      </c>
      <c r="E2881" s="197" t="s">
        <v>414</v>
      </c>
      <c r="F2881" s="197" t="s">
        <v>127</v>
      </c>
      <c r="G2881" s="197" t="s">
        <v>268</v>
      </c>
      <c r="H2881" s="197" t="s">
        <v>416</v>
      </c>
      <c r="I2881" s="209" t="s">
        <v>416</v>
      </c>
      <c r="K2881" s="228"/>
      <c r="L2881" s="207" t="str">
        <f>_xlfn.XLOOKUP($B2868,予定表!$B:$B,予定表!J:J,"該当なし",0,1)</f>
        <v/>
      </c>
    </row>
    <row r="2882" spans="1:12">
      <c r="A2882" s="195"/>
      <c r="B2882" s="195" t="s">
        <v>205</v>
      </c>
      <c r="C2882"/>
      <c r="D2882" s="197" t="s">
        <v>851</v>
      </c>
      <c r="E2882" s="197" t="s">
        <v>414</v>
      </c>
      <c r="F2882" s="197" t="s">
        <v>127</v>
      </c>
      <c r="G2882" s="197" t="s">
        <v>268</v>
      </c>
      <c r="H2882" s="197" t="s">
        <v>877</v>
      </c>
      <c r="I2882" s="209" t="s">
        <v>877</v>
      </c>
      <c r="K2882" s="228"/>
      <c r="L2882" s="207" t="str">
        <f>_xlfn.XLOOKUP($B2868,予定表!$B:$B,予定表!K:K,"該当なし",0,1)</f>
        <v/>
      </c>
    </row>
    <row r="2883" spans="1:12">
      <c r="A2883" s="195"/>
      <c r="B2883" s="195" t="s">
        <v>206</v>
      </c>
      <c r="C2883"/>
      <c r="D2883" s="197" t="s">
        <v>851</v>
      </c>
      <c r="E2883" s="197" t="s">
        <v>214</v>
      </c>
      <c r="F2883" s="197" t="s">
        <v>397</v>
      </c>
      <c r="G2883" s="197" t="s">
        <v>268</v>
      </c>
      <c r="H2883" s="197" t="s">
        <v>416</v>
      </c>
      <c r="I2883" s="209" t="s">
        <v>416</v>
      </c>
      <c r="K2883" s="228"/>
      <c r="L2883" s="207" t="str">
        <f>_xlfn.XLOOKUP($B2868,予定表!$B:$B,予定表!L:L,"該当なし",0,1)</f>
        <v/>
      </c>
    </row>
    <row r="2884" spans="1:12" ht="15.75" thickBot="1">
      <c r="A2884" s="195"/>
      <c r="B2884" s="195" t="s">
        <v>207</v>
      </c>
      <c r="C2884"/>
      <c r="D2884" s="197" t="s">
        <v>851</v>
      </c>
      <c r="E2884" s="197" t="s">
        <v>214</v>
      </c>
      <c r="F2884" s="197" t="s">
        <v>51</v>
      </c>
      <c r="G2884" s="197" t="s">
        <v>515</v>
      </c>
      <c r="H2884" s="197" t="s">
        <v>416</v>
      </c>
      <c r="I2884" s="209" t="s">
        <v>416</v>
      </c>
      <c r="K2884" s="229"/>
      <c r="L2884" s="204" t="str">
        <f>_xlfn.XLOOKUP($A2865,ﾘｽﾄマスタ!$U$8:$U$17,ﾘｽﾄマスタ!$V$8:$V$17,"",0)</f>
        <v/>
      </c>
    </row>
    <row r="2885" spans="1:12" ht="15.75" thickBot="1">
      <c r="A2885" s="195"/>
      <c r="B2885" s="196" t="s">
        <v>251</v>
      </c>
      <c r="C2885"/>
      <c r="D2885" s="197" t="s">
        <v>851</v>
      </c>
      <c r="E2885" s="197" t="s">
        <v>214</v>
      </c>
      <c r="F2885" s="197" t="s">
        <v>51</v>
      </c>
      <c r="G2885" s="197" t="s">
        <v>515</v>
      </c>
      <c r="H2885" s="197" t="s">
        <v>416</v>
      </c>
      <c r="I2885" s="209" t="s">
        <v>416</v>
      </c>
      <c r="K2885" s="208" t="s">
        <v>277</v>
      </c>
      <c r="L2885" s="208" t="str">
        <f>_xlfn.XLOOKUP($B2868,シフト抽出!$19:$19,シフト抽出!$30:$30,"該当なし",0,1)</f>
        <v>該当なし</v>
      </c>
    </row>
    <row r="2886" spans="1:12">
      <c r="A2886" s="195"/>
      <c r="B2886" s="195" t="s">
        <v>205</v>
      </c>
      <c r="C2886"/>
      <c r="D2886" s="197" t="s">
        <v>224</v>
      </c>
      <c r="E2886" s="197" t="s">
        <v>214</v>
      </c>
      <c r="F2886" s="197" t="s">
        <v>51</v>
      </c>
      <c r="G2886" s="197" t="s">
        <v>515</v>
      </c>
      <c r="H2886" s="197" t="s">
        <v>416</v>
      </c>
      <c r="I2886" s="209" t="s">
        <v>416</v>
      </c>
    </row>
    <row r="2887" spans="1:12">
      <c r="A2887" s="195"/>
      <c r="B2887" s="195" t="s">
        <v>206</v>
      </c>
      <c r="C2887"/>
      <c r="D2887" s="197" t="s">
        <v>224</v>
      </c>
      <c r="E2887" s="197" t="s">
        <v>214</v>
      </c>
      <c r="F2887" s="197" t="s">
        <v>51</v>
      </c>
      <c r="G2887" s="197" t="s">
        <v>269</v>
      </c>
      <c r="H2887" s="197" t="s">
        <v>416</v>
      </c>
      <c r="I2887" s="209" t="s">
        <v>416</v>
      </c>
    </row>
    <row r="2888" spans="1:12">
      <c r="A2888" s="195"/>
      <c r="B2888" s="195" t="s">
        <v>207</v>
      </c>
      <c r="C2888"/>
      <c r="D2888" s="197" t="s">
        <v>224</v>
      </c>
      <c r="E2888" s="197" t="s">
        <v>761</v>
      </c>
      <c r="F2888" s="197"/>
      <c r="G2888" s="197" t="s">
        <v>269</v>
      </c>
      <c r="H2888" s="197" t="s">
        <v>416</v>
      </c>
      <c r="I2888" s="209" t="s">
        <v>416</v>
      </c>
    </row>
    <row r="2889" spans="1:12">
      <c r="A2889" s="195"/>
      <c r="B2889" s="196" t="s">
        <v>217</v>
      </c>
      <c r="C2889"/>
      <c r="D2889" s="197" t="s">
        <v>224</v>
      </c>
      <c r="E2889" s="197" t="s">
        <v>761</v>
      </c>
      <c r="F2889" s="197"/>
      <c r="G2889" s="197" t="s">
        <v>269</v>
      </c>
      <c r="H2889" s="197" t="s">
        <v>416</v>
      </c>
      <c r="I2889" s="209" t="s">
        <v>416</v>
      </c>
    </row>
    <row r="2890" spans="1:12">
      <c r="A2890" s="195"/>
      <c r="B2890" s="195" t="s">
        <v>205</v>
      </c>
      <c r="C2890"/>
      <c r="D2890" s="197" t="s">
        <v>224</v>
      </c>
      <c r="E2890" s="197" t="s">
        <v>761</v>
      </c>
      <c r="F2890" s="197"/>
      <c r="G2890" s="197" t="s">
        <v>446</v>
      </c>
      <c r="H2890" s="197" t="s">
        <v>416</v>
      </c>
      <c r="I2890" s="209" t="s">
        <v>416</v>
      </c>
    </row>
    <row r="2891" spans="1:12">
      <c r="A2891" s="195"/>
      <c r="B2891" s="195" t="s">
        <v>206</v>
      </c>
      <c r="C2891"/>
      <c r="D2891" s="197"/>
      <c r="E2891" s="197"/>
      <c r="F2891" s="197"/>
      <c r="G2891" s="197" t="s">
        <v>446</v>
      </c>
      <c r="H2891" s="197" t="s">
        <v>416</v>
      </c>
      <c r="I2891" s="209" t="s">
        <v>416</v>
      </c>
    </row>
    <row r="2892" spans="1:12">
      <c r="A2892" s="195"/>
      <c r="B2892" s="195" t="s">
        <v>207</v>
      </c>
      <c r="C2892"/>
      <c r="D2892" s="197"/>
      <c r="E2892" s="197"/>
      <c r="F2892" s="197"/>
      <c r="G2892" s="197" t="s">
        <v>114</v>
      </c>
      <c r="H2892" s="197" t="s">
        <v>416</v>
      </c>
      <c r="I2892" s="209" t="s">
        <v>416</v>
      </c>
    </row>
    <row r="2893" spans="1:12">
      <c r="A2893" s="195"/>
      <c r="B2893" s="196" t="s">
        <v>219</v>
      </c>
      <c r="C2893"/>
      <c r="D2893" s="197"/>
      <c r="E2893" s="197"/>
      <c r="F2893" s="197"/>
      <c r="G2893" s="197" t="s">
        <v>114</v>
      </c>
      <c r="H2893" s="197" t="s">
        <v>416</v>
      </c>
      <c r="I2893" s="209" t="s">
        <v>416</v>
      </c>
    </row>
    <row r="2894" spans="1:12">
      <c r="A2894" s="195"/>
      <c r="B2894" s="195" t="s">
        <v>205</v>
      </c>
      <c r="C2894"/>
      <c r="D2894" s="197"/>
      <c r="E2894" s="197"/>
      <c r="F2894" s="197"/>
      <c r="G2894" s="197" t="s">
        <v>114</v>
      </c>
      <c r="H2894" s="197" t="s">
        <v>416</v>
      </c>
      <c r="I2894" s="209" t="s">
        <v>416</v>
      </c>
    </row>
    <row r="2895" spans="1:12">
      <c r="A2895" s="195"/>
      <c r="B2895" s="195" t="s">
        <v>206</v>
      </c>
      <c r="C2895"/>
      <c r="D2895" s="197"/>
      <c r="E2895" s="197"/>
      <c r="F2895" s="197"/>
      <c r="G2895" s="197"/>
      <c r="H2895" s="197"/>
      <c r="I2895" s="209"/>
    </row>
    <row r="2896" spans="1:12">
      <c r="A2896" s="195"/>
      <c r="B2896" s="195" t="s">
        <v>207</v>
      </c>
      <c r="C2896"/>
      <c r="D2896" s="197"/>
      <c r="E2896" s="197"/>
      <c r="F2896" s="197"/>
      <c r="G2896" s="197"/>
      <c r="H2896" s="197"/>
      <c r="I2896" s="209"/>
    </row>
    <row r="2897" spans="1:9">
      <c r="A2897" s="195"/>
      <c r="B2897" s="196" t="s">
        <v>220</v>
      </c>
      <c r="C2897"/>
      <c r="D2897" s="189" t="s">
        <v>923</v>
      </c>
      <c r="E2897" s="197"/>
      <c r="F2897" s="197"/>
      <c r="G2897" s="189" t="s">
        <v>728</v>
      </c>
      <c r="H2897" s="197"/>
      <c r="I2897" s="209"/>
    </row>
    <row r="2898" spans="1:9">
      <c r="A2898" s="195"/>
      <c r="B2898" s="195" t="s">
        <v>205</v>
      </c>
      <c r="C2898"/>
      <c r="D2898" s="197" t="s">
        <v>878</v>
      </c>
      <c r="E2898" s="197" t="s">
        <v>273</v>
      </c>
      <c r="F2898" s="197" t="s">
        <v>62</v>
      </c>
      <c r="G2898" s="197" t="s">
        <v>56</v>
      </c>
      <c r="H2898" s="197" t="s">
        <v>848</v>
      </c>
      <c r="I2898" s="209" t="s">
        <v>848</v>
      </c>
    </row>
    <row r="2899" spans="1:9">
      <c r="A2899" s="195"/>
      <c r="B2899" s="195" t="s">
        <v>206</v>
      </c>
      <c r="C2899"/>
      <c r="D2899" s="197" t="s">
        <v>878</v>
      </c>
      <c r="E2899" s="197" t="s">
        <v>273</v>
      </c>
      <c r="F2899" s="197" t="s">
        <v>62</v>
      </c>
      <c r="G2899" s="197" t="s">
        <v>56</v>
      </c>
      <c r="H2899" s="197" t="s">
        <v>848</v>
      </c>
      <c r="I2899" s="209" t="s">
        <v>848</v>
      </c>
    </row>
    <row r="2900" spans="1:9">
      <c r="A2900" s="195"/>
      <c r="B2900" s="195" t="s">
        <v>207</v>
      </c>
      <c r="C2900"/>
      <c r="D2900" s="197" t="s">
        <v>878</v>
      </c>
      <c r="E2900" s="197" t="s">
        <v>273</v>
      </c>
      <c r="F2900" s="197" t="s">
        <v>62</v>
      </c>
      <c r="G2900" s="197" t="s">
        <v>56</v>
      </c>
      <c r="H2900" s="197" t="s">
        <v>848</v>
      </c>
      <c r="I2900" s="209" t="s">
        <v>848</v>
      </c>
    </row>
    <row r="2901" spans="1:9">
      <c r="A2901" s="195"/>
      <c r="B2901" s="196" t="s">
        <v>222</v>
      </c>
      <c r="C2901"/>
      <c r="D2901" s="197" t="s">
        <v>523</v>
      </c>
      <c r="E2901" s="197" t="s">
        <v>273</v>
      </c>
      <c r="F2901" s="197" t="s">
        <v>62</v>
      </c>
      <c r="G2901" s="197"/>
      <c r="H2901" s="197" t="s">
        <v>848</v>
      </c>
      <c r="I2901" s="209" t="s">
        <v>848</v>
      </c>
    </row>
    <row r="2902" spans="1:9">
      <c r="A2902" s="195"/>
      <c r="B2902" s="195" t="s">
        <v>205</v>
      </c>
      <c r="C2902"/>
      <c r="D2902" s="197" t="s">
        <v>523</v>
      </c>
      <c r="E2902" s="197" t="s">
        <v>273</v>
      </c>
      <c r="F2902" s="197" t="s">
        <v>62</v>
      </c>
      <c r="G2902" s="197" t="s">
        <v>270</v>
      </c>
      <c r="H2902" s="197" t="s">
        <v>848</v>
      </c>
      <c r="I2902" s="209" t="s">
        <v>848</v>
      </c>
    </row>
    <row r="2903" spans="1:9">
      <c r="A2903" s="195"/>
      <c r="B2903" s="195" t="s">
        <v>206</v>
      </c>
      <c r="C2903"/>
      <c r="D2903" s="197" t="s">
        <v>759</v>
      </c>
      <c r="E2903" s="197" t="s">
        <v>186</v>
      </c>
      <c r="F2903" s="197" t="s">
        <v>62</v>
      </c>
      <c r="G2903" s="197" t="s">
        <v>270</v>
      </c>
      <c r="H2903" s="197" t="s">
        <v>848</v>
      </c>
      <c r="I2903" s="209" t="s">
        <v>848</v>
      </c>
    </row>
    <row r="2904" spans="1:9">
      <c r="A2904" s="195"/>
      <c r="B2904" s="195" t="s">
        <v>207</v>
      </c>
      <c r="C2904"/>
      <c r="D2904" s="197" t="s">
        <v>759</v>
      </c>
      <c r="E2904" s="197" t="s">
        <v>186</v>
      </c>
      <c r="F2904" s="197" t="s">
        <v>62</v>
      </c>
      <c r="G2904" s="197" t="s">
        <v>270</v>
      </c>
      <c r="H2904" s="197" t="s">
        <v>229</v>
      </c>
      <c r="I2904" s="209" t="s">
        <v>229</v>
      </c>
    </row>
    <row r="2905" spans="1:9">
      <c r="A2905" s="195"/>
      <c r="B2905" s="196" t="s">
        <v>223</v>
      </c>
      <c r="C2905"/>
      <c r="D2905" s="197" t="s">
        <v>366</v>
      </c>
      <c r="E2905" s="197" t="s">
        <v>252</v>
      </c>
      <c r="F2905" s="197" t="s">
        <v>62</v>
      </c>
      <c r="G2905" s="197" t="s">
        <v>270</v>
      </c>
      <c r="H2905" s="197" t="s">
        <v>229</v>
      </c>
      <c r="I2905" s="209" t="s">
        <v>229</v>
      </c>
    </row>
    <row r="2906" spans="1:9">
      <c r="A2906" s="195"/>
      <c r="B2906" s="195" t="s">
        <v>205</v>
      </c>
      <c r="C2906"/>
      <c r="D2906" s="197" t="s">
        <v>366</v>
      </c>
      <c r="E2906" s="197" t="s">
        <v>252</v>
      </c>
      <c r="F2906" s="197" t="s">
        <v>62</v>
      </c>
      <c r="G2906" s="197" t="s">
        <v>270</v>
      </c>
      <c r="H2906" s="197" t="s">
        <v>230</v>
      </c>
      <c r="I2906" s="209" t="s">
        <v>230</v>
      </c>
    </row>
    <row r="2907" spans="1:9">
      <c r="A2907" s="195"/>
      <c r="B2907" s="195" t="s">
        <v>206</v>
      </c>
      <c r="C2907"/>
      <c r="D2907" s="197" t="s">
        <v>366</v>
      </c>
      <c r="E2907" s="197" t="s">
        <v>252</v>
      </c>
      <c r="F2907" s="197" t="s">
        <v>62</v>
      </c>
      <c r="G2907" s="197" t="s">
        <v>270</v>
      </c>
      <c r="H2907" s="197" t="s">
        <v>230</v>
      </c>
      <c r="I2907" s="209" t="s">
        <v>230</v>
      </c>
    </row>
    <row r="2908" spans="1:9">
      <c r="A2908" s="195"/>
      <c r="B2908" s="195" t="s">
        <v>207</v>
      </c>
      <c r="C2908"/>
      <c r="D2908" s="197" t="s">
        <v>216</v>
      </c>
      <c r="E2908" s="197" t="s">
        <v>252</v>
      </c>
      <c r="F2908" s="197" t="s">
        <v>62</v>
      </c>
      <c r="G2908" s="197" t="s">
        <v>270</v>
      </c>
      <c r="H2908" s="197" t="s">
        <v>230</v>
      </c>
      <c r="I2908" s="209" t="s">
        <v>230</v>
      </c>
    </row>
    <row r="2909" spans="1:9">
      <c r="A2909" s="195"/>
      <c r="B2909" s="196" t="s">
        <v>225</v>
      </c>
      <c r="C2909"/>
      <c r="D2909" s="197" t="s">
        <v>216</v>
      </c>
      <c r="E2909" s="197" t="s">
        <v>252</v>
      </c>
      <c r="F2909" s="197" t="s">
        <v>62</v>
      </c>
      <c r="G2909" s="197" t="s">
        <v>270</v>
      </c>
      <c r="H2909" s="197" t="s">
        <v>230</v>
      </c>
      <c r="I2909" s="209" t="s">
        <v>230</v>
      </c>
    </row>
    <row r="2910" spans="1:9">
      <c r="A2910" s="195"/>
      <c r="B2910" s="195" t="s">
        <v>205</v>
      </c>
      <c r="C2910"/>
      <c r="D2910" s="197" t="s">
        <v>216</v>
      </c>
      <c r="E2910" s="197" t="s">
        <v>252</v>
      </c>
      <c r="F2910" s="197" t="s">
        <v>62</v>
      </c>
      <c r="G2910" s="197" t="s">
        <v>270</v>
      </c>
      <c r="H2910" s="209" t="s">
        <v>230</v>
      </c>
      <c r="I2910" s="209" t="s">
        <v>230</v>
      </c>
    </row>
    <row r="2911" spans="1:9">
      <c r="A2911" s="195"/>
      <c r="B2911" s="195" t="s">
        <v>206</v>
      </c>
      <c r="C2911"/>
      <c r="D2911" s="197" t="s">
        <v>216</v>
      </c>
      <c r="E2911" s="197" t="s">
        <v>252</v>
      </c>
      <c r="F2911" s="197" t="s">
        <v>62</v>
      </c>
      <c r="G2911" s="197" t="s">
        <v>270</v>
      </c>
      <c r="H2911" s="209" t="s">
        <v>230</v>
      </c>
      <c r="I2911" s="209" t="s">
        <v>230</v>
      </c>
    </row>
    <row r="2912" spans="1:9">
      <c r="A2912" s="195"/>
      <c r="B2912" s="195" t="s">
        <v>207</v>
      </c>
      <c r="C2912"/>
      <c r="D2912" s="197"/>
      <c r="E2912" s="197"/>
      <c r="F2912" s="197"/>
      <c r="G2912" s="197"/>
      <c r="H2912" s="209"/>
      <c r="I2912" s="209"/>
    </row>
    <row r="2913" spans="1:12">
      <c r="A2913" s="195"/>
      <c r="B2913" s="196" t="s">
        <v>226</v>
      </c>
      <c r="C2913"/>
      <c r="D2913" s="197"/>
      <c r="E2913" s="197"/>
      <c r="F2913" s="197"/>
      <c r="G2913" s="197"/>
      <c r="H2913" s="209"/>
      <c r="I2913" s="209"/>
    </row>
    <row r="2914" spans="1:12">
      <c r="A2914" s="195"/>
      <c r="B2914" s="195" t="s">
        <v>205</v>
      </c>
      <c r="C2914"/>
      <c r="D2914" s="197"/>
      <c r="E2914" s="197"/>
      <c r="F2914" s="197"/>
      <c r="G2914" s="197"/>
      <c r="H2914" s="209"/>
      <c r="I2914" s="209"/>
    </row>
    <row r="2915" spans="1:12">
      <c r="A2915" s="195"/>
      <c r="B2915" s="195" t="s">
        <v>206</v>
      </c>
      <c r="C2915"/>
      <c r="D2915" s="197"/>
      <c r="E2915" s="197"/>
      <c r="F2915" s="197"/>
      <c r="G2915" s="197"/>
      <c r="H2915" s="209"/>
      <c r="I2915" s="209"/>
    </row>
    <row r="2916" spans="1:12">
      <c r="A2916" s="195"/>
      <c r="B2916" s="195" t="s">
        <v>207</v>
      </c>
      <c r="C2916"/>
      <c r="D2916" s="197"/>
      <c r="E2916" s="197"/>
      <c r="F2916" s="197"/>
      <c r="G2916" s="197"/>
      <c r="H2916" s="209"/>
      <c r="I2916" s="209"/>
    </row>
    <row r="2917" spans="1:12">
      <c r="A2917" s="195"/>
      <c r="B2917" s="196" t="s">
        <v>227</v>
      </c>
      <c r="C2917"/>
      <c r="D2917" s="197"/>
      <c r="E2917" s="197"/>
      <c r="F2917" s="197"/>
      <c r="G2917" s="197"/>
      <c r="H2917" s="209"/>
      <c r="I2917" s="209"/>
      <c r="K2917"/>
    </row>
    <row r="2918" spans="1:12" ht="29.25" thickBot="1">
      <c r="A2918" s="182" t="str">
        <f>"回収シフト  第"&amp;ROUNDUP(DAY(B2921)/7,0)  &amp;"  "&amp;TEXT(B2921,"aaaa")</f>
        <v>回収シフト  第1  木曜日</v>
      </c>
      <c r="B2918" s="183"/>
      <c r="C2918" s="183"/>
      <c r="D2918" s="183"/>
      <c r="E2918" s="183"/>
      <c r="F2918" s="183"/>
      <c r="G2918" s="184"/>
      <c r="H2918" s="184"/>
      <c r="I2918" s="184"/>
      <c r="K2918" s="183"/>
      <c r="L2918" s="183"/>
    </row>
    <row r="2919" spans="1:12" ht="15.75" thickBot="1">
      <c r="A2919"/>
      <c r="B2919"/>
      <c r="C2919"/>
      <c r="D2919" s="186" t="s">
        <v>201</v>
      </c>
      <c r="E2919" s="186" t="s">
        <v>202</v>
      </c>
      <c r="F2919" s="186" t="s">
        <v>203</v>
      </c>
      <c r="G2919" s="186" t="s">
        <v>204</v>
      </c>
      <c r="H2919" s="186" t="s">
        <v>267</v>
      </c>
      <c r="I2919" s="217" t="s">
        <v>267</v>
      </c>
      <c r="K2919" s="230" t="s">
        <v>257</v>
      </c>
      <c r="L2919" s="231"/>
    </row>
    <row r="2920" spans="1:12">
      <c r="A2920" s="187"/>
      <c r="B2920" s="188">
        <v>46119</v>
      </c>
      <c r="C2920" s="187"/>
      <c r="D2920" s="189" t="s">
        <v>923</v>
      </c>
      <c r="E2920" s="189" t="s">
        <v>248</v>
      </c>
      <c r="F2920" s="189" t="s">
        <v>850</v>
      </c>
      <c r="G2920" s="189" t="s">
        <v>728</v>
      </c>
      <c r="H2920" s="189" t="s">
        <v>852</v>
      </c>
      <c r="I2920" s="218" t="s">
        <v>852</v>
      </c>
      <c r="K2920" s="232" t="s">
        <v>258</v>
      </c>
      <c r="L2920" s="190" t="str">
        <f>_xlfn.XLOOKUP($B2921,シフト抽出!$19:$19,シフト抽出!$20:$20,"該当なし",0,1)</f>
        <v>該当なし</v>
      </c>
    </row>
    <row r="2921" spans="1:12" ht="19.5" thickBot="1">
      <c r="A2921"/>
      <c r="B2921" s="191">
        <f>B2868+1</f>
        <v>46177</v>
      </c>
      <c r="C2921" s="192"/>
      <c r="D2921" s="193"/>
      <c r="E2921" s="193"/>
      <c r="F2921" s="193"/>
      <c r="G2921" s="193"/>
      <c r="H2921" s="193"/>
      <c r="I2921" s="219"/>
      <c r="K2921" s="233"/>
      <c r="L2921" s="194" t="str">
        <f>_xlfn.XLOOKUP($B2921,シフト抽出!$19:$19,シフト抽出!$21:$21,"該当なし",0,1)</f>
        <v>該当なし</v>
      </c>
    </row>
    <row r="2922" spans="1:12">
      <c r="A2922" s="195"/>
      <c r="B2922" s="196">
        <v>0.25</v>
      </c>
      <c r="C2922"/>
      <c r="D2922" s="197"/>
      <c r="E2922" s="196"/>
      <c r="F2922" s="197"/>
      <c r="G2922" s="197"/>
      <c r="H2922" s="197"/>
      <c r="I2922" s="209"/>
      <c r="K2922" s="234" t="s">
        <v>259</v>
      </c>
      <c r="L2922" s="198" t="str">
        <f>_xlfn.XLOOKUP($B2921,シフト抽出!$19:$19,シフト抽出!$23:$23,"該当なし",0,1)</f>
        <v>該当なし</v>
      </c>
    </row>
    <row r="2923" spans="1:12" ht="15.75" thickBot="1">
      <c r="A2923" s="195"/>
      <c r="B2923" s="195" t="s">
        <v>205</v>
      </c>
      <c r="C2923"/>
      <c r="D2923" s="197"/>
      <c r="E2923" s="197"/>
      <c r="F2923" s="197"/>
      <c r="G2923" s="197"/>
      <c r="H2923" s="197"/>
      <c r="I2923" s="209"/>
      <c r="K2923" s="235"/>
      <c r="L2923" s="199" t="str">
        <f>_xlfn.XLOOKUP($B2921,シフト抽出!$19:$19,シフト抽出!$24:$24,"該当なし",0,1)</f>
        <v>該当なし</v>
      </c>
    </row>
    <row r="2924" spans="1:12">
      <c r="A2924" s="195"/>
      <c r="B2924" s="195" t="s">
        <v>206</v>
      </c>
      <c r="C2924"/>
      <c r="D2924" s="197"/>
      <c r="E2924" s="197"/>
      <c r="F2924" s="197"/>
      <c r="G2924" s="197"/>
      <c r="H2924" s="197"/>
      <c r="I2924" s="209"/>
      <c r="K2924" s="224" t="s">
        <v>260</v>
      </c>
      <c r="L2924" s="200" t="str">
        <f>_xlfn.XLOOKUP($B2921,シフト抽出!$19:$19,シフト抽出!$26:$26,"該当なし",0,1)</f>
        <v>該当なし</v>
      </c>
    </row>
    <row r="2925" spans="1:12">
      <c r="A2925" s="195"/>
      <c r="B2925" s="195" t="s">
        <v>207</v>
      </c>
      <c r="C2925"/>
      <c r="D2925" s="197"/>
      <c r="E2925" s="197"/>
      <c r="F2925" s="197"/>
      <c r="G2925" s="197"/>
      <c r="H2925" s="197"/>
      <c r="I2925" s="209"/>
      <c r="K2925" s="225"/>
      <c r="L2925" s="201" t="str">
        <f>_xlfn.XLOOKUP($B2921,シフト抽出!$19:$19,シフト抽出!$27:$27,"該当なし",0,1)</f>
        <v>該当なし</v>
      </c>
    </row>
    <row r="2926" spans="1:12">
      <c r="A2926" s="195"/>
      <c r="B2926" s="202" t="s">
        <v>208</v>
      </c>
      <c r="C2926"/>
      <c r="D2926" s="197" t="s">
        <v>4</v>
      </c>
      <c r="E2926" s="197" t="s">
        <v>4</v>
      </c>
      <c r="F2926" s="197"/>
      <c r="G2926" s="197" t="s">
        <v>4</v>
      </c>
      <c r="H2926" s="197"/>
      <c r="I2926" s="209"/>
      <c r="J2926" s="203"/>
      <c r="K2926" s="225"/>
      <c r="L2926" s="201" t="str">
        <f>_xlfn.XLOOKUP($B2921,シフト抽出!$19:$19,シフト抽出!$28:$28,"該当なし",0,1)</f>
        <v>該当なし</v>
      </c>
    </row>
    <row r="2927" spans="1:12" ht="15.75" thickBot="1">
      <c r="A2927" s="195"/>
      <c r="B2927" s="195" t="s">
        <v>205</v>
      </c>
      <c r="C2927"/>
      <c r="D2927" s="197" t="s">
        <v>414</v>
      </c>
      <c r="E2927" s="197" t="s">
        <v>421</v>
      </c>
      <c r="F2927" s="197" t="s">
        <v>851</v>
      </c>
      <c r="G2927" s="197" t="s">
        <v>22</v>
      </c>
      <c r="H2927" s="197"/>
      <c r="I2927" s="209"/>
      <c r="J2927" s="203"/>
      <c r="K2927" s="226"/>
      <c r="L2927" s="204" t="str">
        <f>_xlfn.XLOOKUP($B2921,シフト抽出!$19:$19,シフト抽出!$29:$29,"該当なし",0,1)</f>
        <v>該当なし</v>
      </c>
    </row>
    <row r="2928" spans="1:12" ht="15.75" thickBot="1">
      <c r="A2928" s="195"/>
      <c r="B2928" s="195" t="s">
        <v>206</v>
      </c>
      <c r="C2928"/>
      <c r="D2928" s="197" t="s">
        <v>414</v>
      </c>
      <c r="E2928" s="197" t="s">
        <v>421</v>
      </c>
      <c r="F2928" s="197" t="s">
        <v>851</v>
      </c>
      <c r="G2928" s="197" t="s">
        <v>22</v>
      </c>
      <c r="H2928" s="197"/>
      <c r="I2928" s="209"/>
      <c r="K2928" s="205" t="s">
        <v>261</v>
      </c>
      <c r="L2928" s="205">
        <f>_xlfn.XLOOKUP($B2921,予定表!B:B,予定表!R:R,"該当なし",0,1)</f>
        <v>0</v>
      </c>
    </row>
    <row r="2929" spans="1:12">
      <c r="A2929" s="195"/>
      <c r="B2929" s="195" t="s">
        <v>207</v>
      </c>
      <c r="C2929"/>
      <c r="D2929" s="197" t="s">
        <v>414</v>
      </c>
      <c r="E2929" s="197" t="s">
        <v>421</v>
      </c>
      <c r="F2929" s="197" t="s">
        <v>851</v>
      </c>
      <c r="G2929" s="197" t="s">
        <v>22</v>
      </c>
      <c r="H2929" s="197"/>
      <c r="I2929" s="209"/>
      <c r="K2929" s="227" t="s">
        <v>262</v>
      </c>
      <c r="L2929" s="206">
        <f>_xlfn.XLOOKUP($B2921,予定表!$B:$B,予定表!E:E,"該当なし",0,1)</f>
        <v>0</v>
      </c>
    </row>
    <row r="2930" spans="1:12">
      <c r="A2930" s="195"/>
      <c r="B2930" s="196" t="s">
        <v>209</v>
      </c>
      <c r="C2930"/>
      <c r="D2930" s="197" t="s">
        <v>414</v>
      </c>
      <c r="E2930" s="197" t="s">
        <v>421</v>
      </c>
      <c r="F2930" s="197" t="s">
        <v>851</v>
      </c>
      <c r="G2930" s="197" t="s">
        <v>268</v>
      </c>
      <c r="H2930" s="197" t="s">
        <v>4</v>
      </c>
      <c r="I2930" s="209" t="s">
        <v>4</v>
      </c>
      <c r="K2930" s="228"/>
      <c r="L2930" s="207" t="str">
        <f>_xlfn.XLOOKUP($B2921,予定表!$B:$B,予定表!F:F,"該当なし",0,1)</f>
        <v>ディーミング</v>
      </c>
    </row>
    <row r="2931" spans="1:12">
      <c r="A2931" s="195"/>
      <c r="B2931" s="195" t="s">
        <v>205</v>
      </c>
      <c r="C2931"/>
      <c r="D2931" s="197" t="s">
        <v>414</v>
      </c>
      <c r="E2931" s="197" t="s">
        <v>421</v>
      </c>
      <c r="F2931" s="197" t="s">
        <v>851</v>
      </c>
      <c r="G2931" s="197" t="s">
        <v>268</v>
      </c>
      <c r="H2931" s="197" t="s">
        <v>60</v>
      </c>
      <c r="I2931" s="209" t="s">
        <v>60</v>
      </c>
      <c r="K2931" s="228"/>
      <c r="L2931" s="207">
        <f>_xlfn.XLOOKUP($B2921,予定表!$B:$B,予定表!G:G,"該当なし",0,1)</f>
        <v>0</v>
      </c>
    </row>
    <row r="2932" spans="1:12">
      <c r="A2932" s="195"/>
      <c r="B2932" s="195" t="s">
        <v>206</v>
      </c>
      <c r="C2932"/>
      <c r="D2932" s="197" t="s">
        <v>214</v>
      </c>
      <c r="E2932" s="197" t="s">
        <v>273</v>
      </c>
      <c r="F2932" s="197"/>
      <c r="G2932" s="197" t="s">
        <v>268</v>
      </c>
      <c r="H2932" s="197" t="s">
        <v>60</v>
      </c>
      <c r="I2932" s="209" t="s">
        <v>60</v>
      </c>
      <c r="K2932" s="228"/>
      <c r="L2932" s="207">
        <f>_xlfn.XLOOKUP($B2921,予定表!$B:$B,予定表!H:H,"該当なし",0,1)</f>
        <v>0</v>
      </c>
    </row>
    <row r="2933" spans="1:12">
      <c r="A2933" s="195"/>
      <c r="B2933" s="195" t="s">
        <v>207</v>
      </c>
      <c r="C2933"/>
      <c r="D2933" s="197" t="s">
        <v>214</v>
      </c>
      <c r="E2933" s="197" t="s">
        <v>273</v>
      </c>
      <c r="F2933" s="197" t="s">
        <v>930</v>
      </c>
      <c r="G2933" s="197" t="s">
        <v>268</v>
      </c>
      <c r="H2933" s="197" t="s">
        <v>60</v>
      </c>
      <c r="I2933" s="209" t="s">
        <v>60</v>
      </c>
      <c r="K2933" s="228"/>
      <c r="L2933" s="207" t="str">
        <f>_xlfn.XLOOKUP($B2921,予定表!$B:$B,予定表!I:I,"該当なし",0,1)</f>
        <v/>
      </c>
    </row>
    <row r="2934" spans="1:12">
      <c r="A2934" s="195"/>
      <c r="B2934" s="196" t="s">
        <v>212</v>
      </c>
      <c r="C2934"/>
      <c r="D2934" s="197" t="s">
        <v>214</v>
      </c>
      <c r="E2934" s="197" t="s">
        <v>228</v>
      </c>
      <c r="F2934" s="197" t="s">
        <v>252</v>
      </c>
      <c r="G2934" s="197" t="s">
        <v>268</v>
      </c>
      <c r="H2934" s="197"/>
      <c r="I2934" s="209"/>
      <c r="K2934" s="228"/>
      <c r="L2934" s="207" t="str">
        <f>_xlfn.XLOOKUP($B2921,予定表!$B:$B,予定表!J:J,"該当なし",0,1)</f>
        <v/>
      </c>
    </row>
    <row r="2935" spans="1:12">
      <c r="A2935" s="195"/>
      <c r="B2935" s="195" t="s">
        <v>205</v>
      </c>
      <c r="C2935"/>
      <c r="D2935" s="197" t="s">
        <v>761</v>
      </c>
      <c r="E2935" s="197" t="s">
        <v>228</v>
      </c>
      <c r="F2935" s="197" t="s">
        <v>252</v>
      </c>
      <c r="G2935" s="197" t="s">
        <v>268</v>
      </c>
      <c r="H2935" s="197" t="s">
        <v>230</v>
      </c>
      <c r="I2935" s="209" t="s">
        <v>230</v>
      </c>
      <c r="K2935" s="228"/>
      <c r="L2935" s="207" t="str">
        <f>_xlfn.XLOOKUP($B2921,予定表!$B:$B,予定表!K:K,"該当なし",0,1)</f>
        <v/>
      </c>
    </row>
    <row r="2936" spans="1:12">
      <c r="A2936" s="195"/>
      <c r="B2936" s="195" t="s">
        <v>206</v>
      </c>
      <c r="C2936"/>
      <c r="D2936" s="197" t="s">
        <v>761</v>
      </c>
      <c r="E2936" s="197" t="s">
        <v>228</v>
      </c>
      <c r="F2936" s="197" t="s">
        <v>252</v>
      </c>
      <c r="G2936" s="197" t="s">
        <v>268</v>
      </c>
      <c r="H2936" s="197" t="s">
        <v>230</v>
      </c>
      <c r="I2936" s="209" t="s">
        <v>230</v>
      </c>
      <c r="K2936" s="228"/>
      <c r="L2936" s="207" t="str">
        <f>_xlfn.XLOOKUP($B2921,予定表!$B:$B,予定表!L:L,"該当なし",0,1)</f>
        <v/>
      </c>
    </row>
    <row r="2937" spans="1:12" ht="15.75" thickBot="1">
      <c r="A2937" s="195"/>
      <c r="B2937" s="195" t="s">
        <v>207</v>
      </c>
      <c r="C2937"/>
      <c r="D2937" s="197" t="s">
        <v>761</v>
      </c>
      <c r="E2937" s="197" t="s">
        <v>228</v>
      </c>
      <c r="F2937" s="197" t="s">
        <v>252</v>
      </c>
      <c r="G2937" s="197" t="s">
        <v>268</v>
      </c>
      <c r="H2937" s="197" t="s">
        <v>230</v>
      </c>
      <c r="I2937" s="209" t="s">
        <v>230</v>
      </c>
      <c r="K2937" s="229"/>
      <c r="L2937" s="204" t="str">
        <f>_xlfn.XLOOKUP($A2918,ﾘｽﾄマスタ!$U$8:$U$17,ﾘｽﾄマスタ!$V$8:$V$17,"",0)</f>
        <v/>
      </c>
    </row>
    <row r="2938" spans="1:12" ht="15.75" thickBot="1">
      <c r="A2938" s="195"/>
      <c r="B2938" s="196" t="s">
        <v>251</v>
      </c>
      <c r="C2938"/>
      <c r="D2938" s="197" t="s">
        <v>901</v>
      </c>
      <c r="E2938" s="197" t="s">
        <v>228</v>
      </c>
      <c r="F2938" s="197" t="s">
        <v>252</v>
      </c>
      <c r="G2938" s="197" t="s">
        <v>268</v>
      </c>
      <c r="H2938" s="197" t="s">
        <v>229</v>
      </c>
      <c r="I2938" s="209" t="s">
        <v>229</v>
      </c>
      <c r="K2938" s="208" t="s">
        <v>277</v>
      </c>
      <c r="L2938" s="208" t="str">
        <f>_xlfn.XLOOKUP($B2921,シフト抽出!$19:$19,シフト抽出!$30:$30,"該当なし",0,1)</f>
        <v>該当なし</v>
      </c>
    </row>
    <row r="2939" spans="1:12">
      <c r="A2939" s="195"/>
      <c r="B2939" s="195" t="s">
        <v>205</v>
      </c>
      <c r="C2939"/>
      <c r="D2939" s="197" t="s">
        <v>416</v>
      </c>
      <c r="E2939" s="197" t="s">
        <v>228</v>
      </c>
      <c r="F2939" s="197" t="s">
        <v>252</v>
      </c>
      <c r="G2939" s="197" t="s">
        <v>169</v>
      </c>
      <c r="H2939" s="197" t="s">
        <v>229</v>
      </c>
      <c r="I2939" s="209" t="s">
        <v>229</v>
      </c>
    </row>
    <row r="2940" spans="1:12">
      <c r="A2940" s="195"/>
      <c r="B2940" s="195" t="s">
        <v>206</v>
      </c>
      <c r="C2940"/>
      <c r="D2940" s="197" t="s">
        <v>416</v>
      </c>
      <c r="E2940" s="197" t="s">
        <v>263</v>
      </c>
      <c r="F2940" s="197" t="s">
        <v>252</v>
      </c>
      <c r="G2940" s="197" t="s">
        <v>169</v>
      </c>
      <c r="H2940" s="197" t="s">
        <v>848</v>
      </c>
      <c r="I2940" s="209" t="s">
        <v>848</v>
      </c>
    </row>
    <row r="2941" spans="1:12">
      <c r="A2941" s="195"/>
      <c r="B2941" s="195" t="s">
        <v>207</v>
      </c>
      <c r="C2941"/>
      <c r="D2941" s="197" t="s">
        <v>416</v>
      </c>
      <c r="E2941" s="197" t="s">
        <v>263</v>
      </c>
      <c r="F2941" s="197" t="s">
        <v>252</v>
      </c>
      <c r="G2941" s="197" t="s">
        <v>169</v>
      </c>
      <c r="H2941" s="197" t="s">
        <v>848</v>
      </c>
      <c r="I2941" s="209" t="s">
        <v>848</v>
      </c>
    </row>
    <row r="2942" spans="1:12">
      <c r="A2942" s="195"/>
      <c r="B2942" s="196" t="s">
        <v>217</v>
      </c>
      <c r="C2942"/>
      <c r="D2942" s="197" t="s">
        <v>51</v>
      </c>
      <c r="E2942" s="197" t="s">
        <v>263</v>
      </c>
      <c r="F2942" s="197" t="s">
        <v>252</v>
      </c>
      <c r="G2942" s="197" t="s">
        <v>169</v>
      </c>
      <c r="H2942" s="197" t="s">
        <v>848</v>
      </c>
      <c r="I2942" s="209" t="s">
        <v>848</v>
      </c>
    </row>
    <row r="2943" spans="1:12">
      <c r="A2943" s="195"/>
      <c r="B2943" s="195" t="s">
        <v>205</v>
      </c>
      <c r="C2943"/>
      <c r="D2943" s="197" t="s">
        <v>51</v>
      </c>
      <c r="E2943" s="197" t="s">
        <v>848</v>
      </c>
      <c r="F2943" s="197" t="s">
        <v>252</v>
      </c>
      <c r="G2943" s="197" t="s">
        <v>169</v>
      </c>
      <c r="H2943" s="197" t="s">
        <v>848</v>
      </c>
      <c r="I2943" s="209" t="s">
        <v>848</v>
      </c>
    </row>
    <row r="2944" spans="1:12">
      <c r="A2944" s="195"/>
      <c r="B2944" s="195" t="s">
        <v>206</v>
      </c>
      <c r="C2944"/>
      <c r="D2944" s="197" t="s">
        <v>51</v>
      </c>
      <c r="E2944" s="197" t="s">
        <v>848</v>
      </c>
      <c r="F2944" s="197" t="s">
        <v>252</v>
      </c>
      <c r="G2944" s="197" t="s">
        <v>278</v>
      </c>
      <c r="H2944" s="197" t="s">
        <v>848</v>
      </c>
      <c r="I2944" s="209" t="s">
        <v>848</v>
      </c>
    </row>
    <row r="2945" spans="1:9">
      <c r="A2945" s="195"/>
      <c r="B2945" s="195" t="s">
        <v>207</v>
      </c>
      <c r="C2945"/>
      <c r="D2945" s="197" t="s">
        <v>51</v>
      </c>
      <c r="E2945" s="197" t="s">
        <v>848</v>
      </c>
      <c r="F2945" s="197" t="s">
        <v>252</v>
      </c>
      <c r="G2945" s="197" t="s">
        <v>278</v>
      </c>
      <c r="H2945" s="197" t="s">
        <v>848</v>
      </c>
      <c r="I2945" s="209" t="s">
        <v>848</v>
      </c>
    </row>
    <row r="2946" spans="1:9">
      <c r="A2946" s="195"/>
      <c r="B2946" s="196" t="s">
        <v>219</v>
      </c>
      <c r="C2946"/>
      <c r="D2946" s="197"/>
      <c r="E2946" s="197" t="s">
        <v>848</v>
      </c>
      <c r="F2946" s="197"/>
      <c r="G2946" s="197"/>
      <c r="H2946" s="197"/>
      <c r="I2946" s="209"/>
    </row>
    <row r="2947" spans="1:9">
      <c r="A2947" s="195"/>
      <c r="B2947" s="195" t="s">
        <v>205</v>
      </c>
      <c r="C2947"/>
      <c r="D2947" s="197"/>
      <c r="E2947" s="197" t="s">
        <v>848</v>
      </c>
      <c r="F2947" s="197"/>
      <c r="G2947" s="197"/>
      <c r="H2947" s="197"/>
      <c r="I2947" s="209"/>
    </row>
    <row r="2948" spans="1:9">
      <c r="A2948" s="195"/>
      <c r="B2948" s="195" t="s">
        <v>206</v>
      </c>
      <c r="C2948"/>
      <c r="D2948" s="197"/>
      <c r="E2948" s="197"/>
      <c r="F2948" s="197"/>
      <c r="G2948" s="197"/>
      <c r="H2948" s="197"/>
      <c r="I2948" s="209"/>
    </row>
    <row r="2949" spans="1:9">
      <c r="A2949" s="195"/>
      <c r="B2949" s="195" t="s">
        <v>207</v>
      </c>
      <c r="C2949"/>
      <c r="D2949" s="197"/>
      <c r="E2949" s="197"/>
      <c r="F2949" s="197"/>
      <c r="G2949" s="197"/>
      <c r="H2949" s="197"/>
      <c r="I2949" s="209"/>
    </row>
    <row r="2950" spans="1:9">
      <c r="A2950" s="195"/>
      <c r="B2950" s="196" t="s">
        <v>220</v>
      </c>
      <c r="C2950"/>
      <c r="D2950" s="197"/>
      <c r="E2950" s="197"/>
      <c r="F2950" s="197"/>
      <c r="G2950" s="197"/>
      <c r="H2950" s="197"/>
      <c r="I2950" s="209"/>
    </row>
    <row r="2951" spans="1:9">
      <c r="A2951" s="195"/>
      <c r="B2951" s="195" t="s">
        <v>205</v>
      </c>
      <c r="C2951"/>
      <c r="D2951" s="197" t="s">
        <v>114</v>
      </c>
      <c r="E2951" s="197" t="s">
        <v>95</v>
      </c>
      <c r="F2951" s="197" t="s">
        <v>252</v>
      </c>
      <c r="G2951" s="197" t="s">
        <v>56</v>
      </c>
      <c r="H2951" s="197" t="s">
        <v>415</v>
      </c>
      <c r="I2951" s="209" t="s">
        <v>415</v>
      </c>
    </row>
    <row r="2952" spans="1:9">
      <c r="A2952" s="195"/>
      <c r="B2952" s="195" t="s">
        <v>206</v>
      </c>
      <c r="C2952"/>
      <c r="D2952" s="197" t="s">
        <v>114</v>
      </c>
      <c r="E2952" s="197" t="s">
        <v>95</v>
      </c>
      <c r="F2952" s="197" t="s">
        <v>252</v>
      </c>
      <c r="G2952" s="197" t="s">
        <v>56</v>
      </c>
      <c r="H2952" s="197" t="s">
        <v>415</v>
      </c>
      <c r="I2952" s="209" t="s">
        <v>415</v>
      </c>
    </row>
    <row r="2953" spans="1:9">
      <c r="A2953" s="195"/>
      <c r="B2953" s="195" t="s">
        <v>207</v>
      </c>
      <c r="C2953"/>
      <c r="D2953" s="197" t="s">
        <v>114</v>
      </c>
      <c r="E2953" s="197" t="s">
        <v>95</v>
      </c>
      <c r="F2953" s="197" t="s">
        <v>252</v>
      </c>
      <c r="G2953" s="197" t="s">
        <v>56</v>
      </c>
      <c r="H2953" s="197" t="s">
        <v>415</v>
      </c>
      <c r="I2953" s="209" t="s">
        <v>415</v>
      </c>
    </row>
    <row r="2954" spans="1:9">
      <c r="A2954" s="195"/>
      <c r="B2954" s="196" t="s">
        <v>222</v>
      </c>
      <c r="C2954"/>
      <c r="D2954" s="197" t="s">
        <v>129</v>
      </c>
      <c r="E2954" s="197" t="s">
        <v>95</v>
      </c>
      <c r="F2954" s="197" t="s">
        <v>252</v>
      </c>
      <c r="G2954" s="197" t="s">
        <v>56</v>
      </c>
      <c r="H2954" s="197" t="s">
        <v>415</v>
      </c>
      <c r="I2954" s="209" t="s">
        <v>415</v>
      </c>
    </row>
    <row r="2955" spans="1:9">
      <c r="A2955" s="195"/>
      <c r="B2955" s="195" t="s">
        <v>205</v>
      </c>
      <c r="C2955"/>
      <c r="D2955" s="197" t="s">
        <v>129</v>
      </c>
      <c r="E2955" s="197" t="s">
        <v>95</v>
      </c>
      <c r="F2955" s="197" t="s">
        <v>252</v>
      </c>
      <c r="G2955" s="197"/>
      <c r="H2955" s="197" t="s">
        <v>415</v>
      </c>
      <c r="I2955" s="209" t="s">
        <v>415</v>
      </c>
    </row>
    <row r="2956" spans="1:9">
      <c r="A2956" s="195"/>
      <c r="B2956" s="195" t="s">
        <v>206</v>
      </c>
      <c r="C2956"/>
      <c r="D2956" s="197"/>
      <c r="E2956" s="197" t="s">
        <v>95</v>
      </c>
      <c r="F2956" s="197" t="s">
        <v>252</v>
      </c>
      <c r="G2956" s="197" t="s">
        <v>270</v>
      </c>
      <c r="H2956" s="197" t="s">
        <v>415</v>
      </c>
      <c r="I2956" s="209" t="s">
        <v>415</v>
      </c>
    </row>
    <row r="2957" spans="1:9">
      <c r="A2957" s="195"/>
      <c r="B2957" s="195" t="s">
        <v>207</v>
      </c>
      <c r="C2957"/>
      <c r="D2957" s="197" t="s">
        <v>515</v>
      </c>
      <c r="E2957" s="197" t="s">
        <v>95</v>
      </c>
      <c r="F2957" s="197" t="s">
        <v>252</v>
      </c>
      <c r="G2957" s="197" t="s">
        <v>270</v>
      </c>
      <c r="H2957" s="197" t="s">
        <v>415</v>
      </c>
      <c r="I2957" s="209" t="s">
        <v>415</v>
      </c>
    </row>
    <row r="2958" spans="1:9">
      <c r="A2958" s="195"/>
      <c r="B2958" s="196" t="s">
        <v>223</v>
      </c>
      <c r="C2958"/>
      <c r="D2958" s="197" t="s">
        <v>515</v>
      </c>
      <c r="E2958" s="197" t="s">
        <v>95</v>
      </c>
      <c r="F2958" s="197" t="s">
        <v>252</v>
      </c>
      <c r="G2958" s="197" t="s">
        <v>270</v>
      </c>
      <c r="H2958" s="197" t="s">
        <v>415</v>
      </c>
      <c r="I2958" s="209" t="s">
        <v>415</v>
      </c>
    </row>
    <row r="2959" spans="1:9">
      <c r="A2959" s="195"/>
      <c r="B2959" s="195" t="s">
        <v>205</v>
      </c>
      <c r="C2959"/>
      <c r="D2959" s="197" t="s">
        <v>515</v>
      </c>
      <c r="E2959" s="197" t="s">
        <v>95</v>
      </c>
      <c r="F2959" s="197" t="s">
        <v>252</v>
      </c>
      <c r="G2959" s="197" t="s">
        <v>270</v>
      </c>
      <c r="H2959" s="197" t="s">
        <v>415</v>
      </c>
      <c r="I2959" s="209" t="s">
        <v>415</v>
      </c>
    </row>
    <row r="2960" spans="1:9">
      <c r="A2960" s="195"/>
      <c r="B2960" s="195" t="s">
        <v>206</v>
      </c>
      <c r="C2960"/>
      <c r="D2960" s="197" t="s">
        <v>269</v>
      </c>
      <c r="E2960" s="197" t="s">
        <v>95</v>
      </c>
      <c r="F2960" s="197" t="s">
        <v>252</v>
      </c>
      <c r="G2960" s="197" t="s">
        <v>270</v>
      </c>
      <c r="H2960" s="197" t="s">
        <v>415</v>
      </c>
      <c r="I2960" s="209" t="s">
        <v>415</v>
      </c>
    </row>
    <row r="2961" spans="1:12">
      <c r="A2961" s="195"/>
      <c r="B2961" s="195" t="s">
        <v>207</v>
      </c>
      <c r="C2961"/>
      <c r="D2961" s="197" t="s">
        <v>269</v>
      </c>
      <c r="E2961" s="197" t="s">
        <v>395</v>
      </c>
      <c r="F2961" s="197" t="s">
        <v>252</v>
      </c>
      <c r="G2961" s="197" t="s">
        <v>270</v>
      </c>
      <c r="H2961" s="197" t="s">
        <v>415</v>
      </c>
      <c r="I2961" s="209" t="s">
        <v>415</v>
      </c>
    </row>
    <row r="2962" spans="1:12">
      <c r="A2962" s="195"/>
      <c r="B2962" s="196" t="s">
        <v>225</v>
      </c>
      <c r="C2962"/>
      <c r="D2962" s="197" t="s">
        <v>362</v>
      </c>
      <c r="E2962" s="197" t="s">
        <v>395</v>
      </c>
      <c r="F2962" s="197" t="s">
        <v>252</v>
      </c>
      <c r="G2962" s="197" t="s">
        <v>270</v>
      </c>
      <c r="H2962" s="197" t="s">
        <v>415</v>
      </c>
      <c r="I2962" s="209" t="s">
        <v>415</v>
      </c>
    </row>
    <row r="2963" spans="1:12">
      <c r="A2963" s="195"/>
      <c r="B2963" s="195" t="s">
        <v>205</v>
      </c>
      <c r="C2963"/>
      <c r="D2963" s="197" t="s">
        <v>237</v>
      </c>
      <c r="E2963" s="197" t="s">
        <v>395</v>
      </c>
      <c r="F2963" s="197" t="s">
        <v>252</v>
      </c>
      <c r="G2963" s="197" t="s">
        <v>270</v>
      </c>
      <c r="H2963" s="197" t="s">
        <v>415</v>
      </c>
      <c r="I2963" s="209" t="s">
        <v>415</v>
      </c>
    </row>
    <row r="2964" spans="1:12">
      <c r="A2964" s="195"/>
      <c r="B2964" s="195" t="s">
        <v>206</v>
      </c>
      <c r="C2964"/>
      <c r="D2964" s="197" t="s">
        <v>236</v>
      </c>
      <c r="E2964" s="197"/>
      <c r="F2964" s="197"/>
      <c r="G2964" s="197" t="s">
        <v>270</v>
      </c>
      <c r="H2964" s="197" t="s">
        <v>415</v>
      </c>
      <c r="I2964" s="209" t="s">
        <v>415</v>
      </c>
    </row>
    <row r="2965" spans="1:12">
      <c r="A2965" s="195"/>
      <c r="B2965" s="195" t="s">
        <v>207</v>
      </c>
      <c r="C2965"/>
      <c r="D2965" s="197" t="s">
        <v>193</v>
      </c>
      <c r="E2965" s="197"/>
      <c r="F2965" s="197"/>
      <c r="G2965" s="197" t="s">
        <v>270</v>
      </c>
      <c r="H2965" s="197" t="s">
        <v>415</v>
      </c>
      <c r="I2965" s="209" t="s">
        <v>415</v>
      </c>
    </row>
    <row r="2966" spans="1:12">
      <c r="A2966" s="195"/>
      <c r="B2966" s="196" t="s">
        <v>226</v>
      </c>
      <c r="C2966"/>
      <c r="D2966" s="197"/>
      <c r="E2966" s="197"/>
      <c r="F2966" s="197"/>
      <c r="G2966" s="197"/>
      <c r="H2966" s="209"/>
      <c r="I2966" s="209"/>
    </row>
    <row r="2967" spans="1:12">
      <c r="A2967" s="195"/>
      <c r="B2967" s="195" t="s">
        <v>205</v>
      </c>
      <c r="C2967"/>
      <c r="D2967" s="197"/>
      <c r="E2967" s="197"/>
      <c r="F2967" s="197"/>
      <c r="G2967" s="197"/>
      <c r="H2967" s="209"/>
      <c r="I2967" s="209"/>
    </row>
    <row r="2968" spans="1:12">
      <c r="A2968" s="195"/>
      <c r="B2968" s="195" t="s">
        <v>206</v>
      </c>
      <c r="C2968"/>
      <c r="D2968" s="197"/>
      <c r="E2968" s="197"/>
      <c r="F2968" s="197"/>
      <c r="G2968" s="197"/>
      <c r="H2968" s="209"/>
      <c r="I2968" s="209"/>
    </row>
    <row r="2969" spans="1:12">
      <c r="A2969" s="195"/>
      <c r="B2969" s="195" t="s">
        <v>207</v>
      </c>
      <c r="C2969"/>
      <c r="D2969" s="197"/>
      <c r="E2969" s="197"/>
      <c r="F2969" s="197"/>
      <c r="G2969" s="197"/>
      <c r="H2969" s="209"/>
      <c r="I2969" s="209"/>
    </row>
    <row r="2970" spans="1:12">
      <c r="A2970" s="195"/>
      <c r="B2970" s="196" t="s">
        <v>227</v>
      </c>
      <c r="C2970"/>
      <c r="D2970" s="197"/>
      <c r="E2970" s="197"/>
      <c r="F2970" s="197"/>
      <c r="G2970" s="197"/>
      <c r="H2970" s="209"/>
      <c r="I2970" s="209"/>
      <c r="K2970"/>
    </row>
    <row r="2971" spans="1:12" ht="29.25" thickBot="1">
      <c r="A2971" s="182" t="str">
        <f>"回収シフト  第"&amp;ROUNDUP(DAY(B2974)/7,0)  &amp;"  "&amp;TEXT(B2974,"aaaa")</f>
        <v>回収シフト  第1  金曜日</v>
      </c>
      <c r="B2971" s="183"/>
      <c r="C2971" s="183"/>
      <c r="D2971" s="183"/>
      <c r="E2971" s="183"/>
      <c r="F2971" s="183"/>
      <c r="G2971" s="184"/>
      <c r="H2971" s="184"/>
      <c r="I2971" s="184"/>
      <c r="K2971" s="183"/>
      <c r="L2971" s="183"/>
    </row>
    <row r="2972" spans="1:12" ht="15.75" thickBot="1">
      <c r="A2972"/>
      <c r="B2972"/>
      <c r="C2972"/>
      <c r="D2972" s="186" t="s">
        <v>201</v>
      </c>
      <c r="E2972" s="186" t="s">
        <v>202</v>
      </c>
      <c r="F2972" s="186" t="s">
        <v>203</v>
      </c>
      <c r="G2972" s="186" t="s">
        <v>204</v>
      </c>
      <c r="H2972" s="186" t="s">
        <v>267</v>
      </c>
      <c r="I2972" s="217" t="s">
        <v>267</v>
      </c>
      <c r="K2972" s="230" t="s">
        <v>257</v>
      </c>
      <c r="L2972" s="231"/>
    </row>
    <row r="2973" spans="1:12">
      <c r="A2973" s="187"/>
      <c r="B2973" s="188">
        <v>46119</v>
      </c>
      <c r="C2973" s="187"/>
      <c r="D2973" s="189" t="s">
        <v>923</v>
      </c>
      <c r="E2973" s="189" t="s">
        <v>858</v>
      </c>
      <c r="F2973" s="189" t="s">
        <v>276</v>
      </c>
      <c r="G2973" s="189" t="s">
        <v>728</v>
      </c>
      <c r="H2973" s="189" t="s">
        <v>852</v>
      </c>
      <c r="I2973" s="218" t="s">
        <v>852</v>
      </c>
      <c r="K2973" s="232" t="s">
        <v>258</v>
      </c>
      <c r="L2973" s="190" t="str">
        <f>_xlfn.XLOOKUP($B2974,シフト抽出!$19:$19,シフト抽出!$20:$20,"該当なし",0,1)</f>
        <v>該当なし</v>
      </c>
    </row>
    <row r="2974" spans="1:12" ht="19.5" thickBot="1">
      <c r="A2974"/>
      <c r="B2974" s="191">
        <f>B2921+1</f>
        <v>46178</v>
      </c>
      <c r="C2974" s="192"/>
      <c r="D2974" s="193"/>
      <c r="E2974" s="193"/>
      <c r="F2974" s="193"/>
      <c r="G2974" s="193"/>
      <c r="H2974" s="193"/>
      <c r="I2974" s="219"/>
      <c r="K2974" s="233"/>
      <c r="L2974" s="194" t="str">
        <f>_xlfn.XLOOKUP($B2974,シフト抽出!$19:$19,シフト抽出!$21:$21,"該当なし",0,1)</f>
        <v>該当なし</v>
      </c>
    </row>
    <row r="2975" spans="1:12">
      <c r="A2975" s="195"/>
      <c r="B2975" s="196">
        <v>0.25</v>
      </c>
      <c r="C2975"/>
      <c r="D2975" s="197"/>
      <c r="E2975" s="196"/>
      <c r="F2975" s="197"/>
      <c r="G2975" s="197"/>
      <c r="H2975" s="197"/>
      <c r="I2975" s="209"/>
      <c r="K2975" s="234" t="s">
        <v>259</v>
      </c>
      <c r="L2975" s="198" t="str">
        <f>_xlfn.XLOOKUP($B2974,シフト抽出!$19:$19,シフト抽出!$23:$23,"該当なし",0,1)</f>
        <v>該当なし</v>
      </c>
    </row>
    <row r="2976" spans="1:12" ht="15.75" thickBot="1">
      <c r="A2976" s="195"/>
      <c r="B2976" s="195" t="s">
        <v>205</v>
      </c>
      <c r="C2976"/>
      <c r="D2976" s="197"/>
      <c r="E2976" s="197"/>
      <c r="F2976" s="197"/>
      <c r="G2976" s="197"/>
      <c r="H2976" s="197"/>
      <c r="I2976" s="209"/>
      <c r="K2976" s="235"/>
      <c r="L2976" s="199" t="str">
        <f>_xlfn.XLOOKUP($B2974,シフト抽出!$19:$19,シフト抽出!$24:$24,"該当なし",0,1)</f>
        <v>該当なし</v>
      </c>
    </row>
    <row r="2977" spans="1:12">
      <c r="A2977" s="195"/>
      <c r="B2977" s="195" t="s">
        <v>206</v>
      </c>
      <c r="C2977"/>
      <c r="D2977" s="197" t="s">
        <v>238</v>
      </c>
      <c r="E2977" s="197" t="s">
        <v>107</v>
      </c>
      <c r="F2977" s="197"/>
      <c r="G2977" s="197"/>
      <c r="H2977" s="197"/>
      <c r="I2977" s="209"/>
      <c r="K2977" s="224" t="s">
        <v>260</v>
      </c>
      <c r="L2977" s="200" t="str">
        <f>_xlfn.XLOOKUP($B2974,シフト抽出!$19:$19,シフト抽出!$26:$26,"該当なし",0,1)</f>
        <v>該当なし</v>
      </c>
    </row>
    <row r="2978" spans="1:12">
      <c r="A2978" s="195"/>
      <c r="B2978" s="195" t="s">
        <v>207</v>
      </c>
      <c r="C2978"/>
      <c r="D2978" s="197" t="s">
        <v>238</v>
      </c>
      <c r="E2978" s="197"/>
      <c r="F2978" s="197"/>
      <c r="G2978" s="197"/>
      <c r="H2978" s="197"/>
      <c r="I2978" s="209"/>
      <c r="K2978" s="225"/>
      <c r="L2978" s="201" t="str">
        <f>_xlfn.XLOOKUP($B2974,シフト抽出!$19:$19,シフト抽出!$27:$27,"該当なし",0,1)</f>
        <v>該当なし</v>
      </c>
    </row>
    <row r="2979" spans="1:12">
      <c r="A2979" s="195"/>
      <c r="B2979" s="202" t="s">
        <v>208</v>
      </c>
      <c r="C2979"/>
      <c r="D2979" s="197" t="s">
        <v>238</v>
      </c>
      <c r="E2979" s="197" t="s">
        <v>420</v>
      </c>
      <c r="F2979" s="197" t="s">
        <v>851</v>
      </c>
      <c r="G2979" s="197" t="s">
        <v>22</v>
      </c>
      <c r="H2979" s="197"/>
      <c r="I2979" s="209"/>
      <c r="J2979" s="203"/>
      <c r="K2979" s="225"/>
      <c r="L2979" s="201" t="str">
        <f>_xlfn.XLOOKUP($B2974,シフト抽出!$19:$19,シフト抽出!$28:$28,"該当なし",0,1)</f>
        <v>該当なし</v>
      </c>
    </row>
    <row r="2980" spans="1:12" ht="15.75" thickBot="1">
      <c r="A2980" s="195"/>
      <c r="B2980" s="195" t="s">
        <v>205</v>
      </c>
      <c r="C2980"/>
      <c r="D2980" s="197" t="s">
        <v>238</v>
      </c>
      <c r="E2980" s="197" t="s">
        <v>420</v>
      </c>
      <c r="F2980" s="197" t="s">
        <v>851</v>
      </c>
      <c r="G2980" s="197" t="s">
        <v>22</v>
      </c>
      <c r="H2980" s="197"/>
      <c r="I2980" s="209"/>
      <c r="J2980" s="203"/>
      <c r="K2980" s="226"/>
      <c r="L2980" s="204" t="str">
        <f>_xlfn.XLOOKUP($B2974,シフト抽出!$19:$19,シフト抽出!$29:$29,"該当なし",0,1)</f>
        <v>該当なし</v>
      </c>
    </row>
    <row r="2981" spans="1:12" ht="15.75" thickBot="1">
      <c r="A2981" s="195"/>
      <c r="B2981" s="195" t="s">
        <v>206</v>
      </c>
      <c r="C2981"/>
      <c r="D2981" s="197" t="s">
        <v>238</v>
      </c>
      <c r="E2981" s="197" t="s">
        <v>420</v>
      </c>
      <c r="F2981" s="197" t="s">
        <v>851</v>
      </c>
      <c r="G2981" s="197" t="s">
        <v>793</v>
      </c>
      <c r="H2981" s="197"/>
      <c r="I2981" s="209"/>
      <c r="K2981" s="205" t="s">
        <v>261</v>
      </c>
      <c r="L2981" s="205">
        <f>_xlfn.XLOOKUP($B2974,予定表!B:B,予定表!R:R,"該当なし",0,1)</f>
        <v>0</v>
      </c>
    </row>
    <row r="2982" spans="1:12">
      <c r="A2982" s="195"/>
      <c r="B2982" s="195" t="s">
        <v>207</v>
      </c>
      <c r="C2982"/>
      <c r="D2982" s="197" t="s">
        <v>238</v>
      </c>
      <c r="E2982" s="197" t="s">
        <v>420</v>
      </c>
      <c r="F2982" s="197" t="s">
        <v>851</v>
      </c>
      <c r="G2982" s="197" t="s">
        <v>793</v>
      </c>
      <c r="H2982" s="197"/>
      <c r="I2982" s="209"/>
      <c r="K2982" s="227" t="s">
        <v>262</v>
      </c>
      <c r="L2982" s="206">
        <f>_xlfn.XLOOKUP($B2974,予定表!$B:$B,予定表!E:E,"該当なし",0,1)</f>
        <v>0</v>
      </c>
    </row>
    <row r="2983" spans="1:12">
      <c r="A2983" s="195"/>
      <c r="B2983" s="196" t="s">
        <v>209</v>
      </c>
      <c r="C2983"/>
      <c r="D2983" s="197"/>
      <c r="E2983" s="197" t="s">
        <v>420</v>
      </c>
      <c r="F2983" s="197" t="s">
        <v>851</v>
      </c>
      <c r="G2983" s="197" t="s">
        <v>268</v>
      </c>
      <c r="H2983" s="197" t="s">
        <v>4</v>
      </c>
      <c r="I2983" s="209" t="s">
        <v>4</v>
      </c>
      <c r="K2983" s="228"/>
      <c r="L2983" s="207" t="str">
        <f>_xlfn.XLOOKUP($B2974,予定表!$B:$B,予定表!F:F,"該当なし",0,1)</f>
        <v>IWD(㈱大勝)</v>
      </c>
    </row>
    <row r="2984" spans="1:12">
      <c r="A2984" s="195"/>
      <c r="B2984" s="195" t="s">
        <v>205</v>
      </c>
      <c r="C2984"/>
      <c r="D2984" s="197" t="s">
        <v>264</v>
      </c>
      <c r="E2984" s="197" t="s">
        <v>420</v>
      </c>
      <c r="F2984" s="197" t="s">
        <v>851</v>
      </c>
      <c r="G2984" s="197" t="s">
        <v>268</v>
      </c>
      <c r="H2984" s="197" t="s">
        <v>60</v>
      </c>
      <c r="I2984" s="209" t="s">
        <v>60</v>
      </c>
      <c r="K2984" s="228"/>
      <c r="L2984" s="207">
        <f>_xlfn.XLOOKUP($B2974,予定表!$B:$B,予定表!G:G,"該当なし",0,1)</f>
        <v>0</v>
      </c>
    </row>
    <row r="2985" spans="1:12">
      <c r="A2985" s="195"/>
      <c r="B2985" s="195" t="s">
        <v>206</v>
      </c>
      <c r="C2985"/>
      <c r="D2985" s="197" t="s">
        <v>239</v>
      </c>
      <c r="E2985" s="197" t="s">
        <v>414</v>
      </c>
      <c r="F2985" s="197" t="s">
        <v>62</v>
      </c>
      <c r="G2985" s="197" t="s">
        <v>268</v>
      </c>
      <c r="H2985" s="197" t="s">
        <v>60</v>
      </c>
      <c r="I2985" s="209" t="s">
        <v>60</v>
      </c>
      <c r="K2985" s="228"/>
      <c r="L2985" s="207" t="str">
        <f>_xlfn.XLOOKUP($B2974,予定表!$B:$B,予定表!H:H,"該当なし",0,1)</f>
        <v>資さんうどん</v>
      </c>
    </row>
    <row r="2986" spans="1:12">
      <c r="A2986" s="195"/>
      <c r="B2986" s="195" t="s">
        <v>207</v>
      </c>
      <c r="C2986"/>
      <c r="D2986" s="197" t="s">
        <v>239</v>
      </c>
      <c r="E2986" s="197" t="s">
        <v>414</v>
      </c>
      <c r="F2986" s="197" t="s">
        <v>62</v>
      </c>
      <c r="G2986" s="197" t="s">
        <v>268</v>
      </c>
      <c r="H2986" s="197" t="s">
        <v>60</v>
      </c>
      <c r="I2986" s="209" t="s">
        <v>60</v>
      </c>
      <c r="K2986" s="228"/>
      <c r="L2986" s="207" t="str">
        <f>_xlfn.XLOOKUP($B2974,予定表!$B:$B,予定表!I:I,"該当なし",0,1)</f>
        <v/>
      </c>
    </row>
    <row r="2987" spans="1:12">
      <c r="A2987" s="195"/>
      <c r="B2987" s="196" t="s">
        <v>212</v>
      </c>
      <c r="C2987"/>
      <c r="D2987" s="197" t="s">
        <v>240</v>
      </c>
      <c r="E2987" s="197" t="s">
        <v>414</v>
      </c>
      <c r="F2987" s="197" t="s">
        <v>62</v>
      </c>
      <c r="G2987" s="197" t="s">
        <v>268</v>
      </c>
      <c r="H2987" s="197"/>
      <c r="I2987" s="209"/>
      <c r="K2987" s="228"/>
      <c r="L2987" s="207" t="str">
        <f>_xlfn.XLOOKUP($B2974,予定表!$B:$B,予定表!J:J,"該当なし",0,1)</f>
        <v/>
      </c>
    </row>
    <row r="2988" spans="1:12">
      <c r="A2988" s="195"/>
      <c r="B2988" s="195" t="s">
        <v>205</v>
      </c>
      <c r="C2988"/>
      <c r="D2988" s="197" t="s">
        <v>240</v>
      </c>
      <c r="E2988" s="197" t="s">
        <v>414</v>
      </c>
      <c r="F2988" s="197" t="s">
        <v>62</v>
      </c>
      <c r="G2988" s="197" t="s">
        <v>268</v>
      </c>
      <c r="H2988" s="197" t="s">
        <v>848</v>
      </c>
      <c r="I2988" s="209" t="s">
        <v>848</v>
      </c>
      <c r="K2988" s="228"/>
      <c r="L2988" s="207" t="str">
        <f>_xlfn.XLOOKUP($B2974,予定表!$B:$B,予定表!K:K,"該当なし",0,1)</f>
        <v/>
      </c>
    </row>
    <row r="2989" spans="1:12">
      <c r="A2989" s="195"/>
      <c r="B2989" s="195" t="s">
        <v>206</v>
      </c>
      <c r="C2989"/>
      <c r="D2989" s="197" t="s">
        <v>214</v>
      </c>
      <c r="E2989" s="197" t="s">
        <v>854</v>
      </c>
      <c r="F2989" s="197" t="s">
        <v>62</v>
      </c>
      <c r="G2989" s="197" t="s">
        <v>268</v>
      </c>
      <c r="H2989" s="197" t="s">
        <v>848</v>
      </c>
      <c r="I2989" s="209" t="s">
        <v>848</v>
      </c>
      <c r="K2989" s="228"/>
      <c r="L2989" s="207" t="str">
        <f>_xlfn.XLOOKUP($B2974,予定表!$B:$B,予定表!L:L,"該当なし",0,1)</f>
        <v/>
      </c>
    </row>
    <row r="2990" spans="1:12" ht="15.75" thickBot="1">
      <c r="A2990" s="195"/>
      <c r="B2990" s="195" t="s">
        <v>207</v>
      </c>
      <c r="C2990"/>
      <c r="D2990" s="197" t="s">
        <v>214</v>
      </c>
      <c r="E2990" s="197" t="s">
        <v>854</v>
      </c>
      <c r="F2990" s="197" t="s">
        <v>62</v>
      </c>
      <c r="G2990" s="197" t="s">
        <v>515</v>
      </c>
      <c r="H2990" s="197" t="s">
        <v>848</v>
      </c>
      <c r="I2990" s="209" t="s">
        <v>848</v>
      </c>
      <c r="K2990" s="229"/>
      <c r="L2990" s="204" t="str">
        <f>_xlfn.XLOOKUP($A2971,ﾘｽﾄマスタ!$U$8:$U$17,ﾘｽﾄマスタ!$V$8:$V$17,"",0)</f>
        <v/>
      </c>
    </row>
    <row r="2991" spans="1:12" ht="15.75" thickBot="1">
      <c r="A2991" s="195"/>
      <c r="B2991" s="196" t="s">
        <v>251</v>
      </c>
      <c r="C2991"/>
      <c r="D2991" s="197" t="s">
        <v>214</v>
      </c>
      <c r="E2991" s="197" t="s">
        <v>854</v>
      </c>
      <c r="F2991" s="197" t="s">
        <v>62</v>
      </c>
      <c r="G2991" s="197" t="s">
        <v>515</v>
      </c>
      <c r="H2991" s="197" t="s">
        <v>848</v>
      </c>
      <c r="I2991" s="209" t="s">
        <v>848</v>
      </c>
      <c r="K2991" s="208" t="s">
        <v>277</v>
      </c>
      <c r="L2991" s="208" t="str">
        <f>_xlfn.XLOOKUP($B2974,シフト抽出!$19:$19,シフト抽出!$30:$30,"該当なし",0,1)</f>
        <v>該当なし</v>
      </c>
    </row>
    <row r="2992" spans="1:12">
      <c r="A2992" s="195"/>
      <c r="B2992" s="195" t="s">
        <v>205</v>
      </c>
      <c r="C2992"/>
      <c r="D2992" s="197" t="s">
        <v>214</v>
      </c>
      <c r="E2992" s="197" t="s">
        <v>854</v>
      </c>
      <c r="F2992" s="197" t="s">
        <v>62</v>
      </c>
      <c r="G2992" s="197" t="s">
        <v>269</v>
      </c>
      <c r="H2992" s="197" t="s">
        <v>848</v>
      </c>
      <c r="I2992" s="209" t="s">
        <v>848</v>
      </c>
    </row>
    <row r="2993" spans="1:9">
      <c r="A2993" s="195"/>
      <c r="B2993" s="195" t="s">
        <v>206</v>
      </c>
      <c r="C2993"/>
      <c r="D2993" s="197" t="s">
        <v>353</v>
      </c>
      <c r="E2993" s="197" t="s">
        <v>216</v>
      </c>
      <c r="F2993" s="197" t="s">
        <v>51</v>
      </c>
      <c r="G2993" s="197" t="s">
        <v>269</v>
      </c>
      <c r="H2993" s="197" t="s">
        <v>848</v>
      </c>
      <c r="I2993" s="209" t="s">
        <v>848</v>
      </c>
    </row>
    <row r="2994" spans="1:9">
      <c r="A2994" s="195"/>
      <c r="B2994" s="195" t="s">
        <v>207</v>
      </c>
      <c r="C2994"/>
      <c r="D2994" s="197" t="s">
        <v>353</v>
      </c>
      <c r="E2994" s="197" t="s">
        <v>216</v>
      </c>
      <c r="F2994" s="197" t="s">
        <v>51</v>
      </c>
      <c r="G2994" s="197" t="s">
        <v>269</v>
      </c>
      <c r="H2994" s="197" t="s">
        <v>848</v>
      </c>
      <c r="I2994" s="209" t="s">
        <v>848</v>
      </c>
    </row>
    <row r="2995" spans="1:9">
      <c r="A2995" s="195"/>
      <c r="B2995" s="196" t="s">
        <v>217</v>
      </c>
      <c r="C2995"/>
      <c r="D2995" s="197" t="s">
        <v>353</v>
      </c>
      <c r="E2995" s="197" t="s">
        <v>216</v>
      </c>
      <c r="F2995" s="197" t="s">
        <v>51</v>
      </c>
      <c r="G2995" s="197" t="s">
        <v>446</v>
      </c>
      <c r="H2995" s="197" t="s">
        <v>848</v>
      </c>
      <c r="I2995" s="209" t="s">
        <v>848</v>
      </c>
    </row>
    <row r="2996" spans="1:9">
      <c r="A2996" s="195"/>
      <c r="B2996" s="195" t="s">
        <v>205</v>
      </c>
      <c r="C2996"/>
      <c r="D2996" s="197" t="s">
        <v>353</v>
      </c>
      <c r="E2996" s="197" t="s">
        <v>216</v>
      </c>
      <c r="F2996" s="197" t="s">
        <v>51</v>
      </c>
      <c r="G2996" s="197" t="s">
        <v>446</v>
      </c>
      <c r="H2996" s="197" t="s">
        <v>848</v>
      </c>
      <c r="I2996" s="209" t="s">
        <v>848</v>
      </c>
    </row>
    <row r="2997" spans="1:9">
      <c r="A2997" s="195"/>
      <c r="B2997" s="195" t="s">
        <v>206</v>
      </c>
      <c r="C2997"/>
      <c r="D2997" s="197" t="s">
        <v>761</v>
      </c>
      <c r="E2997" s="197" t="s">
        <v>216</v>
      </c>
      <c r="F2997" s="197"/>
      <c r="G2997" s="197" t="s">
        <v>446</v>
      </c>
      <c r="H2997" s="197" t="s">
        <v>848</v>
      </c>
      <c r="I2997" s="209" t="s">
        <v>848</v>
      </c>
    </row>
    <row r="2998" spans="1:9">
      <c r="A2998" s="195"/>
      <c r="B2998" s="195" t="s">
        <v>207</v>
      </c>
      <c r="C2998"/>
      <c r="D2998" s="197" t="s">
        <v>761</v>
      </c>
      <c r="E2998" s="197" t="s">
        <v>216</v>
      </c>
      <c r="F2998" s="197"/>
      <c r="G2998" s="197" t="s">
        <v>114</v>
      </c>
      <c r="H2998" s="197"/>
      <c r="I2998" s="209"/>
    </row>
    <row r="2999" spans="1:9">
      <c r="A2999" s="195"/>
      <c r="B2999" s="196" t="s">
        <v>219</v>
      </c>
      <c r="C2999"/>
      <c r="D2999" s="197" t="s">
        <v>761</v>
      </c>
      <c r="E2999" s="197" t="s">
        <v>216</v>
      </c>
      <c r="F2999" s="197"/>
      <c r="G2999" s="197" t="s">
        <v>114</v>
      </c>
      <c r="H2999" s="197"/>
      <c r="I2999" s="209"/>
    </row>
    <row r="3000" spans="1:9">
      <c r="A3000" s="195"/>
      <c r="B3000" s="195" t="s">
        <v>205</v>
      </c>
      <c r="C3000"/>
      <c r="D3000" s="197" t="s">
        <v>761</v>
      </c>
      <c r="E3000" s="197" t="s">
        <v>216</v>
      </c>
      <c r="F3000" s="197"/>
      <c r="G3000" s="197"/>
      <c r="H3000" s="197"/>
      <c r="I3000" s="209"/>
    </row>
    <row r="3001" spans="1:9">
      <c r="A3001" s="195"/>
      <c r="B3001" s="195" t="s">
        <v>206</v>
      </c>
      <c r="C3001"/>
      <c r="D3001" s="197"/>
      <c r="E3001" s="197"/>
      <c r="F3001" s="197"/>
      <c r="G3001" s="197"/>
      <c r="H3001" s="197" t="s">
        <v>415</v>
      </c>
      <c r="I3001" s="209" t="s">
        <v>415</v>
      </c>
    </row>
    <row r="3002" spans="1:9">
      <c r="A3002" s="195"/>
      <c r="B3002" s="195" t="s">
        <v>207</v>
      </c>
      <c r="C3002"/>
      <c r="D3002" s="197"/>
      <c r="E3002" s="197"/>
      <c r="F3002" s="197"/>
      <c r="G3002" s="197"/>
      <c r="H3002" s="197" t="s">
        <v>415</v>
      </c>
      <c r="I3002" s="209" t="s">
        <v>415</v>
      </c>
    </row>
    <row r="3003" spans="1:9">
      <c r="A3003" s="195"/>
      <c r="B3003" s="196" t="s">
        <v>220</v>
      </c>
      <c r="C3003"/>
      <c r="D3003" s="197"/>
      <c r="E3003" s="197"/>
      <c r="F3003" s="197"/>
      <c r="G3003" s="197"/>
      <c r="H3003" s="197" t="s">
        <v>231</v>
      </c>
      <c r="I3003" s="209" t="s">
        <v>231</v>
      </c>
    </row>
    <row r="3004" spans="1:9">
      <c r="A3004" s="195"/>
      <c r="B3004" s="195" t="s">
        <v>205</v>
      </c>
      <c r="C3004"/>
      <c r="D3004" s="197" t="s">
        <v>224</v>
      </c>
      <c r="E3004" s="197" t="s">
        <v>273</v>
      </c>
      <c r="F3004" s="197" t="s">
        <v>416</v>
      </c>
      <c r="G3004" s="197" t="s">
        <v>56</v>
      </c>
      <c r="H3004" s="197" t="s">
        <v>231</v>
      </c>
      <c r="I3004" s="209" t="s">
        <v>231</v>
      </c>
    </row>
    <row r="3005" spans="1:9">
      <c r="A3005" s="195"/>
      <c r="B3005" s="195" t="s">
        <v>206</v>
      </c>
      <c r="C3005"/>
      <c r="D3005" s="197" t="s">
        <v>224</v>
      </c>
      <c r="E3005" s="197" t="s">
        <v>273</v>
      </c>
      <c r="F3005" s="197" t="s">
        <v>945</v>
      </c>
      <c r="G3005" s="197" t="s">
        <v>56</v>
      </c>
      <c r="H3005" s="197" t="s">
        <v>211</v>
      </c>
      <c r="I3005" s="209" t="s">
        <v>211</v>
      </c>
    </row>
    <row r="3006" spans="1:9">
      <c r="A3006" s="195"/>
      <c r="B3006" s="195" t="s">
        <v>207</v>
      </c>
      <c r="C3006"/>
      <c r="D3006" s="197" t="s">
        <v>224</v>
      </c>
      <c r="E3006" s="197" t="s">
        <v>273</v>
      </c>
      <c r="F3006" s="197" t="s">
        <v>416</v>
      </c>
      <c r="G3006" s="197" t="s">
        <v>56</v>
      </c>
      <c r="H3006" s="197" t="s">
        <v>211</v>
      </c>
      <c r="I3006" s="209" t="s">
        <v>211</v>
      </c>
    </row>
    <row r="3007" spans="1:9">
      <c r="A3007" s="195"/>
      <c r="B3007" s="196" t="s">
        <v>222</v>
      </c>
      <c r="C3007"/>
      <c r="D3007" s="197" t="s">
        <v>88</v>
      </c>
      <c r="E3007" s="197" t="s">
        <v>266</v>
      </c>
      <c r="F3007" s="197" t="s">
        <v>416</v>
      </c>
      <c r="G3007" s="197"/>
      <c r="H3007" s="197"/>
      <c r="I3007" s="209"/>
    </row>
    <row r="3008" spans="1:9">
      <c r="A3008" s="195"/>
      <c r="B3008" s="195" t="s">
        <v>205</v>
      </c>
      <c r="C3008"/>
      <c r="D3008" s="197" t="s">
        <v>280</v>
      </c>
      <c r="E3008" s="197" t="s">
        <v>266</v>
      </c>
      <c r="F3008" s="197" t="s">
        <v>759</v>
      </c>
      <c r="G3008" s="197" t="s">
        <v>270</v>
      </c>
      <c r="H3008" s="197" t="s">
        <v>856</v>
      </c>
      <c r="I3008" s="209" t="s">
        <v>856</v>
      </c>
    </row>
    <row r="3009" spans="1:12">
      <c r="A3009" s="195"/>
      <c r="B3009" s="195" t="s">
        <v>206</v>
      </c>
      <c r="C3009"/>
      <c r="D3009" s="197" t="s">
        <v>280</v>
      </c>
      <c r="E3009" s="197" t="s">
        <v>266</v>
      </c>
      <c r="F3009" s="197" t="s">
        <v>759</v>
      </c>
      <c r="G3009" s="197" t="s">
        <v>270</v>
      </c>
      <c r="H3009" s="197" t="s">
        <v>856</v>
      </c>
      <c r="I3009" s="209" t="s">
        <v>856</v>
      </c>
    </row>
    <row r="3010" spans="1:12">
      <c r="A3010" s="195"/>
      <c r="B3010" s="195" t="s">
        <v>207</v>
      </c>
      <c r="C3010"/>
      <c r="D3010" s="197" t="s">
        <v>215</v>
      </c>
      <c r="E3010" s="197" t="s">
        <v>266</v>
      </c>
      <c r="F3010" s="197" t="s">
        <v>759</v>
      </c>
      <c r="G3010" s="197" t="s">
        <v>270</v>
      </c>
      <c r="H3010" s="197" t="s">
        <v>856</v>
      </c>
      <c r="I3010" s="209" t="s">
        <v>856</v>
      </c>
    </row>
    <row r="3011" spans="1:12">
      <c r="A3011" s="195"/>
      <c r="B3011" s="196" t="s">
        <v>223</v>
      </c>
      <c r="C3011"/>
      <c r="D3011" s="197" t="s">
        <v>423</v>
      </c>
      <c r="E3011" s="197" t="s">
        <v>252</v>
      </c>
      <c r="F3011" s="197" t="s">
        <v>759</v>
      </c>
      <c r="G3011" s="197" t="s">
        <v>270</v>
      </c>
      <c r="H3011" s="197" t="s">
        <v>856</v>
      </c>
      <c r="I3011" s="209" t="s">
        <v>856</v>
      </c>
    </row>
    <row r="3012" spans="1:12">
      <c r="A3012" s="195"/>
      <c r="B3012" s="195" t="s">
        <v>205</v>
      </c>
      <c r="C3012"/>
      <c r="D3012" s="197" t="s">
        <v>588</v>
      </c>
      <c r="E3012" s="197" t="s">
        <v>252</v>
      </c>
      <c r="F3012" s="197" t="s">
        <v>759</v>
      </c>
      <c r="G3012" s="197" t="s">
        <v>270</v>
      </c>
      <c r="H3012" s="197" t="s">
        <v>856</v>
      </c>
      <c r="I3012" s="209" t="s">
        <v>856</v>
      </c>
    </row>
    <row r="3013" spans="1:12">
      <c r="A3013" s="195"/>
      <c r="B3013" s="195" t="s">
        <v>206</v>
      </c>
      <c r="C3013"/>
      <c r="D3013" s="197" t="s">
        <v>127</v>
      </c>
      <c r="E3013" s="197" t="s">
        <v>252</v>
      </c>
      <c r="F3013" s="197"/>
      <c r="G3013" s="197" t="s">
        <v>270</v>
      </c>
      <c r="H3013" s="197" t="s">
        <v>856</v>
      </c>
      <c r="I3013" s="209" t="s">
        <v>856</v>
      </c>
    </row>
    <row r="3014" spans="1:12">
      <c r="A3014" s="195"/>
      <c r="B3014" s="195" t="s">
        <v>207</v>
      </c>
      <c r="C3014"/>
      <c r="D3014" s="197"/>
      <c r="E3014" s="197" t="s">
        <v>252</v>
      </c>
      <c r="F3014" s="197"/>
      <c r="G3014" s="197" t="s">
        <v>270</v>
      </c>
      <c r="H3014" s="197" t="s">
        <v>856</v>
      </c>
      <c r="I3014" s="209" t="s">
        <v>856</v>
      </c>
    </row>
    <row r="3015" spans="1:12">
      <c r="A3015" s="195"/>
      <c r="B3015" s="196" t="s">
        <v>225</v>
      </c>
      <c r="C3015"/>
      <c r="D3015" s="197"/>
      <c r="E3015" s="197" t="s">
        <v>252</v>
      </c>
      <c r="F3015" s="197"/>
      <c r="G3015" s="197" t="s">
        <v>270</v>
      </c>
      <c r="H3015" s="197" t="s">
        <v>415</v>
      </c>
      <c r="I3015" s="209" t="s">
        <v>415</v>
      </c>
    </row>
    <row r="3016" spans="1:12">
      <c r="A3016" s="195"/>
      <c r="B3016" s="195" t="s">
        <v>205</v>
      </c>
      <c r="C3016"/>
      <c r="D3016" s="197"/>
      <c r="E3016" s="197" t="s">
        <v>252</v>
      </c>
      <c r="F3016" s="197"/>
      <c r="G3016" s="197" t="s">
        <v>270</v>
      </c>
      <c r="H3016" s="209" t="s">
        <v>415</v>
      </c>
      <c r="I3016" s="209" t="s">
        <v>415</v>
      </c>
    </row>
    <row r="3017" spans="1:12">
      <c r="A3017" s="195"/>
      <c r="B3017" s="195" t="s">
        <v>206</v>
      </c>
      <c r="C3017"/>
      <c r="D3017" s="197"/>
      <c r="E3017" s="197" t="s">
        <v>252</v>
      </c>
      <c r="F3017" s="197"/>
      <c r="G3017" s="197" t="s">
        <v>270</v>
      </c>
      <c r="H3017" s="209" t="s">
        <v>415</v>
      </c>
      <c r="I3017" s="209" t="s">
        <v>415</v>
      </c>
    </row>
    <row r="3018" spans="1:12">
      <c r="A3018" s="195"/>
      <c r="B3018" s="195" t="s">
        <v>207</v>
      </c>
      <c r="C3018"/>
      <c r="D3018" s="197"/>
      <c r="E3018" s="197" t="s">
        <v>252</v>
      </c>
      <c r="F3018" s="197"/>
      <c r="G3018" s="197" t="s">
        <v>270</v>
      </c>
      <c r="H3018" s="209" t="s">
        <v>415</v>
      </c>
      <c r="I3018" s="209" t="s">
        <v>415</v>
      </c>
    </row>
    <row r="3019" spans="1:12">
      <c r="A3019" s="195"/>
      <c r="B3019" s="196" t="s">
        <v>226</v>
      </c>
      <c r="C3019"/>
      <c r="D3019" s="197"/>
      <c r="E3019" s="197"/>
      <c r="F3019" s="197"/>
      <c r="G3019" s="197" t="s">
        <v>270</v>
      </c>
      <c r="H3019" s="209"/>
      <c r="I3019" s="209"/>
    </row>
    <row r="3020" spans="1:12">
      <c r="A3020" s="195"/>
      <c r="B3020" s="195" t="s">
        <v>205</v>
      </c>
      <c r="C3020"/>
      <c r="D3020" s="197"/>
      <c r="E3020" s="197"/>
      <c r="F3020" s="197"/>
      <c r="G3020" s="197" t="s">
        <v>270</v>
      </c>
      <c r="H3020" s="209"/>
      <c r="I3020" s="209"/>
    </row>
    <row r="3021" spans="1:12">
      <c r="A3021" s="195"/>
      <c r="B3021" s="195" t="s">
        <v>206</v>
      </c>
      <c r="C3021"/>
      <c r="D3021" s="197"/>
      <c r="E3021" s="197"/>
      <c r="F3021" s="197"/>
      <c r="G3021" s="197" t="s">
        <v>270</v>
      </c>
      <c r="H3021" s="209"/>
      <c r="I3021" s="209"/>
    </row>
    <row r="3022" spans="1:12">
      <c r="A3022" s="195"/>
      <c r="B3022" s="195" t="s">
        <v>207</v>
      </c>
      <c r="C3022"/>
      <c r="D3022" s="197"/>
      <c r="E3022" s="197"/>
      <c r="F3022" s="197"/>
      <c r="G3022" s="197" t="s">
        <v>270</v>
      </c>
      <c r="H3022" s="209"/>
      <c r="I3022" s="209"/>
    </row>
    <row r="3023" spans="1:12">
      <c r="A3023" s="195"/>
      <c r="B3023" s="196" t="s">
        <v>227</v>
      </c>
      <c r="C3023"/>
      <c r="D3023" s="197"/>
      <c r="E3023" s="197"/>
      <c r="F3023" s="197"/>
      <c r="G3023" s="197"/>
      <c r="H3023" s="209"/>
      <c r="I3023" s="209"/>
      <c r="K3023"/>
    </row>
    <row r="3024" spans="1:12" ht="29.25" thickBot="1">
      <c r="A3024" s="182" t="str">
        <f>"回収シフト  第"&amp;ROUNDUP(DAY(B3027)/7,0)  &amp;"  "&amp;TEXT(B3027,"aaaa")</f>
        <v>回収シフト  第1  土曜日</v>
      </c>
      <c r="B3024" s="183"/>
      <c r="C3024" s="183"/>
      <c r="D3024" s="183"/>
      <c r="E3024" s="183"/>
      <c r="F3024" s="183"/>
      <c r="G3024" s="184"/>
      <c r="H3024" s="184"/>
      <c r="I3024" s="184"/>
      <c r="K3024" s="183"/>
      <c r="L3024" s="183"/>
    </row>
    <row r="3025" spans="1:12" ht="15.75" thickBot="1">
      <c r="A3025"/>
      <c r="B3025"/>
      <c r="C3025"/>
      <c r="D3025" s="186" t="s">
        <v>201</v>
      </c>
      <c r="E3025" s="186" t="s">
        <v>202</v>
      </c>
      <c r="F3025" s="186" t="s">
        <v>203</v>
      </c>
      <c r="G3025" s="186" t="s">
        <v>204</v>
      </c>
      <c r="H3025" s="186" t="s">
        <v>267</v>
      </c>
      <c r="I3025" s="217" t="s">
        <v>267</v>
      </c>
      <c r="K3025" s="230" t="s">
        <v>257</v>
      </c>
      <c r="L3025" s="231"/>
    </row>
    <row r="3026" spans="1:12">
      <c r="A3026" s="187"/>
      <c r="B3026" s="188">
        <v>46119</v>
      </c>
      <c r="C3026" s="187"/>
      <c r="D3026" s="189"/>
      <c r="E3026" s="189"/>
      <c r="F3026" s="189"/>
      <c r="G3026" s="189"/>
      <c r="H3026" s="189"/>
      <c r="I3026" s="218"/>
      <c r="K3026" s="232" t="s">
        <v>258</v>
      </c>
      <c r="L3026" s="190" t="str">
        <f>_xlfn.XLOOKUP($B3027,シフト抽出!$19:$19,シフト抽出!$20:$20,"該当なし",0,1)</f>
        <v>該当なし</v>
      </c>
    </row>
    <row r="3027" spans="1:12" ht="19.5" thickBot="1">
      <c r="A3027"/>
      <c r="B3027" s="191">
        <f>B2974+1</f>
        <v>46179</v>
      </c>
      <c r="C3027" s="192"/>
      <c r="D3027" s="193"/>
      <c r="E3027" s="193"/>
      <c r="F3027" s="193"/>
      <c r="G3027" s="193"/>
      <c r="H3027" s="193"/>
      <c r="I3027" s="219"/>
      <c r="K3027" s="233"/>
      <c r="L3027" s="194" t="str">
        <f>_xlfn.XLOOKUP($B3027,シフト抽出!$19:$19,シフト抽出!$21:$21,"該当なし",0,1)</f>
        <v>該当なし</v>
      </c>
    </row>
    <row r="3028" spans="1:12">
      <c r="A3028" s="195"/>
      <c r="B3028" s="196">
        <v>0.25</v>
      </c>
      <c r="C3028"/>
      <c r="D3028" s="197"/>
      <c r="E3028" s="196"/>
      <c r="F3028" s="197"/>
      <c r="G3028" s="197"/>
      <c r="H3028" s="197"/>
      <c r="I3028" s="209"/>
      <c r="K3028" s="234" t="s">
        <v>259</v>
      </c>
      <c r="L3028" s="198" t="str">
        <f>_xlfn.XLOOKUP($B3027,シフト抽出!$19:$19,シフト抽出!$23:$23,"該当なし",0,1)</f>
        <v>該当なし</v>
      </c>
    </row>
    <row r="3029" spans="1:12" ht="15.75" thickBot="1">
      <c r="A3029" s="195"/>
      <c r="B3029" s="195" t="s">
        <v>205</v>
      </c>
      <c r="C3029"/>
      <c r="D3029" s="197"/>
      <c r="E3029" s="197"/>
      <c r="F3029" s="197"/>
      <c r="G3029" s="197"/>
      <c r="H3029" s="197"/>
      <c r="I3029" s="209"/>
      <c r="K3029" s="235"/>
      <c r="L3029" s="199" t="str">
        <f>_xlfn.XLOOKUP($B3027,シフト抽出!$19:$19,シフト抽出!$24:$24,"該当なし",0,1)</f>
        <v>該当なし</v>
      </c>
    </row>
    <row r="3030" spans="1:12">
      <c r="A3030" s="195"/>
      <c r="B3030" s="195" t="s">
        <v>206</v>
      </c>
      <c r="C3030"/>
      <c r="D3030" s="197"/>
      <c r="E3030" s="197"/>
      <c r="F3030" s="197"/>
      <c r="G3030" s="197"/>
      <c r="H3030" s="197"/>
      <c r="I3030" s="209"/>
      <c r="K3030" s="224" t="s">
        <v>260</v>
      </c>
      <c r="L3030" s="200" t="str">
        <f>_xlfn.XLOOKUP($B3027,シフト抽出!$19:$19,シフト抽出!$26:$26,"該当なし",0,1)</f>
        <v>該当なし</v>
      </c>
    </row>
    <row r="3031" spans="1:12">
      <c r="A3031" s="195"/>
      <c r="B3031" s="195" t="s">
        <v>207</v>
      </c>
      <c r="C3031"/>
      <c r="D3031" s="197"/>
      <c r="E3031" s="197"/>
      <c r="F3031" s="197"/>
      <c r="G3031" s="197"/>
      <c r="H3031" s="197"/>
      <c r="I3031" s="209"/>
      <c r="K3031" s="225"/>
      <c r="L3031" s="201" t="str">
        <f>_xlfn.XLOOKUP($B3027,シフト抽出!$19:$19,シフト抽出!$27:$27,"該当なし",0,1)</f>
        <v>該当なし</v>
      </c>
    </row>
    <row r="3032" spans="1:12">
      <c r="A3032" s="195"/>
      <c r="B3032" s="202" t="s">
        <v>208</v>
      </c>
      <c r="C3032"/>
      <c r="D3032" s="197"/>
      <c r="E3032" s="197"/>
      <c r="F3032" s="197"/>
      <c r="G3032" s="197"/>
      <c r="H3032" s="197"/>
      <c r="I3032" s="209"/>
      <c r="J3032" s="203"/>
      <c r="K3032" s="225"/>
      <c r="L3032" s="201" t="str">
        <f>_xlfn.XLOOKUP($B3027,シフト抽出!$19:$19,シフト抽出!$28:$28,"該当なし",0,1)</f>
        <v>該当なし</v>
      </c>
    </row>
    <row r="3033" spans="1:12" ht="15.75" thickBot="1">
      <c r="A3033" s="195"/>
      <c r="B3033" s="195" t="s">
        <v>205</v>
      </c>
      <c r="C3033"/>
      <c r="D3033" s="197"/>
      <c r="E3033" s="197"/>
      <c r="F3033" s="197"/>
      <c r="G3033" s="197"/>
      <c r="H3033" s="197"/>
      <c r="I3033" s="209"/>
      <c r="J3033" s="203"/>
      <c r="K3033" s="226"/>
      <c r="L3033" s="204" t="str">
        <f>_xlfn.XLOOKUP($B3027,シフト抽出!$19:$19,シフト抽出!$29:$29,"該当なし",0,1)</f>
        <v>該当なし</v>
      </c>
    </row>
    <row r="3034" spans="1:12" ht="15.75" thickBot="1">
      <c r="A3034" s="195"/>
      <c r="B3034" s="195" t="s">
        <v>206</v>
      </c>
      <c r="C3034"/>
      <c r="D3034" s="197"/>
      <c r="E3034" s="197"/>
      <c r="F3034" s="197"/>
      <c r="G3034" s="197"/>
      <c r="H3034" s="197"/>
      <c r="I3034" s="209"/>
      <c r="K3034" s="205" t="s">
        <v>261</v>
      </c>
      <c r="L3034" s="205">
        <f>_xlfn.XLOOKUP($B3027,予定表!B:B,予定表!R:R,"該当なし",0,1)</f>
        <v>0</v>
      </c>
    </row>
    <row r="3035" spans="1:12">
      <c r="A3035" s="195"/>
      <c r="B3035" s="195" t="s">
        <v>207</v>
      </c>
      <c r="C3035"/>
      <c r="D3035" s="197"/>
      <c r="E3035" s="197"/>
      <c r="F3035" s="197"/>
      <c r="G3035" s="197"/>
      <c r="H3035" s="197"/>
      <c r="I3035" s="209"/>
      <c r="K3035" s="227" t="s">
        <v>262</v>
      </c>
      <c r="L3035" s="206">
        <f>_xlfn.XLOOKUP($B3027,予定表!$B:$B,予定表!E:E,"該当なし",0,1)</f>
        <v>0</v>
      </c>
    </row>
    <row r="3036" spans="1:12">
      <c r="A3036" s="195"/>
      <c r="B3036" s="196" t="s">
        <v>209</v>
      </c>
      <c r="C3036"/>
      <c r="D3036" s="197" t="s">
        <v>4</v>
      </c>
      <c r="E3036" s="197" t="s">
        <v>4</v>
      </c>
      <c r="F3036" s="197"/>
      <c r="G3036" s="197"/>
      <c r="H3036" s="197"/>
      <c r="I3036" s="209"/>
      <c r="K3036" s="228"/>
      <c r="L3036" s="207">
        <f>_xlfn.XLOOKUP($B3027,予定表!$B:$B,予定表!F:F,"該当なし",0,1)</f>
        <v>0</v>
      </c>
    </row>
    <row r="3037" spans="1:12">
      <c r="A3037" s="195"/>
      <c r="B3037" s="195" t="s">
        <v>205</v>
      </c>
      <c r="C3037"/>
      <c r="D3037" s="197" t="s">
        <v>268</v>
      </c>
      <c r="E3037" s="197" t="s">
        <v>22</v>
      </c>
      <c r="F3037" s="197"/>
      <c r="G3037" s="197"/>
      <c r="H3037" s="197"/>
      <c r="I3037" s="209"/>
      <c r="K3037" s="228"/>
      <c r="L3037" s="207">
        <f>_xlfn.XLOOKUP($B3027,予定表!$B:$B,予定表!G:G,"該当なし",0,1)</f>
        <v>0</v>
      </c>
    </row>
    <row r="3038" spans="1:12">
      <c r="A3038" s="195"/>
      <c r="B3038" s="195" t="s">
        <v>206</v>
      </c>
      <c r="C3038"/>
      <c r="D3038" s="197" t="s">
        <v>268</v>
      </c>
      <c r="E3038" s="197" t="s">
        <v>22</v>
      </c>
      <c r="F3038" s="197"/>
      <c r="G3038" s="197"/>
      <c r="H3038" s="197"/>
      <c r="I3038" s="209"/>
      <c r="K3038" s="228"/>
      <c r="L3038" s="207" t="str">
        <f>_xlfn.XLOOKUP($B3027,予定表!$B:$B,予定表!H:H,"該当なし",0,1)</f>
        <v>資さんうどん</v>
      </c>
    </row>
    <row r="3039" spans="1:12">
      <c r="A3039" s="195"/>
      <c r="B3039" s="195" t="s">
        <v>207</v>
      </c>
      <c r="C3039"/>
      <c r="D3039" s="197" t="s">
        <v>268</v>
      </c>
      <c r="E3039" s="197" t="s">
        <v>793</v>
      </c>
      <c r="F3039" s="197"/>
      <c r="G3039" s="197"/>
      <c r="H3039" s="197"/>
      <c r="I3039" s="209"/>
      <c r="K3039" s="228"/>
      <c r="L3039" s="207" t="str">
        <f>_xlfn.XLOOKUP($B3027,予定表!$B:$B,予定表!I:I,"該当なし",0,1)</f>
        <v/>
      </c>
    </row>
    <row r="3040" spans="1:12">
      <c r="A3040" s="195"/>
      <c r="B3040" s="196" t="s">
        <v>212</v>
      </c>
      <c r="C3040"/>
      <c r="D3040" s="197" t="s">
        <v>268</v>
      </c>
      <c r="E3040" s="197" t="s">
        <v>241</v>
      </c>
      <c r="F3040" s="197"/>
      <c r="G3040" s="197"/>
      <c r="H3040" s="197"/>
      <c r="I3040" s="209"/>
      <c r="K3040" s="228"/>
      <c r="L3040" s="207" t="str">
        <f>_xlfn.XLOOKUP($B3027,予定表!$B:$B,予定表!J:J,"該当なし",0,1)</f>
        <v/>
      </c>
    </row>
    <row r="3041" spans="1:12">
      <c r="A3041" s="195"/>
      <c r="B3041" s="195" t="s">
        <v>205</v>
      </c>
      <c r="C3041"/>
      <c r="D3041" s="197" t="s">
        <v>268</v>
      </c>
      <c r="E3041" s="197" t="s">
        <v>241</v>
      </c>
      <c r="F3041" s="197"/>
      <c r="G3041" s="197"/>
      <c r="H3041" s="197"/>
      <c r="I3041" s="209"/>
      <c r="K3041" s="228"/>
      <c r="L3041" s="207" t="str">
        <f>_xlfn.XLOOKUP($B3027,予定表!$B:$B,予定表!K:K,"該当なし",0,1)</f>
        <v/>
      </c>
    </row>
    <row r="3042" spans="1:12">
      <c r="A3042" s="195"/>
      <c r="B3042" s="195" t="s">
        <v>206</v>
      </c>
      <c r="C3042"/>
      <c r="D3042" s="197" t="s">
        <v>515</v>
      </c>
      <c r="E3042" s="197" t="s">
        <v>244</v>
      </c>
      <c r="F3042" s="197"/>
      <c r="G3042" s="197"/>
      <c r="H3042" s="197"/>
      <c r="I3042" s="209"/>
      <c r="K3042" s="228"/>
      <c r="L3042" s="207" t="str">
        <f>_xlfn.XLOOKUP($B3027,予定表!$B:$B,予定表!L:L,"該当なし",0,1)</f>
        <v/>
      </c>
    </row>
    <row r="3043" spans="1:12" ht="15.75" thickBot="1">
      <c r="A3043" s="195"/>
      <c r="B3043" s="195" t="s">
        <v>207</v>
      </c>
      <c r="C3043"/>
      <c r="D3043" s="197" t="s">
        <v>515</v>
      </c>
      <c r="E3043" s="197" t="s">
        <v>244</v>
      </c>
      <c r="F3043" s="197"/>
      <c r="G3043" s="197"/>
      <c r="H3043" s="197"/>
      <c r="I3043" s="209"/>
      <c r="K3043" s="229"/>
      <c r="L3043" s="204" t="str">
        <f>_xlfn.XLOOKUP($A3024,ﾘｽﾄマスタ!$U$8:$U$17,ﾘｽﾄマスタ!$V$8:$V$17,"",0)</f>
        <v/>
      </c>
    </row>
    <row r="3044" spans="1:12" ht="15.75" thickBot="1">
      <c r="A3044" s="195"/>
      <c r="B3044" s="196" t="s">
        <v>251</v>
      </c>
      <c r="C3044"/>
      <c r="D3044" s="197" t="s">
        <v>515</v>
      </c>
      <c r="E3044" s="197" t="s">
        <v>114</v>
      </c>
      <c r="F3044" s="197"/>
      <c r="G3044" s="197"/>
      <c r="H3044" s="197"/>
      <c r="I3044" s="209"/>
      <c r="K3044" s="208" t="s">
        <v>277</v>
      </c>
      <c r="L3044" s="208" t="str">
        <f>_xlfn.XLOOKUP($B3027,シフト抽出!$19:$19,シフト抽出!$30:$30,"該当なし",0,1)</f>
        <v>該当なし</v>
      </c>
    </row>
    <row r="3045" spans="1:12">
      <c r="A3045" s="195"/>
      <c r="B3045" s="195" t="s">
        <v>205</v>
      </c>
      <c r="C3045"/>
      <c r="D3045" s="197" t="s">
        <v>242</v>
      </c>
      <c r="E3045" s="197" t="s">
        <v>114</v>
      </c>
      <c r="F3045" s="197"/>
      <c r="G3045" s="197"/>
      <c r="H3045" s="197"/>
      <c r="I3045" s="209"/>
    </row>
    <row r="3046" spans="1:12">
      <c r="A3046" s="195"/>
      <c r="B3046" s="195" t="s">
        <v>206</v>
      </c>
      <c r="C3046"/>
      <c r="D3046" s="197" t="s">
        <v>242</v>
      </c>
      <c r="E3046" s="197"/>
      <c r="F3046" s="197"/>
      <c r="G3046" s="197"/>
      <c r="H3046" s="197"/>
      <c r="I3046" s="209"/>
    </row>
    <row r="3047" spans="1:12">
      <c r="A3047" s="195"/>
      <c r="B3047" s="195" t="s">
        <v>207</v>
      </c>
      <c r="C3047"/>
      <c r="D3047" s="197" t="s">
        <v>242</v>
      </c>
      <c r="E3047" s="197" t="s">
        <v>851</v>
      </c>
      <c r="F3047" s="197"/>
      <c r="G3047" s="197"/>
      <c r="H3047" s="197"/>
      <c r="I3047" s="209"/>
    </row>
    <row r="3048" spans="1:12">
      <c r="A3048" s="195"/>
      <c r="B3048" s="196" t="s">
        <v>217</v>
      </c>
      <c r="C3048"/>
      <c r="D3048" s="197" t="s">
        <v>242</v>
      </c>
      <c r="E3048" s="197" t="s">
        <v>851</v>
      </c>
      <c r="F3048" s="197"/>
      <c r="G3048" s="197"/>
      <c r="H3048" s="197"/>
      <c r="I3048" s="209"/>
    </row>
    <row r="3049" spans="1:12">
      <c r="A3049" s="195"/>
      <c r="B3049" s="195" t="s">
        <v>205</v>
      </c>
      <c r="C3049"/>
      <c r="D3049" s="197" t="s">
        <v>242</v>
      </c>
      <c r="E3049" s="197" t="s">
        <v>851</v>
      </c>
      <c r="F3049" s="197"/>
      <c r="G3049" s="197"/>
      <c r="H3049" s="197"/>
      <c r="I3049" s="209"/>
    </row>
    <row r="3050" spans="1:12">
      <c r="A3050" s="195"/>
      <c r="B3050" s="195" t="s">
        <v>206</v>
      </c>
      <c r="C3050"/>
      <c r="D3050" s="197" t="s">
        <v>242</v>
      </c>
      <c r="E3050" s="197" t="s">
        <v>851</v>
      </c>
      <c r="F3050" s="197"/>
      <c r="G3050" s="197"/>
      <c r="H3050" s="197"/>
      <c r="I3050" s="209"/>
    </row>
    <row r="3051" spans="1:12">
      <c r="A3051" s="195"/>
      <c r="B3051" s="195" t="s">
        <v>207</v>
      </c>
      <c r="C3051"/>
      <c r="D3051" s="197"/>
      <c r="E3051" s="197" t="s">
        <v>851</v>
      </c>
      <c r="F3051" s="197"/>
      <c r="G3051" s="197"/>
      <c r="H3051" s="197"/>
      <c r="I3051" s="209"/>
    </row>
    <row r="3052" spans="1:12">
      <c r="A3052" s="195"/>
      <c r="B3052" s="196" t="s">
        <v>219</v>
      </c>
      <c r="C3052"/>
      <c r="D3052" s="197"/>
      <c r="E3052" s="197" t="s">
        <v>851</v>
      </c>
      <c r="F3052" s="197"/>
      <c r="G3052" s="197"/>
      <c r="H3052" s="197"/>
      <c r="I3052" s="209"/>
    </row>
    <row r="3053" spans="1:12">
      <c r="A3053" s="195"/>
      <c r="B3053" s="195" t="s">
        <v>205</v>
      </c>
      <c r="C3053"/>
      <c r="D3053" s="197"/>
      <c r="E3053" s="197"/>
      <c r="F3053" s="197"/>
      <c r="G3053" s="197"/>
      <c r="H3053" s="197"/>
      <c r="I3053" s="209"/>
    </row>
    <row r="3054" spans="1:12">
      <c r="A3054" s="195"/>
      <c r="B3054" s="195" t="s">
        <v>206</v>
      </c>
      <c r="C3054"/>
      <c r="D3054" s="197"/>
      <c r="E3054" s="197"/>
      <c r="F3054" s="197"/>
      <c r="G3054" s="197"/>
      <c r="H3054" s="197"/>
      <c r="I3054" s="209"/>
    </row>
    <row r="3055" spans="1:12">
      <c r="A3055" s="195"/>
      <c r="B3055" s="195" t="s">
        <v>207</v>
      </c>
      <c r="C3055"/>
      <c r="D3055" s="197"/>
      <c r="E3055" s="197"/>
      <c r="F3055" s="197"/>
      <c r="G3055" s="197"/>
      <c r="H3055" s="197"/>
      <c r="I3055" s="209"/>
    </row>
    <row r="3056" spans="1:12">
      <c r="A3056" s="195"/>
      <c r="B3056" s="196" t="s">
        <v>220</v>
      </c>
      <c r="C3056"/>
      <c r="D3056" s="197" t="s">
        <v>7</v>
      </c>
      <c r="E3056" s="197" t="s">
        <v>7</v>
      </c>
      <c r="F3056" s="189"/>
      <c r="G3056" s="189"/>
      <c r="H3056" s="197"/>
      <c r="I3056" s="209"/>
    </row>
    <row r="3057" spans="1:9">
      <c r="A3057" s="195"/>
      <c r="B3057" s="195" t="s">
        <v>205</v>
      </c>
      <c r="C3057"/>
      <c r="D3057" s="197" t="s">
        <v>886</v>
      </c>
      <c r="E3057" s="197" t="s">
        <v>228</v>
      </c>
      <c r="F3057" s="197"/>
      <c r="G3057" s="197"/>
      <c r="H3057" s="197"/>
      <c r="I3057" s="209"/>
    </row>
    <row r="3058" spans="1:9">
      <c r="A3058" s="195"/>
      <c r="B3058" s="195" t="s">
        <v>206</v>
      </c>
      <c r="C3058"/>
      <c r="D3058" s="197" t="s">
        <v>957</v>
      </c>
      <c r="E3058" s="197" t="s">
        <v>228</v>
      </c>
      <c r="F3058" s="197"/>
      <c r="G3058" s="197"/>
      <c r="H3058" s="197"/>
      <c r="I3058" s="209"/>
    </row>
    <row r="3059" spans="1:9">
      <c r="A3059" s="195"/>
      <c r="B3059" s="195" t="s">
        <v>207</v>
      </c>
      <c r="C3059"/>
      <c r="D3059" s="197" t="s">
        <v>886</v>
      </c>
      <c r="E3059" s="197" t="s">
        <v>228</v>
      </c>
      <c r="F3059" s="197"/>
      <c r="G3059" s="197"/>
      <c r="H3059" s="197"/>
      <c r="I3059" s="209"/>
    </row>
    <row r="3060" spans="1:9">
      <c r="A3060" s="195"/>
      <c r="B3060" s="196" t="s">
        <v>222</v>
      </c>
      <c r="C3060"/>
      <c r="D3060" s="197" t="s">
        <v>886</v>
      </c>
      <c r="E3060" s="197" t="s">
        <v>228</v>
      </c>
      <c r="F3060" s="197"/>
      <c r="G3060" s="197"/>
      <c r="H3060" s="197"/>
      <c r="I3060" s="209"/>
    </row>
    <row r="3061" spans="1:9">
      <c r="A3061" s="195"/>
      <c r="B3061" s="195" t="s">
        <v>205</v>
      </c>
      <c r="C3061"/>
      <c r="D3061" s="197"/>
      <c r="E3061" s="197" t="s">
        <v>228</v>
      </c>
      <c r="F3061" s="197"/>
      <c r="G3061" s="197"/>
      <c r="H3061" s="197"/>
      <c r="I3061" s="209"/>
    </row>
    <row r="3062" spans="1:9">
      <c r="A3062" s="195"/>
      <c r="B3062" s="195" t="s">
        <v>206</v>
      </c>
      <c r="C3062"/>
      <c r="D3062" s="197" t="s">
        <v>270</v>
      </c>
      <c r="E3062" s="197" t="s">
        <v>228</v>
      </c>
      <c r="F3062" s="197"/>
      <c r="G3062" s="197"/>
      <c r="H3062" s="197"/>
      <c r="I3062" s="209"/>
    </row>
    <row r="3063" spans="1:9">
      <c r="A3063" s="195"/>
      <c r="B3063" s="195" t="s">
        <v>207</v>
      </c>
      <c r="C3063"/>
      <c r="D3063" s="197" t="s">
        <v>270</v>
      </c>
      <c r="E3063" s="197" t="s">
        <v>228</v>
      </c>
      <c r="F3063" s="197"/>
      <c r="G3063" s="197"/>
      <c r="H3063" s="197"/>
      <c r="I3063" s="209"/>
    </row>
    <row r="3064" spans="1:9">
      <c r="A3064" s="195"/>
      <c r="B3064" s="196" t="s">
        <v>223</v>
      </c>
      <c r="C3064"/>
      <c r="D3064" s="197" t="s">
        <v>270</v>
      </c>
      <c r="E3064" s="197" t="s">
        <v>228</v>
      </c>
      <c r="F3064" s="197"/>
      <c r="G3064" s="197"/>
      <c r="H3064" s="197"/>
      <c r="I3064" s="209"/>
    </row>
    <row r="3065" spans="1:9">
      <c r="A3065" s="195"/>
      <c r="B3065" s="195" t="s">
        <v>205</v>
      </c>
      <c r="C3065"/>
      <c r="D3065" s="197" t="s">
        <v>270</v>
      </c>
      <c r="E3065" s="197" t="s">
        <v>273</v>
      </c>
      <c r="F3065" s="197"/>
      <c r="G3065" s="197"/>
      <c r="H3065" s="197"/>
      <c r="I3065" s="209"/>
    </row>
    <row r="3066" spans="1:9">
      <c r="A3066" s="195"/>
      <c r="B3066" s="195" t="s">
        <v>206</v>
      </c>
      <c r="C3066"/>
      <c r="D3066" s="197" t="s">
        <v>270</v>
      </c>
      <c r="E3066" s="197" t="s">
        <v>273</v>
      </c>
      <c r="F3066" s="197"/>
      <c r="G3066" s="197"/>
      <c r="H3066" s="197"/>
      <c r="I3066" s="209"/>
    </row>
    <row r="3067" spans="1:9">
      <c r="A3067" s="195"/>
      <c r="B3067" s="195" t="s">
        <v>207</v>
      </c>
      <c r="C3067"/>
      <c r="D3067" s="197" t="s">
        <v>270</v>
      </c>
      <c r="E3067" s="197" t="s">
        <v>273</v>
      </c>
      <c r="F3067" s="197"/>
      <c r="G3067" s="197"/>
      <c r="H3067" s="197"/>
      <c r="I3067" s="209"/>
    </row>
    <row r="3068" spans="1:9">
      <c r="A3068" s="195"/>
      <c r="B3068" s="196" t="s">
        <v>225</v>
      </c>
      <c r="C3068"/>
      <c r="D3068" s="197" t="s">
        <v>270</v>
      </c>
      <c r="E3068" s="197" t="s">
        <v>263</v>
      </c>
      <c r="F3068" s="197"/>
      <c r="G3068" s="197"/>
      <c r="H3068" s="197"/>
      <c r="I3068" s="209"/>
    </row>
    <row r="3069" spans="1:9">
      <c r="A3069" s="195"/>
      <c r="B3069" s="195" t="s">
        <v>205</v>
      </c>
      <c r="C3069"/>
      <c r="D3069" s="197" t="s">
        <v>270</v>
      </c>
      <c r="E3069" s="197" t="s">
        <v>263</v>
      </c>
      <c r="F3069" s="197"/>
      <c r="G3069" s="197"/>
      <c r="H3069" s="209"/>
      <c r="I3069" s="209"/>
    </row>
    <row r="3070" spans="1:9">
      <c r="A3070" s="195"/>
      <c r="B3070" s="195" t="s">
        <v>206</v>
      </c>
      <c r="C3070"/>
      <c r="D3070" s="197" t="s">
        <v>270</v>
      </c>
      <c r="E3070" s="197" t="s">
        <v>263</v>
      </c>
      <c r="F3070" s="197"/>
      <c r="G3070" s="197"/>
      <c r="H3070" s="209"/>
      <c r="I3070" s="209"/>
    </row>
    <row r="3071" spans="1:9">
      <c r="A3071" s="195"/>
      <c r="B3071" s="195" t="s">
        <v>207</v>
      </c>
      <c r="C3071"/>
      <c r="D3071" s="197" t="s">
        <v>270</v>
      </c>
      <c r="E3071" s="197" t="s">
        <v>263</v>
      </c>
      <c r="F3071" s="197"/>
      <c r="G3071" s="197"/>
      <c r="H3071" s="209"/>
      <c r="I3071" s="209"/>
    </row>
    <row r="3072" spans="1:9">
      <c r="A3072" s="195"/>
      <c r="B3072" s="196" t="s">
        <v>226</v>
      </c>
      <c r="C3072"/>
      <c r="D3072" s="197" t="s">
        <v>270</v>
      </c>
      <c r="E3072" s="197"/>
      <c r="F3072" s="197"/>
      <c r="G3072" s="197"/>
      <c r="H3072" s="209"/>
      <c r="I3072" s="209"/>
    </row>
    <row r="3073" spans="1:12">
      <c r="A3073" s="195"/>
      <c r="B3073" s="195" t="s">
        <v>205</v>
      </c>
      <c r="C3073"/>
      <c r="D3073" s="197" t="s">
        <v>270</v>
      </c>
      <c r="E3073" s="197"/>
      <c r="F3073" s="197"/>
      <c r="G3073" s="197"/>
      <c r="H3073" s="209"/>
      <c r="I3073" s="209"/>
    </row>
    <row r="3074" spans="1:12">
      <c r="A3074" s="195"/>
      <c r="B3074" s="195" t="s">
        <v>206</v>
      </c>
      <c r="C3074"/>
      <c r="D3074" s="197" t="s">
        <v>270</v>
      </c>
      <c r="E3074" s="197"/>
      <c r="F3074" s="197"/>
      <c r="G3074" s="197"/>
      <c r="H3074" s="209"/>
      <c r="I3074" s="209"/>
    </row>
    <row r="3075" spans="1:12">
      <c r="A3075" s="195"/>
      <c r="B3075" s="195" t="s">
        <v>207</v>
      </c>
      <c r="C3075"/>
      <c r="D3075" s="197" t="s">
        <v>270</v>
      </c>
      <c r="E3075" s="197"/>
      <c r="F3075" s="197"/>
      <c r="G3075" s="197"/>
      <c r="H3075" s="209"/>
      <c r="I3075" s="209"/>
    </row>
    <row r="3076" spans="1:12">
      <c r="A3076" s="195"/>
      <c r="B3076" s="196" t="s">
        <v>227</v>
      </c>
      <c r="C3076"/>
      <c r="D3076" s="197"/>
      <c r="E3076" s="197"/>
      <c r="F3076" s="197"/>
      <c r="G3076" s="197"/>
      <c r="H3076" s="209"/>
      <c r="I3076" s="209"/>
      <c r="K3076"/>
    </row>
    <row r="3077" spans="1:12" ht="29.25" thickBot="1">
      <c r="A3077" s="182" t="str">
        <f>"回収シフト  第"&amp;ROUNDUP(DAY(B3080)/7,0)  &amp;"  "&amp;TEXT(B3080,"aaaa")</f>
        <v>回収シフト  第2  月曜日</v>
      </c>
      <c r="B3077" s="183"/>
      <c r="C3077" s="183"/>
      <c r="D3077" s="183"/>
      <c r="E3077" s="183"/>
      <c r="F3077" s="183"/>
      <c r="G3077" s="184"/>
      <c r="H3077" s="184"/>
      <c r="I3077" s="184"/>
      <c r="K3077" s="183"/>
      <c r="L3077" s="183"/>
    </row>
    <row r="3078" spans="1:12" ht="15.75" thickBot="1">
      <c r="A3078"/>
      <c r="B3078"/>
      <c r="C3078"/>
      <c r="D3078" s="186" t="s">
        <v>201</v>
      </c>
      <c r="E3078" s="186" t="s">
        <v>202</v>
      </c>
      <c r="F3078" s="186" t="s">
        <v>203</v>
      </c>
      <c r="G3078" s="186" t="s">
        <v>204</v>
      </c>
      <c r="H3078" s="186" t="s">
        <v>267</v>
      </c>
      <c r="I3078" s="217" t="s">
        <v>267</v>
      </c>
      <c r="K3078" s="230" t="s">
        <v>257</v>
      </c>
      <c r="L3078" s="231"/>
    </row>
    <row r="3079" spans="1:12">
      <c r="A3079" s="187"/>
      <c r="B3079" s="188">
        <v>45495</v>
      </c>
      <c r="C3079" s="187"/>
      <c r="D3079" s="189" t="s">
        <v>728</v>
      </c>
      <c r="E3079" s="189" t="s">
        <v>358</v>
      </c>
      <c r="F3079" s="189" t="s">
        <v>276</v>
      </c>
      <c r="G3079" s="189" t="s">
        <v>923</v>
      </c>
      <c r="H3079" s="189"/>
      <c r="I3079" s="218"/>
      <c r="K3079" s="232" t="s">
        <v>258</v>
      </c>
      <c r="L3079" s="190" t="str">
        <f>_xlfn.XLOOKUP($B3080,シフト抽出!$19:$19,シフト抽出!$20:$20,"該当なし",0,1)</f>
        <v>該当なし</v>
      </c>
    </row>
    <row r="3080" spans="1:12" ht="19.5" thickBot="1">
      <c r="A3080"/>
      <c r="B3080" s="191">
        <f>B3027+2</f>
        <v>46181</v>
      </c>
      <c r="C3080" s="192" t="e">
        <v>#REF!</v>
      </c>
      <c r="D3080" s="193"/>
      <c r="E3080" s="193"/>
      <c r="F3080" s="193"/>
      <c r="G3080" s="193"/>
      <c r="H3080" s="193"/>
      <c r="I3080" s="219"/>
      <c r="K3080" s="233"/>
      <c r="L3080" s="194" t="str">
        <f>_xlfn.XLOOKUP($B3080,シフト抽出!$19:$19,シフト抽出!$21:$21,"該当なし",0,1)</f>
        <v>該当なし</v>
      </c>
    </row>
    <row r="3081" spans="1:12">
      <c r="A3081" s="195"/>
      <c r="B3081" s="196">
        <v>0.25</v>
      </c>
      <c r="C3081"/>
      <c r="D3081" s="197"/>
      <c r="E3081" s="196"/>
      <c r="F3081" s="197"/>
      <c r="G3081" s="197"/>
      <c r="H3081" s="197"/>
      <c r="I3081" s="209"/>
      <c r="K3081" s="234" t="s">
        <v>259</v>
      </c>
      <c r="L3081" s="198" t="str">
        <f>_xlfn.XLOOKUP($B3080,シフト抽出!$19:$19,シフト抽出!$23:$23,"該当なし",0,1)</f>
        <v>該当なし</v>
      </c>
    </row>
    <row r="3082" spans="1:12" ht="15.75" thickBot="1">
      <c r="A3082" s="195"/>
      <c r="B3082" s="195" t="s">
        <v>205</v>
      </c>
      <c r="C3082"/>
      <c r="D3082" s="197"/>
      <c r="E3082" s="197" t="s">
        <v>807</v>
      </c>
      <c r="F3082" s="197"/>
      <c r="G3082" s="197"/>
      <c r="H3082" s="197"/>
      <c r="I3082" s="209"/>
      <c r="K3082" s="235"/>
      <c r="L3082" s="199" t="str">
        <f>_xlfn.XLOOKUP($B3080,シフト抽出!$19:$19,シフト抽出!$24:$24,"該当なし",0,1)</f>
        <v>該当なし</v>
      </c>
    </row>
    <row r="3083" spans="1:12">
      <c r="A3083" s="195"/>
      <c r="B3083" s="195" t="s">
        <v>206</v>
      </c>
      <c r="C3083"/>
      <c r="D3083" s="197"/>
      <c r="E3083" s="197" t="s">
        <v>107</v>
      </c>
      <c r="F3083" s="197"/>
      <c r="G3083" s="197"/>
      <c r="H3083" s="197"/>
      <c r="I3083" s="209"/>
      <c r="K3083" s="224" t="s">
        <v>260</v>
      </c>
      <c r="L3083" s="200" t="str">
        <f>_xlfn.XLOOKUP($B3080,シフト抽出!$19:$19,シフト抽出!$26:$26,"該当なし",0,1)</f>
        <v>該当なし</v>
      </c>
    </row>
    <row r="3084" spans="1:12">
      <c r="A3084" s="195"/>
      <c r="B3084" s="195" t="s">
        <v>207</v>
      </c>
      <c r="C3084"/>
      <c r="D3084" s="197"/>
      <c r="E3084" s="197" t="s">
        <v>199</v>
      </c>
      <c r="F3084" s="197"/>
      <c r="G3084" s="197"/>
      <c r="H3084" s="197"/>
      <c r="I3084" s="209"/>
      <c r="K3084" s="225"/>
      <c r="L3084" s="201" t="str">
        <f>_xlfn.XLOOKUP($B3080,シフト抽出!$19:$19,シフト抽出!$27:$27,"該当なし",0,1)</f>
        <v>該当なし</v>
      </c>
    </row>
    <row r="3085" spans="1:12">
      <c r="A3085" s="195"/>
      <c r="B3085" s="202" t="s">
        <v>208</v>
      </c>
      <c r="C3085"/>
      <c r="D3085" s="197"/>
      <c r="E3085" s="197" t="s">
        <v>851</v>
      </c>
      <c r="F3085" s="197"/>
      <c r="G3085" s="197"/>
      <c r="H3085" s="197"/>
      <c r="I3085" s="209"/>
      <c r="J3085" s="203"/>
      <c r="K3085" s="225"/>
      <c r="L3085" s="201" t="str">
        <f>_xlfn.XLOOKUP($B3080,シフト抽出!$19:$19,シフト抽出!$28:$28,"該当なし",0,1)</f>
        <v>該当なし</v>
      </c>
    </row>
    <row r="3086" spans="1:12" ht="15.75" thickBot="1">
      <c r="A3086" s="195"/>
      <c r="B3086" s="195" t="s">
        <v>205</v>
      </c>
      <c r="C3086"/>
      <c r="D3086" s="197"/>
      <c r="E3086" s="197" t="s">
        <v>851</v>
      </c>
      <c r="F3086" s="197"/>
      <c r="G3086" s="197"/>
      <c r="H3086" s="197"/>
      <c r="I3086" s="209"/>
      <c r="J3086" s="203"/>
      <c r="K3086" s="226"/>
      <c r="L3086" s="204" t="str">
        <f>_xlfn.XLOOKUP($B3080,シフト抽出!$19:$19,シフト抽出!$29:$29,"該当なし",0,1)</f>
        <v>該当なし</v>
      </c>
    </row>
    <row r="3087" spans="1:12" ht="15.75" thickBot="1">
      <c r="A3087" s="195"/>
      <c r="B3087" s="195" t="s">
        <v>206</v>
      </c>
      <c r="C3087"/>
      <c r="D3087" s="197"/>
      <c r="E3087" s="197" t="s">
        <v>851</v>
      </c>
      <c r="F3087" s="197"/>
      <c r="G3087" s="197"/>
      <c r="H3087" s="197"/>
      <c r="I3087" s="209"/>
      <c r="K3087" s="205" t="s">
        <v>261</v>
      </c>
      <c r="L3087" s="205">
        <f>_xlfn.XLOOKUP($B3080,予定表!B:B,予定表!R:R,"該当なし",0,1)</f>
        <v>0</v>
      </c>
    </row>
    <row r="3088" spans="1:12">
      <c r="A3088" s="195"/>
      <c r="B3088" s="195" t="s">
        <v>207</v>
      </c>
      <c r="C3088"/>
      <c r="D3088" s="197"/>
      <c r="E3088" s="197" t="s">
        <v>851</v>
      </c>
      <c r="F3088" s="197"/>
      <c r="G3088" s="197"/>
      <c r="H3088" s="197"/>
      <c r="I3088" s="209"/>
      <c r="K3088" s="227" t="s">
        <v>262</v>
      </c>
      <c r="L3088" s="206">
        <f>_xlfn.XLOOKUP($B3080,予定表!$B:$B,予定表!E:E,"該当なし",0,1)</f>
        <v>0</v>
      </c>
    </row>
    <row r="3089" spans="1:12">
      <c r="A3089" s="195"/>
      <c r="B3089" s="196" t="s">
        <v>209</v>
      </c>
      <c r="C3089"/>
      <c r="D3089" s="197"/>
      <c r="E3089" s="197" t="s">
        <v>851</v>
      </c>
      <c r="F3089" s="197"/>
      <c r="G3089" s="197"/>
      <c r="H3089" s="197"/>
      <c r="I3089" s="209"/>
      <c r="K3089" s="228"/>
      <c r="L3089" s="207" t="str">
        <f>_xlfn.XLOOKUP($B3080,予定表!$B:$B,予定表!F:F,"該当なし",0,1)</f>
        <v>キョクレイストレッチ</v>
      </c>
    </row>
    <row r="3090" spans="1:12">
      <c r="A3090" s="195"/>
      <c r="B3090" s="195" t="s">
        <v>205</v>
      </c>
      <c r="C3090"/>
      <c r="D3090" s="197" t="s">
        <v>264</v>
      </c>
      <c r="E3090" s="197" t="s">
        <v>851</v>
      </c>
      <c r="F3090" s="197" t="s">
        <v>848</v>
      </c>
      <c r="G3090" s="197" t="s">
        <v>268</v>
      </c>
      <c r="H3090" s="197"/>
      <c r="I3090" s="209"/>
      <c r="K3090" s="228"/>
      <c r="L3090" s="207" t="str">
        <f>_xlfn.XLOOKUP($B3080,予定表!$B:$B,予定表!G:G,"該当なし",0,1)</f>
        <v>ディーミング</v>
      </c>
    </row>
    <row r="3091" spans="1:12">
      <c r="A3091" s="195"/>
      <c r="B3091" s="195" t="s">
        <v>206</v>
      </c>
      <c r="C3091"/>
      <c r="D3091" s="197" t="s">
        <v>788</v>
      </c>
      <c r="E3091" s="197" t="s">
        <v>414</v>
      </c>
      <c r="F3091" s="197" t="s">
        <v>848</v>
      </c>
      <c r="G3091" s="197" t="s">
        <v>268</v>
      </c>
      <c r="H3091" s="197"/>
      <c r="I3091" s="209"/>
      <c r="K3091" s="228"/>
      <c r="L3091" s="207" t="str">
        <f>_xlfn.XLOOKUP($B3080,予定表!$B:$B,予定表!H:H,"該当なし",0,1)</f>
        <v>資さんうどん</v>
      </c>
    </row>
    <row r="3092" spans="1:12">
      <c r="A3092" s="195"/>
      <c r="B3092" s="195" t="s">
        <v>207</v>
      </c>
      <c r="C3092"/>
      <c r="D3092" s="197" t="s">
        <v>788</v>
      </c>
      <c r="E3092" s="197" t="s">
        <v>414</v>
      </c>
      <c r="F3092" s="197" t="s">
        <v>848</v>
      </c>
      <c r="G3092" s="197" t="s">
        <v>268</v>
      </c>
      <c r="H3092" s="197"/>
      <c r="I3092" s="209"/>
      <c r="K3092" s="228"/>
      <c r="L3092" s="207" t="str">
        <f>_xlfn.XLOOKUP($B3080,予定表!$B:$B,予定表!I:I,"該当なし",0,1)</f>
        <v/>
      </c>
    </row>
    <row r="3093" spans="1:12">
      <c r="A3093" s="195"/>
      <c r="B3093" s="196" t="s">
        <v>212</v>
      </c>
      <c r="C3093"/>
      <c r="D3093" s="197" t="s">
        <v>119</v>
      </c>
      <c r="E3093" s="197" t="s">
        <v>414</v>
      </c>
      <c r="F3093" s="197" t="s">
        <v>848</v>
      </c>
      <c r="G3093" s="197" t="s">
        <v>268</v>
      </c>
      <c r="H3093" s="197"/>
      <c r="I3093" s="209"/>
      <c r="K3093" s="228"/>
      <c r="L3093" s="207" t="str">
        <f>_xlfn.XLOOKUP($B3080,予定表!$B:$B,予定表!J:J,"該当なし",0,1)</f>
        <v/>
      </c>
    </row>
    <row r="3094" spans="1:12">
      <c r="A3094" s="195"/>
      <c r="B3094" s="195" t="s">
        <v>205</v>
      </c>
      <c r="C3094"/>
      <c r="D3094" s="197" t="s">
        <v>376</v>
      </c>
      <c r="E3094" s="197" t="s">
        <v>414</v>
      </c>
      <c r="F3094" s="197" t="s">
        <v>229</v>
      </c>
      <c r="G3094" s="197" t="s">
        <v>268</v>
      </c>
      <c r="H3094" s="197"/>
      <c r="I3094" s="209"/>
      <c r="K3094" s="228"/>
      <c r="L3094" s="207" t="str">
        <f>_xlfn.XLOOKUP($B3080,予定表!$B:$B,予定表!K:K,"該当なし",0,1)</f>
        <v/>
      </c>
    </row>
    <row r="3095" spans="1:12">
      <c r="A3095" s="195"/>
      <c r="B3095" s="195" t="s">
        <v>206</v>
      </c>
      <c r="C3095"/>
      <c r="D3095" s="197" t="s">
        <v>278</v>
      </c>
      <c r="E3095" s="197" t="s">
        <v>414</v>
      </c>
      <c r="F3095" s="197" t="s">
        <v>229</v>
      </c>
      <c r="G3095" s="197" t="s">
        <v>515</v>
      </c>
      <c r="H3095" s="197"/>
      <c r="I3095" s="209"/>
      <c r="K3095" s="228"/>
      <c r="L3095" s="207" t="str">
        <f>_xlfn.XLOOKUP($B3080,予定表!$B:$B,予定表!L:L,"該当なし",0,1)</f>
        <v/>
      </c>
    </row>
    <row r="3096" spans="1:12" ht="15.75" thickBot="1">
      <c r="A3096" s="195"/>
      <c r="B3096" s="195" t="s">
        <v>207</v>
      </c>
      <c r="C3096"/>
      <c r="D3096" s="197" t="s">
        <v>213</v>
      </c>
      <c r="E3096" s="197" t="s">
        <v>414</v>
      </c>
      <c r="F3096" s="197" t="s">
        <v>230</v>
      </c>
      <c r="G3096" s="197" t="s">
        <v>515</v>
      </c>
      <c r="H3096" s="197"/>
      <c r="I3096" s="209"/>
      <c r="K3096" s="229"/>
      <c r="L3096" s="204" t="str">
        <f>_xlfn.XLOOKUP($A3077,ﾘｽﾄマスタ!$U$8:$U$17,ﾘｽﾄマスタ!$V$8:$V$17,"",0)</f>
        <v>広陽</v>
      </c>
    </row>
    <row r="3097" spans="1:12" ht="15.75" thickBot="1">
      <c r="A3097" s="195"/>
      <c r="B3097" s="196" t="s">
        <v>251</v>
      </c>
      <c r="C3097"/>
      <c r="D3097" s="197" t="s">
        <v>144</v>
      </c>
      <c r="E3097" s="197" t="s">
        <v>862</v>
      </c>
      <c r="F3097" s="197" t="s">
        <v>230</v>
      </c>
      <c r="G3097" s="197" t="s">
        <v>269</v>
      </c>
      <c r="H3097" s="197"/>
      <c r="I3097" s="209"/>
      <c r="K3097" s="208" t="s">
        <v>277</v>
      </c>
      <c r="L3097" s="208" t="str">
        <f>_xlfn.XLOOKUP($B3080,シフト抽出!$19:$19,シフト抽出!$30:$30,"該当なし",0,1)</f>
        <v>該当なし</v>
      </c>
    </row>
    <row r="3098" spans="1:12">
      <c r="A3098" s="195"/>
      <c r="B3098" s="195" t="s">
        <v>205</v>
      </c>
      <c r="C3098"/>
      <c r="D3098" s="197" t="s">
        <v>144</v>
      </c>
      <c r="E3098" s="197" t="s">
        <v>214</v>
      </c>
      <c r="F3098" s="197" t="s">
        <v>230</v>
      </c>
      <c r="G3098" s="197" t="s">
        <v>269</v>
      </c>
      <c r="H3098" s="197"/>
      <c r="I3098" s="209"/>
    </row>
    <row r="3099" spans="1:12">
      <c r="A3099" s="195"/>
      <c r="B3099" s="195" t="s">
        <v>206</v>
      </c>
      <c r="C3099"/>
      <c r="D3099" s="197" t="s">
        <v>218</v>
      </c>
      <c r="E3099" s="197" t="s">
        <v>214</v>
      </c>
      <c r="F3099" s="197"/>
      <c r="G3099" s="197" t="s">
        <v>269</v>
      </c>
      <c r="H3099" s="197"/>
      <c r="I3099" s="209"/>
    </row>
    <row r="3100" spans="1:12">
      <c r="A3100" s="195"/>
      <c r="B3100" s="195" t="s">
        <v>207</v>
      </c>
      <c r="C3100"/>
      <c r="D3100" s="197" t="s">
        <v>78</v>
      </c>
      <c r="E3100" s="197" t="s">
        <v>214</v>
      </c>
      <c r="F3100" s="197" t="s">
        <v>51</v>
      </c>
      <c r="G3100" s="197" t="s">
        <v>269</v>
      </c>
      <c r="H3100" s="197"/>
      <c r="I3100" s="209"/>
    </row>
    <row r="3101" spans="1:12">
      <c r="A3101" s="195"/>
      <c r="B3101" s="196" t="s">
        <v>217</v>
      </c>
      <c r="C3101"/>
      <c r="D3101" s="197" t="s">
        <v>78</v>
      </c>
      <c r="E3101" s="197" t="s">
        <v>761</v>
      </c>
      <c r="F3101" s="197" t="s">
        <v>51</v>
      </c>
      <c r="G3101" s="197" t="s">
        <v>269</v>
      </c>
      <c r="H3101" s="197"/>
      <c r="I3101" s="209"/>
    </row>
    <row r="3102" spans="1:12">
      <c r="A3102" s="195"/>
      <c r="B3102" s="195" t="s">
        <v>205</v>
      </c>
      <c r="C3102"/>
      <c r="D3102" s="197" t="s">
        <v>146</v>
      </c>
      <c r="E3102" s="197" t="s">
        <v>761</v>
      </c>
      <c r="F3102" s="197" t="s">
        <v>51</v>
      </c>
      <c r="G3102" s="197" t="s">
        <v>446</v>
      </c>
      <c r="H3102" s="197"/>
      <c r="I3102" s="209"/>
    </row>
    <row r="3103" spans="1:12">
      <c r="A3103" s="195"/>
      <c r="B3103" s="195" t="s">
        <v>206</v>
      </c>
      <c r="C3103"/>
      <c r="D3103" s="197" t="s">
        <v>146</v>
      </c>
      <c r="E3103" s="197" t="s">
        <v>761</v>
      </c>
      <c r="F3103" s="197"/>
      <c r="G3103" s="197" t="s">
        <v>114</v>
      </c>
      <c r="H3103" s="197"/>
      <c r="I3103" s="209"/>
    </row>
    <row r="3104" spans="1:12">
      <c r="A3104" s="195"/>
      <c r="B3104" s="195" t="s">
        <v>207</v>
      </c>
      <c r="C3104"/>
      <c r="D3104" s="197"/>
      <c r="E3104" s="197" t="s">
        <v>761</v>
      </c>
      <c r="F3104" s="197"/>
      <c r="G3104" s="197" t="s">
        <v>114</v>
      </c>
      <c r="H3104" s="197"/>
      <c r="I3104" s="209"/>
    </row>
    <row r="3105" spans="1:9">
      <c r="A3105" s="195"/>
      <c r="B3105" s="196" t="s">
        <v>219</v>
      </c>
      <c r="C3105"/>
      <c r="D3105" s="197"/>
      <c r="E3105" s="197"/>
      <c r="F3105" s="197"/>
      <c r="G3105" s="197"/>
      <c r="H3105" s="197"/>
      <c r="I3105" s="209"/>
    </row>
    <row r="3106" spans="1:9">
      <c r="A3106" s="195"/>
      <c r="B3106" s="195" t="s">
        <v>205</v>
      </c>
      <c r="C3106"/>
      <c r="D3106" s="197"/>
      <c r="E3106" s="197"/>
      <c r="F3106" s="197"/>
      <c r="G3106" s="197"/>
      <c r="H3106" s="197"/>
      <c r="I3106" s="209"/>
    </row>
    <row r="3107" spans="1:9">
      <c r="A3107" s="195"/>
      <c r="B3107" s="195" t="s">
        <v>206</v>
      </c>
      <c r="C3107"/>
      <c r="D3107" s="197"/>
      <c r="E3107" s="197"/>
      <c r="F3107" s="197"/>
      <c r="G3107" s="197"/>
      <c r="H3107" s="197"/>
      <c r="I3107" s="209"/>
    </row>
    <row r="3108" spans="1:9">
      <c r="A3108" s="195"/>
      <c r="B3108" s="195" t="s">
        <v>207</v>
      </c>
      <c r="C3108"/>
      <c r="D3108" s="197"/>
      <c r="E3108" s="197"/>
      <c r="F3108" s="197"/>
      <c r="G3108" s="197"/>
      <c r="H3108" s="197"/>
      <c r="I3108" s="209"/>
    </row>
    <row r="3109" spans="1:9">
      <c r="A3109" s="195"/>
      <c r="B3109" s="196" t="s">
        <v>220</v>
      </c>
      <c r="C3109"/>
      <c r="D3109" s="189" t="s">
        <v>874</v>
      </c>
      <c r="E3109" s="189"/>
      <c r="F3109" s="189"/>
      <c r="G3109" s="189" t="s">
        <v>925</v>
      </c>
      <c r="H3109" s="197"/>
      <c r="I3109" s="209"/>
    </row>
    <row r="3110" spans="1:9">
      <c r="A3110" s="195"/>
      <c r="B3110" s="195" t="s">
        <v>205</v>
      </c>
      <c r="C3110"/>
      <c r="D3110" s="197" t="s">
        <v>759</v>
      </c>
      <c r="E3110" s="197" t="s">
        <v>848</v>
      </c>
      <c r="F3110" s="197" t="s">
        <v>193</v>
      </c>
      <c r="G3110" s="197" t="s">
        <v>56</v>
      </c>
      <c r="H3110" s="197"/>
      <c r="I3110" s="209"/>
    </row>
    <row r="3111" spans="1:9">
      <c r="A3111" s="195"/>
      <c r="B3111" s="195" t="s">
        <v>206</v>
      </c>
      <c r="C3111"/>
      <c r="D3111" s="197" t="s">
        <v>759</v>
      </c>
      <c r="E3111" s="197" t="s">
        <v>848</v>
      </c>
      <c r="F3111" s="197" t="s">
        <v>193</v>
      </c>
      <c r="G3111" s="197" t="s">
        <v>56</v>
      </c>
      <c r="H3111" s="197"/>
      <c r="I3111" s="209"/>
    </row>
    <row r="3112" spans="1:9">
      <c r="A3112" s="195"/>
      <c r="B3112" s="195" t="s">
        <v>207</v>
      </c>
      <c r="C3112"/>
      <c r="D3112" s="197" t="s">
        <v>759</v>
      </c>
      <c r="E3112" s="197" t="s">
        <v>848</v>
      </c>
      <c r="F3112" s="197"/>
      <c r="G3112" s="197" t="s">
        <v>56</v>
      </c>
      <c r="H3112" s="197"/>
      <c r="I3112" s="209"/>
    </row>
    <row r="3113" spans="1:9">
      <c r="A3113" s="195"/>
      <c r="B3113" s="196" t="s">
        <v>222</v>
      </c>
      <c r="C3113"/>
      <c r="D3113" s="197" t="s">
        <v>216</v>
      </c>
      <c r="E3113" s="197" t="s">
        <v>273</v>
      </c>
      <c r="F3113" s="197" t="s">
        <v>224</v>
      </c>
      <c r="G3113" s="197" t="s">
        <v>56</v>
      </c>
      <c r="H3113" s="197"/>
      <c r="I3113" s="209"/>
    </row>
    <row r="3114" spans="1:9">
      <c r="A3114" s="195"/>
      <c r="B3114" s="195" t="s">
        <v>205</v>
      </c>
      <c r="C3114"/>
      <c r="D3114" s="197" t="s">
        <v>216</v>
      </c>
      <c r="E3114" s="197" t="s">
        <v>273</v>
      </c>
      <c r="F3114" s="197" t="s">
        <v>865</v>
      </c>
      <c r="G3114" s="197"/>
      <c r="H3114" s="197"/>
      <c r="I3114" s="209"/>
    </row>
    <row r="3115" spans="1:9">
      <c r="A3115" s="195"/>
      <c r="B3115" s="195" t="s">
        <v>206</v>
      </c>
      <c r="C3115"/>
      <c r="D3115" s="197" t="s">
        <v>216</v>
      </c>
      <c r="E3115" s="197" t="s">
        <v>273</v>
      </c>
      <c r="F3115" s="197" t="s">
        <v>866</v>
      </c>
      <c r="G3115" s="197" t="s">
        <v>270</v>
      </c>
      <c r="H3115" s="197"/>
      <c r="I3115" s="209"/>
    </row>
    <row r="3116" spans="1:9">
      <c r="A3116" s="195"/>
      <c r="B3116" s="195" t="s">
        <v>207</v>
      </c>
      <c r="C3116"/>
      <c r="D3116" s="197" t="s">
        <v>216</v>
      </c>
      <c r="E3116" s="197" t="s">
        <v>252</v>
      </c>
      <c r="F3116" s="197" t="s">
        <v>771</v>
      </c>
      <c r="G3116" s="197" t="s">
        <v>270</v>
      </c>
      <c r="H3116" s="197"/>
      <c r="I3116" s="209"/>
    </row>
    <row r="3117" spans="1:9">
      <c r="A3117" s="195"/>
      <c r="B3117" s="196" t="s">
        <v>223</v>
      </c>
      <c r="C3117"/>
      <c r="D3117" s="197" t="s">
        <v>215</v>
      </c>
      <c r="E3117" s="197" t="s">
        <v>252</v>
      </c>
      <c r="F3117" s="197" t="s">
        <v>416</v>
      </c>
      <c r="G3117" s="197" t="s">
        <v>270</v>
      </c>
      <c r="H3117" s="197"/>
      <c r="I3117" s="209"/>
    </row>
    <row r="3118" spans="1:9">
      <c r="A3118" s="195"/>
      <c r="B3118" s="195" t="s">
        <v>205</v>
      </c>
      <c r="C3118"/>
      <c r="D3118" s="197" t="s">
        <v>280</v>
      </c>
      <c r="E3118" s="197" t="s">
        <v>252</v>
      </c>
      <c r="F3118" s="197" t="s">
        <v>416</v>
      </c>
      <c r="G3118" s="197" t="s">
        <v>270</v>
      </c>
      <c r="H3118" s="197"/>
      <c r="I3118" s="209"/>
    </row>
    <row r="3119" spans="1:9">
      <c r="A3119" s="195"/>
      <c r="B3119" s="195" t="s">
        <v>206</v>
      </c>
      <c r="C3119"/>
      <c r="D3119" s="197" t="s">
        <v>127</v>
      </c>
      <c r="E3119" s="197" t="s">
        <v>252</v>
      </c>
      <c r="F3119" s="197" t="s">
        <v>416</v>
      </c>
      <c r="G3119" s="197" t="s">
        <v>270</v>
      </c>
      <c r="H3119" s="197"/>
      <c r="I3119" s="209"/>
    </row>
    <row r="3120" spans="1:9">
      <c r="A3120" s="195"/>
      <c r="B3120" s="195" t="s">
        <v>207</v>
      </c>
      <c r="C3120"/>
      <c r="D3120" s="197"/>
      <c r="E3120" s="197" t="s">
        <v>252</v>
      </c>
      <c r="F3120" s="197"/>
      <c r="G3120" s="197" t="s">
        <v>270</v>
      </c>
      <c r="H3120" s="197"/>
      <c r="I3120" s="209"/>
    </row>
    <row r="3121" spans="1:12">
      <c r="A3121" s="195"/>
      <c r="B3121" s="196" t="s">
        <v>225</v>
      </c>
      <c r="C3121"/>
      <c r="D3121" s="197"/>
      <c r="E3121" s="197" t="s">
        <v>252</v>
      </c>
      <c r="F3121" s="197"/>
      <c r="G3121" s="197" t="s">
        <v>270</v>
      </c>
      <c r="H3121" s="197"/>
      <c r="I3121" s="209"/>
    </row>
    <row r="3122" spans="1:12">
      <c r="A3122" s="195"/>
      <c r="B3122" s="195" t="s">
        <v>205</v>
      </c>
      <c r="C3122"/>
      <c r="D3122" s="197"/>
      <c r="E3122" s="197" t="s">
        <v>252</v>
      </c>
      <c r="F3122" s="197"/>
      <c r="G3122" s="197" t="s">
        <v>270</v>
      </c>
      <c r="H3122" s="209"/>
      <c r="I3122" s="209"/>
    </row>
    <row r="3123" spans="1:12">
      <c r="A3123" s="195"/>
      <c r="B3123" s="195" t="s">
        <v>206</v>
      </c>
      <c r="C3123"/>
      <c r="D3123" s="197"/>
      <c r="E3123" s="197"/>
      <c r="F3123" s="197"/>
      <c r="G3123" s="197" t="s">
        <v>270</v>
      </c>
      <c r="H3123" s="209"/>
      <c r="I3123" s="209"/>
    </row>
    <row r="3124" spans="1:12">
      <c r="A3124" s="195"/>
      <c r="B3124" s="195" t="s">
        <v>207</v>
      </c>
      <c r="C3124"/>
      <c r="D3124" s="197"/>
      <c r="E3124" s="197"/>
      <c r="F3124" s="197"/>
      <c r="G3124" s="197" t="s">
        <v>270</v>
      </c>
      <c r="H3124" s="209"/>
      <c r="I3124" s="209"/>
    </row>
    <row r="3125" spans="1:12">
      <c r="A3125" s="195"/>
      <c r="B3125" s="196" t="s">
        <v>226</v>
      </c>
      <c r="C3125"/>
      <c r="D3125" s="197"/>
      <c r="E3125" s="197"/>
      <c r="F3125" s="197"/>
      <c r="G3125" s="197" t="s">
        <v>270</v>
      </c>
      <c r="H3125" s="209"/>
      <c r="I3125" s="209"/>
    </row>
    <row r="3126" spans="1:12">
      <c r="A3126" s="195"/>
      <c r="B3126" s="195" t="s">
        <v>205</v>
      </c>
      <c r="C3126"/>
      <c r="D3126" s="197"/>
      <c r="E3126" s="197"/>
      <c r="F3126" s="197"/>
      <c r="G3126" s="197" t="s">
        <v>270</v>
      </c>
      <c r="H3126" s="209"/>
      <c r="I3126" s="209"/>
    </row>
    <row r="3127" spans="1:12">
      <c r="A3127" s="195"/>
      <c r="B3127" s="195" t="s">
        <v>206</v>
      </c>
      <c r="C3127"/>
      <c r="D3127" s="197"/>
      <c r="E3127" s="197"/>
      <c r="F3127" s="197"/>
      <c r="G3127" s="197" t="s">
        <v>270</v>
      </c>
      <c r="H3127" s="209"/>
      <c r="I3127" s="209"/>
    </row>
    <row r="3128" spans="1:12">
      <c r="A3128" s="195"/>
      <c r="B3128" s="195" t="s">
        <v>207</v>
      </c>
      <c r="C3128"/>
      <c r="D3128" s="197"/>
      <c r="E3128" s="197"/>
      <c r="F3128" s="197"/>
      <c r="G3128" s="197" t="s">
        <v>270</v>
      </c>
      <c r="H3128" s="209"/>
      <c r="I3128" s="209"/>
    </row>
    <row r="3129" spans="1:12">
      <c r="A3129" s="195"/>
      <c r="B3129" s="196" t="s">
        <v>227</v>
      </c>
      <c r="C3129"/>
      <c r="D3129" s="197"/>
      <c r="E3129" s="197"/>
      <c r="F3129" s="197"/>
      <c r="G3129" s="197"/>
      <c r="H3129" s="209"/>
      <c r="I3129" s="209"/>
      <c r="K3129"/>
    </row>
    <row r="3130" spans="1:12" ht="29.25" thickBot="1">
      <c r="A3130" s="182" t="str">
        <f>"回収シフト  第"&amp;ROUNDUP(DAY(B3133)/7,0)  &amp;"  "&amp;TEXT(B3133,"aaaa")</f>
        <v>回収シフト  第2  火曜日</v>
      </c>
      <c r="B3130" s="183"/>
      <c r="C3130" s="183"/>
      <c r="D3130" s="183"/>
      <c r="E3130" s="183"/>
      <c r="F3130" s="183"/>
      <c r="G3130" s="184"/>
      <c r="H3130" s="184"/>
      <c r="I3130" s="184"/>
      <c r="K3130" s="183"/>
      <c r="L3130" s="183"/>
    </row>
    <row r="3131" spans="1:12" ht="15.75" thickBot="1">
      <c r="A3131"/>
      <c r="B3131"/>
      <c r="C3131"/>
      <c r="D3131" s="186" t="s">
        <v>201</v>
      </c>
      <c r="E3131" s="186" t="s">
        <v>202</v>
      </c>
      <c r="F3131" s="186" t="s">
        <v>203</v>
      </c>
      <c r="G3131" s="186" t="s">
        <v>204</v>
      </c>
      <c r="H3131" s="186" t="s">
        <v>267</v>
      </c>
      <c r="I3131" s="217" t="s">
        <v>267</v>
      </c>
      <c r="K3131" s="230" t="s">
        <v>257</v>
      </c>
      <c r="L3131" s="231"/>
    </row>
    <row r="3132" spans="1:12">
      <c r="A3132" s="187"/>
      <c r="B3132" s="188">
        <v>46119</v>
      </c>
      <c r="C3132" s="187"/>
      <c r="D3132" s="189" t="s">
        <v>863</v>
      </c>
      <c r="E3132" s="189" t="s">
        <v>849</v>
      </c>
      <c r="F3132" s="189" t="s">
        <v>276</v>
      </c>
      <c r="G3132" s="189" t="s">
        <v>925</v>
      </c>
      <c r="H3132" s="189" t="s">
        <v>852</v>
      </c>
      <c r="I3132" s="218" t="s">
        <v>852</v>
      </c>
      <c r="K3132" s="232" t="s">
        <v>258</v>
      </c>
      <c r="L3132" s="190" t="str">
        <f>_xlfn.XLOOKUP($B3133,シフト抽出!$19:$19,シフト抽出!$20:$20,"該当なし",0,1)</f>
        <v>該当なし</v>
      </c>
    </row>
    <row r="3133" spans="1:12" ht="19.5" thickBot="1">
      <c r="A3133"/>
      <c r="B3133" s="191">
        <f>B3080+1</f>
        <v>46182</v>
      </c>
      <c r="C3133" s="192"/>
      <c r="D3133" s="193"/>
      <c r="E3133" s="193"/>
      <c r="F3133" s="193"/>
      <c r="G3133" s="193"/>
      <c r="H3133" s="193"/>
      <c r="I3133" s="219"/>
      <c r="K3133" s="233"/>
      <c r="L3133" s="194" t="str">
        <f>_xlfn.XLOOKUP($B3133,シフト抽出!$19:$19,シフト抽出!$21:$21,"該当なし",0,1)</f>
        <v>該当なし</v>
      </c>
    </row>
    <row r="3134" spans="1:12">
      <c r="A3134" s="195"/>
      <c r="B3134" s="196">
        <v>0.25</v>
      </c>
      <c r="C3134"/>
      <c r="D3134" s="197"/>
      <c r="E3134" s="196"/>
      <c r="F3134" s="197"/>
      <c r="G3134" s="197"/>
      <c r="H3134" s="197"/>
      <c r="I3134" s="209"/>
      <c r="K3134" s="234" t="s">
        <v>259</v>
      </c>
      <c r="L3134" s="198" t="str">
        <f>_xlfn.XLOOKUP($B3133,シフト抽出!$19:$19,シフト抽出!$23:$23,"該当なし",0,1)</f>
        <v>該当なし</v>
      </c>
    </row>
    <row r="3135" spans="1:12" ht="15.75" thickBot="1">
      <c r="A3135" s="195"/>
      <c r="B3135" s="195" t="s">
        <v>205</v>
      </c>
      <c r="C3135"/>
      <c r="D3135" s="197"/>
      <c r="E3135" s="197"/>
      <c r="F3135" s="197"/>
      <c r="G3135" s="197"/>
      <c r="H3135" s="197"/>
      <c r="I3135" s="209"/>
      <c r="K3135" s="235"/>
      <c r="L3135" s="199" t="str">
        <f>_xlfn.XLOOKUP($B3133,シフト抽出!$19:$19,シフト抽出!$24:$24,"該当なし",0,1)</f>
        <v>該当なし</v>
      </c>
    </row>
    <row r="3136" spans="1:12">
      <c r="A3136" s="195"/>
      <c r="B3136" s="195" t="s">
        <v>206</v>
      </c>
      <c r="C3136"/>
      <c r="D3136" s="197"/>
      <c r="E3136" s="197"/>
      <c r="F3136" s="197"/>
      <c r="G3136" s="197"/>
      <c r="H3136" s="197"/>
      <c r="I3136" s="209"/>
      <c r="K3136" s="224" t="s">
        <v>260</v>
      </c>
      <c r="L3136" s="200" t="str">
        <f>_xlfn.XLOOKUP($B3133,シフト抽出!$19:$19,シフト抽出!$26:$26,"該当なし",0,1)</f>
        <v>該当なし</v>
      </c>
    </row>
    <row r="3137" spans="1:12">
      <c r="A3137" s="195"/>
      <c r="B3137" s="195" t="s">
        <v>207</v>
      </c>
      <c r="C3137"/>
      <c r="D3137" s="197"/>
      <c r="E3137" s="197"/>
      <c r="F3137" s="197"/>
      <c r="G3137" s="197"/>
      <c r="H3137" s="197"/>
      <c r="I3137" s="209"/>
      <c r="K3137" s="225"/>
      <c r="L3137" s="201" t="str">
        <f>_xlfn.XLOOKUP($B3133,シフト抽出!$19:$19,シフト抽出!$27:$27,"該当なし",0,1)</f>
        <v>該当なし</v>
      </c>
    </row>
    <row r="3138" spans="1:12">
      <c r="A3138" s="195"/>
      <c r="B3138" s="202" t="s">
        <v>208</v>
      </c>
      <c r="C3138"/>
      <c r="D3138" s="197" t="s">
        <v>4</v>
      </c>
      <c r="E3138" s="197" t="s">
        <v>4</v>
      </c>
      <c r="F3138" s="197"/>
      <c r="G3138" s="197" t="s">
        <v>4</v>
      </c>
      <c r="H3138" s="197"/>
      <c r="I3138" s="209"/>
      <c r="J3138" s="203"/>
      <c r="K3138" s="225"/>
      <c r="L3138" s="201" t="str">
        <f>_xlfn.XLOOKUP($B3133,シフト抽出!$19:$19,シフト抽出!$28:$28,"該当なし",0,1)</f>
        <v>該当なし</v>
      </c>
    </row>
    <row r="3139" spans="1:12" ht="15.75" thickBot="1">
      <c r="A3139" s="195"/>
      <c r="B3139" s="195" t="s">
        <v>205</v>
      </c>
      <c r="C3139"/>
      <c r="D3139" s="197" t="s">
        <v>414</v>
      </c>
      <c r="E3139" s="197" t="s">
        <v>420</v>
      </c>
      <c r="F3139" s="197" t="s">
        <v>851</v>
      </c>
      <c r="G3139" s="197" t="s">
        <v>22</v>
      </c>
      <c r="H3139" s="197"/>
      <c r="I3139" s="209"/>
      <c r="J3139" s="203"/>
      <c r="K3139" s="226"/>
      <c r="L3139" s="204" t="str">
        <f>_xlfn.XLOOKUP($B3133,シフト抽出!$19:$19,シフト抽出!$29:$29,"該当なし",0,1)</f>
        <v>該当なし</v>
      </c>
    </row>
    <row r="3140" spans="1:12" ht="15.75" thickBot="1">
      <c r="A3140" s="195"/>
      <c r="B3140" s="195" t="s">
        <v>206</v>
      </c>
      <c r="C3140"/>
      <c r="D3140" s="197" t="s">
        <v>414</v>
      </c>
      <c r="E3140" s="197" t="s">
        <v>420</v>
      </c>
      <c r="F3140" s="197" t="s">
        <v>851</v>
      </c>
      <c r="G3140" s="197" t="s">
        <v>22</v>
      </c>
      <c r="H3140" s="197"/>
      <c r="I3140" s="209"/>
      <c r="K3140" s="205" t="s">
        <v>261</v>
      </c>
      <c r="L3140" s="205">
        <f>_xlfn.XLOOKUP($B3133,予定表!B:B,予定表!R:R,"該当なし",0,1)</f>
        <v>0</v>
      </c>
    </row>
    <row r="3141" spans="1:12">
      <c r="A3141" s="195"/>
      <c r="B3141" s="195" t="s">
        <v>207</v>
      </c>
      <c r="C3141"/>
      <c r="D3141" s="197" t="s">
        <v>414</v>
      </c>
      <c r="E3141" s="197" t="s">
        <v>420</v>
      </c>
      <c r="F3141" s="197" t="s">
        <v>851</v>
      </c>
      <c r="G3141" s="197" t="s">
        <v>22</v>
      </c>
      <c r="H3141" s="197"/>
      <c r="I3141" s="209"/>
      <c r="K3141" s="227" t="s">
        <v>262</v>
      </c>
      <c r="L3141" s="206" t="str">
        <f>_xlfn.XLOOKUP($B3133,予定表!$B:$B,予定表!E:E,"該当なし",0,1)</f>
        <v>東京研文社AM</v>
      </c>
    </row>
    <row r="3142" spans="1:12">
      <c r="A3142" s="195"/>
      <c r="B3142" s="196" t="s">
        <v>209</v>
      </c>
      <c r="C3142"/>
      <c r="D3142" s="197" t="s">
        <v>414</v>
      </c>
      <c r="E3142" s="197" t="s">
        <v>420</v>
      </c>
      <c r="F3142" s="197" t="s">
        <v>851</v>
      </c>
      <c r="G3142" s="197" t="s">
        <v>268</v>
      </c>
      <c r="H3142" s="197" t="s">
        <v>4</v>
      </c>
      <c r="I3142" s="209" t="s">
        <v>4</v>
      </c>
      <c r="K3142" s="228"/>
      <c r="L3142" s="207">
        <f>_xlfn.XLOOKUP($B3133,予定表!$B:$B,予定表!F:F,"該当なし",0,1)</f>
        <v>0</v>
      </c>
    </row>
    <row r="3143" spans="1:12">
      <c r="A3143" s="195"/>
      <c r="B3143" s="195" t="s">
        <v>205</v>
      </c>
      <c r="C3143"/>
      <c r="D3143" s="197" t="s">
        <v>414</v>
      </c>
      <c r="E3143" s="197" t="s">
        <v>420</v>
      </c>
      <c r="F3143" s="197" t="s">
        <v>851</v>
      </c>
      <c r="G3143" s="197" t="s">
        <v>268</v>
      </c>
      <c r="H3143" s="197" t="s">
        <v>60</v>
      </c>
      <c r="I3143" s="209" t="s">
        <v>60</v>
      </c>
      <c r="K3143" s="228"/>
      <c r="L3143" s="207">
        <f>_xlfn.XLOOKUP($B3133,予定表!$B:$B,予定表!G:G,"該当なし",0,1)</f>
        <v>0</v>
      </c>
    </row>
    <row r="3144" spans="1:12">
      <c r="A3144" s="195"/>
      <c r="B3144" s="195" t="s">
        <v>206</v>
      </c>
      <c r="C3144"/>
      <c r="D3144" s="197" t="s">
        <v>214</v>
      </c>
      <c r="E3144" s="197" t="s">
        <v>273</v>
      </c>
      <c r="F3144" s="197"/>
      <c r="G3144" s="197" t="s">
        <v>268</v>
      </c>
      <c r="H3144" s="197" t="s">
        <v>60</v>
      </c>
      <c r="I3144" s="209" t="s">
        <v>60</v>
      </c>
      <c r="K3144" s="228"/>
      <c r="L3144" s="207">
        <f>_xlfn.XLOOKUP($B3133,予定表!$B:$B,予定表!H:H,"該当なし",0,1)</f>
        <v>0</v>
      </c>
    </row>
    <row r="3145" spans="1:12">
      <c r="A3145" s="195"/>
      <c r="B3145" s="195" t="s">
        <v>207</v>
      </c>
      <c r="C3145"/>
      <c r="D3145" s="197" t="s">
        <v>214</v>
      </c>
      <c r="E3145" s="197" t="s">
        <v>273</v>
      </c>
      <c r="F3145" s="197" t="s">
        <v>398</v>
      </c>
      <c r="G3145" s="197" t="s">
        <v>268</v>
      </c>
      <c r="H3145" s="197" t="s">
        <v>60</v>
      </c>
      <c r="I3145" s="209" t="s">
        <v>60</v>
      </c>
      <c r="K3145" s="228"/>
      <c r="L3145" s="207" t="str">
        <f>_xlfn.XLOOKUP($B3133,予定表!$B:$B,予定表!I:I,"該当なし",0,1)</f>
        <v/>
      </c>
    </row>
    <row r="3146" spans="1:12">
      <c r="A3146" s="195"/>
      <c r="B3146" s="196" t="s">
        <v>212</v>
      </c>
      <c r="C3146"/>
      <c r="D3146" s="197" t="s">
        <v>214</v>
      </c>
      <c r="E3146" s="197" t="s">
        <v>273</v>
      </c>
      <c r="F3146" s="197" t="s">
        <v>398</v>
      </c>
      <c r="G3146" s="197" t="s">
        <v>169</v>
      </c>
      <c r="H3146" s="197"/>
      <c r="I3146" s="209"/>
      <c r="K3146" s="228"/>
      <c r="L3146" s="207" t="str">
        <f>_xlfn.XLOOKUP($B3133,予定表!$B:$B,予定表!J:J,"該当なし",0,1)</f>
        <v/>
      </c>
    </row>
    <row r="3147" spans="1:12">
      <c r="A3147" s="195"/>
      <c r="B3147" s="195" t="s">
        <v>205</v>
      </c>
      <c r="C3147"/>
      <c r="D3147" s="197" t="s">
        <v>214</v>
      </c>
      <c r="E3147" s="197" t="s">
        <v>947</v>
      </c>
      <c r="F3147" s="197" t="s">
        <v>398</v>
      </c>
      <c r="G3147" s="197" t="s">
        <v>169</v>
      </c>
      <c r="H3147" s="197" t="s">
        <v>848</v>
      </c>
      <c r="I3147" s="209" t="s">
        <v>848</v>
      </c>
      <c r="K3147" s="228"/>
      <c r="L3147" s="207" t="str">
        <f>_xlfn.XLOOKUP($B3133,予定表!$B:$B,予定表!K:K,"該当なし",0,1)</f>
        <v/>
      </c>
    </row>
    <row r="3148" spans="1:12">
      <c r="A3148" s="195"/>
      <c r="B3148" s="195" t="s">
        <v>206</v>
      </c>
      <c r="C3148"/>
      <c r="D3148" s="197" t="s">
        <v>353</v>
      </c>
      <c r="E3148" s="197" t="s">
        <v>228</v>
      </c>
      <c r="F3148" s="197" t="s">
        <v>398</v>
      </c>
      <c r="G3148" s="197" t="s">
        <v>169</v>
      </c>
      <c r="H3148" s="197" t="s">
        <v>848</v>
      </c>
      <c r="I3148" s="209" t="s">
        <v>848</v>
      </c>
      <c r="K3148" s="228"/>
      <c r="L3148" s="207" t="str">
        <f>_xlfn.XLOOKUP($B3133,予定表!$B:$B,予定表!L:L,"該当なし",0,1)</f>
        <v/>
      </c>
    </row>
    <row r="3149" spans="1:12" ht="15.75" thickBot="1">
      <c r="A3149" s="195"/>
      <c r="B3149" s="195" t="s">
        <v>207</v>
      </c>
      <c r="C3149"/>
      <c r="D3149" s="197" t="s">
        <v>353</v>
      </c>
      <c r="E3149" s="197" t="s">
        <v>228</v>
      </c>
      <c r="F3149" s="197" t="s">
        <v>398</v>
      </c>
      <c r="G3149" s="197" t="s">
        <v>169</v>
      </c>
      <c r="H3149" s="197" t="s">
        <v>848</v>
      </c>
      <c r="I3149" s="209" t="s">
        <v>848</v>
      </c>
      <c r="K3149" s="229"/>
      <c r="L3149" s="204" t="str">
        <f>_xlfn.XLOOKUP($A3130,ﾘｽﾄマスタ!$U$8:$U$17,ﾘｽﾄマスタ!$V$8:$V$17,"",0)</f>
        <v>東冷厚木,ﾏﾙﾅｶ</v>
      </c>
    </row>
    <row r="3150" spans="1:12" ht="15.75" thickBot="1">
      <c r="A3150" s="195"/>
      <c r="B3150" s="196" t="s">
        <v>251</v>
      </c>
      <c r="C3150"/>
      <c r="D3150" s="197" t="s">
        <v>353</v>
      </c>
      <c r="E3150" s="197" t="s">
        <v>228</v>
      </c>
      <c r="F3150" s="197" t="s">
        <v>398</v>
      </c>
      <c r="G3150" s="197" t="s">
        <v>279</v>
      </c>
      <c r="H3150" s="197" t="s">
        <v>848</v>
      </c>
      <c r="I3150" s="209" t="s">
        <v>848</v>
      </c>
      <c r="K3150" s="208" t="s">
        <v>277</v>
      </c>
      <c r="L3150" s="208" t="str">
        <f>_xlfn.XLOOKUP($B3133,シフト抽出!$19:$19,シフト抽出!$30:$30,"該当なし",0,1)</f>
        <v>該当なし</v>
      </c>
    </row>
    <row r="3151" spans="1:12">
      <c r="A3151" s="195"/>
      <c r="B3151" s="195" t="s">
        <v>205</v>
      </c>
      <c r="C3151"/>
      <c r="D3151" s="197" t="s">
        <v>761</v>
      </c>
      <c r="E3151" s="197" t="s">
        <v>228</v>
      </c>
      <c r="F3151" s="197" t="s">
        <v>398</v>
      </c>
      <c r="G3151" s="197" t="s">
        <v>279</v>
      </c>
      <c r="H3151" s="197" t="s">
        <v>848</v>
      </c>
      <c r="I3151" s="209" t="s">
        <v>848</v>
      </c>
    </row>
    <row r="3152" spans="1:12">
      <c r="A3152" s="195"/>
      <c r="B3152" s="195" t="s">
        <v>206</v>
      </c>
      <c r="C3152"/>
      <c r="D3152" s="197" t="s">
        <v>761</v>
      </c>
      <c r="E3152" s="197" t="s">
        <v>263</v>
      </c>
      <c r="F3152" s="197" t="s">
        <v>398</v>
      </c>
      <c r="G3152" s="197" t="s">
        <v>279</v>
      </c>
      <c r="H3152" s="197" t="s">
        <v>229</v>
      </c>
      <c r="I3152" s="209" t="s">
        <v>229</v>
      </c>
    </row>
    <row r="3153" spans="1:9">
      <c r="A3153" s="195"/>
      <c r="B3153" s="195" t="s">
        <v>207</v>
      </c>
      <c r="C3153"/>
      <c r="D3153" s="197" t="s">
        <v>761</v>
      </c>
      <c r="E3153" s="197" t="s">
        <v>263</v>
      </c>
      <c r="F3153" s="197" t="s">
        <v>398</v>
      </c>
      <c r="G3153" s="197" t="s">
        <v>279</v>
      </c>
      <c r="H3153" s="197" t="s">
        <v>229</v>
      </c>
      <c r="I3153" s="209" t="s">
        <v>229</v>
      </c>
    </row>
    <row r="3154" spans="1:9">
      <c r="A3154" s="195"/>
      <c r="B3154" s="196" t="s">
        <v>217</v>
      </c>
      <c r="C3154"/>
      <c r="D3154" s="197" t="s">
        <v>88</v>
      </c>
      <c r="E3154" s="197" t="s">
        <v>263</v>
      </c>
      <c r="F3154" s="197" t="s">
        <v>398</v>
      </c>
      <c r="G3154" s="197" t="s">
        <v>279</v>
      </c>
      <c r="H3154" s="197" t="s">
        <v>230</v>
      </c>
      <c r="I3154" s="209" t="s">
        <v>230</v>
      </c>
    </row>
    <row r="3155" spans="1:9">
      <c r="A3155" s="195"/>
      <c r="B3155" s="195" t="s">
        <v>205</v>
      </c>
      <c r="C3155"/>
      <c r="D3155" s="197" t="s">
        <v>51</v>
      </c>
      <c r="E3155" s="197" t="s">
        <v>263</v>
      </c>
      <c r="F3155" s="197" t="s">
        <v>398</v>
      </c>
      <c r="G3155" s="197" t="s">
        <v>279</v>
      </c>
      <c r="H3155" s="197" t="s">
        <v>230</v>
      </c>
      <c r="I3155" s="209" t="s">
        <v>230</v>
      </c>
    </row>
    <row r="3156" spans="1:9">
      <c r="A3156" s="195"/>
      <c r="B3156" s="195" t="s">
        <v>206</v>
      </c>
      <c r="C3156"/>
      <c r="D3156" s="197" t="s">
        <v>51</v>
      </c>
      <c r="E3156" s="197" t="s">
        <v>426</v>
      </c>
      <c r="F3156" s="197" t="s">
        <v>398</v>
      </c>
      <c r="G3156" s="197"/>
      <c r="H3156" s="197" t="s">
        <v>230</v>
      </c>
      <c r="I3156" s="209" t="s">
        <v>230</v>
      </c>
    </row>
    <row r="3157" spans="1:9">
      <c r="A3157" s="195"/>
      <c r="B3157" s="195" t="s">
        <v>207</v>
      </c>
      <c r="C3157"/>
      <c r="D3157" s="197" t="s">
        <v>51</v>
      </c>
      <c r="E3157" s="197" t="s">
        <v>426</v>
      </c>
      <c r="F3157" s="197" t="s">
        <v>398</v>
      </c>
      <c r="G3157" s="197"/>
      <c r="H3157" s="197" t="s">
        <v>230</v>
      </c>
      <c r="I3157" s="209" t="s">
        <v>230</v>
      </c>
    </row>
    <row r="3158" spans="1:9">
      <c r="A3158" s="195"/>
      <c r="B3158" s="196" t="s">
        <v>219</v>
      </c>
      <c r="C3158"/>
      <c r="D3158" s="197" t="s">
        <v>51</v>
      </c>
      <c r="E3158" s="197"/>
      <c r="F3158" s="197" t="s">
        <v>398</v>
      </c>
      <c r="G3158" s="197"/>
      <c r="H3158" s="197" t="s">
        <v>230</v>
      </c>
      <c r="I3158" s="209" t="s">
        <v>230</v>
      </c>
    </row>
    <row r="3159" spans="1:9">
      <c r="A3159" s="195"/>
      <c r="B3159" s="195" t="s">
        <v>205</v>
      </c>
      <c r="C3159"/>
      <c r="D3159" s="197"/>
      <c r="E3159" s="197"/>
      <c r="F3159" s="197"/>
      <c r="G3159" s="197"/>
      <c r="H3159" s="197" t="s">
        <v>230</v>
      </c>
      <c r="I3159" s="209" t="s">
        <v>230</v>
      </c>
    </row>
    <row r="3160" spans="1:9">
      <c r="A3160" s="195"/>
      <c r="B3160" s="195" t="s">
        <v>206</v>
      </c>
      <c r="C3160"/>
      <c r="D3160" s="197"/>
      <c r="E3160" s="197"/>
      <c r="F3160" s="197"/>
      <c r="G3160" s="197"/>
      <c r="H3160" s="197"/>
      <c r="I3160" s="209"/>
    </row>
    <row r="3161" spans="1:9">
      <c r="A3161" s="195"/>
      <c r="B3161" s="195" t="s">
        <v>207</v>
      </c>
      <c r="C3161"/>
      <c r="D3161" s="197"/>
      <c r="E3161" s="197"/>
      <c r="F3161" s="197"/>
      <c r="G3161" s="197"/>
      <c r="H3161" s="197"/>
      <c r="I3161" s="209"/>
    </row>
    <row r="3162" spans="1:9">
      <c r="A3162" s="195"/>
      <c r="B3162" s="196" t="s">
        <v>220</v>
      </c>
      <c r="C3162"/>
      <c r="D3162" s="197"/>
      <c r="E3162" s="197"/>
      <c r="F3162" s="197"/>
      <c r="G3162" s="197"/>
      <c r="H3162" s="197"/>
      <c r="I3162" s="209"/>
    </row>
    <row r="3163" spans="1:9">
      <c r="A3163" s="195"/>
      <c r="B3163" s="195" t="s">
        <v>205</v>
      </c>
      <c r="C3163"/>
      <c r="D3163" s="197" t="s">
        <v>114</v>
      </c>
      <c r="E3163" s="197" t="s">
        <v>393</v>
      </c>
      <c r="F3163" s="197" t="s">
        <v>62</v>
      </c>
      <c r="G3163" s="197" t="s">
        <v>56</v>
      </c>
      <c r="H3163" s="197" t="s">
        <v>390</v>
      </c>
      <c r="I3163" s="209" t="s">
        <v>390</v>
      </c>
    </row>
    <row r="3164" spans="1:9">
      <c r="A3164" s="195"/>
      <c r="B3164" s="195" t="s">
        <v>206</v>
      </c>
      <c r="C3164"/>
      <c r="D3164" s="197" t="s">
        <v>114</v>
      </c>
      <c r="E3164" s="197" t="s">
        <v>393</v>
      </c>
      <c r="F3164" s="197" t="s">
        <v>62</v>
      </c>
      <c r="G3164" s="197" t="s">
        <v>56</v>
      </c>
      <c r="H3164" s="197" t="s">
        <v>390</v>
      </c>
      <c r="I3164" s="209" t="s">
        <v>390</v>
      </c>
    </row>
    <row r="3165" spans="1:9">
      <c r="A3165" s="195"/>
      <c r="B3165" s="195" t="s">
        <v>207</v>
      </c>
      <c r="C3165"/>
      <c r="D3165" s="197" t="s">
        <v>114</v>
      </c>
      <c r="E3165" s="197" t="s">
        <v>393</v>
      </c>
      <c r="F3165" s="197" t="s">
        <v>62</v>
      </c>
      <c r="G3165" s="197" t="s">
        <v>56</v>
      </c>
      <c r="H3165" s="197"/>
      <c r="I3165" s="209"/>
    </row>
    <row r="3166" spans="1:9">
      <c r="A3166" s="195"/>
      <c r="B3166" s="196" t="s">
        <v>222</v>
      </c>
      <c r="C3166"/>
      <c r="D3166" s="197" t="s">
        <v>129</v>
      </c>
      <c r="E3166" s="197" t="s">
        <v>393</v>
      </c>
      <c r="F3166" s="197" t="s">
        <v>62</v>
      </c>
      <c r="G3166" s="197" t="s">
        <v>56</v>
      </c>
      <c r="H3166" s="197" t="s">
        <v>231</v>
      </c>
      <c r="I3166" s="209" t="s">
        <v>231</v>
      </c>
    </row>
    <row r="3167" spans="1:9">
      <c r="A3167" s="195"/>
      <c r="B3167" s="195" t="s">
        <v>205</v>
      </c>
      <c r="C3167"/>
      <c r="D3167" s="197" t="s">
        <v>129</v>
      </c>
      <c r="E3167" s="197" t="s">
        <v>393</v>
      </c>
      <c r="F3167" s="197" t="s">
        <v>62</v>
      </c>
      <c r="G3167" s="197"/>
      <c r="H3167" s="197" t="s">
        <v>958</v>
      </c>
      <c r="I3167" s="209" t="s">
        <v>958</v>
      </c>
    </row>
    <row r="3168" spans="1:9">
      <c r="A3168" s="195"/>
      <c r="B3168" s="195" t="s">
        <v>206</v>
      </c>
      <c r="C3168"/>
      <c r="D3168" s="197"/>
      <c r="E3168" s="197" t="s">
        <v>252</v>
      </c>
      <c r="F3168" s="197" t="s">
        <v>62</v>
      </c>
      <c r="G3168" s="197" t="s">
        <v>270</v>
      </c>
      <c r="H3168" s="197" t="s">
        <v>211</v>
      </c>
      <c r="I3168" s="209" t="s">
        <v>211</v>
      </c>
    </row>
    <row r="3169" spans="1:12">
      <c r="A3169" s="195"/>
      <c r="B3169" s="195" t="s">
        <v>207</v>
      </c>
      <c r="C3169"/>
      <c r="D3169" s="197" t="s">
        <v>515</v>
      </c>
      <c r="E3169" s="197" t="s">
        <v>252</v>
      </c>
      <c r="F3169" s="197" t="s">
        <v>62</v>
      </c>
      <c r="G3169" s="197" t="s">
        <v>270</v>
      </c>
      <c r="H3169" s="197" t="s">
        <v>211</v>
      </c>
      <c r="I3169" s="209" t="s">
        <v>211</v>
      </c>
    </row>
    <row r="3170" spans="1:12">
      <c r="A3170" s="195"/>
      <c r="B3170" s="196" t="s">
        <v>223</v>
      </c>
      <c r="C3170"/>
      <c r="D3170" s="197" t="s">
        <v>515</v>
      </c>
      <c r="E3170" s="197" t="s">
        <v>252</v>
      </c>
      <c r="F3170" s="197" t="s">
        <v>62</v>
      </c>
      <c r="G3170" s="197" t="s">
        <v>270</v>
      </c>
      <c r="H3170" s="197"/>
      <c r="I3170" s="209"/>
    </row>
    <row r="3171" spans="1:12">
      <c r="A3171" s="195"/>
      <c r="B3171" s="195" t="s">
        <v>205</v>
      </c>
      <c r="C3171"/>
      <c r="D3171" s="197" t="s">
        <v>269</v>
      </c>
      <c r="E3171" s="197" t="s">
        <v>252</v>
      </c>
      <c r="F3171" s="197" t="s">
        <v>62</v>
      </c>
      <c r="G3171" s="197" t="s">
        <v>270</v>
      </c>
      <c r="H3171" s="197" t="s">
        <v>856</v>
      </c>
      <c r="I3171" s="209" t="s">
        <v>856</v>
      </c>
    </row>
    <row r="3172" spans="1:12">
      <c r="A3172" s="195"/>
      <c r="B3172" s="195" t="s">
        <v>206</v>
      </c>
      <c r="C3172"/>
      <c r="D3172" s="197" t="s">
        <v>269</v>
      </c>
      <c r="E3172" s="197" t="s">
        <v>252</v>
      </c>
      <c r="F3172" s="197" t="s">
        <v>62</v>
      </c>
      <c r="G3172" s="197" t="s">
        <v>270</v>
      </c>
      <c r="H3172" s="197" t="s">
        <v>856</v>
      </c>
      <c r="I3172" s="209" t="s">
        <v>856</v>
      </c>
    </row>
    <row r="3173" spans="1:12">
      <c r="A3173" s="195"/>
      <c r="B3173" s="195" t="s">
        <v>207</v>
      </c>
      <c r="C3173"/>
      <c r="D3173" s="197" t="s">
        <v>269</v>
      </c>
      <c r="E3173" s="197" t="s">
        <v>252</v>
      </c>
      <c r="F3173" s="197" t="s">
        <v>62</v>
      </c>
      <c r="G3173" s="197" t="s">
        <v>270</v>
      </c>
      <c r="H3173" s="197" t="s">
        <v>856</v>
      </c>
      <c r="I3173" s="209" t="s">
        <v>856</v>
      </c>
    </row>
    <row r="3174" spans="1:12">
      <c r="A3174" s="195"/>
      <c r="B3174" s="196" t="s">
        <v>225</v>
      </c>
      <c r="C3174"/>
      <c r="D3174" s="197" t="s">
        <v>269</v>
      </c>
      <c r="E3174" s="197" t="s">
        <v>252</v>
      </c>
      <c r="F3174" s="197" t="s">
        <v>62</v>
      </c>
      <c r="G3174" s="197" t="s">
        <v>270</v>
      </c>
      <c r="H3174" s="197" t="s">
        <v>856</v>
      </c>
      <c r="I3174" s="209" t="s">
        <v>856</v>
      </c>
    </row>
    <row r="3175" spans="1:12">
      <c r="A3175" s="195"/>
      <c r="B3175" s="195" t="s">
        <v>205</v>
      </c>
      <c r="C3175"/>
      <c r="D3175" s="197" t="s">
        <v>475</v>
      </c>
      <c r="E3175" s="197" t="s">
        <v>252</v>
      </c>
      <c r="F3175" s="197" t="s">
        <v>62</v>
      </c>
      <c r="G3175" s="197" t="s">
        <v>270</v>
      </c>
      <c r="H3175" s="209" t="s">
        <v>856</v>
      </c>
      <c r="I3175" s="209" t="s">
        <v>856</v>
      </c>
    </row>
    <row r="3176" spans="1:12">
      <c r="A3176" s="195"/>
      <c r="B3176" s="195" t="s">
        <v>206</v>
      </c>
      <c r="C3176"/>
      <c r="D3176" s="197" t="s">
        <v>361</v>
      </c>
      <c r="E3176" s="197" t="s">
        <v>252</v>
      </c>
      <c r="F3176" s="197" t="s">
        <v>62</v>
      </c>
      <c r="G3176" s="197" t="s">
        <v>270</v>
      </c>
      <c r="H3176" s="209" t="s">
        <v>856</v>
      </c>
      <c r="I3176" s="209" t="s">
        <v>856</v>
      </c>
    </row>
    <row r="3177" spans="1:12">
      <c r="A3177" s="195"/>
      <c r="B3177" s="195" t="s">
        <v>207</v>
      </c>
      <c r="C3177"/>
      <c r="D3177" s="197"/>
      <c r="E3177" s="197"/>
      <c r="F3177" s="197"/>
      <c r="G3177" s="197" t="s">
        <v>270</v>
      </c>
      <c r="H3177" s="209"/>
      <c r="I3177" s="209"/>
    </row>
    <row r="3178" spans="1:12">
      <c r="A3178" s="195"/>
      <c r="B3178" s="196" t="s">
        <v>226</v>
      </c>
      <c r="C3178"/>
      <c r="D3178" s="197"/>
      <c r="E3178" s="197"/>
      <c r="F3178" s="197"/>
      <c r="G3178" s="197" t="s">
        <v>270</v>
      </c>
      <c r="H3178" s="209"/>
      <c r="I3178" s="209"/>
    </row>
    <row r="3179" spans="1:12">
      <c r="A3179" s="195"/>
      <c r="B3179" s="195" t="s">
        <v>205</v>
      </c>
      <c r="C3179"/>
      <c r="D3179" s="197"/>
      <c r="E3179" s="197"/>
      <c r="F3179" s="197"/>
      <c r="G3179" s="197" t="s">
        <v>270</v>
      </c>
      <c r="H3179" s="209"/>
      <c r="I3179" s="209"/>
    </row>
    <row r="3180" spans="1:12">
      <c r="A3180" s="195"/>
      <c r="B3180" s="195" t="s">
        <v>206</v>
      </c>
      <c r="C3180"/>
      <c r="D3180" s="197"/>
      <c r="E3180" s="197"/>
      <c r="F3180" s="197"/>
      <c r="G3180" s="197" t="s">
        <v>270</v>
      </c>
      <c r="H3180" s="209"/>
      <c r="I3180" s="209"/>
    </row>
    <row r="3181" spans="1:12">
      <c r="A3181" s="195"/>
      <c r="B3181" s="195" t="s">
        <v>207</v>
      </c>
      <c r="C3181"/>
      <c r="D3181" s="197"/>
      <c r="E3181" s="197"/>
      <c r="F3181" s="197"/>
      <c r="G3181" s="197" t="s">
        <v>270</v>
      </c>
      <c r="H3181" s="209"/>
      <c r="I3181" s="209"/>
    </row>
    <row r="3182" spans="1:12">
      <c r="A3182" s="195"/>
      <c r="B3182" s="196" t="s">
        <v>227</v>
      </c>
      <c r="C3182"/>
      <c r="D3182" s="197"/>
      <c r="E3182" s="197"/>
      <c r="F3182" s="197"/>
      <c r="G3182" s="197"/>
      <c r="H3182" s="209"/>
      <c r="I3182" s="209"/>
      <c r="K3182"/>
    </row>
    <row r="3183" spans="1:12" ht="29.25" thickBot="1">
      <c r="A3183" s="182" t="str">
        <f>"回収シフト  第"&amp;ROUNDUP(DAY(B3186)/7,0)  &amp;"  "&amp;TEXT(B3186,"aaaa")</f>
        <v>回収シフト  第2  水曜日</v>
      </c>
      <c r="B3183" s="183"/>
      <c r="C3183" s="183"/>
      <c r="D3183" s="183"/>
      <c r="E3183" s="183"/>
      <c r="F3183" s="183"/>
      <c r="G3183" s="184"/>
      <c r="H3183" s="184"/>
      <c r="I3183" s="184"/>
      <c r="K3183" s="183"/>
      <c r="L3183" s="183"/>
    </row>
    <row r="3184" spans="1:12" ht="15.75" thickBot="1">
      <c r="A3184"/>
      <c r="B3184"/>
      <c r="C3184"/>
      <c r="D3184" s="186" t="s">
        <v>201</v>
      </c>
      <c r="E3184" s="186" t="s">
        <v>202</v>
      </c>
      <c r="F3184" s="186" t="s">
        <v>203</v>
      </c>
      <c r="G3184" s="186" t="s">
        <v>204</v>
      </c>
      <c r="H3184" s="186" t="s">
        <v>267</v>
      </c>
      <c r="I3184" s="217" t="s">
        <v>267</v>
      </c>
      <c r="K3184" s="230" t="s">
        <v>257</v>
      </c>
      <c r="L3184" s="231"/>
    </row>
    <row r="3185" spans="1:12">
      <c r="A3185" s="187"/>
      <c r="B3185" s="188">
        <v>46119</v>
      </c>
      <c r="C3185" s="187"/>
      <c r="D3185" s="189" t="s">
        <v>857</v>
      </c>
      <c r="E3185" s="189" t="s">
        <v>858</v>
      </c>
      <c r="F3185" s="189" t="s">
        <v>867</v>
      </c>
      <c r="G3185" s="189" t="s">
        <v>923</v>
      </c>
      <c r="H3185" s="189" t="s">
        <v>852</v>
      </c>
      <c r="I3185" s="218" t="s">
        <v>852</v>
      </c>
      <c r="K3185" s="232" t="s">
        <v>258</v>
      </c>
      <c r="L3185" s="190" t="str">
        <f>_xlfn.XLOOKUP($B3186,シフト抽出!$19:$19,シフト抽出!$20:$20,"該当なし",0,1)</f>
        <v>該当なし</v>
      </c>
    </row>
    <row r="3186" spans="1:12" ht="19.5" thickBot="1">
      <c r="A3186"/>
      <c r="B3186" s="191">
        <f>B3133+1</f>
        <v>46183</v>
      </c>
      <c r="C3186" s="192" t="e">
        <v>#REF!</v>
      </c>
      <c r="D3186" s="193"/>
      <c r="E3186" s="193"/>
      <c r="F3186" s="193"/>
      <c r="G3186" s="193"/>
      <c r="H3186" s="193"/>
      <c r="I3186" s="219"/>
      <c r="K3186" s="233"/>
      <c r="L3186" s="194" t="str">
        <f>_xlfn.XLOOKUP($B3186,シフト抽出!$19:$19,シフト抽出!$21:$21,"該当なし",0,1)</f>
        <v>該当なし</v>
      </c>
    </row>
    <row r="3187" spans="1:12">
      <c r="A3187" s="195"/>
      <c r="B3187" s="196">
        <v>0.25</v>
      </c>
      <c r="C3187"/>
      <c r="D3187" s="197"/>
      <c r="E3187" s="196"/>
      <c r="F3187" s="197"/>
      <c r="G3187" s="197"/>
      <c r="H3187" s="197"/>
      <c r="I3187" s="209"/>
      <c r="K3187" s="234" t="s">
        <v>259</v>
      </c>
      <c r="L3187" s="198" t="str">
        <f>_xlfn.XLOOKUP($B3186,シフト抽出!$19:$19,シフト抽出!$23:$23,"該当なし",0,1)</f>
        <v>該当なし</v>
      </c>
    </row>
    <row r="3188" spans="1:12" ht="15.75" thickBot="1">
      <c r="A3188" s="195"/>
      <c r="B3188" s="195" t="s">
        <v>205</v>
      </c>
      <c r="C3188"/>
      <c r="D3188" s="197"/>
      <c r="E3188" s="197"/>
      <c r="F3188" s="197"/>
      <c r="G3188" s="197"/>
      <c r="H3188" s="197"/>
      <c r="I3188" s="209"/>
      <c r="K3188" s="235"/>
      <c r="L3188" s="199" t="str">
        <f>_xlfn.XLOOKUP($B3186,シフト抽出!$19:$19,シフト抽出!$24:$24,"該当なし",0,1)</f>
        <v>該当なし</v>
      </c>
    </row>
    <row r="3189" spans="1:12">
      <c r="A3189" s="195"/>
      <c r="B3189" s="195" t="s">
        <v>206</v>
      </c>
      <c r="C3189"/>
      <c r="D3189" s="197"/>
      <c r="E3189" s="197" t="s">
        <v>107</v>
      </c>
      <c r="F3189" s="197"/>
      <c r="G3189" s="197"/>
      <c r="H3189" s="197"/>
      <c r="I3189" s="209"/>
      <c r="K3189" s="224" t="s">
        <v>260</v>
      </c>
      <c r="L3189" s="200" t="str">
        <f>_xlfn.XLOOKUP($B3186,シフト抽出!$19:$19,シフト抽出!$26:$26,"該当なし",0,1)</f>
        <v>該当なし</v>
      </c>
    </row>
    <row r="3190" spans="1:12">
      <c r="A3190" s="195"/>
      <c r="B3190" s="195" t="s">
        <v>207</v>
      </c>
      <c r="C3190"/>
      <c r="D3190" s="197"/>
      <c r="E3190" s="197"/>
      <c r="F3190" s="197"/>
      <c r="G3190" s="197"/>
      <c r="H3190" s="197"/>
      <c r="I3190" s="209"/>
      <c r="K3190" s="225"/>
      <c r="L3190" s="201" t="str">
        <f>_xlfn.XLOOKUP($B3186,シフト抽出!$19:$19,シフト抽出!$27:$27,"該当なし",0,1)</f>
        <v>該当なし</v>
      </c>
    </row>
    <row r="3191" spans="1:12">
      <c r="A3191" s="195"/>
      <c r="B3191" s="202" t="s">
        <v>208</v>
      </c>
      <c r="C3191"/>
      <c r="D3191" s="197" t="s">
        <v>414</v>
      </c>
      <c r="E3191" s="197" t="s">
        <v>106</v>
      </c>
      <c r="F3191" s="197" t="s">
        <v>851</v>
      </c>
      <c r="G3191" s="197" t="s">
        <v>22</v>
      </c>
      <c r="H3191" s="197" t="s">
        <v>106</v>
      </c>
      <c r="I3191" s="209" t="s">
        <v>106</v>
      </c>
      <c r="J3191" s="203"/>
      <c r="K3191" s="225"/>
      <c r="L3191" s="201" t="str">
        <f>_xlfn.XLOOKUP($B3186,シフト抽出!$19:$19,シフト抽出!$28:$28,"該当なし",0,1)</f>
        <v>該当なし</v>
      </c>
    </row>
    <row r="3192" spans="1:12" ht="15.75" thickBot="1">
      <c r="A3192" s="195"/>
      <c r="B3192" s="195" t="s">
        <v>205</v>
      </c>
      <c r="C3192"/>
      <c r="D3192" s="197" t="s">
        <v>414</v>
      </c>
      <c r="E3192" s="197" t="s">
        <v>106</v>
      </c>
      <c r="F3192" s="197" t="s">
        <v>851</v>
      </c>
      <c r="G3192" s="197" t="s">
        <v>22</v>
      </c>
      <c r="H3192" s="197" t="s">
        <v>106</v>
      </c>
      <c r="I3192" s="209" t="s">
        <v>106</v>
      </c>
      <c r="J3192" s="203"/>
      <c r="K3192" s="226"/>
      <c r="L3192" s="204" t="str">
        <f>_xlfn.XLOOKUP($B3186,シフト抽出!$19:$19,シフト抽出!$29:$29,"該当なし",0,1)</f>
        <v>該当なし</v>
      </c>
    </row>
    <row r="3193" spans="1:12" ht="15.75" thickBot="1">
      <c r="A3193" s="195"/>
      <c r="B3193" s="195" t="s">
        <v>206</v>
      </c>
      <c r="C3193"/>
      <c r="D3193" s="197" t="s">
        <v>414</v>
      </c>
      <c r="E3193" s="197" t="s">
        <v>106</v>
      </c>
      <c r="F3193" s="197" t="s">
        <v>851</v>
      </c>
      <c r="G3193" s="197" t="s">
        <v>788</v>
      </c>
      <c r="H3193" s="197" t="s">
        <v>106</v>
      </c>
      <c r="I3193" s="209" t="s">
        <v>106</v>
      </c>
      <c r="K3193" s="205" t="s">
        <v>261</v>
      </c>
      <c r="L3193" s="205">
        <f>_xlfn.XLOOKUP($B3186,予定表!B:B,予定表!R:R,"該当なし",0,1)</f>
        <v>0</v>
      </c>
    </row>
    <row r="3194" spans="1:12">
      <c r="A3194" s="195"/>
      <c r="B3194" s="195" t="s">
        <v>207</v>
      </c>
      <c r="C3194"/>
      <c r="D3194" s="197" t="s">
        <v>414</v>
      </c>
      <c r="E3194" s="197" t="s">
        <v>106</v>
      </c>
      <c r="F3194" s="197" t="s">
        <v>851</v>
      </c>
      <c r="G3194" s="197" t="s">
        <v>788</v>
      </c>
      <c r="H3194" s="197" t="s">
        <v>106</v>
      </c>
      <c r="I3194" s="209" t="s">
        <v>106</v>
      </c>
      <c r="K3194" s="227" t="s">
        <v>262</v>
      </c>
      <c r="L3194" s="206">
        <f>_xlfn.XLOOKUP($B3186,予定表!$B:$B,予定表!E:E,"該当なし",0,1)</f>
        <v>0</v>
      </c>
    </row>
    <row r="3195" spans="1:12">
      <c r="A3195" s="195"/>
      <c r="B3195" s="196" t="s">
        <v>209</v>
      </c>
      <c r="C3195"/>
      <c r="D3195" s="197" t="s">
        <v>414</v>
      </c>
      <c r="E3195" s="197" t="s">
        <v>106</v>
      </c>
      <c r="F3195" s="197" t="s">
        <v>851</v>
      </c>
      <c r="G3195" s="197" t="s">
        <v>268</v>
      </c>
      <c r="H3195" s="197" t="s">
        <v>106</v>
      </c>
      <c r="I3195" s="209" t="s">
        <v>106</v>
      </c>
      <c r="K3195" s="228"/>
      <c r="L3195" s="207">
        <f>_xlfn.XLOOKUP($B3186,予定表!$B:$B,予定表!F:F,"該当なし",0,1)</f>
        <v>0</v>
      </c>
    </row>
    <row r="3196" spans="1:12">
      <c r="A3196" s="195"/>
      <c r="B3196" s="195" t="s">
        <v>205</v>
      </c>
      <c r="C3196"/>
      <c r="D3196" s="197" t="s">
        <v>414</v>
      </c>
      <c r="E3196" s="197" t="s">
        <v>106</v>
      </c>
      <c r="F3196" s="197" t="s">
        <v>264</v>
      </c>
      <c r="G3196" s="197" t="s">
        <v>268</v>
      </c>
      <c r="H3196" s="197" t="s">
        <v>106</v>
      </c>
      <c r="I3196" s="209" t="s">
        <v>106</v>
      </c>
      <c r="K3196" s="228"/>
      <c r="L3196" s="207" t="str">
        <f>_xlfn.XLOOKUP($B3186,予定表!$B:$B,予定表!G:G,"該当なし",0,1)</f>
        <v>ディーミング</v>
      </c>
    </row>
    <row r="3197" spans="1:12">
      <c r="A3197" s="195"/>
      <c r="B3197" s="195" t="s">
        <v>206</v>
      </c>
      <c r="C3197"/>
      <c r="D3197" s="197" t="s">
        <v>214</v>
      </c>
      <c r="E3197" s="197" t="s">
        <v>106</v>
      </c>
      <c r="F3197" s="197" t="s">
        <v>264</v>
      </c>
      <c r="G3197" s="197" t="s">
        <v>268</v>
      </c>
      <c r="H3197" s="197" t="s">
        <v>106</v>
      </c>
      <c r="I3197" s="209" t="s">
        <v>106</v>
      </c>
      <c r="K3197" s="228"/>
      <c r="L3197" s="207" t="str">
        <f>_xlfn.XLOOKUP($B3186,予定表!$B:$B,予定表!H:H,"該当なし",0,1)</f>
        <v>資さんうどん</v>
      </c>
    </row>
    <row r="3198" spans="1:12">
      <c r="A3198" s="195"/>
      <c r="B3198" s="195" t="s">
        <v>207</v>
      </c>
      <c r="C3198"/>
      <c r="D3198" s="197" t="s">
        <v>214</v>
      </c>
      <c r="E3198" s="197" t="s">
        <v>106</v>
      </c>
      <c r="F3198" s="197"/>
      <c r="G3198" s="197" t="s">
        <v>268</v>
      </c>
      <c r="H3198" s="197" t="s">
        <v>106</v>
      </c>
      <c r="I3198" s="209" t="s">
        <v>106</v>
      </c>
      <c r="K3198" s="228"/>
      <c r="L3198" s="207" t="str">
        <f>_xlfn.XLOOKUP($B3186,予定表!$B:$B,予定表!I:I,"該当なし",0,1)</f>
        <v/>
      </c>
    </row>
    <row r="3199" spans="1:12">
      <c r="A3199" s="195"/>
      <c r="B3199" s="196" t="s">
        <v>212</v>
      </c>
      <c r="C3199"/>
      <c r="D3199" s="197" t="s">
        <v>214</v>
      </c>
      <c r="E3199" s="197" t="s">
        <v>106</v>
      </c>
      <c r="F3199" s="197" t="s">
        <v>397</v>
      </c>
      <c r="G3199" s="197" t="s">
        <v>268</v>
      </c>
      <c r="H3199" s="197" t="s">
        <v>106</v>
      </c>
      <c r="I3199" s="209" t="s">
        <v>106</v>
      </c>
      <c r="K3199" s="228"/>
      <c r="L3199" s="207" t="str">
        <f>_xlfn.XLOOKUP($B3186,予定表!$B:$B,予定表!J:J,"該当なし",0,1)</f>
        <v/>
      </c>
    </row>
    <row r="3200" spans="1:12">
      <c r="A3200" s="195"/>
      <c r="B3200" s="195" t="s">
        <v>205</v>
      </c>
      <c r="C3200"/>
      <c r="D3200" s="197" t="s">
        <v>214</v>
      </c>
      <c r="E3200" s="197" t="s">
        <v>106</v>
      </c>
      <c r="F3200" s="197" t="s">
        <v>397</v>
      </c>
      <c r="G3200" s="197" t="s">
        <v>268</v>
      </c>
      <c r="H3200" s="197" t="s">
        <v>106</v>
      </c>
      <c r="I3200" s="209" t="s">
        <v>106</v>
      </c>
      <c r="K3200" s="228"/>
      <c r="L3200" s="207" t="str">
        <f>_xlfn.XLOOKUP($B3186,予定表!$B:$B,予定表!K:K,"該当なし",0,1)</f>
        <v/>
      </c>
    </row>
    <row r="3201" spans="1:12">
      <c r="A3201" s="195"/>
      <c r="B3201" s="195" t="s">
        <v>206</v>
      </c>
      <c r="C3201"/>
      <c r="D3201" s="197" t="s">
        <v>761</v>
      </c>
      <c r="E3201" s="197" t="s">
        <v>106</v>
      </c>
      <c r="F3201" s="197" t="s">
        <v>416</v>
      </c>
      <c r="G3201" s="197" t="s">
        <v>515</v>
      </c>
      <c r="H3201" s="197" t="s">
        <v>106</v>
      </c>
      <c r="I3201" s="209" t="s">
        <v>106</v>
      </c>
      <c r="K3201" s="228"/>
      <c r="L3201" s="207" t="str">
        <f>_xlfn.XLOOKUP($B3186,予定表!$B:$B,予定表!L:L,"該当なし",0,1)</f>
        <v/>
      </c>
    </row>
    <row r="3202" spans="1:12" ht="15.75" thickBot="1">
      <c r="A3202" s="195"/>
      <c r="B3202" s="195" t="s">
        <v>207</v>
      </c>
      <c r="C3202"/>
      <c r="D3202" s="197" t="s">
        <v>761</v>
      </c>
      <c r="E3202" s="197" t="s">
        <v>106</v>
      </c>
      <c r="F3202" s="197" t="s">
        <v>771</v>
      </c>
      <c r="G3202" s="197" t="s">
        <v>515</v>
      </c>
      <c r="H3202" s="197" t="s">
        <v>106</v>
      </c>
      <c r="I3202" s="209" t="s">
        <v>106</v>
      </c>
      <c r="K3202" s="229"/>
      <c r="L3202" s="204" t="str">
        <f>_xlfn.XLOOKUP($A3183,ﾘｽﾄマスタ!$U$8:$U$17,ﾘｽﾄマスタ!$V$8:$V$17,"",0)</f>
        <v>裕源・自衛隊</v>
      </c>
    </row>
    <row r="3203" spans="1:12" ht="15.75" thickBot="1">
      <c r="A3203" s="195"/>
      <c r="B3203" s="196" t="s">
        <v>251</v>
      </c>
      <c r="C3203"/>
      <c r="D3203" s="197" t="s">
        <v>761</v>
      </c>
      <c r="E3203" s="197" t="s">
        <v>106</v>
      </c>
      <c r="F3203" s="197" t="s">
        <v>416</v>
      </c>
      <c r="G3203" s="197" t="s">
        <v>269</v>
      </c>
      <c r="H3203" s="197" t="s">
        <v>106</v>
      </c>
      <c r="I3203" s="209" t="s">
        <v>106</v>
      </c>
      <c r="K3203" s="208" t="s">
        <v>277</v>
      </c>
      <c r="L3203" s="208" t="str">
        <f>_xlfn.XLOOKUP($B3186,シフト抽出!$19:$19,シフト抽出!$30:$30,"該当なし",0,1)</f>
        <v>該当なし</v>
      </c>
    </row>
    <row r="3204" spans="1:12">
      <c r="A3204" s="195"/>
      <c r="B3204" s="195" t="s">
        <v>205</v>
      </c>
      <c r="C3204"/>
      <c r="D3204" s="197" t="s">
        <v>280</v>
      </c>
      <c r="E3204" s="197" t="s">
        <v>106</v>
      </c>
      <c r="F3204" s="197" t="s">
        <v>416</v>
      </c>
      <c r="G3204" s="197" t="s">
        <v>269</v>
      </c>
      <c r="H3204" s="197" t="s">
        <v>106</v>
      </c>
      <c r="I3204" s="209" t="s">
        <v>106</v>
      </c>
    </row>
    <row r="3205" spans="1:12">
      <c r="A3205" s="195"/>
      <c r="B3205" s="195" t="s">
        <v>206</v>
      </c>
      <c r="C3205"/>
      <c r="D3205" s="197" t="s">
        <v>280</v>
      </c>
      <c r="E3205" s="197" t="s">
        <v>106</v>
      </c>
      <c r="F3205" s="197" t="s">
        <v>224</v>
      </c>
      <c r="G3205" s="197" t="s">
        <v>269</v>
      </c>
      <c r="H3205" s="197" t="s">
        <v>106</v>
      </c>
      <c r="I3205" s="209" t="s">
        <v>106</v>
      </c>
    </row>
    <row r="3206" spans="1:12">
      <c r="A3206" s="195"/>
      <c r="B3206" s="195" t="s">
        <v>207</v>
      </c>
      <c r="C3206"/>
      <c r="D3206" s="197" t="s">
        <v>215</v>
      </c>
      <c r="E3206" s="197" t="s">
        <v>106</v>
      </c>
      <c r="F3206" s="197" t="s">
        <v>224</v>
      </c>
      <c r="G3206" s="197" t="s">
        <v>446</v>
      </c>
      <c r="H3206" s="197" t="s">
        <v>106</v>
      </c>
      <c r="I3206" s="209" t="s">
        <v>106</v>
      </c>
    </row>
    <row r="3207" spans="1:12">
      <c r="A3207" s="195"/>
      <c r="B3207" s="196" t="s">
        <v>217</v>
      </c>
      <c r="C3207"/>
      <c r="D3207" s="197" t="s">
        <v>127</v>
      </c>
      <c r="E3207" s="197" t="s">
        <v>106</v>
      </c>
      <c r="F3207" s="197" t="s">
        <v>51</v>
      </c>
      <c r="G3207" s="197" t="s">
        <v>114</v>
      </c>
      <c r="H3207" s="197" t="s">
        <v>106</v>
      </c>
      <c r="I3207" s="209" t="s">
        <v>106</v>
      </c>
    </row>
    <row r="3208" spans="1:12">
      <c r="A3208" s="195"/>
      <c r="B3208" s="195" t="s">
        <v>205</v>
      </c>
      <c r="C3208"/>
      <c r="D3208" s="197" t="s">
        <v>127</v>
      </c>
      <c r="E3208" s="197" t="s">
        <v>106</v>
      </c>
      <c r="F3208" s="197" t="s">
        <v>51</v>
      </c>
      <c r="G3208" s="197" t="s">
        <v>114</v>
      </c>
      <c r="H3208" s="197" t="s">
        <v>106</v>
      </c>
      <c r="I3208" s="209" t="s">
        <v>106</v>
      </c>
    </row>
    <row r="3209" spans="1:12">
      <c r="A3209" s="195"/>
      <c r="B3209" s="195" t="s">
        <v>206</v>
      </c>
      <c r="C3209"/>
      <c r="D3209" s="197"/>
      <c r="E3209" s="197" t="s">
        <v>106</v>
      </c>
      <c r="F3209" s="197" t="s">
        <v>51</v>
      </c>
      <c r="G3209" s="197" t="s">
        <v>114</v>
      </c>
      <c r="H3209" s="197" t="s">
        <v>106</v>
      </c>
      <c r="I3209" s="209" t="s">
        <v>106</v>
      </c>
    </row>
    <row r="3210" spans="1:12">
      <c r="A3210" s="195"/>
      <c r="B3210" s="195" t="s">
        <v>207</v>
      </c>
      <c r="C3210"/>
      <c r="D3210" s="197"/>
      <c r="E3210" s="197" t="s">
        <v>106</v>
      </c>
      <c r="F3210" s="197" t="s">
        <v>51</v>
      </c>
      <c r="G3210" s="197" t="s">
        <v>114</v>
      </c>
      <c r="H3210" s="197" t="s">
        <v>106</v>
      </c>
      <c r="I3210" s="209" t="s">
        <v>106</v>
      </c>
    </row>
    <row r="3211" spans="1:12">
      <c r="A3211" s="195"/>
      <c r="B3211" s="196" t="s">
        <v>219</v>
      </c>
      <c r="C3211"/>
      <c r="D3211" s="197"/>
      <c r="E3211" s="197"/>
      <c r="F3211" s="197"/>
      <c r="G3211" s="197"/>
      <c r="H3211" s="197"/>
      <c r="I3211" s="209"/>
    </row>
    <row r="3212" spans="1:12">
      <c r="A3212" s="195"/>
      <c r="B3212" s="195" t="s">
        <v>205</v>
      </c>
      <c r="C3212"/>
      <c r="D3212" s="197"/>
      <c r="E3212" s="197"/>
      <c r="F3212" s="197"/>
      <c r="G3212" s="197"/>
      <c r="H3212" s="197"/>
      <c r="I3212" s="209"/>
    </row>
    <row r="3213" spans="1:12">
      <c r="A3213" s="195"/>
      <c r="B3213" s="195" t="s">
        <v>206</v>
      </c>
      <c r="C3213"/>
      <c r="D3213" s="197"/>
      <c r="E3213" s="197"/>
      <c r="F3213" s="197"/>
      <c r="G3213" s="197"/>
      <c r="H3213" s="197"/>
      <c r="I3213" s="209"/>
    </row>
    <row r="3214" spans="1:12">
      <c r="A3214" s="195"/>
      <c r="B3214" s="195" t="s">
        <v>207</v>
      </c>
      <c r="C3214"/>
      <c r="D3214" s="197"/>
      <c r="E3214" s="197"/>
      <c r="F3214" s="197"/>
      <c r="G3214" s="197"/>
      <c r="H3214" s="197"/>
      <c r="I3214" s="209"/>
    </row>
    <row r="3215" spans="1:12">
      <c r="A3215" s="195"/>
      <c r="B3215" s="196" t="s">
        <v>220</v>
      </c>
      <c r="C3215"/>
      <c r="D3215" s="189" t="s">
        <v>248</v>
      </c>
      <c r="E3215" s="189" t="s">
        <v>859</v>
      </c>
      <c r="F3215" s="197"/>
      <c r="G3215" s="189" t="s">
        <v>925</v>
      </c>
      <c r="H3215" s="197"/>
      <c r="I3215" s="209"/>
    </row>
    <row r="3216" spans="1:12">
      <c r="A3216" s="195"/>
      <c r="B3216" s="195" t="s">
        <v>205</v>
      </c>
      <c r="C3216"/>
      <c r="D3216" s="197" t="s">
        <v>759</v>
      </c>
      <c r="E3216" s="197" t="s">
        <v>273</v>
      </c>
      <c r="F3216" s="197" t="s">
        <v>62</v>
      </c>
      <c r="G3216" s="197" t="s">
        <v>56</v>
      </c>
      <c r="H3216" s="197" t="s">
        <v>848</v>
      </c>
      <c r="I3216" s="209" t="s">
        <v>848</v>
      </c>
    </row>
    <row r="3217" spans="1:9">
      <c r="A3217" s="195"/>
      <c r="B3217" s="195" t="s">
        <v>206</v>
      </c>
      <c r="C3217"/>
      <c r="D3217" s="197" t="s">
        <v>759</v>
      </c>
      <c r="E3217" s="197" t="s">
        <v>273</v>
      </c>
      <c r="F3217" s="197" t="s">
        <v>62</v>
      </c>
      <c r="G3217" s="197" t="s">
        <v>56</v>
      </c>
      <c r="H3217" s="197" t="s">
        <v>848</v>
      </c>
      <c r="I3217" s="209" t="s">
        <v>848</v>
      </c>
    </row>
    <row r="3218" spans="1:9">
      <c r="A3218" s="195"/>
      <c r="B3218" s="195" t="s">
        <v>207</v>
      </c>
      <c r="C3218"/>
      <c r="D3218" s="197" t="s">
        <v>759</v>
      </c>
      <c r="E3218" s="197" t="s">
        <v>273</v>
      </c>
      <c r="F3218" s="197" t="s">
        <v>62</v>
      </c>
      <c r="G3218" s="197" t="s">
        <v>56</v>
      </c>
      <c r="H3218" s="197" t="s">
        <v>848</v>
      </c>
      <c r="I3218" s="209" t="s">
        <v>848</v>
      </c>
    </row>
    <row r="3219" spans="1:9">
      <c r="A3219" s="195"/>
      <c r="B3219" s="196" t="s">
        <v>222</v>
      </c>
      <c r="C3219"/>
      <c r="D3219" s="197" t="s">
        <v>759</v>
      </c>
      <c r="E3219" s="197" t="s">
        <v>273</v>
      </c>
      <c r="F3219" s="197" t="s">
        <v>62</v>
      </c>
      <c r="G3219" s="197" t="s">
        <v>4</v>
      </c>
      <c r="H3219" s="197" t="s">
        <v>848</v>
      </c>
      <c r="I3219" s="209" t="s">
        <v>848</v>
      </c>
    </row>
    <row r="3220" spans="1:9">
      <c r="A3220" s="195"/>
      <c r="B3220" s="195" t="s">
        <v>205</v>
      </c>
      <c r="C3220"/>
      <c r="D3220" s="197" t="s">
        <v>216</v>
      </c>
      <c r="E3220" s="197" t="s">
        <v>186</v>
      </c>
      <c r="F3220" s="197" t="s">
        <v>62</v>
      </c>
      <c r="G3220" s="197" t="s">
        <v>270</v>
      </c>
      <c r="H3220" s="197" t="s">
        <v>848</v>
      </c>
      <c r="I3220" s="209" t="s">
        <v>848</v>
      </c>
    </row>
    <row r="3221" spans="1:9">
      <c r="A3221" s="195"/>
      <c r="B3221" s="195" t="s">
        <v>206</v>
      </c>
      <c r="C3221"/>
      <c r="D3221" s="197" t="s">
        <v>216</v>
      </c>
      <c r="E3221" s="197" t="s">
        <v>186</v>
      </c>
      <c r="F3221" s="197" t="s">
        <v>62</v>
      </c>
      <c r="G3221" s="197" t="s">
        <v>270</v>
      </c>
      <c r="H3221" s="197" t="s">
        <v>229</v>
      </c>
      <c r="I3221" s="209" t="s">
        <v>229</v>
      </c>
    </row>
    <row r="3222" spans="1:9">
      <c r="A3222" s="195"/>
      <c r="B3222" s="195" t="s">
        <v>207</v>
      </c>
      <c r="C3222"/>
      <c r="D3222" s="197" t="s">
        <v>216</v>
      </c>
      <c r="E3222" s="197" t="s">
        <v>252</v>
      </c>
      <c r="F3222" s="197" t="s">
        <v>62</v>
      </c>
      <c r="G3222" s="197" t="s">
        <v>270</v>
      </c>
      <c r="H3222" s="197" t="s">
        <v>229</v>
      </c>
      <c r="I3222" s="209" t="s">
        <v>229</v>
      </c>
    </row>
    <row r="3223" spans="1:9">
      <c r="A3223" s="195"/>
      <c r="B3223" s="196" t="s">
        <v>223</v>
      </c>
      <c r="C3223"/>
      <c r="D3223" s="197" t="s">
        <v>216</v>
      </c>
      <c r="E3223" s="197" t="s">
        <v>252</v>
      </c>
      <c r="F3223" s="197" t="s">
        <v>62</v>
      </c>
      <c r="G3223" s="197" t="s">
        <v>270</v>
      </c>
      <c r="H3223" s="197" t="s">
        <v>230</v>
      </c>
      <c r="I3223" s="209" t="s">
        <v>230</v>
      </c>
    </row>
    <row r="3224" spans="1:9">
      <c r="A3224" s="195"/>
      <c r="B3224" s="195" t="s">
        <v>205</v>
      </c>
      <c r="C3224"/>
      <c r="D3224" s="197" t="s">
        <v>216</v>
      </c>
      <c r="E3224" s="197" t="s">
        <v>252</v>
      </c>
      <c r="F3224" s="197" t="s">
        <v>62</v>
      </c>
      <c r="G3224" s="197" t="s">
        <v>270</v>
      </c>
      <c r="H3224" s="197" t="s">
        <v>230</v>
      </c>
      <c r="I3224" s="209" t="s">
        <v>230</v>
      </c>
    </row>
    <row r="3225" spans="1:9">
      <c r="A3225" s="195"/>
      <c r="B3225" s="195" t="s">
        <v>206</v>
      </c>
      <c r="C3225"/>
      <c r="D3225" s="197" t="s">
        <v>523</v>
      </c>
      <c r="E3225" s="197" t="s">
        <v>252</v>
      </c>
      <c r="F3225" s="197" t="s">
        <v>62</v>
      </c>
      <c r="G3225" s="197" t="s">
        <v>270</v>
      </c>
      <c r="H3225" s="197" t="s">
        <v>230</v>
      </c>
      <c r="I3225" s="209" t="s">
        <v>230</v>
      </c>
    </row>
    <row r="3226" spans="1:9">
      <c r="A3226" s="195"/>
      <c r="B3226" s="195" t="s">
        <v>207</v>
      </c>
      <c r="C3226"/>
      <c r="D3226" s="197" t="s">
        <v>523</v>
      </c>
      <c r="E3226" s="197" t="s">
        <v>252</v>
      </c>
      <c r="F3226" s="197" t="s">
        <v>62</v>
      </c>
      <c r="G3226" s="197" t="s">
        <v>270</v>
      </c>
      <c r="H3226" s="197" t="s">
        <v>230</v>
      </c>
      <c r="I3226" s="209" t="s">
        <v>230</v>
      </c>
    </row>
    <row r="3227" spans="1:9">
      <c r="A3227" s="195"/>
      <c r="B3227" s="196" t="s">
        <v>225</v>
      </c>
      <c r="C3227"/>
      <c r="D3227" s="197"/>
      <c r="E3227" s="197" t="s">
        <v>252</v>
      </c>
      <c r="F3227" s="197"/>
      <c r="G3227" s="197" t="s">
        <v>270</v>
      </c>
      <c r="H3227" s="197" t="s">
        <v>230</v>
      </c>
      <c r="I3227" s="209" t="s">
        <v>230</v>
      </c>
    </row>
    <row r="3228" spans="1:9">
      <c r="A3228" s="195"/>
      <c r="B3228" s="195" t="s">
        <v>205</v>
      </c>
      <c r="C3228"/>
      <c r="D3228" s="197"/>
      <c r="E3228" s="197" t="s">
        <v>252</v>
      </c>
      <c r="F3228" s="197"/>
      <c r="G3228" s="197" t="s">
        <v>270</v>
      </c>
      <c r="H3228" s="209" t="s">
        <v>415</v>
      </c>
      <c r="I3228" s="209" t="s">
        <v>415</v>
      </c>
    </row>
    <row r="3229" spans="1:9">
      <c r="A3229" s="195"/>
      <c r="B3229" s="195" t="s">
        <v>206</v>
      </c>
      <c r="C3229"/>
      <c r="D3229" s="197"/>
      <c r="E3229" s="197" t="s">
        <v>252</v>
      </c>
      <c r="F3229" s="197"/>
      <c r="G3229" s="197" t="s">
        <v>270</v>
      </c>
      <c r="H3229" s="209" t="s">
        <v>415</v>
      </c>
      <c r="I3229" s="209" t="s">
        <v>415</v>
      </c>
    </row>
    <row r="3230" spans="1:9">
      <c r="A3230" s="195"/>
      <c r="B3230" s="195" t="s">
        <v>207</v>
      </c>
      <c r="C3230"/>
      <c r="D3230" s="197"/>
      <c r="E3230" s="197" t="s">
        <v>252</v>
      </c>
      <c r="F3230" s="197"/>
      <c r="G3230" s="197" t="s">
        <v>270</v>
      </c>
      <c r="H3230" s="209" t="s">
        <v>415</v>
      </c>
      <c r="I3230" s="209" t="s">
        <v>415</v>
      </c>
    </row>
    <row r="3231" spans="1:9">
      <c r="A3231" s="195"/>
      <c r="B3231" s="196" t="s">
        <v>226</v>
      </c>
      <c r="C3231"/>
      <c r="D3231" s="197"/>
      <c r="E3231" s="197"/>
      <c r="F3231" s="197"/>
      <c r="G3231" s="197" t="s">
        <v>270</v>
      </c>
      <c r="H3231" s="209"/>
      <c r="I3231" s="209"/>
    </row>
    <row r="3232" spans="1:9">
      <c r="A3232" s="195"/>
      <c r="B3232" s="195" t="s">
        <v>205</v>
      </c>
      <c r="C3232"/>
      <c r="D3232" s="197"/>
      <c r="E3232" s="197"/>
      <c r="F3232" s="197"/>
      <c r="G3232" s="197"/>
      <c r="H3232" s="209"/>
      <c r="I3232" s="209"/>
    </row>
    <row r="3233" spans="1:12">
      <c r="A3233" s="195"/>
      <c r="B3233" s="195" t="s">
        <v>206</v>
      </c>
      <c r="C3233"/>
      <c r="D3233" s="197"/>
      <c r="E3233" s="197"/>
      <c r="F3233" s="197"/>
      <c r="G3233" s="197"/>
      <c r="H3233" s="209"/>
      <c r="I3233" s="209"/>
    </row>
    <row r="3234" spans="1:12">
      <c r="A3234" s="195"/>
      <c r="B3234" s="195" t="s">
        <v>207</v>
      </c>
      <c r="C3234"/>
      <c r="D3234" s="197"/>
      <c r="E3234" s="197"/>
      <c r="F3234" s="197"/>
      <c r="G3234" s="197"/>
      <c r="H3234" s="209"/>
      <c r="I3234" s="209"/>
    </row>
    <row r="3235" spans="1:12">
      <c r="A3235" s="195"/>
      <c r="B3235" s="196" t="s">
        <v>227</v>
      </c>
      <c r="C3235"/>
      <c r="D3235" s="197"/>
      <c r="E3235" s="197"/>
      <c r="F3235" s="197"/>
      <c r="G3235" s="197"/>
      <c r="H3235" s="209"/>
      <c r="I3235" s="209"/>
      <c r="K3235"/>
    </row>
    <row r="3236" spans="1:12" ht="29.25" thickBot="1">
      <c r="A3236" s="182" t="str">
        <f>"回収シフト  第"&amp;ROUNDUP(DAY(B3239)/7,0)  &amp;"  "&amp;TEXT(B3239,"aaaa")</f>
        <v>回収シフト  第2  木曜日</v>
      </c>
      <c r="B3236" s="183"/>
      <c r="C3236" s="183"/>
      <c r="D3236" s="183"/>
      <c r="E3236" s="183"/>
      <c r="F3236" s="183"/>
      <c r="G3236" s="184"/>
      <c r="H3236" s="184"/>
      <c r="I3236" s="184"/>
      <c r="K3236" s="183"/>
      <c r="L3236" s="183"/>
    </row>
    <row r="3237" spans="1:12" ht="15.75" thickBot="1">
      <c r="A3237"/>
      <c r="B3237"/>
      <c r="C3237"/>
      <c r="D3237" s="186" t="s">
        <v>201</v>
      </c>
      <c r="E3237" s="186" t="s">
        <v>202</v>
      </c>
      <c r="F3237" s="186" t="s">
        <v>203</v>
      </c>
      <c r="G3237" s="186" t="s">
        <v>204</v>
      </c>
      <c r="H3237" s="186" t="s">
        <v>267</v>
      </c>
      <c r="I3237" s="217" t="s">
        <v>267</v>
      </c>
      <c r="K3237" s="230" t="s">
        <v>257</v>
      </c>
      <c r="L3237" s="231"/>
    </row>
    <row r="3238" spans="1:12">
      <c r="A3238" s="187"/>
      <c r="B3238" s="188">
        <v>46119</v>
      </c>
      <c r="C3238" s="187"/>
      <c r="D3238" s="189" t="s">
        <v>874</v>
      </c>
      <c r="E3238" s="189" t="s">
        <v>248</v>
      </c>
      <c r="F3238" s="189" t="s">
        <v>276</v>
      </c>
      <c r="G3238" s="189" t="s">
        <v>935</v>
      </c>
      <c r="H3238" s="189" t="s">
        <v>852</v>
      </c>
      <c r="I3238" s="218" t="s">
        <v>852</v>
      </c>
      <c r="K3238" s="232" t="s">
        <v>258</v>
      </c>
      <c r="L3238" s="190" t="str">
        <f>_xlfn.XLOOKUP($B3239,シフト抽出!$19:$19,シフト抽出!$20:$20,"該当なし",0,1)</f>
        <v>該当なし</v>
      </c>
    </row>
    <row r="3239" spans="1:12" ht="19.5" thickBot="1">
      <c r="A3239"/>
      <c r="B3239" s="191">
        <f>B3186+1</f>
        <v>46184</v>
      </c>
      <c r="C3239" s="192"/>
      <c r="D3239" s="193"/>
      <c r="E3239" s="193"/>
      <c r="F3239" s="193"/>
      <c r="G3239" s="193"/>
      <c r="H3239" s="193"/>
      <c r="I3239" s="219"/>
      <c r="K3239" s="233"/>
      <c r="L3239" s="194" t="str">
        <f>_xlfn.XLOOKUP($B3239,シフト抽出!$19:$19,シフト抽出!$21:$21,"該当なし",0,1)</f>
        <v>該当なし</v>
      </c>
    </row>
    <row r="3240" spans="1:12">
      <c r="A3240" s="195"/>
      <c r="B3240" s="196">
        <v>0.25</v>
      </c>
      <c r="C3240"/>
      <c r="D3240" s="197"/>
      <c r="E3240" s="196"/>
      <c r="F3240" s="197"/>
      <c r="G3240" s="197"/>
      <c r="H3240" s="197"/>
      <c r="I3240" s="209"/>
      <c r="K3240" s="234" t="s">
        <v>259</v>
      </c>
      <c r="L3240" s="198" t="str">
        <f>_xlfn.XLOOKUP($B3239,シフト抽出!$19:$19,シフト抽出!$23:$23,"該当なし",0,1)</f>
        <v>該当なし</v>
      </c>
    </row>
    <row r="3241" spans="1:12" ht="15.75" thickBot="1">
      <c r="A3241" s="195"/>
      <c r="B3241" s="195" t="s">
        <v>205</v>
      </c>
      <c r="C3241"/>
      <c r="D3241" s="197"/>
      <c r="E3241" s="197"/>
      <c r="F3241" s="197"/>
      <c r="G3241" s="197" t="s">
        <v>911</v>
      </c>
      <c r="H3241" s="197"/>
      <c r="I3241" s="209"/>
      <c r="K3241" s="235"/>
      <c r="L3241" s="199" t="str">
        <f>_xlfn.XLOOKUP($B3239,シフト抽出!$19:$19,シフト抽出!$24:$24,"該当なし",0,1)</f>
        <v>該当なし</v>
      </c>
    </row>
    <row r="3242" spans="1:12">
      <c r="A3242" s="195"/>
      <c r="B3242" s="195" t="s">
        <v>206</v>
      </c>
      <c r="C3242"/>
      <c r="D3242" s="197"/>
      <c r="E3242" s="197"/>
      <c r="F3242" s="197"/>
      <c r="G3242" s="197"/>
      <c r="H3242" s="197"/>
      <c r="I3242" s="209"/>
      <c r="K3242" s="224" t="s">
        <v>260</v>
      </c>
      <c r="L3242" s="200" t="str">
        <f>_xlfn.XLOOKUP($B3239,シフト抽出!$19:$19,シフト抽出!$26:$26,"該当なし",0,1)</f>
        <v>該当なし</v>
      </c>
    </row>
    <row r="3243" spans="1:12">
      <c r="A3243" s="195"/>
      <c r="B3243" s="195" t="s">
        <v>207</v>
      </c>
      <c r="C3243"/>
      <c r="D3243" s="197"/>
      <c r="E3243" s="197"/>
      <c r="F3243" s="197"/>
      <c r="G3243" s="197"/>
      <c r="H3243" s="197"/>
      <c r="I3243" s="209"/>
      <c r="K3243" s="225"/>
      <c r="L3243" s="201" t="str">
        <f>_xlfn.XLOOKUP($B3239,シフト抽出!$19:$19,シフト抽出!$27:$27,"該当なし",0,1)</f>
        <v>該当なし</v>
      </c>
    </row>
    <row r="3244" spans="1:12">
      <c r="A3244" s="195"/>
      <c r="B3244" s="202" t="s">
        <v>208</v>
      </c>
      <c r="C3244"/>
      <c r="D3244" s="197" t="s">
        <v>4</v>
      </c>
      <c r="E3244" s="197" t="s">
        <v>4</v>
      </c>
      <c r="F3244" s="197" t="s">
        <v>4</v>
      </c>
      <c r="G3244" s="197" t="s">
        <v>4</v>
      </c>
      <c r="H3244" s="197"/>
      <c r="I3244" s="209"/>
      <c r="J3244" s="203"/>
      <c r="K3244" s="225"/>
      <c r="L3244" s="201" t="str">
        <f>_xlfn.XLOOKUP($B3239,シフト抽出!$19:$19,シフト抽出!$28:$28,"該当なし",0,1)</f>
        <v>該当なし</v>
      </c>
    </row>
    <row r="3245" spans="1:12" ht="15.75" thickBot="1">
      <c r="A3245" s="195"/>
      <c r="B3245" s="195" t="s">
        <v>205</v>
      </c>
      <c r="C3245"/>
      <c r="D3245" s="197" t="s">
        <v>414</v>
      </c>
      <c r="E3245" s="197" t="s">
        <v>421</v>
      </c>
      <c r="F3245" s="197" t="s">
        <v>851</v>
      </c>
      <c r="G3245" s="197" t="s">
        <v>22</v>
      </c>
      <c r="H3245" s="197"/>
      <c r="I3245" s="209"/>
      <c r="J3245" s="203"/>
      <c r="K3245" s="226"/>
      <c r="L3245" s="204" t="str">
        <f>_xlfn.XLOOKUP($B3239,シフト抽出!$19:$19,シフト抽出!$29:$29,"該当なし",0,1)</f>
        <v>該当なし</v>
      </c>
    </row>
    <row r="3246" spans="1:12" ht="15.75" thickBot="1">
      <c r="A3246" s="195"/>
      <c r="B3246" s="195" t="s">
        <v>206</v>
      </c>
      <c r="C3246"/>
      <c r="D3246" s="197" t="s">
        <v>414</v>
      </c>
      <c r="E3246" s="197" t="s">
        <v>421</v>
      </c>
      <c r="F3246" s="197" t="s">
        <v>851</v>
      </c>
      <c r="G3246" s="197" t="s">
        <v>22</v>
      </c>
      <c r="H3246" s="197"/>
      <c r="I3246" s="209"/>
      <c r="K3246" s="205" t="s">
        <v>261</v>
      </c>
      <c r="L3246" s="205">
        <f>_xlfn.XLOOKUP($B3239,予定表!B:B,予定表!R:R,"該当なし",0,1)</f>
        <v>0</v>
      </c>
    </row>
    <row r="3247" spans="1:12">
      <c r="A3247" s="195"/>
      <c r="B3247" s="195" t="s">
        <v>207</v>
      </c>
      <c r="C3247"/>
      <c r="D3247" s="197" t="s">
        <v>414</v>
      </c>
      <c r="E3247" s="197" t="s">
        <v>421</v>
      </c>
      <c r="F3247" s="197" t="s">
        <v>851</v>
      </c>
      <c r="G3247" s="197" t="s">
        <v>22</v>
      </c>
      <c r="H3247" s="197"/>
      <c r="I3247" s="209"/>
      <c r="K3247" s="227" t="s">
        <v>262</v>
      </c>
      <c r="L3247" s="206" t="str">
        <f>_xlfn.XLOOKUP($B3239,予定表!$B:$B,予定表!E:E,"該当なし",0,1)</f>
        <v>山崎歯車2ヶ所</v>
      </c>
    </row>
    <row r="3248" spans="1:12">
      <c r="A3248" s="195"/>
      <c r="B3248" s="196" t="s">
        <v>209</v>
      </c>
      <c r="C3248"/>
      <c r="D3248" s="197" t="s">
        <v>414</v>
      </c>
      <c r="E3248" s="197" t="s">
        <v>421</v>
      </c>
      <c r="F3248" s="197" t="s">
        <v>851</v>
      </c>
      <c r="G3248" s="197" t="s">
        <v>268</v>
      </c>
      <c r="H3248" s="197" t="s">
        <v>4</v>
      </c>
      <c r="I3248" s="209" t="s">
        <v>4</v>
      </c>
      <c r="K3248" s="228"/>
      <c r="L3248" s="207">
        <f>_xlfn.XLOOKUP($B3239,予定表!$B:$B,予定表!F:F,"該当なし",0,1)</f>
        <v>0</v>
      </c>
    </row>
    <row r="3249" spans="1:12">
      <c r="A3249" s="195"/>
      <c r="B3249" s="195" t="s">
        <v>205</v>
      </c>
      <c r="C3249"/>
      <c r="D3249" s="197" t="s">
        <v>414</v>
      </c>
      <c r="E3249" s="197" t="s">
        <v>421</v>
      </c>
      <c r="F3249" s="197" t="s">
        <v>851</v>
      </c>
      <c r="G3249" s="197" t="s">
        <v>268</v>
      </c>
      <c r="H3249" s="197" t="s">
        <v>60</v>
      </c>
      <c r="I3249" s="209" t="s">
        <v>60</v>
      </c>
      <c r="K3249" s="228"/>
      <c r="L3249" s="207">
        <f>_xlfn.XLOOKUP($B3239,予定表!$B:$B,予定表!G:G,"該当なし",0,1)</f>
        <v>0</v>
      </c>
    </row>
    <row r="3250" spans="1:12">
      <c r="A3250" s="195"/>
      <c r="B3250" s="195" t="s">
        <v>206</v>
      </c>
      <c r="C3250"/>
      <c r="D3250" s="197" t="s">
        <v>214</v>
      </c>
      <c r="E3250" s="197" t="s">
        <v>934</v>
      </c>
      <c r="F3250" s="197" t="s">
        <v>851</v>
      </c>
      <c r="G3250" s="197" t="s">
        <v>268</v>
      </c>
      <c r="H3250" s="197" t="s">
        <v>60</v>
      </c>
      <c r="I3250" s="209" t="s">
        <v>60</v>
      </c>
      <c r="K3250" s="228"/>
      <c r="L3250" s="207">
        <f>_xlfn.XLOOKUP($B3239,予定表!$B:$B,予定表!H:H,"該当なし",0,1)</f>
        <v>0</v>
      </c>
    </row>
    <row r="3251" spans="1:12">
      <c r="A3251" s="195"/>
      <c r="B3251" s="195" t="s">
        <v>207</v>
      </c>
      <c r="C3251"/>
      <c r="D3251" s="197" t="s">
        <v>214</v>
      </c>
      <c r="E3251" s="197" t="s">
        <v>273</v>
      </c>
      <c r="F3251" s="197" t="s">
        <v>851</v>
      </c>
      <c r="G3251" s="197" t="s">
        <v>268</v>
      </c>
      <c r="H3251" s="197" t="s">
        <v>60</v>
      </c>
      <c r="I3251" s="209" t="s">
        <v>60</v>
      </c>
      <c r="K3251" s="228"/>
      <c r="L3251" s="207" t="str">
        <f>_xlfn.XLOOKUP($B3239,予定表!$B:$B,予定表!I:I,"該当なし",0,1)</f>
        <v/>
      </c>
    </row>
    <row r="3252" spans="1:12">
      <c r="A3252" s="195"/>
      <c r="B3252" s="196" t="s">
        <v>212</v>
      </c>
      <c r="C3252"/>
      <c r="D3252" s="197" t="s">
        <v>214</v>
      </c>
      <c r="E3252" s="197" t="s">
        <v>273</v>
      </c>
      <c r="F3252" s="197" t="s">
        <v>7</v>
      </c>
      <c r="G3252" s="197" t="s">
        <v>268</v>
      </c>
      <c r="H3252" s="197"/>
      <c r="I3252" s="209"/>
      <c r="K3252" s="228"/>
      <c r="L3252" s="207" t="str">
        <f>_xlfn.XLOOKUP($B3239,予定表!$B:$B,予定表!J:J,"該当なし",0,1)</f>
        <v/>
      </c>
    </row>
    <row r="3253" spans="1:12">
      <c r="A3253" s="195"/>
      <c r="B3253" s="195" t="s">
        <v>205</v>
      </c>
      <c r="C3253"/>
      <c r="D3253" s="197" t="s">
        <v>761</v>
      </c>
      <c r="E3253" s="197" t="s">
        <v>228</v>
      </c>
      <c r="F3253" s="197"/>
      <c r="G3253" s="197" t="s">
        <v>268</v>
      </c>
      <c r="H3253" s="197" t="s">
        <v>230</v>
      </c>
      <c r="I3253" s="209" t="s">
        <v>230</v>
      </c>
      <c r="K3253" s="228"/>
      <c r="L3253" s="207" t="str">
        <f>_xlfn.XLOOKUP($B3239,予定表!$B:$B,予定表!K:K,"該当なし",0,1)</f>
        <v/>
      </c>
    </row>
    <row r="3254" spans="1:12">
      <c r="A3254" s="195"/>
      <c r="B3254" s="195" t="s">
        <v>206</v>
      </c>
      <c r="C3254"/>
      <c r="D3254" s="197" t="s">
        <v>761</v>
      </c>
      <c r="E3254" s="197" t="s">
        <v>228</v>
      </c>
      <c r="F3254" s="197"/>
      <c r="G3254" s="197" t="s">
        <v>169</v>
      </c>
      <c r="H3254" s="197" t="s">
        <v>230</v>
      </c>
      <c r="I3254" s="209" t="s">
        <v>230</v>
      </c>
      <c r="K3254" s="228"/>
      <c r="L3254" s="207" t="str">
        <f>_xlfn.XLOOKUP($B3239,予定表!$B:$B,予定表!L:L,"該当なし",0,1)</f>
        <v/>
      </c>
    </row>
    <row r="3255" spans="1:12" ht="15.75" thickBot="1">
      <c r="A3255" s="195"/>
      <c r="B3255" s="195" t="s">
        <v>207</v>
      </c>
      <c r="C3255"/>
      <c r="D3255" s="197" t="s">
        <v>761</v>
      </c>
      <c r="E3255" s="197" t="s">
        <v>959</v>
      </c>
      <c r="F3255" s="197"/>
      <c r="G3255" s="197" t="s">
        <v>169</v>
      </c>
      <c r="H3255" s="197" t="s">
        <v>230</v>
      </c>
      <c r="I3255" s="209" t="s">
        <v>230</v>
      </c>
      <c r="K3255" s="229"/>
      <c r="L3255" s="204" t="str">
        <f>_xlfn.XLOOKUP($A3236,ﾘｽﾄマスタ!$U$8:$U$17,ﾘｽﾄマスタ!$V$8:$V$17,"",0)</f>
        <v>BS+1ヵ所</v>
      </c>
    </row>
    <row r="3256" spans="1:12" ht="15.75" thickBot="1">
      <c r="A3256" s="195"/>
      <c r="B3256" s="196" t="s">
        <v>251</v>
      </c>
      <c r="C3256"/>
      <c r="D3256" s="197" t="s">
        <v>7</v>
      </c>
      <c r="E3256" s="197" t="s">
        <v>228</v>
      </c>
      <c r="F3256" s="197"/>
      <c r="G3256" s="197" t="s">
        <v>169</v>
      </c>
      <c r="H3256" s="197" t="s">
        <v>229</v>
      </c>
      <c r="I3256" s="209" t="s">
        <v>229</v>
      </c>
      <c r="K3256" s="208" t="s">
        <v>277</v>
      </c>
      <c r="L3256" s="208" t="str">
        <f>_xlfn.XLOOKUP($B3239,シフト抽出!$19:$19,シフト抽出!$30:$30,"該当なし",0,1)</f>
        <v>該当なし</v>
      </c>
    </row>
    <row r="3257" spans="1:12">
      <c r="A3257" s="195"/>
      <c r="B3257" s="195" t="s">
        <v>205</v>
      </c>
      <c r="C3257"/>
      <c r="D3257" s="197" t="s">
        <v>114</v>
      </c>
      <c r="E3257" s="197" t="s">
        <v>228</v>
      </c>
      <c r="F3257" s="197"/>
      <c r="G3257" s="197" t="s">
        <v>169</v>
      </c>
      <c r="H3257" s="197" t="s">
        <v>229</v>
      </c>
      <c r="I3257" s="209" t="s">
        <v>229</v>
      </c>
    </row>
    <row r="3258" spans="1:12">
      <c r="A3258" s="195"/>
      <c r="B3258" s="195" t="s">
        <v>206</v>
      </c>
      <c r="C3258"/>
      <c r="D3258" s="197" t="s">
        <v>114</v>
      </c>
      <c r="E3258" s="197" t="s">
        <v>263</v>
      </c>
      <c r="F3258" s="197" t="s">
        <v>605</v>
      </c>
      <c r="G3258" s="197" t="s">
        <v>169</v>
      </c>
      <c r="H3258" s="197" t="s">
        <v>848</v>
      </c>
      <c r="I3258" s="209" t="s">
        <v>848</v>
      </c>
    </row>
    <row r="3259" spans="1:12">
      <c r="A3259" s="195"/>
      <c r="B3259" s="195" t="s">
        <v>207</v>
      </c>
      <c r="C3259"/>
      <c r="D3259" s="197" t="s">
        <v>129</v>
      </c>
      <c r="E3259" s="197" t="s">
        <v>263</v>
      </c>
      <c r="F3259" s="197" t="s">
        <v>75</v>
      </c>
      <c r="G3259" s="197" t="s">
        <v>75</v>
      </c>
      <c r="H3259" s="197" t="s">
        <v>848</v>
      </c>
      <c r="I3259" s="209" t="s">
        <v>848</v>
      </c>
    </row>
    <row r="3260" spans="1:12">
      <c r="A3260" s="195"/>
      <c r="B3260" s="196" t="s">
        <v>217</v>
      </c>
      <c r="C3260"/>
      <c r="D3260" s="197" t="s">
        <v>129</v>
      </c>
      <c r="E3260" s="197" t="s">
        <v>263</v>
      </c>
      <c r="F3260" s="197" t="s">
        <v>605</v>
      </c>
      <c r="G3260" s="197" t="s">
        <v>169</v>
      </c>
      <c r="H3260" s="197" t="s">
        <v>848</v>
      </c>
      <c r="I3260" s="209" t="s">
        <v>848</v>
      </c>
    </row>
    <row r="3261" spans="1:12">
      <c r="A3261" s="195"/>
      <c r="B3261" s="195" t="s">
        <v>205</v>
      </c>
      <c r="C3261"/>
      <c r="D3261" s="197" t="s">
        <v>129</v>
      </c>
      <c r="E3261" s="197" t="s">
        <v>848</v>
      </c>
      <c r="F3261" s="197" t="s">
        <v>51</v>
      </c>
      <c r="G3261" s="197" t="s">
        <v>169</v>
      </c>
      <c r="H3261" s="197" t="s">
        <v>848</v>
      </c>
      <c r="I3261" s="209" t="s">
        <v>848</v>
      </c>
    </row>
    <row r="3262" spans="1:12">
      <c r="A3262" s="195"/>
      <c r="B3262" s="195" t="s">
        <v>206</v>
      </c>
      <c r="C3262"/>
      <c r="D3262" s="197" t="s">
        <v>129</v>
      </c>
      <c r="E3262" s="197" t="s">
        <v>848</v>
      </c>
      <c r="F3262" s="197" t="s">
        <v>51</v>
      </c>
      <c r="G3262" s="197" t="s">
        <v>278</v>
      </c>
      <c r="H3262" s="197" t="s">
        <v>848</v>
      </c>
      <c r="I3262" s="209" t="s">
        <v>848</v>
      </c>
    </row>
    <row r="3263" spans="1:12">
      <c r="A3263" s="195"/>
      <c r="B3263" s="195" t="s">
        <v>207</v>
      </c>
      <c r="C3263"/>
      <c r="D3263" s="197" t="s">
        <v>129</v>
      </c>
      <c r="E3263" s="197" t="s">
        <v>848</v>
      </c>
      <c r="F3263" s="197" t="s">
        <v>51</v>
      </c>
      <c r="G3263" s="197" t="s">
        <v>278</v>
      </c>
      <c r="H3263" s="197" t="s">
        <v>848</v>
      </c>
      <c r="I3263" s="209" t="s">
        <v>848</v>
      </c>
    </row>
    <row r="3264" spans="1:12">
      <c r="A3264" s="195"/>
      <c r="B3264" s="196" t="s">
        <v>219</v>
      </c>
      <c r="C3264"/>
      <c r="D3264" s="197"/>
      <c r="E3264" s="197" t="s">
        <v>848</v>
      </c>
      <c r="F3264" s="197" t="s">
        <v>51</v>
      </c>
      <c r="G3264" s="197"/>
      <c r="H3264" s="197"/>
      <c r="I3264" s="209"/>
    </row>
    <row r="3265" spans="1:9">
      <c r="A3265" s="195"/>
      <c r="B3265" s="195" t="s">
        <v>205</v>
      </c>
      <c r="C3265"/>
      <c r="D3265" s="197"/>
      <c r="E3265" s="197" t="s">
        <v>848</v>
      </c>
      <c r="F3265" s="197"/>
      <c r="G3265" s="197"/>
      <c r="H3265" s="197"/>
      <c r="I3265" s="209"/>
    </row>
    <row r="3266" spans="1:9">
      <c r="A3266" s="195"/>
      <c r="B3266" s="195" t="s">
        <v>206</v>
      </c>
      <c r="C3266"/>
      <c r="D3266" s="197"/>
      <c r="E3266" s="197"/>
      <c r="F3266" s="197"/>
      <c r="G3266" s="197"/>
      <c r="H3266" s="197"/>
      <c r="I3266" s="209"/>
    </row>
    <row r="3267" spans="1:9">
      <c r="A3267" s="195"/>
      <c r="B3267" s="195" t="s">
        <v>207</v>
      </c>
      <c r="C3267"/>
      <c r="D3267" s="197"/>
      <c r="E3267" s="197"/>
      <c r="F3267" s="197"/>
      <c r="G3267" s="197"/>
      <c r="H3267" s="197"/>
      <c r="I3267" s="209"/>
    </row>
    <row r="3268" spans="1:9">
      <c r="A3268" s="195"/>
      <c r="B3268" s="196" t="s">
        <v>220</v>
      </c>
      <c r="C3268"/>
      <c r="D3268" s="189" t="s">
        <v>891</v>
      </c>
      <c r="E3268" s="197"/>
      <c r="F3268" s="189" t="s">
        <v>874</v>
      </c>
      <c r="G3268" s="189"/>
      <c r="H3268" s="197"/>
      <c r="I3268" s="209"/>
    </row>
    <row r="3269" spans="1:9">
      <c r="A3269" s="195"/>
      <c r="B3269" s="195" t="s">
        <v>205</v>
      </c>
      <c r="C3269"/>
      <c r="D3269" s="197" t="s">
        <v>515</v>
      </c>
      <c r="E3269" s="197" t="s">
        <v>95</v>
      </c>
      <c r="F3269" s="197" t="s">
        <v>252</v>
      </c>
      <c r="G3269" s="197" t="s">
        <v>56</v>
      </c>
      <c r="H3269" s="197" t="s">
        <v>415</v>
      </c>
      <c r="I3269" s="209" t="s">
        <v>415</v>
      </c>
    </row>
    <row r="3270" spans="1:9">
      <c r="A3270" s="195"/>
      <c r="B3270" s="195" t="s">
        <v>206</v>
      </c>
      <c r="C3270"/>
      <c r="D3270" s="197" t="s">
        <v>515</v>
      </c>
      <c r="E3270" s="197" t="s">
        <v>95</v>
      </c>
      <c r="F3270" s="197" t="s">
        <v>252</v>
      </c>
      <c r="G3270" s="197" t="s">
        <v>56</v>
      </c>
      <c r="H3270" s="197" t="s">
        <v>415</v>
      </c>
      <c r="I3270" s="209" t="s">
        <v>415</v>
      </c>
    </row>
    <row r="3271" spans="1:9">
      <c r="A3271" s="195"/>
      <c r="B3271" s="195" t="s">
        <v>207</v>
      </c>
      <c r="C3271"/>
      <c r="D3271" s="197" t="s">
        <v>515</v>
      </c>
      <c r="E3271" s="197" t="s">
        <v>95</v>
      </c>
      <c r="F3271" s="197" t="s">
        <v>252</v>
      </c>
      <c r="G3271" s="197" t="s">
        <v>56</v>
      </c>
      <c r="H3271" s="197" t="s">
        <v>415</v>
      </c>
      <c r="I3271" s="209" t="s">
        <v>415</v>
      </c>
    </row>
    <row r="3272" spans="1:9">
      <c r="A3272" s="195"/>
      <c r="B3272" s="196" t="s">
        <v>222</v>
      </c>
      <c r="C3272"/>
      <c r="D3272" s="197" t="s">
        <v>269</v>
      </c>
      <c r="E3272" s="197" t="s">
        <v>95</v>
      </c>
      <c r="F3272" s="197" t="s">
        <v>252</v>
      </c>
      <c r="G3272" s="197" t="s">
        <v>56</v>
      </c>
      <c r="H3272" s="197" t="s">
        <v>415</v>
      </c>
      <c r="I3272" s="209" t="s">
        <v>415</v>
      </c>
    </row>
    <row r="3273" spans="1:9">
      <c r="A3273" s="195"/>
      <c r="B3273" s="195" t="s">
        <v>205</v>
      </c>
      <c r="C3273"/>
      <c r="D3273" s="197" t="s">
        <v>269</v>
      </c>
      <c r="E3273" s="197" t="s">
        <v>95</v>
      </c>
      <c r="F3273" s="197" t="s">
        <v>252</v>
      </c>
      <c r="G3273" s="197"/>
      <c r="H3273" s="197" t="s">
        <v>415</v>
      </c>
      <c r="I3273" s="209" t="s">
        <v>415</v>
      </c>
    </row>
    <row r="3274" spans="1:9">
      <c r="A3274" s="195"/>
      <c r="B3274" s="195" t="s">
        <v>206</v>
      </c>
      <c r="C3274"/>
      <c r="D3274" s="197" t="s">
        <v>237</v>
      </c>
      <c r="E3274" s="197" t="s">
        <v>95</v>
      </c>
      <c r="F3274" s="197" t="s">
        <v>252</v>
      </c>
      <c r="G3274" s="197" t="s">
        <v>270</v>
      </c>
      <c r="H3274" s="197" t="s">
        <v>415</v>
      </c>
      <c r="I3274" s="209" t="s">
        <v>415</v>
      </c>
    </row>
    <row r="3275" spans="1:9">
      <c r="A3275" s="195"/>
      <c r="B3275" s="195" t="s">
        <v>207</v>
      </c>
      <c r="C3275"/>
      <c r="D3275" s="197" t="s">
        <v>237</v>
      </c>
      <c r="E3275" s="197" t="s">
        <v>95</v>
      </c>
      <c r="F3275" s="197" t="s">
        <v>252</v>
      </c>
      <c r="G3275" s="197" t="s">
        <v>270</v>
      </c>
      <c r="H3275" s="197" t="s">
        <v>415</v>
      </c>
      <c r="I3275" s="209" t="s">
        <v>415</v>
      </c>
    </row>
    <row r="3276" spans="1:9">
      <c r="A3276" s="195"/>
      <c r="B3276" s="196" t="s">
        <v>223</v>
      </c>
      <c r="C3276"/>
      <c r="D3276" s="197" t="s">
        <v>236</v>
      </c>
      <c r="E3276" s="197" t="s">
        <v>95</v>
      </c>
      <c r="F3276" s="197" t="s">
        <v>252</v>
      </c>
      <c r="G3276" s="197" t="s">
        <v>270</v>
      </c>
      <c r="H3276" s="197" t="s">
        <v>415</v>
      </c>
      <c r="I3276" s="209" t="s">
        <v>415</v>
      </c>
    </row>
    <row r="3277" spans="1:9">
      <c r="A3277" s="195"/>
      <c r="B3277" s="195" t="s">
        <v>205</v>
      </c>
      <c r="C3277"/>
      <c r="D3277" s="197" t="s">
        <v>193</v>
      </c>
      <c r="E3277" s="197" t="s">
        <v>95</v>
      </c>
      <c r="F3277" s="197" t="s">
        <v>252</v>
      </c>
      <c r="G3277" s="197" t="s">
        <v>270</v>
      </c>
      <c r="H3277" s="197" t="s">
        <v>415</v>
      </c>
      <c r="I3277" s="209" t="s">
        <v>415</v>
      </c>
    </row>
    <row r="3278" spans="1:9">
      <c r="A3278" s="195"/>
      <c r="B3278" s="195" t="s">
        <v>206</v>
      </c>
      <c r="C3278"/>
      <c r="D3278" s="197"/>
      <c r="E3278" s="197" t="s">
        <v>95</v>
      </c>
      <c r="F3278" s="197" t="s">
        <v>395</v>
      </c>
      <c r="G3278" s="197" t="s">
        <v>270</v>
      </c>
      <c r="H3278" s="197" t="s">
        <v>415</v>
      </c>
      <c r="I3278" s="209" t="s">
        <v>415</v>
      </c>
    </row>
    <row r="3279" spans="1:9">
      <c r="A3279" s="195"/>
      <c r="B3279" s="195" t="s">
        <v>207</v>
      </c>
      <c r="C3279"/>
      <c r="D3279" s="197"/>
      <c r="E3279" s="197" t="s">
        <v>95</v>
      </c>
      <c r="F3279" s="197" t="s">
        <v>395</v>
      </c>
      <c r="G3279" s="197" t="s">
        <v>270</v>
      </c>
      <c r="H3279" s="197" t="s">
        <v>415</v>
      </c>
      <c r="I3279" s="209" t="s">
        <v>415</v>
      </c>
    </row>
    <row r="3280" spans="1:9">
      <c r="A3280" s="195"/>
      <c r="B3280" s="196" t="s">
        <v>225</v>
      </c>
      <c r="C3280"/>
      <c r="D3280" s="197"/>
      <c r="E3280" s="197" t="s">
        <v>95</v>
      </c>
      <c r="F3280" s="197" t="s">
        <v>395</v>
      </c>
      <c r="G3280" s="197" t="s">
        <v>270</v>
      </c>
      <c r="H3280" s="197" t="s">
        <v>415</v>
      </c>
      <c r="I3280" s="209" t="s">
        <v>415</v>
      </c>
    </row>
    <row r="3281" spans="1:12">
      <c r="A3281" s="195"/>
      <c r="B3281" s="195" t="s">
        <v>205</v>
      </c>
      <c r="C3281"/>
      <c r="D3281" s="197"/>
      <c r="E3281" s="197" t="s">
        <v>95</v>
      </c>
      <c r="F3281" s="197" t="s">
        <v>395</v>
      </c>
      <c r="G3281" s="197" t="s">
        <v>270</v>
      </c>
      <c r="H3281" s="197" t="s">
        <v>415</v>
      </c>
      <c r="I3281" s="209" t="s">
        <v>415</v>
      </c>
    </row>
    <row r="3282" spans="1:12">
      <c r="A3282" s="195"/>
      <c r="B3282" s="195" t="s">
        <v>206</v>
      </c>
      <c r="C3282"/>
      <c r="D3282" s="197"/>
      <c r="E3282" s="197"/>
      <c r="F3282" s="197"/>
      <c r="G3282" s="197" t="s">
        <v>270</v>
      </c>
      <c r="H3282" s="197" t="s">
        <v>415</v>
      </c>
      <c r="I3282" s="209" t="s">
        <v>415</v>
      </c>
    </row>
    <row r="3283" spans="1:12">
      <c r="A3283" s="195"/>
      <c r="B3283" s="195" t="s">
        <v>207</v>
      </c>
      <c r="C3283"/>
      <c r="D3283" s="197"/>
      <c r="E3283" s="197"/>
      <c r="F3283" s="197"/>
      <c r="G3283" s="197" t="s">
        <v>270</v>
      </c>
      <c r="H3283" s="197" t="s">
        <v>415</v>
      </c>
      <c r="I3283" s="209" t="s">
        <v>415</v>
      </c>
    </row>
    <row r="3284" spans="1:12">
      <c r="A3284" s="195"/>
      <c r="B3284" s="196" t="s">
        <v>226</v>
      </c>
      <c r="C3284"/>
      <c r="D3284" s="197"/>
      <c r="E3284" s="197"/>
      <c r="F3284" s="197"/>
      <c r="G3284" s="197"/>
      <c r="H3284" s="209"/>
      <c r="I3284" s="209"/>
    </row>
    <row r="3285" spans="1:12">
      <c r="A3285" s="195"/>
      <c r="B3285" s="195" t="s">
        <v>205</v>
      </c>
      <c r="C3285"/>
      <c r="D3285" s="197"/>
      <c r="E3285" s="197"/>
      <c r="F3285" s="197"/>
      <c r="G3285" s="197"/>
      <c r="H3285" s="209"/>
      <c r="I3285" s="209"/>
    </row>
    <row r="3286" spans="1:12">
      <c r="A3286" s="195"/>
      <c r="B3286" s="195" t="s">
        <v>206</v>
      </c>
      <c r="C3286"/>
      <c r="D3286" s="197"/>
      <c r="E3286" s="197"/>
      <c r="F3286" s="197"/>
      <c r="G3286" s="197"/>
      <c r="H3286" s="209"/>
      <c r="I3286" s="209"/>
    </row>
    <row r="3287" spans="1:12">
      <c r="A3287" s="195"/>
      <c r="B3287" s="195" t="s">
        <v>207</v>
      </c>
      <c r="C3287"/>
      <c r="D3287" s="197"/>
      <c r="E3287" s="197"/>
      <c r="F3287" s="197"/>
      <c r="G3287" s="197"/>
      <c r="H3287" s="209"/>
      <c r="I3287" s="209"/>
    </row>
    <row r="3288" spans="1:12">
      <c r="A3288" s="195"/>
      <c r="B3288" s="196" t="s">
        <v>227</v>
      </c>
      <c r="C3288"/>
      <c r="D3288" s="197"/>
      <c r="E3288" s="197"/>
      <c r="F3288" s="197"/>
      <c r="G3288" s="197"/>
      <c r="H3288" s="209"/>
      <c r="I3288" s="209"/>
      <c r="K3288"/>
    </row>
    <row r="3289" spans="1:12" ht="29.25" thickBot="1">
      <c r="A3289" s="182" t="str">
        <f>"回収シフト  第"&amp;ROUNDUP(DAY(B3292)/7,0)  &amp;"  "&amp;TEXT(B3292,"aaaa")</f>
        <v>回収シフト  第2  金曜日</v>
      </c>
      <c r="B3289" s="183"/>
      <c r="C3289" s="183"/>
      <c r="D3289" s="183"/>
      <c r="E3289" s="183"/>
      <c r="F3289" s="183"/>
      <c r="G3289" s="184"/>
      <c r="H3289" s="184"/>
      <c r="I3289" s="184"/>
      <c r="K3289" s="183"/>
      <c r="L3289" s="183"/>
    </row>
    <row r="3290" spans="1:12" ht="15.75" thickBot="1">
      <c r="A3290"/>
      <c r="B3290"/>
      <c r="C3290"/>
      <c r="D3290" s="186" t="s">
        <v>201</v>
      </c>
      <c r="E3290" s="186" t="s">
        <v>202</v>
      </c>
      <c r="F3290" s="186" t="s">
        <v>203</v>
      </c>
      <c r="G3290" s="186" t="s">
        <v>204</v>
      </c>
      <c r="H3290" s="186" t="s">
        <v>267</v>
      </c>
      <c r="I3290" s="217" t="s">
        <v>267</v>
      </c>
      <c r="K3290" s="230" t="s">
        <v>257</v>
      </c>
      <c r="L3290" s="231"/>
    </row>
    <row r="3291" spans="1:12">
      <c r="A3291" s="187"/>
      <c r="B3291" s="188">
        <v>46119</v>
      </c>
      <c r="C3291" s="187"/>
      <c r="D3291" s="189" t="s">
        <v>863</v>
      </c>
      <c r="E3291" s="189" t="s">
        <v>248</v>
      </c>
      <c r="F3291" s="189" t="s">
        <v>360</v>
      </c>
      <c r="G3291" s="189" t="s">
        <v>728</v>
      </c>
      <c r="H3291" s="189" t="s">
        <v>852</v>
      </c>
      <c r="I3291" s="218" t="s">
        <v>852</v>
      </c>
      <c r="K3291" s="232" t="s">
        <v>258</v>
      </c>
      <c r="L3291" s="190" t="str">
        <f>_xlfn.XLOOKUP($B3292,シフト抽出!$19:$19,シフト抽出!$20:$20,"該当なし",0,1)</f>
        <v>該当なし</v>
      </c>
    </row>
    <row r="3292" spans="1:12" ht="19.5" thickBot="1">
      <c r="A3292"/>
      <c r="B3292" s="191">
        <f>B3239+1</f>
        <v>46185</v>
      </c>
      <c r="C3292" s="192"/>
      <c r="D3292" s="193"/>
      <c r="E3292" s="193"/>
      <c r="F3292" s="193"/>
      <c r="G3292" s="193"/>
      <c r="H3292" s="193"/>
      <c r="I3292" s="219"/>
      <c r="K3292" s="233"/>
      <c r="L3292" s="194" t="str">
        <f>_xlfn.XLOOKUP($B3292,シフト抽出!$19:$19,シフト抽出!$21:$21,"該当なし",0,1)</f>
        <v>該当なし</v>
      </c>
    </row>
    <row r="3293" spans="1:12">
      <c r="A3293" s="195"/>
      <c r="B3293" s="196">
        <v>0.25</v>
      </c>
      <c r="C3293"/>
      <c r="D3293" s="197"/>
      <c r="E3293" s="196"/>
      <c r="F3293" s="197"/>
      <c r="G3293" s="197"/>
      <c r="H3293" s="197"/>
      <c r="I3293" s="209"/>
      <c r="K3293" s="234" t="s">
        <v>259</v>
      </c>
      <c r="L3293" s="198" t="str">
        <f>_xlfn.XLOOKUP($B3292,シフト抽出!$19:$19,シフト抽出!$23:$23,"該当なし",0,1)</f>
        <v>該当なし</v>
      </c>
    </row>
    <row r="3294" spans="1:12" ht="15.75" thickBot="1">
      <c r="A3294" s="195"/>
      <c r="B3294" s="195" t="s">
        <v>205</v>
      </c>
      <c r="C3294"/>
      <c r="D3294" s="197"/>
      <c r="E3294" s="197" t="s">
        <v>103</v>
      </c>
      <c r="F3294" s="197"/>
      <c r="G3294" s="197"/>
      <c r="H3294" s="197"/>
      <c r="I3294" s="209"/>
      <c r="K3294" s="235"/>
      <c r="L3294" s="199" t="str">
        <f>_xlfn.XLOOKUP($B3292,シフト抽出!$19:$19,シフト抽出!$24:$24,"該当なし",0,1)</f>
        <v>該当なし</v>
      </c>
    </row>
    <row r="3295" spans="1:12">
      <c r="A3295" s="195"/>
      <c r="B3295" s="195" t="s">
        <v>206</v>
      </c>
      <c r="C3295"/>
      <c r="D3295" s="197" t="s">
        <v>238</v>
      </c>
      <c r="E3295" s="197"/>
      <c r="F3295" s="197"/>
      <c r="G3295" s="197"/>
      <c r="H3295" s="197"/>
      <c r="I3295" s="209"/>
      <c r="K3295" s="224" t="s">
        <v>260</v>
      </c>
      <c r="L3295" s="200" t="str">
        <f>_xlfn.XLOOKUP($B3292,シフト抽出!$19:$19,シフト抽出!$26:$26,"該当なし",0,1)</f>
        <v>該当なし</v>
      </c>
    </row>
    <row r="3296" spans="1:12">
      <c r="A3296" s="195"/>
      <c r="B3296" s="195" t="s">
        <v>207</v>
      </c>
      <c r="C3296"/>
      <c r="D3296" s="197" t="s">
        <v>238</v>
      </c>
      <c r="E3296" s="197"/>
      <c r="F3296" s="197"/>
      <c r="G3296" s="197"/>
      <c r="H3296" s="197"/>
      <c r="I3296" s="209"/>
      <c r="K3296" s="225"/>
      <c r="L3296" s="201" t="str">
        <f>_xlfn.XLOOKUP($B3292,シフト抽出!$19:$19,シフト抽出!$27:$27,"該当なし",0,1)</f>
        <v>該当なし</v>
      </c>
    </row>
    <row r="3297" spans="1:12">
      <c r="A3297" s="195"/>
      <c r="B3297" s="202" t="s">
        <v>208</v>
      </c>
      <c r="C3297"/>
      <c r="D3297" s="197" t="s">
        <v>238</v>
      </c>
      <c r="E3297" s="197" t="s">
        <v>4</v>
      </c>
      <c r="F3297" s="197"/>
      <c r="G3297" s="197" t="s">
        <v>22</v>
      </c>
      <c r="H3297" s="197"/>
      <c r="I3297" s="209"/>
      <c r="J3297" s="203"/>
      <c r="K3297" s="225"/>
      <c r="L3297" s="201" t="str">
        <f>_xlfn.XLOOKUP($B3292,シフト抽出!$19:$19,シフト抽出!$28:$28,"該当なし",0,1)</f>
        <v>該当なし</v>
      </c>
    </row>
    <row r="3298" spans="1:12" ht="15.75" thickBot="1">
      <c r="A3298" s="195"/>
      <c r="B3298" s="195" t="s">
        <v>205</v>
      </c>
      <c r="C3298"/>
      <c r="D3298" s="197" t="s">
        <v>238</v>
      </c>
      <c r="E3298" s="197" t="s">
        <v>420</v>
      </c>
      <c r="F3298" s="197" t="s">
        <v>111</v>
      </c>
      <c r="G3298" s="197" t="s">
        <v>22</v>
      </c>
      <c r="H3298" s="197"/>
      <c r="I3298" s="209"/>
      <c r="J3298" s="203"/>
      <c r="K3298" s="226"/>
      <c r="L3298" s="204" t="str">
        <f>_xlfn.XLOOKUP($B3292,シフト抽出!$19:$19,シフト抽出!$29:$29,"該当なし",0,1)</f>
        <v>該当なし</v>
      </c>
    </row>
    <row r="3299" spans="1:12" ht="15.75" thickBot="1">
      <c r="A3299" s="195"/>
      <c r="B3299" s="195" t="s">
        <v>206</v>
      </c>
      <c r="C3299"/>
      <c r="D3299" s="197" t="s">
        <v>238</v>
      </c>
      <c r="E3299" s="197" t="s">
        <v>420</v>
      </c>
      <c r="F3299" s="197" t="s">
        <v>111</v>
      </c>
      <c r="G3299" s="197" t="s">
        <v>788</v>
      </c>
      <c r="H3299" s="197"/>
      <c r="I3299" s="209"/>
      <c r="K3299" s="205" t="s">
        <v>261</v>
      </c>
      <c r="L3299" s="205">
        <f>_xlfn.XLOOKUP($B3292,予定表!B:B,予定表!R:R,"該当なし",0,1)</f>
        <v>0</v>
      </c>
    </row>
    <row r="3300" spans="1:12">
      <c r="A3300" s="195"/>
      <c r="B3300" s="195" t="s">
        <v>207</v>
      </c>
      <c r="C3300"/>
      <c r="D3300" s="197" t="s">
        <v>238</v>
      </c>
      <c r="E3300" s="197" t="s">
        <v>420</v>
      </c>
      <c r="F3300" s="197" t="s">
        <v>111</v>
      </c>
      <c r="G3300" s="197" t="s">
        <v>788</v>
      </c>
      <c r="H3300" s="197"/>
      <c r="I3300" s="209"/>
      <c r="K3300" s="227" t="s">
        <v>262</v>
      </c>
      <c r="L3300" s="206" t="str">
        <f>_xlfn.XLOOKUP($B3292,予定表!$B:$B,予定表!E:E,"該当なし",0,1)</f>
        <v>ジャクソン</v>
      </c>
    </row>
    <row r="3301" spans="1:12">
      <c r="A3301" s="195"/>
      <c r="B3301" s="196" t="s">
        <v>209</v>
      </c>
      <c r="C3301"/>
      <c r="D3301" s="197"/>
      <c r="E3301" s="197" t="s">
        <v>420</v>
      </c>
      <c r="F3301" s="197" t="s">
        <v>111</v>
      </c>
      <c r="G3301" s="197" t="s">
        <v>268</v>
      </c>
      <c r="H3301" s="197" t="s">
        <v>4</v>
      </c>
      <c r="I3301" s="209" t="s">
        <v>4</v>
      </c>
      <c r="K3301" s="228"/>
      <c r="L3301" s="207" t="str">
        <f>_xlfn.XLOOKUP($B3292,予定表!$B:$B,予定表!F:F,"該当なし",0,1)</f>
        <v>IWD(㈱大勝)</v>
      </c>
    </row>
    <row r="3302" spans="1:12">
      <c r="A3302" s="195"/>
      <c r="B3302" s="195" t="s">
        <v>205</v>
      </c>
      <c r="C3302"/>
      <c r="D3302" s="197" t="s">
        <v>264</v>
      </c>
      <c r="E3302" s="197" t="s">
        <v>420</v>
      </c>
      <c r="F3302" s="197" t="s">
        <v>111</v>
      </c>
      <c r="G3302" s="197" t="s">
        <v>268</v>
      </c>
      <c r="H3302" s="197" t="s">
        <v>60</v>
      </c>
      <c r="I3302" s="209" t="s">
        <v>60</v>
      </c>
      <c r="K3302" s="228"/>
      <c r="L3302" s="207" t="str">
        <f>_xlfn.XLOOKUP($B3292,予定表!$B:$B,予定表!G:G,"該当なし",0,1)</f>
        <v>ディーミング</v>
      </c>
    </row>
    <row r="3303" spans="1:12">
      <c r="A3303" s="195"/>
      <c r="B3303" s="195" t="s">
        <v>206</v>
      </c>
      <c r="C3303"/>
      <c r="D3303" s="197" t="s">
        <v>239</v>
      </c>
      <c r="E3303" s="197" t="s">
        <v>414</v>
      </c>
      <c r="F3303" s="197"/>
      <c r="G3303" s="197" t="s">
        <v>268</v>
      </c>
      <c r="H3303" s="197" t="s">
        <v>60</v>
      </c>
      <c r="I3303" s="209" t="s">
        <v>60</v>
      </c>
      <c r="K3303" s="228"/>
      <c r="L3303" s="207" t="str">
        <f>_xlfn.XLOOKUP($B3292,予定表!$B:$B,予定表!H:H,"該当なし",0,1)</f>
        <v>資さんうどん</v>
      </c>
    </row>
    <row r="3304" spans="1:12">
      <c r="A3304" s="195"/>
      <c r="B3304" s="195" t="s">
        <v>207</v>
      </c>
      <c r="C3304"/>
      <c r="D3304" s="197" t="s">
        <v>425</v>
      </c>
      <c r="E3304" s="197" t="s">
        <v>414</v>
      </c>
      <c r="F3304" s="197" t="s">
        <v>851</v>
      </c>
      <c r="G3304" s="197" t="s">
        <v>268</v>
      </c>
      <c r="H3304" s="197" t="s">
        <v>60</v>
      </c>
      <c r="I3304" s="209" t="s">
        <v>60</v>
      </c>
      <c r="K3304" s="228"/>
      <c r="L3304" s="207" t="str">
        <f>_xlfn.XLOOKUP($B3292,予定表!$B:$B,予定表!I:I,"該当なし",0,1)</f>
        <v/>
      </c>
    </row>
    <row r="3305" spans="1:12">
      <c r="A3305" s="195"/>
      <c r="B3305" s="196" t="s">
        <v>212</v>
      </c>
      <c r="C3305"/>
      <c r="D3305" s="197" t="s">
        <v>240</v>
      </c>
      <c r="E3305" s="197" t="s">
        <v>414</v>
      </c>
      <c r="F3305" s="197" t="s">
        <v>851</v>
      </c>
      <c r="G3305" s="197" t="s">
        <v>268</v>
      </c>
      <c r="H3305" s="197"/>
      <c r="I3305" s="209"/>
      <c r="K3305" s="228"/>
      <c r="L3305" s="207" t="str">
        <f>_xlfn.XLOOKUP($B3292,予定表!$B:$B,予定表!J:J,"該当なし",0,1)</f>
        <v/>
      </c>
    </row>
    <row r="3306" spans="1:12">
      <c r="A3306" s="195"/>
      <c r="B3306" s="195" t="s">
        <v>205</v>
      </c>
      <c r="C3306"/>
      <c r="D3306" s="197" t="s">
        <v>240</v>
      </c>
      <c r="E3306" s="197" t="s">
        <v>414</v>
      </c>
      <c r="F3306" s="197" t="s">
        <v>851</v>
      </c>
      <c r="G3306" s="197" t="s">
        <v>268</v>
      </c>
      <c r="H3306" s="197" t="s">
        <v>848</v>
      </c>
      <c r="I3306" s="209" t="s">
        <v>848</v>
      </c>
      <c r="K3306" s="228"/>
      <c r="L3306" s="207" t="str">
        <f>_xlfn.XLOOKUP($B3292,予定表!$B:$B,予定表!K:K,"該当なし",0,1)</f>
        <v/>
      </c>
    </row>
    <row r="3307" spans="1:12">
      <c r="A3307" s="195"/>
      <c r="B3307" s="195" t="s">
        <v>206</v>
      </c>
      <c r="C3307"/>
      <c r="D3307" s="197" t="s">
        <v>353</v>
      </c>
      <c r="E3307" s="197" t="s">
        <v>854</v>
      </c>
      <c r="F3307" s="197" t="s">
        <v>851</v>
      </c>
      <c r="G3307" s="197" t="s">
        <v>515</v>
      </c>
      <c r="H3307" s="197" t="s">
        <v>848</v>
      </c>
      <c r="I3307" s="209" t="s">
        <v>848</v>
      </c>
      <c r="K3307" s="228"/>
      <c r="L3307" s="207" t="str">
        <f>_xlfn.XLOOKUP($B3292,予定表!$B:$B,予定表!L:L,"該当なし",0,1)</f>
        <v/>
      </c>
    </row>
    <row r="3308" spans="1:12" ht="15.75" thickBot="1">
      <c r="A3308" s="195"/>
      <c r="B3308" s="195" t="s">
        <v>207</v>
      </c>
      <c r="C3308"/>
      <c r="D3308" s="197" t="s">
        <v>353</v>
      </c>
      <c r="E3308" s="197" t="s">
        <v>854</v>
      </c>
      <c r="F3308" s="197" t="s">
        <v>416</v>
      </c>
      <c r="G3308" s="197" t="s">
        <v>515</v>
      </c>
      <c r="H3308" s="197" t="s">
        <v>848</v>
      </c>
      <c r="I3308" s="209" t="s">
        <v>848</v>
      </c>
      <c r="K3308" s="229"/>
      <c r="L3308" s="204" t="str">
        <f>_xlfn.XLOOKUP($A3289,ﾘｽﾄマスタ!$U$8:$U$17,ﾘｽﾄマスタ!$V$8:$V$17,"",0)</f>
        <v/>
      </c>
    </row>
    <row r="3309" spans="1:12" ht="15.75" thickBot="1">
      <c r="A3309" s="195"/>
      <c r="B3309" s="196" t="s">
        <v>251</v>
      </c>
      <c r="C3309"/>
      <c r="D3309" s="197" t="s">
        <v>353</v>
      </c>
      <c r="E3309" s="197" t="s">
        <v>854</v>
      </c>
      <c r="F3309" s="197" t="s">
        <v>771</v>
      </c>
      <c r="G3309" s="197" t="s">
        <v>515</v>
      </c>
      <c r="H3309" s="197" t="s">
        <v>848</v>
      </c>
      <c r="I3309" s="209" t="s">
        <v>848</v>
      </c>
      <c r="K3309" s="208" t="s">
        <v>277</v>
      </c>
      <c r="L3309" s="208" t="str">
        <f>_xlfn.XLOOKUP($B3292,シフト抽出!$19:$19,シフト抽出!$30:$30,"該当なし",0,1)</f>
        <v>該当なし</v>
      </c>
    </row>
    <row r="3310" spans="1:12">
      <c r="A3310" s="195"/>
      <c r="B3310" s="195" t="s">
        <v>205</v>
      </c>
      <c r="C3310"/>
      <c r="D3310" s="197" t="s">
        <v>761</v>
      </c>
      <c r="E3310" s="197" t="s">
        <v>854</v>
      </c>
      <c r="F3310" s="197" t="s">
        <v>416</v>
      </c>
      <c r="G3310" s="197" t="s">
        <v>269</v>
      </c>
      <c r="H3310" s="197" t="s">
        <v>848</v>
      </c>
      <c r="I3310" s="209" t="s">
        <v>848</v>
      </c>
    </row>
    <row r="3311" spans="1:12">
      <c r="A3311" s="195"/>
      <c r="B3311" s="195" t="s">
        <v>206</v>
      </c>
      <c r="C3311"/>
      <c r="D3311" s="197" t="s">
        <v>761</v>
      </c>
      <c r="E3311" s="197" t="s">
        <v>216</v>
      </c>
      <c r="F3311" s="197" t="s">
        <v>416</v>
      </c>
      <c r="G3311" s="197" t="s">
        <v>269</v>
      </c>
      <c r="H3311" s="197" t="s">
        <v>848</v>
      </c>
      <c r="I3311" s="209" t="s">
        <v>848</v>
      </c>
    </row>
    <row r="3312" spans="1:12">
      <c r="A3312" s="195"/>
      <c r="B3312" s="195" t="s">
        <v>207</v>
      </c>
      <c r="C3312"/>
      <c r="D3312" s="197" t="s">
        <v>761</v>
      </c>
      <c r="E3312" s="197" t="s">
        <v>216</v>
      </c>
      <c r="F3312" s="197"/>
      <c r="G3312" s="197" t="s">
        <v>446</v>
      </c>
      <c r="H3312" s="197" t="s">
        <v>848</v>
      </c>
      <c r="I3312" s="209" t="s">
        <v>848</v>
      </c>
    </row>
    <row r="3313" spans="1:9">
      <c r="A3313" s="195"/>
      <c r="B3313" s="196" t="s">
        <v>217</v>
      </c>
      <c r="C3313"/>
      <c r="D3313" s="197" t="s">
        <v>51</v>
      </c>
      <c r="E3313" s="197" t="s">
        <v>216</v>
      </c>
      <c r="F3313" s="197"/>
      <c r="G3313" s="197" t="s">
        <v>446</v>
      </c>
      <c r="H3313" s="197" t="s">
        <v>848</v>
      </c>
      <c r="I3313" s="209" t="s">
        <v>848</v>
      </c>
    </row>
    <row r="3314" spans="1:9">
      <c r="A3314" s="195"/>
      <c r="B3314" s="195" t="s">
        <v>205</v>
      </c>
      <c r="C3314"/>
      <c r="D3314" s="197" t="s">
        <v>51</v>
      </c>
      <c r="E3314" s="197" t="s">
        <v>216</v>
      </c>
      <c r="F3314" s="197"/>
      <c r="G3314" s="197" t="s">
        <v>114</v>
      </c>
      <c r="H3314" s="197" t="s">
        <v>848</v>
      </c>
      <c r="I3314" s="209" t="s">
        <v>848</v>
      </c>
    </row>
    <row r="3315" spans="1:9">
      <c r="A3315" s="195"/>
      <c r="B3315" s="195" t="s">
        <v>206</v>
      </c>
      <c r="C3315"/>
      <c r="D3315" s="197" t="s">
        <v>51</v>
      </c>
      <c r="E3315" s="197" t="s">
        <v>216</v>
      </c>
      <c r="F3315" s="197"/>
      <c r="G3315" s="197" t="s">
        <v>114</v>
      </c>
      <c r="H3315" s="197" t="s">
        <v>848</v>
      </c>
      <c r="I3315" s="209" t="s">
        <v>848</v>
      </c>
    </row>
    <row r="3316" spans="1:9">
      <c r="A3316" s="195"/>
      <c r="B3316" s="195" t="s">
        <v>207</v>
      </c>
      <c r="C3316"/>
      <c r="D3316" s="197" t="s">
        <v>51</v>
      </c>
      <c r="E3316" s="197" t="s">
        <v>216</v>
      </c>
      <c r="F3316" s="197"/>
      <c r="G3316" s="197" t="s">
        <v>114</v>
      </c>
      <c r="H3316" s="197"/>
      <c r="I3316" s="209"/>
    </row>
    <row r="3317" spans="1:9">
      <c r="A3317" s="195"/>
      <c r="B3317" s="196" t="s">
        <v>219</v>
      </c>
      <c r="C3317"/>
      <c r="D3317" s="197"/>
      <c r="E3317" s="197" t="s">
        <v>216</v>
      </c>
      <c r="F3317" s="197"/>
      <c r="G3317" s="197"/>
      <c r="H3317" s="197"/>
      <c r="I3317" s="209"/>
    </row>
    <row r="3318" spans="1:9">
      <c r="A3318" s="195"/>
      <c r="B3318" s="195" t="s">
        <v>205</v>
      </c>
      <c r="C3318"/>
      <c r="D3318" s="197"/>
      <c r="E3318" s="197" t="s">
        <v>216</v>
      </c>
      <c r="F3318" s="197"/>
      <c r="G3318" s="197"/>
      <c r="H3318" s="197"/>
      <c r="I3318" s="209"/>
    </row>
    <row r="3319" spans="1:9">
      <c r="A3319" s="195"/>
      <c r="B3319" s="195" t="s">
        <v>206</v>
      </c>
      <c r="C3319"/>
      <c r="D3319" s="197"/>
      <c r="E3319" s="197"/>
      <c r="F3319" s="197"/>
      <c r="G3319" s="197"/>
      <c r="H3319" s="197"/>
      <c r="I3319" s="209"/>
    </row>
    <row r="3320" spans="1:9">
      <c r="A3320" s="195"/>
      <c r="B3320" s="195" t="s">
        <v>207</v>
      </c>
      <c r="C3320"/>
      <c r="D3320" s="197"/>
      <c r="E3320" s="197"/>
      <c r="F3320" s="197"/>
      <c r="G3320" s="197"/>
      <c r="H3320" s="197" t="s">
        <v>231</v>
      </c>
      <c r="I3320" s="209" t="s">
        <v>231</v>
      </c>
    </row>
    <row r="3321" spans="1:9">
      <c r="A3321" s="195"/>
      <c r="B3321" s="196" t="s">
        <v>220</v>
      </c>
      <c r="C3321"/>
      <c r="D3321" s="189"/>
      <c r="E3321" s="197"/>
      <c r="F3321" s="197"/>
      <c r="G3321" s="197"/>
      <c r="H3321" s="197" t="s">
        <v>231</v>
      </c>
      <c r="I3321" s="209" t="s">
        <v>231</v>
      </c>
    </row>
    <row r="3322" spans="1:9">
      <c r="A3322" s="195"/>
      <c r="B3322" s="195" t="s">
        <v>205</v>
      </c>
      <c r="C3322"/>
      <c r="D3322" s="197" t="s">
        <v>224</v>
      </c>
      <c r="E3322" s="197" t="s">
        <v>273</v>
      </c>
      <c r="F3322" s="197" t="s">
        <v>759</v>
      </c>
      <c r="G3322" s="197" t="s">
        <v>56</v>
      </c>
      <c r="H3322" s="197" t="s">
        <v>211</v>
      </c>
      <c r="I3322" s="209" t="s">
        <v>211</v>
      </c>
    </row>
    <row r="3323" spans="1:9">
      <c r="A3323" s="195"/>
      <c r="B3323" s="195" t="s">
        <v>206</v>
      </c>
      <c r="C3323"/>
      <c r="D3323" s="197" t="s">
        <v>224</v>
      </c>
      <c r="E3323" s="197" t="s">
        <v>273</v>
      </c>
      <c r="F3323" s="197" t="s">
        <v>759</v>
      </c>
      <c r="G3323" s="197" t="s">
        <v>56</v>
      </c>
      <c r="H3323" s="197" t="s">
        <v>211</v>
      </c>
      <c r="I3323" s="209" t="s">
        <v>211</v>
      </c>
    </row>
    <row r="3324" spans="1:9">
      <c r="A3324" s="195"/>
      <c r="B3324" s="195" t="s">
        <v>207</v>
      </c>
      <c r="C3324"/>
      <c r="D3324" s="197" t="s">
        <v>224</v>
      </c>
      <c r="E3324" s="197" t="s">
        <v>273</v>
      </c>
      <c r="F3324" s="197" t="s">
        <v>759</v>
      </c>
      <c r="G3324" s="197" t="s">
        <v>56</v>
      </c>
      <c r="H3324" s="197" t="s">
        <v>211</v>
      </c>
      <c r="I3324" s="209" t="s">
        <v>211</v>
      </c>
    </row>
    <row r="3325" spans="1:9">
      <c r="A3325" s="195"/>
      <c r="B3325" s="196" t="s">
        <v>222</v>
      </c>
      <c r="C3325"/>
      <c r="D3325" s="197" t="s">
        <v>88</v>
      </c>
      <c r="E3325" s="197" t="s">
        <v>266</v>
      </c>
      <c r="F3325" s="197" t="s">
        <v>759</v>
      </c>
      <c r="G3325" s="197"/>
      <c r="H3325" s="197"/>
      <c r="I3325" s="209"/>
    </row>
    <row r="3326" spans="1:9">
      <c r="A3326" s="195"/>
      <c r="B3326" s="195" t="s">
        <v>205</v>
      </c>
      <c r="C3326"/>
      <c r="D3326" s="197" t="s">
        <v>280</v>
      </c>
      <c r="E3326" s="197" t="s">
        <v>266</v>
      </c>
      <c r="F3326" s="197" t="s">
        <v>416</v>
      </c>
      <c r="G3326" s="197" t="s">
        <v>270</v>
      </c>
      <c r="H3326" s="197" t="s">
        <v>856</v>
      </c>
      <c r="I3326" s="209" t="s">
        <v>856</v>
      </c>
    </row>
    <row r="3327" spans="1:9">
      <c r="A3327" s="195"/>
      <c r="B3327" s="195" t="s">
        <v>206</v>
      </c>
      <c r="C3327"/>
      <c r="D3327" s="197" t="s">
        <v>215</v>
      </c>
      <c r="E3327" s="197" t="s">
        <v>266</v>
      </c>
      <c r="F3327" s="197" t="s">
        <v>954</v>
      </c>
      <c r="G3327" s="197" t="s">
        <v>270</v>
      </c>
      <c r="H3327" s="197" t="s">
        <v>856</v>
      </c>
      <c r="I3327" s="209" t="s">
        <v>856</v>
      </c>
    </row>
    <row r="3328" spans="1:9">
      <c r="A3328" s="195"/>
      <c r="B3328" s="195" t="s">
        <v>207</v>
      </c>
      <c r="C3328"/>
      <c r="D3328" s="197" t="s">
        <v>423</v>
      </c>
      <c r="E3328" s="197" t="s">
        <v>266</v>
      </c>
      <c r="F3328" s="197" t="s">
        <v>416</v>
      </c>
      <c r="G3328" s="197" t="s">
        <v>270</v>
      </c>
      <c r="H3328" s="197" t="s">
        <v>856</v>
      </c>
      <c r="I3328" s="209" t="s">
        <v>856</v>
      </c>
    </row>
    <row r="3329" spans="1:12">
      <c r="A3329" s="195"/>
      <c r="B3329" s="196" t="s">
        <v>223</v>
      </c>
      <c r="C3329"/>
      <c r="D3329" s="197" t="s">
        <v>588</v>
      </c>
      <c r="E3329" s="197" t="s">
        <v>252</v>
      </c>
      <c r="F3329" s="197" t="s">
        <v>214</v>
      </c>
      <c r="G3329" s="197" t="s">
        <v>270</v>
      </c>
      <c r="H3329" s="197" t="s">
        <v>856</v>
      </c>
      <c r="I3329" s="209" t="s">
        <v>856</v>
      </c>
    </row>
    <row r="3330" spans="1:12">
      <c r="A3330" s="195"/>
      <c r="B3330" s="195" t="s">
        <v>205</v>
      </c>
      <c r="C3330"/>
      <c r="D3330" s="197" t="s">
        <v>127</v>
      </c>
      <c r="E3330" s="197" t="s">
        <v>252</v>
      </c>
      <c r="F3330" s="197" t="s">
        <v>214</v>
      </c>
      <c r="G3330" s="197" t="s">
        <v>270</v>
      </c>
      <c r="H3330" s="197" t="s">
        <v>856</v>
      </c>
      <c r="I3330" s="209" t="s">
        <v>856</v>
      </c>
    </row>
    <row r="3331" spans="1:12">
      <c r="A3331" s="195"/>
      <c r="B3331" s="195" t="s">
        <v>206</v>
      </c>
      <c r="C3331"/>
      <c r="D3331" s="197" t="s">
        <v>62</v>
      </c>
      <c r="E3331" s="197" t="s">
        <v>252</v>
      </c>
      <c r="F3331" s="197" t="s">
        <v>214</v>
      </c>
      <c r="G3331" s="197" t="s">
        <v>270</v>
      </c>
      <c r="H3331" s="197" t="s">
        <v>856</v>
      </c>
      <c r="I3331" s="209" t="s">
        <v>856</v>
      </c>
    </row>
    <row r="3332" spans="1:12">
      <c r="A3332" s="195"/>
      <c r="B3332" s="195" t="s">
        <v>207</v>
      </c>
      <c r="C3332"/>
      <c r="D3332" s="197" t="s">
        <v>62</v>
      </c>
      <c r="E3332" s="197" t="s">
        <v>252</v>
      </c>
      <c r="F3332" s="197" t="s">
        <v>62</v>
      </c>
      <c r="G3332" s="197" t="s">
        <v>270</v>
      </c>
      <c r="H3332" s="197" t="s">
        <v>856</v>
      </c>
      <c r="I3332" s="209" t="s">
        <v>856</v>
      </c>
    </row>
    <row r="3333" spans="1:12">
      <c r="A3333" s="195"/>
      <c r="B3333" s="196" t="s">
        <v>225</v>
      </c>
      <c r="C3333"/>
      <c r="D3333" s="197" t="s">
        <v>62</v>
      </c>
      <c r="E3333" s="197" t="s">
        <v>252</v>
      </c>
      <c r="F3333" s="197" t="s">
        <v>62</v>
      </c>
      <c r="G3333" s="197" t="s">
        <v>270</v>
      </c>
      <c r="H3333" s="197" t="s">
        <v>415</v>
      </c>
      <c r="I3333" s="209" t="s">
        <v>415</v>
      </c>
    </row>
    <row r="3334" spans="1:12">
      <c r="A3334" s="195"/>
      <c r="B3334" s="195" t="s">
        <v>205</v>
      </c>
      <c r="C3334"/>
      <c r="D3334" s="197" t="s">
        <v>62</v>
      </c>
      <c r="E3334" s="197" t="s">
        <v>252</v>
      </c>
      <c r="F3334" s="197" t="s">
        <v>62</v>
      </c>
      <c r="G3334" s="197" t="s">
        <v>270</v>
      </c>
      <c r="H3334" s="209" t="s">
        <v>415</v>
      </c>
      <c r="I3334" s="209" t="s">
        <v>415</v>
      </c>
    </row>
    <row r="3335" spans="1:12">
      <c r="A3335" s="195"/>
      <c r="B3335" s="195" t="s">
        <v>206</v>
      </c>
      <c r="C3335"/>
      <c r="D3335" s="197" t="s">
        <v>62</v>
      </c>
      <c r="E3335" s="197" t="s">
        <v>252</v>
      </c>
      <c r="F3335" s="197" t="s">
        <v>62</v>
      </c>
      <c r="G3335" s="197" t="s">
        <v>270</v>
      </c>
      <c r="H3335" s="209" t="s">
        <v>415</v>
      </c>
      <c r="I3335" s="209" t="s">
        <v>415</v>
      </c>
    </row>
    <row r="3336" spans="1:12">
      <c r="A3336" s="195"/>
      <c r="B3336" s="195" t="s">
        <v>207</v>
      </c>
      <c r="C3336"/>
      <c r="D3336" s="197" t="s">
        <v>62</v>
      </c>
      <c r="E3336" s="197" t="s">
        <v>252</v>
      </c>
      <c r="F3336" s="197" t="s">
        <v>62</v>
      </c>
      <c r="G3336" s="197" t="s">
        <v>270</v>
      </c>
      <c r="H3336" s="209" t="s">
        <v>415</v>
      </c>
      <c r="I3336" s="209" t="s">
        <v>415</v>
      </c>
    </row>
    <row r="3337" spans="1:12">
      <c r="A3337" s="195"/>
      <c r="B3337" s="196" t="s">
        <v>226</v>
      </c>
      <c r="C3337"/>
      <c r="D3337" s="197"/>
      <c r="E3337" s="197"/>
      <c r="F3337" s="197"/>
      <c r="G3337" s="197" t="s">
        <v>270</v>
      </c>
      <c r="H3337" s="209"/>
      <c r="I3337" s="209"/>
    </row>
    <row r="3338" spans="1:12">
      <c r="A3338" s="195"/>
      <c r="B3338" s="195" t="s">
        <v>205</v>
      </c>
      <c r="C3338"/>
      <c r="D3338" s="197"/>
      <c r="E3338" s="197"/>
      <c r="F3338" s="197"/>
      <c r="G3338" s="197" t="s">
        <v>270</v>
      </c>
      <c r="H3338" s="209"/>
      <c r="I3338" s="209"/>
    </row>
    <row r="3339" spans="1:12">
      <c r="A3339" s="195"/>
      <c r="B3339" s="195" t="s">
        <v>206</v>
      </c>
      <c r="C3339"/>
      <c r="D3339" s="197"/>
      <c r="E3339" s="197"/>
      <c r="F3339" s="197"/>
      <c r="G3339" s="197" t="s">
        <v>270</v>
      </c>
      <c r="H3339" s="209"/>
      <c r="I3339" s="209"/>
    </row>
    <row r="3340" spans="1:12">
      <c r="A3340" s="195"/>
      <c r="B3340" s="195" t="s">
        <v>207</v>
      </c>
      <c r="C3340"/>
      <c r="D3340" s="197"/>
      <c r="E3340" s="197"/>
      <c r="F3340" s="197"/>
      <c r="G3340" s="197" t="s">
        <v>270</v>
      </c>
      <c r="H3340" s="209"/>
      <c r="I3340" s="209"/>
    </row>
    <row r="3341" spans="1:12">
      <c r="A3341" s="195"/>
      <c r="B3341" s="196" t="s">
        <v>227</v>
      </c>
      <c r="C3341"/>
      <c r="D3341" s="197"/>
      <c r="E3341" s="197"/>
      <c r="F3341" s="197"/>
      <c r="G3341" s="197"/>
      <c r="H3341" s="209"/>
      <c r="I3341" s="209"/>
      <c r="K3341"/>
    </row>
    <row r="3342" spans="1:12" ht="29.25" thickBot="1">
      <c r="A3342" s="182" t="str">
        <f>"回収シフト  第"&amp;ROUNDUP(DAY(B3345)/7,0)  &amp;"  "&amp;TEXT(B3345,"aaaa")</f>
        <v>回収シフト  第2  土曜日</v>
      </c>
      <c r="B3342" s="183"/>
      <c r="C3342" s="183"/>
      <c r="D3342" s="183"/>
      <c r="E3342" s="183"/>
      <c r="F3342" s="183"/>
      <c r="G3342" s="184"/>
      <c r="H3342" s="184"/>
      <c r="I3342" s="184"/>
      <c r="K3342" s="183"/>
      <c r="L3342" s="183"/>
    </row>
    <row r="3343" spans="1:12" ht="15.75" thickBot="1">
      <c r="A3343"/>
      <c r="B3343"/>
      <c r="C3343"/>
      <c r="D3343" s="186" t="s">
        <v>201</v>
      </c>
      <c r="E3343" s="186" t="s">
        <v>202</v>
      </c>
      <c r="F3343" s="186" t="s">
        <v>203</v>
      </c>
      <c r="G3343" s="186" t="s">
        <v>204</v>
      </c>
      <c r="H3343" s="186" t="s">
        <v>267</v>
      </c>
      <c r="I3343" s="217" t="s">
        <v>267</v>
      </c>
      <c r="K3343" s="230" t="s">
        <v>257</v>
      </c>
      <c r="L3343" s="231"/>
    </row>
    <row r="3344" spans="1:12">
      <c r="A3344" s="187"/>
      <c r="B3344" s="188">
        <v>46119</v>
      </c>
      <c r="C3344" s="187"/>
      <c r="D3344" s="189"/>
      <c r="E3344" s="189"/>
      <c r="F3344" s="189"/>
      <c r="G3344" s="189"/>
      <c r="H3344" s="189"/>
      <c r="I3344" s="218"/>
      <c r="K3344" s="232" t="s">
        <v>258</v>
      </c>
      <c r="L3344" s="190" t="str">
        <f>_xlfn.XLOOKUP($B3345,シフト抽出!$19:$19,シフト抽出!$20:$20,"該当なし",0,1)</f>
        <v>該当なし</v>
      </c>
    </row>
    <row r="3345" spans="1:12" ht="19.5" thickBot="1">
      <c r="A3345"/>
      <c r="B3345" s="191">
        <f>B3292+1</f>
        <v>46186</v>
      </c>
      <c r="C3345" s="192"/>
      <c r="D3345" s="193"/>
      <c r="E3345" s="193"/>
      <c r="F3345" s="193"/>
      <c r="G3345" s="193"/>
      <c r="H3345" s="193"/>
      <c r="I3345" s="219"/>
      <c r="K3345" s="233"/>
      <c r="L3345" s="194" t="str">
        <f>_xlfn.XLOOKUP($B3345,シフト抽出!$19:$19,シフト抽出!$21:$21,"該当なし",0,1)</f>
        <v>該当なし</v>
      </c>
    </row>
    <row r="3346" spans="1:12">
      <c r="A3346" s="195"/>
      <c r="B3346" s="196">
        <v>0.25</v>
      </c>
      <c r="C3346"/>
      <c r="D3346" s="197"/>
      <c r="E3346" s="196"/>
      <c r="F3346" s="197"/>
      <c r="G3346" s="197"/>
      <c r="H3346" s="197"/>
      <c r="I3346" s="209"/>
      <c r="K3346" s="234" t="s">
        <v>259</v>
      </c>
      <c r="L3346" s="198" t="str">
        <f>_xlfn.XLOOKUP($B3345,シフト抽出!$19:$19,シフト抽出!$23:$23,"該当なし",0,1)</f>
        <v>該当なし</v>
      </c>
    </row>
    <row r="3347" spans="1:12" ht="15.75" thickBot="1">
      <c r="A3347" s="195"/>
      <c r="B3347" s="195" t="s">
        <v>205</v>
      </c>
      <c r="C3347"/>
      <c r="D3347" s="197"/>
      <c r="E3347" s="197"/>
      <c r="F3347" s="197"/>
      <c r="G3347" s="197"/>
      <c r="H3347" s="197"/>
      <c r="I3347" s="209"/>
      <c r="K3347" s="235"/>
      <c r="L3347" s="199" t="str">
        <f>_xlfn.XLOOKUP($B3345,シフト抽出!$19:$19,シフト抽出!$24:$24,"該当なし",0,1)</f>
        <v>該当なし</v>
      </c>
    </row>
    <row r="3348" spans="1:12">
      <c r="A3348" s="195"/>
      <c r="B3348" s="195" t="s">
        <v>206</v>
      </c>
      <c r="C3348"/>
      <c r="D3348" s="197"/>
      <c r="E3348" s="197"/>
      <c r="F3348" s="197"/>
      <c r="G3348" s="197"/>
      <c r="H3348" s="197"/>
      <c r="I3348" s="209"/>
      <c r="K3348" s="224" t="s">
        <v>260</v>
      </c>
      <c r="L3348" s="200" t="str">
        <f>_xlfn.XLOOKUP($B3345,シフト抽出!$19:$19,シフト抽出!$26:$26,"該当なし",0,1)</f>
        <v>該当なし</v>
      </c>
    </row>
    <row r="3349" spans="1:12">
      <c r="A3349" s="195"/>
      <c r="B3349" s="195" t="s">
        <v>207</v>
      </c>
      <c r="C3349"/>
      <c r="D3349" s="197"/>
      <c r="E3349" s="197"/>
      <c r="F3349" s="197"/>
      <c r="G3349" s="197"/>
      <c r="H3349" s="197"/>
      <c r="I3349" s="209"/>
      <c r="K3349" s="225"/>
      <c r="L3349" s="201" t="str">
        <f>_xlfn.XLOOKUP($B3345,シフト抽出!$19:$19,シフト抽出!$27:$27,"該当なし",0,1)</f>
        <v>該当なし</v>
      </c>
    </row>
    <row r="3350" spans="1:12">
      <c r="A3350" s="195"/>
      <c r="B3350" s="202" t="s">
        <v>208</v>
      </c>
      <c r="C3350"/>
      <c r="D3350" s="197"/>
      <c r="E3350" s="197"/>
      <c r="F3350" s="197"/>
      <c r="G3350" s="197"/>
      <c r="H3350" s="197"/>
      <c r="I3350" s="209"/>
      <c r="J3350" s="203"/>
      <c r="K3350" s="225"/>
      <c r="L3350" s="201" t="str">
        <f>_xlfn.XLOOKUP($B3345,シフト抽出!$19:$19,シフト抽出!$28:$28,"該当なし",0,1)</f>
        <v>該当なし</v>
      </c>
    </row>
    <row r="3351" spans="1:12" ht="15.75" thickBot="1">
      <c r="A3351" s="195"/>
      <c r="B3351" s="195" t="s">
        <v>205</v>
      </c>
      <c r="C3351"/>
      <c r="D3351" s="197"/>
      <c r="E3351" s="197"/>
      <c r="F3351" s="197"/>
      <c r="G3351" s="197"/>
      <c r="H3351" s="197"/>
      <c r="I3351" s="209"/>
      <c r="J3351" s="203"/>
      <c r="K3351" s="226"/>
      <c r="L3351" s="204" t="str">
        <f>_xlfn.XLOOKUP($B3345,シフト抽出!$19:$19,シフト抽出!$29:$29,"該当なし",0,1)</f>
        <v>該当なし</v>
      </c>
    </row>
    <row r="3352" spans="1:12" ht="15.75" thickBot="1">
      <c r="A3352" s="195"/>
      <c r="B3352" s="195" t="s">
        <v>206</v>
      </c>
      <c r="C3352"/>
      <c r="D3352" s="197"/>
      <c r="E3352" s="197"/>
      <c r="F3352" s="197"/>
      <c r="G3352" s="197"/>
      <c r="H3352" s="197"/>
      <c r="I3352" s="209"/>
      <c r="K3352" s="205" t="s">
        <v>261</v>
      </c>
      <c r="L3352" s="205">
        <f>_xlfn.XLOOKUP($B3345,予定表!B:B,予定表!R:R,"該当なし",0,1)</f>
        <v>0</v>
      </c>
    </row>
    <row r="3353" spans="1:12">
      <c r="A3353" s="195"/>
      <c r="B3353" s="195" t="s">
        <v>207</v>
      </c>
      <c r="C3353"/>
      <c r="D3353" s="197"/>
      <c r="E3353" s="197"/>
      <c r="F3353" s="197"/>
      <c r="G3353" s="197"/>
      <c r="H3353" s="197"/>
      <c r="I3353" s="209"/>
      <c r="K3353" s="227" t="s">
        <v>262</v>
      </c>
      <c r="L3353" s="206">
        <f>_xlfn.XLOOKUP($B3345,予定表!$B:$B,予定表!E:E,"該当なし",0,1)</f>
        <v>0</v>
      </c>
    </row>
    <row r="3354" spans="1:12">
      <c r="A3354" s="195"/>
      <c r="B3354" s="196" t="s">
        <v>209</v>
      </c>
      <c r="C3354"/>
      <c r="D3354" s="197" t="s">
        <v>4</v>
      </c>
      <c r="E3354" s="197" t="s">
        <v>4</v>
      </c>
      <c r="F3354" s="197"/>
      <c r="G3354" s="197"/>
      <c r="H3354" s="197"/>
      <c r="I3354" s="209"/>
      <c r="K3354" s="228"/>
      <c r="L3354" s="207">
        <f>_xlfn.XLOOKUP($B3345,予定表!$B:$B,予定表!F:F,"該当なし",0,1)</f>
        <v>0</v>
      </c>
    </row>
    <row r="3355" spans="1:12">
      <c r="A3355" s="195"/>
      <c r="B3355" s="195" t="s">
        <v>205</v>
      </c>
      <c r="C3355"/>
      <c r="D3355" s="197" t="s">
        <v>268</v>
      </c>
      <c r="E3355" s="197" t="s">
        <v>22</v>
      </c>
      <c r="F3355" s="197"/>
      <c r="G3355" s="197"/>
      <c r="H3355" s="197"/>
      <c r="I3355" s="209"/>
      <c r="K3355" s="228"/>
      <c r="L3355" s="207">
        <f>_xlfn.XLOOKUP($B3345,予定表!$B:$B,予定表!G:G,"該当なし",0,1)</f>
        <v>0</v>
      </c>
    </row>
    <row r="3356" spans="1:12">
      <c r="A3356" s="195"/>
      <c r="B3356" s="195" t="s">
        <v>206</v>
      </c>
      <c r="C3356"/>
      <c r="D3356" s="197" t="s">
        <v>268</v>
      </c>
      <c r="E3356" s="197" t="s">
        <v>22</v>
      </c>
      <c r="F3356" s="197"/>
      <c r="G3356" s="197"/>
      <c r="H3356" s="197"/>
      <c r="I3356" s="209"/>
      <c r="K3356" s="228"/>
      <c r="L3356" s="207" t="str">
        <f>_xlfn.XLOOKUP($B3345,予定表!$B:$B,予定表!H:H,"該当なし",0,1)</f>
        <v>資さんうどん</v>
      </c>
    </row>
    <row r="3357" spans="1:12">
      <c r="A3357" s="195"/>
      <c r="B3357" s="195" t="s">
        <v>207</v>
      </c>
      <c r="C3357"/>
      <c r="D3357" s="197" t="s">
        <v>268</v>
      </c>
      <c r="E3357" s="197" t="s">
        <v>793</v>
      </c>
      <c r="F3357" s="197"/>
      <c r="G3357" s="197"/>
      <c r="H3357" s="197"/>
      <c r="I3357" s="209"/>
      <c r="K3357" s="228"/>
      <c r="L3357" s="207" t="str">
        <f>_xlfn.XLOOKUP($B3345,予定表!$B:$B,予定表!I:I,"該当なし",0,1)</f>
        <v/>
      </c>
    </row>
    <row r="3358" spans="1:12">
      <c r="A3358" s="195"/>
      <c r="B3358" s="196" t="s">
        <v>212</v>
      </c>
      <c r="C3358"/>
      <c r="D3358" s="197" t="s">
        <v>268</v>
      </c>
      <c r="E3358" s="197" t="s">
        <v>241</v>
      </c>
      <c r="F3358" s="197"/>
      <c r="G3358" s="197"/>
      <c r="H3358" s="197"/>
      <c r="I3358" s="209"/>
      <c r="K3358" s="228"/>
      <c r="L3358" s="207" t="str">
        <f>_xlfn.XLOOKUP($B3345,予定表!$B:$B,予定表!J:J,"該当なし",0,1)</f>
        <v/>
      </c>
    </row>
    <row r="3359" spans="1:12">
      <c r="A3359" s="195"/>
      <c r="B3359" s="195" t="s">
        <v>205</v>
      </c>
      <c r="C3359"/>
      <c r="D3359" s="197" t="s">
        <v>268</v>
      </c>
      <c r="E3359" s="197" t="s">
        <v>241</v>
      </c>
      <c r="F3359" s="197"/>
      <c r="G3359" s="197"/>
      <c r="H3359" s="197"/>
      <c r="I3359" s="209"/>
      <c r="K3359" s="228"/>
      <c r="L3359" s="207" t="str">
        <f>_xlfn.XLOOKUP($B3345,予定表!$B:$B,予定表!K:K,"該当なし",0,1)</f>
        <v/>
      </c>
    </row>
    <row r="3360" spans="1:12">
      <c r="A3360" s="195"/>
      <c r="B3360" s="195" t="s">
        <v>206</v>
      </c>
      <c r="C3360"/>
      <c r="D3360" s="197" t="s">
        <v>515</v>
      </c>
      <c r="E3360" s="197" t="s">
        <v>244</v>
      </c>
      <c r="F3360" s="197"/>
      <c r="G3360" s="197"/>
      <c r="H3360" s="197"/>
      <c r="I3360" s="209"/>
      <c r="K3360" s="228"/>
      <c r="L3360" s="207" t="str">
        <f>_xlfn.XLOOKUP($B3345,予定表!$B:$B,予定表!L:L,"該当なし",0,1)</f>
        <v/>
      </c>
    </row>
    <row r="3361" spans="1:12" ht="15.75" thickBot="1">
      <c r="A3361" s="195"/>
      <c r="B3361" s="195" t="s">
        <v>207</v>
      </c>
      <c r="C3361"/>
      <c r="D3361" s="197" t="s">
        <v>515</v>
      </c>
      <c r="E3361" s="197" t="s">
        <v>244</v>
      </c>
      <c r="F3361" s="197"/>
      <c r="G3361" s="197"/>
      <c r="H3361" s="197"/>
      <c r="I3361" s="209"/>
      <c r="K3361" s="229"/>
      <c r="L3361" s="204" t="str">
        <f>_xlfn.XLOOKUP($A3342,ﾘｽﾄマスタ!$U$8:$U$17,ﾘｽﾄマスタ!$V$8:$V$17,"",0)</f>
        <v/>
      </c>
    </row>
    <row r="3362" spans="1:12" ht="15.75" thickBot="1">
      <c r="A3362" s="195"/>
      <c r="B3362" s="196" t="s">
        <v>251</v>
      </c>
      <c r="C3362"/>
      <c r="D3362" s="197" t="s">
        <v>515</v>
      </c>
      <c r="E3362" s="197" t="s">
        <v>114</v>
      </c>
      <c r="F3362" s="197"/>
      <c r="G3362" s="197"/>
      <c r="H3362" s="197"/>
      <c r="I3362" s="209"/>
      <c r="K3362" s="208" t="s">
        <v>277</v>
      </c>
      <c r="L3362" s="208" t="str">
        <f>_xlfn.XLOOKUP($B3345,シフト抽出!$19:$19,シフト抽出!$30:$30,"該当なし",0,1)</f>
        <v>該当なし</v>
      </c>
    </row>
    <row r="3363" spans="1:12">
      <c r="A3363" s="195"/>
      <c r="B3363" s="195" t="s">
        <v>205</v>
      </c>
      <c r="C3363"/>
      <c r="D3363" s="197" t="s">
        <v>242</v>
      </c>
      <c r="E3363" s="197" t="s">
        <v>114</v>
      </c>
      <c r="F3363" s="197"/>
      <c r="G3363" s="197"/>
      <c r="H3363" s="197"/>
      <c r="I3363" s="209"/>
    </row>
    <row r="3364" spans="1:12">
      <c r="A3364" s="195"/>
      <c r="B3364" s="195" t="s">
        <v>206</v>
      </c>
      <c r="C3364"/>
      <c r="D3364" s="197" t="s">
        <v>242</v>
      </c>
      <c r="E3364" s="197"/>
      <c r="F3364" s="197"/>
      <c r="G3364" s="197"/>
      <c r="H3364" s="197"/>
      <c r="I3364" s="209"/>
    </row>
    <row r="3365" spans="1:12">
      <c r="A3365" s="195"/>
      <c r="B3365" s="195" t="s">
        <v>207</v>
      </c>
      <c r="C3365"/>
      <c r="D3365" s="197" t="s">
        <v>242</v>
      </c>
      <c r="E3365" s="197" t="s">
        <v>851</v>
      </c>
      <c r="F3365" s="197"/>
      <c r="G3365" s="197"/>
      <c r="H3365" s="197"/>
      <c r="I3365" s="209"/>
    </row>
    <row r="3366" spans="1:12">
      <c r="A3366" s="195"/>
      <c r="B3366" s="196" t="s">
        <v>217</v>
      </c>
      <c r="C3366"/>
      <c r="D3366" s="197" t="s">
        <v>242</v>
      </c>
      <c r="E3366" s="197" t="s">
        <v>851</v>
      </c>
      <c r="F3366" s="197"/>
      <c r="G3366" s="197"/>
      <c r="H3366" s="197"/>
      <c r="I3366" s="209"/>
    </row>
    <row r="3367" spans="1:12">
      <c r="A3367" s="195"/>
      <c r="B3367" s="195" t="s">
        <v>205</v>
      </c>
      <c r="C3367"/>
      <c r="D3367" s="197" t="s">
        <v>242</v>
      </c>
      <c r="E3367" s="197" t="s">
        <v>851</v>
      </c>
      <c r="F3367" s="197"/>
      <c r="G3367" s="197"/>
      <c r="H3367" s="197"/>
      <c r="I3367" s="209"/>
    </row>
    <row r="3368" spans="1:12">
      <c r="A3368" s="195"/>
      <c r="B3368" s="195" t="s">
        <v>206</v>
      </c>
      <c r="C3368"/>
      <c r="D3368" s="197" t="s">
        <v>242</v>
      </c>
      <c r="E3368" s="197" t="s">
        <v>851</v>
      </c>
      <c r="F3368" s="197"/>
      <c r="G3368" s="197"/>
      <c r="H3368" s="197"/>
      <c r="I3368" s="209"/>
    </row>
    <row r="3369" spans="1:12">
      <c r="A3369" s="195"/>
      <c r="B3369" s="195" t="s">
        <v>207</v>
      </c>
      <c r="C3369"/>
      <c r="D3369" s="197"/>
      <c r="E3369" s="197" t="s">
        <v>851</v>
      </c>
      <c r="F3369" s="197"/>
      <c r="G3369" s="197"/>
      <c r="H3369" s="197"/>
      <c r="I3369" s="209"/>
    </row>
    <row r="3370" spans="1:12">
      <c r="A3370" s="195"/>
      <c r="B3370" s="196" t="s">
        <v>219</v>
      </c>
      <c r="C3370"/>
      <c r="D3370" s="197"/>
      <c r="E3370" s="197" t="s">
        <v>851</v>
      </c>
      <c r="F3370" s="197"/>
      <c r="G3370" s="197"/>
      <c r="H3370" s="197"/>
      <c r="I3370" s="209"/>
    </row>
    <row r="3371" spans="1:12">
      <c r="A3371" s="195"/>
      <c r="B3371" s="195" t="s">
        <v>205</v>
      </c>
      <c r="C3371"/>
      <c r="D3371" s="197"/>
      <c r="E3371" s="197"/>
      <c r="F3371" s="197"/>
      <c r="G3371" s="197"/>
      <c r="H3371" s="197"/>
      <c r="I3371" s="209"/>
    </row>
    <row r="3372" spans="1:12">
      <c r="A3372" s="195"/>
      <c r="B3372" s="195" t="s">
        <v>206</v>
      </c>
      <c r="C3372"/>
      <c r="D3372" s="197"/>
      <c r="E3372" s="197"/>
      <c r="F3372" s="197"/>
      <c r="G3372" s="197"/>
      <c r="H3372" s="197"/>
      <c r="I3372" s="209"/>
    </row>
    <row r="3373" spans="1:12">
      <c r="A3373" s="195"/>
      <c r="B3373" s="195" t="s">
        <v>207</v>
      </c>
      <c r="C3373"/>
      <c r="D3373" s="197"/>
      <c r="E3373" s="197"/>
      <c r="F3373" s="197"/>
      <c r="G3373" s="197"/>
      <c r="H3373" s="197"/>
      <c r="I3373" s="209"/>
    </row>
    <row r="3374" spans="1:12">
      <c r="A3374" s="195"/>
      <c r="B3374" s="196" t="s">
        <v>220</v>
      </c>
      <c r="C3374"/>
      <c r="D3374" s="197" t="s">
        <v>7</v>
      </c>
      <c r="E3374" s="197" t="s">
        <v>7</v>
      </c>
      <c r="F3374" s="197"/>
      <c r="G3374" s="189"/>
      <c r="H3374" s="197"/>
      <c r="I3374" s="209"/>
    </row>
    <row r="3375" spans="1:12">
      <c r="A3375" s="195"/>
      <c r="B3375" s="195" t="s">
        <v>205</v>
      </c>
      <c r="C3375"/>
      <c r="D3375" s="197" t="s">
        <v>886</v>
      </c>
      <c r="E3375" s="197" t="s">
        <v>228</v>
      </c>
      <c r="F3375" s="197"/>
      <c r="G3375" s="197"/>
      <c r="H3375" s="197"/>
      <c r="I3375" s="209"/>
    </row>
    <row r="3376" spans="1:12">
      <c r="A3376" s="195"/>
      <c r="B3376" s="195" t="s">
        <v>206</v>
      </c>
      <c r="C3376"/>
      <c r="D3376" s="197" t="s">
        <v>886</v>
      </c>
      <c r="E3376" s="197" t="s">
        <v>228</v>
      </c>
      <c r="F3376" s="197"/>
      <c r="G3376" s="197"/>
      <c r="H3376" s="197"/>
      <c r="I3376" s="209"/>
    </row>
    <row r="3377" spans="1:9">
      <c r="A3377" s="195"/>
      <c r="B3377" s="195" t="s">
        <v>207</v>
      </c>
      <c r="C3377"/>
      <c r="D3377" s="197" t="s">
        <v>886</v>
      </c>
      <c r="E3377" s="197" t="s">
        <v>228</v>
      </c>
      <c r="F3377" s="197"/>
      <c r="G3377" s="197"/>
      <c r="H3377" s="197"/>
      <c r="I3377" s="209"/>
    </row>
    <row r="3378" spans="1:9">
      <c r="A3378" s="195"/>
      <c r="B3378" s="196" t="s">
        <v>222</v>
      </c>
      <c r="C3378"/>
      <c r="D3378" s="197" t="s">
        <v>886</v>
      </c>
      <c r="E3378" s="197" t="s">
        <v>228</v>
      </c>
      <c r="F3378" s="197"/>
      <c r="G3378" s="197"/>
      <c r="H3378" s="197"/>
      <c r="I3378" s="209"/>
    </row>
    <row r="3379" spans="1:9">
      <c r="A3379" s="195"/>
      <c r="B3379" s="195" t="s">
        <v>205</v>
      </c>
      <c r="C3379"/>
      <c r="D3379" s="197"/>
      <c r="E3379" s="197" t="s">
        <v>228</v>
      </c>
      <c r="F3379" s="197"/>
      <c r="G3379" s="197"/>
      <c r="H3379" s="197"/>
      <c r="I3379" s="209"/>
    </row>
    <row r="3380" spans="1:9">
      <c r="A3380" s="195"/>
      <c r="B3380" s="195" t="s">
        <v>206</v>
      </c>
      <c r="C3380"/>
      <c r="D3380" s="197" t="s">
        <v>270</v>
      </c>
      <c r="E3380" s="197" t="s">
        <v>228</v>
      </c>
      <c r="F3380" s="197"/>
      <c r="G3380" s="197"/>
      <c r="H3380" s="197"/>
      <c r="I3380" s="209"/>
    </row>
    <row r="3381" spans="1:9">
      <c r="A3381" s="195"/>
      <c r="B3381" s="195" t="s">
        <v>207</v>
      </c>
      <c r="C3381"/>
      <c r="D3381" s="197" t="s">
        <v>270</v>
      </c>
      <c r="E3381" s="197" t="s">
        <v>228</v>
      </c>
      <c r="F3381" s="197"/>
      <c r="G3381" s="197"/>
      <c r="H3381" s="197"/>
      <c r="I3381" s="209"/>
    </row>
    <row r="3382" spans="1:9">
      <c r="A3382" s="195"/>
      <c r="B3382" s="196" t="s">
        <v>223</v>
      </c>
      <c r="C3382"/>
      <c r="D3382" s="197" t="s">
        <v>270</v>
      </c>
      <c r="E3382" s="197" t="s">
        <v>228</v>
      </c>
      <c r="F3382" s="197"/>
      <c r="G3382" s="197"/>
      <c r="H3382" s="197"/>
      <c r="I3382" s="209"/>
    </row>
    <row r="3383" spans="1:9">
      <c r="A3383" s="195"/>
      <c r="B3383" s="195" t="s">
        <v>205</v>
      </c>
      <c r="C3383"/>
      <c r="D3383" s="197" t="s">
        <v>270</v>
      </c>
      <c r="E3383" s="197" t="s">
        <v>273</v>
      </c>
      <c r="F3383" s="197"/>
      <c r="G3383" s="197"/>
      <c r="H3383" s="197"/>
      <c r="I3383" s="209"/>
    </row>
    <row r="3384" spans="1:9">
      <c r="A3384" s="195"/>
      <c r="B3384" s="195" t="s">
        <v>206</v>
      </c>
      <c r="C3384"/>
      <c r="D3384" s="197" t="s">
        <v>270</v>
      </c>
      <c r="E3384" s="197" t="s">
        <v>273</v>
      </c>
      <c r="F3384" s="197"/>
      <c r="G3384" s="197"/>
      <c r="H3384" s="197"/>
      <c r="I3384" s="209"/>
    </row>
    <row r="3385" spans="1:9">
      <c r="A3385" s="195"/>
      <c r="B3385" s="195" t="s">
        <v>207</v>
      </c>
      <c r="C3385"/>
      <c r="D3385" s="197" t="s">
        <v>270</v>
      </c>
      <c r="E3385" s="197" t="s">
        <v>273</v>
      </c>
      <c r="F3385" s="197"/>
      <c r="G3385" s="197"/>
      <c r="H3385" s="197"/>
      <c r="I3385" s="209"/>
    </row>
    <row r="3386" spans="1:9">
      <c r="A3386" s="195"/>
      <c r="B3386" s="196" t="s">
        <v>225</v>
      </c>
      <c r="C3386"/>
      <c r="D3386" s="197" t="s">
        <v>270</v>
      </c>
      <c r="E3386" s="197" t="s">
        <v>263</v>
      </c>
      <c r="F3386" s="197"/>
      <c r="G3386" s="197"/>
      <c r="H3386" s="197"/>
      <c r="I3386" s="209"/>
    </row>
    <row r="3387" spans="1:9">
      <c r="A3387" s="195"/>
      <c r="B3387" s="195" t="s">
        <v>205</v>
      </c>
      <c r="C3387"/>
      <c r="D3387" s="197" t="s">
        <v>270</v>
      </c>
      <c r="E3387" s="197" t="s">
        <v>263</v>
      </c>
      <c r="F3387" s="197"/>
      <c r="G3387" s="197"/>
      <c r="H3387" s="209"/>
      <c r="I3387" s="209"/>
    </row>
    <row r="3388" spans="1:9">
      <c r="A3388" s="195"/>
      <c r="B3388" s="195" t="s">
        <v>206</v>
      </c>
      <c r="C3388"/>
      <c r="D3388" s="197" t="s">
        <v>270</v>
      </c>
      <c r="E3388" s="197" t="s">
        <v>263</v>
      </c>
      <c r="F3388" s="197"/>
      <c r="G3388" s="197"/>
      <c r="H3388" s="209"/>
      <c r="I3388" s="209"/>
    </row>
    <row r="3389" spans="1:9">
      <c r="A3389" s="195"/>
      <c r="B3389" s="195" t="s">
        <v>207</v>
      </c>
      <c r="C3389"/>
      <c r="D3389" s="197" t="s">
        <v>270</v>
      </c>
      <c r="E3389" s="197" t="s">
        <v>263</v>
      </c>
      <c r="F3389" s="197"/>
      <c r="G3389" s="197"/>
      <c r="H3389" s="209"/>
      <c r="I3389" s="209"/>
    </row>
    <row r="3390" spans="1:9">
      <c r="A3390" s="195"/>
      <c r="B3390" s="196" t="s">
        <v>226</v>
      </c>
      <c r="C3390"/>
      <c r="D3390" s="197" t="s">
        <v>270</v>
      </c>
      <c r="E3390" s="197"/>
      <c r="F3390" s="197"/>
      <c r="G3390" s="197"/>
      <c r="H3390" s="209"/>
      <c r="I3390" s="209"/>
    </row>
    <row r="3391" spans="1:9">
      <c r="A3391" s="195"/>
      <c r="B3391" s="195" t="s">
        <v>205</v>
      </c>
      <c r="C3391"/>
      <c r="D3391" s="197" t="s">
        <v>270</v>
      </c>
      <c r="E3391" s="197"/>
      <c r="F3391" s="197"/>
      <c r="G3391" s="197"/>
      <c r="H3391" s="209"/>
      <c r="I3391" s="209"/>
    </row>
    <row r="3392" spans="1:9">
      <c r="A3392" s="195"/>
      <c r="B3392" s="195" t="s">
        <v>206</v>
      </c>
      <c r="C3392"/>
      <c r="D3392" s="197" t="s">
        <v>270</v>
      </c>
      <c r="E3392" s="197"/>
      <c r="F3392" s="197"/>
      <c r="G3392" s="197"/>
      <c r="H3392" s="209"/>
      <c r="I3392" s="209"/>
    </row>
    <row r="3393" spans="1:12">
      <c r="A3393" s="195"/>
      <c r="B3393" s="195" t="s">
        <v>207</v>
      </c>
      <c r="C3393"/>
      <c r="D3393" s="197" t="s">
        <v>270</v>
      </c>
      <c r="E3393" s="197"/>
      <c r="F3393" s="197"/>
      <c r="G3393" s="197"/>
      <c r="H3393" s="209"/>
      <c r="I3393" s="209"/>
    </row>
    <row r="3394" spans="1:12">
      <c r="A3394" s="195"/>
      <c r="B3394" s="196" t="s">
        <v>227</v>
      </c>
      <c r="C3394"/>
      <c r="D3394" s="197"/>
      <c r="E3394" s="197"/>
      <c r="F3394" s="197"/>
      <c r="G3394" s="197"/>
      <c r="H3394" s="209"/>
      <c r="I3394" s="209"/>
      <c r="K3394"/>
    </row>
    <row r="3395" spans="1:12" ht="29.25" thickBot="1">
      <c r="A3395" s="182" t="str">
        <f>"回収シフト  第"&amp;ROUNDUP(DAY(B3398)/7,0)  &amp;"  "&amp;TEXT(B3398,"aaaa")</f>
        <v>回収シフト  第3  月曜日</v>
      </c>
      <c r="B3395" s="183"/>
      <c r="C3395" s="183"/>
      <c r="D3395" s="183"/>
      <c r="E3395" s="183"/>
      <c r="F3395" s="183"/>
      <c r="G3395" s="184"/>
      <c r="H3395" s="184"/>
      <c r="I3395" s="184"/>
      <c r="K3395" s="183"/>
      <c r="L3395" s="183"/>
    </row>
    <row r="3396" spans="1:12" ht="15.75" thickBot="1">
      <c r="A3396"/>
      <c r="B3396"/>
      <c r="C3396"/>
      <c r="D3396" s="186" t="s">
        <v>201</v>
      </c>
      <c r="E3396" s="186" t="s">
        <v>202</v>
      </c>
      <c r="F3396" s="186" t="s">
        <v>203</v>
      </c>
      <c r="G3396" s="186" t="s">
        <v>204</v>
      </c>
      <c r="H3396" s="186" t="s">
        <v>267</v>
      </c>
      <c r="I3396" s="217" t="s">
        <v>267</v>
      </c>
      <c r="K3396" s="230" t="s">
        <v>257</v>
      </c>
      <c r="L3396" s="231"/>
    </row>
    <row r="3397" spans="1:12">
      <c r="A3397" s="187"/>
      <c r="B3397" s="188">
        <v>45495</v>
      </c>
      <c r="C3397" s="187"/>
      <c r="D3397" s="189" t="s">
        <v>857</v>
      </c>
      <c r="E3397" s="189" t="s">
        <v>247</v>
      </c>
      <c r="F3397" s="189" t="s">
        <v>867</v>
      </c>
      <c r="G3397" s="189" t="s">
        <v>923</v>
      </c>
      <c r="H3397" s="189" t="s">
        <v>852</v>
      </c>
      <c r="I3397" s="218" t="s">
        <v>852</v>
      </c>
      <c r="K3397" s="232" t="s">
        <v>258</v>
      </c>
      <c r="L3397" s="190" t="str">
        <f>_xlfn.XLOOKUP($B3398,シフト抽出!$19:$19,シフト抽出!$20:$20,"該当なし",0,1)</f>
        <v>該当なし</v>
      </c>
    </row>
    <row r="3398" spans="1:12" ht="19.5" thickBot="1">
      <c r="A3398"/>
      <c r="B3398" s="191">
        <f>B3345+2</f>
        <v>46188</v>
      </c>
      <c r="C3398" s="192" t="e">
        <v>#REF!</v>
      </c>
      <c r="D3398" s="193"/>
      <c r="E3398" s="193"/>
      <c r="F3398" s="193"/>
      <c r="G3398" s="193"/>
      <c r="H3398" s="193"/>
      <c r="I3398" s="219"/>
      <c r="K3398" s="233"/>
      <c r="L3398" s="194" t="str">
        <f>_xlfn.XLOOKUP($B3398,シフト抽出!$19:$19,シフト抽出!$21:$21,"該当なし",0,1)</f>
        <v>該当なし</v>
      </c>
    </row>
    <row r="3399" spans="1:12">
      <c r="A3399" s="195"/>
      <c r="B3399" s="196">
        <v>0.25</v>
      </c>
      <c r="C3399"/>
      <c r="D3399" s="197"/>
      <c r="E3399" s="196"/>
      <c r="F3399" s="197"/>
      <c r="G3399" s="197"/>
      <c r="H3399" s="197"/>
      <c r="I3399" s="209"/>
      <c r="K3399" s="234" t="s">
        <v>259</v>
      </c>
      <c r="L3399" s="198" t="str">
        <f>_xlfn.XLOOKUP($B3398,シフト抽出!$19:$19,シフト抽出!$23:$23,"該当なし",0,1)</f>
        <v>該当なし</v>
      </c>
    </row>
    <row r="3400" spans="1:12" ht="15.75" thickBot="1">
      <c r="A3400" s="195"/>
      <c r="B3400" s="195" t="s">
        <v>205</v>
      </c>
      <c r="C3400"/>
      <c r="D3400" s="197"/>
      <c r="E3400" s="197"/>
      <c r="F3400" s="197"/>
      <c r="G3400" s="197"/>
      <c r="H3400" s="197"/>
      <c r="I3400" s="209"/>
      <c r="K3400" s="235"/>
      <c r="L3400" s="199" t="str">
        <f>_xlfn.XLOOKUP($B3398,シフト抽出!$19:$19,シフト抽出!$24:$24,"該当なし",0,1)</f>
        <v>該当なし</v>
      </c>
    </row>
    <row r="3401" spans="1:12">
      <c r="A3401" s="195"/>
      <c r="B3401" s="195" t="s">
        <v>206</v>
      </c>
      <c r="C3401"/>
      <c r="D3401" s="197" t="s">
        <v>941</v>
      </c>
      <c r="E3401" s="197"/>
      <c r="F3401" s="197"/>
      <c r="G3401" s="197"/>
      <c r="H3401" s="197"/>
      <c r="I3401" s="209"/>
      <c r="K3401" s="224" t="s">
        <v>260</v>
      </c>
      <c r="L3401" s="200" t="str">
        <f>_xlfn.XLOOKUP($B3398,シフト抽出!$19:$19,シフト抽出!$26:$26,"該当なし",0,1)</f>
        <v>該当なし</v>
      </c>
    </row>
    <row r="3402" spans="1:12">
      <c r="A3402" s="195"/>
      <c r="B3402" s="195" t="s">
        <v>207</v>
      </c>
      <c r="C3402"/>
      <c r="D3402" s="197"/>
      <c r="E3402" s="197"/>
      <c r="F3402" s="197"/>
      <c r="G3402" s="197"/>
      <c r="H3402" s="197"/>
      <c r="I3402" s="209"/>
      <c r="K3402" s="225"/>
      <c r="L3402" s="201" t="str">
        <f>_xlfn.XLOOKUP($B3398,シフト抽出!$19:$19,シフト抽出!$27:$27,"該当なし",0,1)</f>
        <v>該当なし</v>
      </c>
    </row>
    <row r="3403" spans="1:12">
      <c r="A3403" s="195"/>
      <c r="B3403" s="202" t="s">
        <v>208</v>
      </c>
      <c r="C3403"/>
      <c r="D3403" s="197"/>
      <c r="E3403" s="197"/>
      <c r="F3403" s="197" t="s">
        <v>851</v>
      </c>
      <c r="G3403" s="197"/>
      <c r="H3403" s="197"/>
      <c r="I3403" s="209"/>
      <c r="J3403" s="203"/>
      <c r="K3403" s="225"/>
      <c r="L3403" s="201" t="str">
        <f>_xlfn.XLOOKUP($B3398,シフト抽出!$19:$19,シフト抽出!$28:$28,"該当なし",0,1)</f>
        <v>該当なし</v>
      </c>
    </row>
    <row r="3404" spans="1:12" ht="15.75" thickBot="1">
      <c r="A3404" s="195"/>
      <c r="B3404" s="195" t="s">
        <v>205</v>
      </c>
      <c r="C3404"/>
      <c r="D3404" s="197"/>
      <c r="E3404" s="197"/>
      <c r="F3404" s="197" t="s">
        <v>851</v>
      </c>
      <c r="G3404" s="197"/>
      <c r="H3404" s="197"/>
      <c r="I3404" s="209"/>
      <c r="J3404" s="203"/>
      <c r="K3404" s="226"/>
      <c r="L3404" s="204" t="str">
        <f>_xlfn.XLOOKUP($B3398,シフト抽出!$19:$19,シフト抽出!$29:$29,"該当なし",0,1)</f>
        <v>該当なし</v>
      </c>
    </row>
    <row r="3405" spans="1:12" ht="15.75" thickBot="1">
      <c r="A3405" s="195"/>
      <c r="B3405" s="195" t="s">
        <v>206</v>
      </c>
      <c r="C3405"/>
      <c r="D3405" s="197"/>
      <c r="E3405" s="197"/>
      <c r="F3405" s="197" t="s">
        <v>851</v>
      </c>
      <c r="G3405" s="197"/>
      <c r="H3405" s="197"/>
      <c r="I3405" s="209"/>
      <c r="K3405" s="205" t="s">
        <v>261</v>
      </c>
      <c r="L3405" s="205">
        <f>_xlfn.XLOOKUP($B3398,予定表!B:B,予定表!R:R,"該当なし",0,1)</f>
        <v>0</v>
      </c>
    </row>
    <row r="3406" spans="1:12">
      <c r="A3406" s="195"/>
      <c r="B3406" s="195" t="s">
        <v>207</v>
      </c>
      <c r="C3406"/>
      <c r="D3406" s="197"/>
      <c r="E3406" s="197"/>
      <c r="F3406" s="197" t="s">
        <v>851</v>
      </c>
      <c r="G3406" s="197"/>
      <c r="H3406" s="197"/>
      <c r="I3406" s="209"/>
      <c r="K3406" s="227" t="s">
        <v>262</v>
      </c>
      <c r="L3406" s="206" t="str">
        <f>_xlfn.XLOOKUP($B3398,予定表!$B:$B,予定表!E:E,"該当なし",0,1)</f>
        <v>小田急切符・ｼｭﾚｯﾀﾞ</v>
      </c>
    </row>
    <row r="3407" spans="1:12">
      <c r="A3407" s="195"/>
      <c r="B3407" s="196" t="s">
        <v>209</v>
      </c>
      <c r="C3407"/>
      <c r="D3407" s="197"/>
      <c r="E3407" s="197"/>
      <c r="F3407" s="197" t="s">
        <v>851</v>
      </c>
      <c r="G3407" s="197"/>
      <c r="H3407" s="197"/>
      <c r="I3407" s="209"/>
      <c r="K3407" s="228"/>
      <c r="L3407" s="207" t="str">
        <f>_xlfn.XLOOKUP($B3398,予定表!$B:$B,予定表!F:F,"該当なし",0,1)</f>
        <v>ディーミング</v>
      </c>
    </row>
    <row r="3408" spans="1:12">
      <c r="A3408" s="195"/>
      <c r="B3408" s="195" t="s">
        <v>205</v>
      </c>
      <c r="C3408"/>
      <c r="D3408" s="197" t="s">
        <v>264</v>
      </c>
      <c r="E3408" s="197" t="s">
        <v>414</v>
      </c>
      <c r="F3408" s="197" t="s">
        <v>851</v>
      </c>
      <c r="G3408" s="197" t="s">
        <v>268</v>
      </c>
      <c r="H3408" s="197" t="s">
        <v>415</v>
      </c>
      <c r="I3408" s="209" t="s">
        <v>415</v>
      </c>
      <c r="K3408" s="228"/>
      <c r="L3408" s="207">
        <f>_xlfn.XLOOKUP($B3398,予定表!$B:$B,予定表!G:G,"該当なし",0,1)</f>
        <v>0</v>
      </c>
    </row>
    <row r="3409" spans="1:12">
      <c r="A3409" s="195"/>
      <c r="B3409" s="195" t="s">
        <v>206</v>
      </c>
      <c r="C3409"/>
      <c r="D3409" s="197" t="s">
        <v>471</v>
      </c>
      <c r="E3409" s="197" t="s">
        <v>414</v>
      </c>
      <c r="F3409" s="197" t="s">
        <v>851</v>
      </c>
      <c r="G3409" s="197" t="s">
        <v>268</v>
      </c>
      <c r="H3409" s="197" t="s">
        <v>415</v>
      </c>
      <c r="I3409" s="209" t="s">
        <v>415</v>
      </c>
      <c r="K3409" s="228"/>
      <c r="L3409" s="207" t="str">
        <f>_xlfn.XLOOKUP($B3398,予定表!$B:$B,予定表!H:H,"該当なし",0,1)</f>
        <v>資さんうどん</v>
      </c>
    </row>
    <row r="3410" spans="1:12">
      <c r="A3410" s="195"/>
      <c r="B3410" s="195" t="s">
        <v>207</v>
      </c>
      <c r="C3410"/>
      <c r="D3410" s="197" t="s">
        <v>788</v>
      </c>
      <c r="E3410" s="197" t="s">
        <v>414</v>
      </c>
      <c r="F3410" s="197"/>
      <c r="G3410" s="197" t="s">
        <v>268</v>
      </c>
      <c r="H3410" s="197" t="s">
        <v>415</v>
      </c>
      <c r="I3410" s="209" t="s">
        <v>415</v>
      </c>
      <c r="K3410" s="228"/>
      <c r="L3410" s="207" t="str">
        <f>_xlfn.XLOOKUP($B3398,予定表!$B:$B,予定表!I:I,"該当なし",0,1)</f>
        <v/>
      </c>
    </row>
    <row r="3411" spans="1:12">
      <c r="A3411" s="195"/>
      <c r="B3411" s="196" t="s">
        <v>212</v>
      </c>
      <c r="C3411"/>
      <c r="D3411" s="197" t="s">
        <v>119</v>
      </c>
      <c r="E3411" s="197" t="s">
        <v>414</v>
      </c>
      <c r="F3411" s="197" t="s">
        <v>416</v>
      </c>
      <c r="G3411" s="197" t="s">
        <v>268</v>
      </c>
      <c r="H3411" s="197" t="s">
        <v>416</v>
      </c>
      <c r="I3411" s="209" t="s">
        <v>416</v>
      </c>
      <c r="K3411" s="228"/>
      <c r="L3411" s="207" t="str">
        <f>_xlfn.XLOOKUP($B3398,予定表!$B:$B,予定表!J:J,"該当なし",0,1)</f>
        <v/>
      </c>
    </row>
    <row r="3412" spans="1:12">
      <c r="A3412" s="195"/>
      <c r="B3412" s="195" t="s">
        <v>205</v>
      </c>
      <c r="C3412"/>
      <c r="D3412" s="197" t="s">
        <v>119</v>
      </c>
      <c r="E3412" s="197" t="s">
        <v>414</v>
      </c>
      <c r="F3412" s="197" t="s">
        <v>877</v>
      </c>
      <c r="G3412" s="197" t="s">
        <v>268</v>
      </c>
      <c r="H3412" s="197" t="s">
        <v>877</v>
      </c>
      <c r="I3412" s="209" t="s">
        <v>877</v>
      </c>
      <c r="K3412" s="228"/>
      <c r="L3412" s="207" t="str">
        <f>_xlfn.XLOOKUP($B3398,予定表!$B:$B,予定表!K:K,"該当なし",0,1)</f>
        <v/>
      </c>
    </row>
    <row r="3413" spans="1:12">
      <c r="A3413" s="195"/>
      <c r="B3413" s="195" t="s">
        <v>206</v>
      </c>
      <c r="C3413"/>
      <c r="D3413" s="197" t="s">
        <v>278</v>
      </c>
      <c r="E3413" s="197" t="s">
        <v>414</v>
      </c>
      <c r="F3413" s="197" t="s">
        <v>416</v>
      </c>
      <c r="G3413" s="197" t="s">
        <v>515</v>
      </c>
      <c r="H3413" s="197" t="s">
        <v>416</v>
      </c>
      <c r="I3413" s="209" t="s">
        <v>416</v>
      </c>
      <c r="K3413" s="228"/>
      <c r="L3413" s="207" t="str">
        <f>_xlfn.XLOOKUP($B3398,予定表!$B:$B,予定表!L:L,"該当なし",0,1)</f>
        <v/>
      </c>
    </row>
    <row r="3414" spans="1:12" ht="15.75" thickBot="1">
      <c r="A3414" s="195"/>
      <c r="B3414" s="195" t="s">
        <v>207</v>
      </c>
      <c r="C3414"/>
      <c r="D3414" s="197" t="s">
        <v>213</v>
      </c>
      <c r="E3414" s="197" t="s">
        <v>414</v>
      </c>
      <c r="F3414" s="197" t="s">
        <v>416</v>
      </c>
      <c r="G3414" s="197" t="s">
        <v>515</v>
      </c>
      <c r="H3414" s="197" t="s">
        <v>416</v>
      </c>
      <c r="I3414" s="209" t="s">
        <v>416</v>
      </c>
      <c r="K3414" s="229"/>
      <c r="L3414" s="204" t="str">
        <f>_xlfn.XLOOKUP($A3395,ﾘｽﾄマスタ!$U$8:$U$17,ﾘｽﾄマスタ!$V$8:$V$17,"",0)</f>
        <v/>
      </c>
    </row>
    <row r="3415" spans="1:12" ht="15.75" thickBot="1">
      <c r="A3415" s="195"/>
      <c r="B3415" s="196" t="s">
        <v>251</v>
      </c>
      <c r="C3415"/>
      <c r="D3415" s="197" t="s">
        <v>144</v>
      </c>
      <c r="E3415" s="197" t="s">
        <v>862</v>
      </c>
      <c r="F3415" s="197" t="s">
        <v>416</v>
      </c>
      <c r="G3415" s="197" t="s">
        <v>269</v>
      </c>
      <c r="H3415" s="197" t="s">
        <v>416</v>
      </c>
      <c r="I3415" s="209" t="s">
        <v>416</v>
      </c>
      <c r="K3415" s="208" t="s">
        <v>277</v>
      </c>
      <c r="L3415" s="208" t="str">
        <f>_xlfn.XLOOKUP($B3398,シフト抽出!$19:$19,シフト抽出!$30:$30,"該当なし",0,1)</f>
        <v>該当なし</v>
      </c>
    </row>
    <row r="3416" spans="1:12">
      <c r="A3416" s="195"/>
      <c r="B3416" s="195" t="s">
        <v>205</v>
      </c>
      <c r="C3416"/>
      <c r="D3416" s="197" t="s">
        <v>144</v>
      </c>
      <c r="E3416" s="197" t="s">
        <v>214</v>
      </c>
      <c r="F3416" s="197" t="s">
        <v>416</v>
      </c>
      <c r="G3416" s="197" t="s">
        <v>269</v>
      </c>
      <c r="H3416" s="197" t="s">
        <v>416</v>
      </c>
      <c r="I3416" s="209" t="s">
        <v>416</v>
      </c>
    </row>
    <row r="3417" spans="1:12">
      <c r="A3417" s="195"/>
      <c r="B3417" s="195" t="s">
        <v>206</v>
      </c>
      <c r="C3417"/>
      <c r="D3417" s="197" t="s">
        <v>218</v>
      </c>
      <c r="E3417" s="197" t="s">
        <v>214</v>
      </c>
      <c r="F3417" s="197" t="s">
        <v>416</v>
      </c>
      <c r="G3417" s="197" t="s">
        <v>269</v>
      </c>
      <c r="H3417" s="197" t="s">
        <v>416</v>
      </c>
      <c r="I3417" s="209" t="s">
        <v>416</v>
      </c>
    </row>
    <row r="3418" spans="1:12">
      <c r="A3418" s="195"/>
      <c r="B3418" s="195" t="s">
        <v>207</v>
      </c>
      <c r="C3418"/>
      <c r="D3418" s="197" t="s">
        <v>78</v>
      </c>
      <c r="E3418" s="197" t="s">
        <v>214</v>
      </c>
      <c r="F3418" s="197" t="s">
        <v>416</v>
      </c>
      <c r="G3418" s="197" t="s">
        <v>446</v>
      </c>
      <c r="H3418" s="197" t="s">
        <v>416</v>
      </c>
      <c r="I3418" s="209" t="s">
        <v>416</v>
      </c>
    </row>
    <row r="3419" spans="1:12">
      <c r="A3419" s="195"/>
      <c r="B3419" s="196" t="s">
        <v>217</v>
      </c>
      <c r="C3419"/>
      <c r="D3419" s="197" t="s">
        <v>78</v>
      </c>
      <c r="E3419" s="197" t="s">
        <v>761</v>
      </c>
      <c r="F3419" s="197" t="s">
        <v>416</v>
      </c>
      <c r="G3419" s="197" t="s">
        <v>446</v>
      </c>
      <c r="H3419" s="197" t="s">
        <v>416</v>
      </c>
      <c r="I3419" s="209" t="s">
        <v>416</v>
      </c>
    </row>
    <row r="3420" spans="1:12">
      <c r="A3420" s="195"/>
      <c r="B3420" s="195" t="s">
        <v>205</v>
      </c>
      <c r="C3420"/>
      <c r="D3420" s="197" t="s">
        <v>146</v>
      </c>
      <c r="E3420" s="197" t="s">
        <v>761</v>
      </c>
      <c r="F3420" s="197" t="s">
        <v>416</v>
      </c>
      <c r="G3420" s="197" t="s">
        <v>114</v>
      </c>
      <c r="H3420" s="197" t="s">
        <v>416</v>
      </c>
      <c r="I3420" s="209" t="s">
        <v>416</v>
      </c>
    </row>
    <row r="3421" spans="1:12">
      <c r="A3421" s="195"/>
      <c r="B3421" s="195" t="s">
        <v>206</v>
      </c>
      <c r="C3421"/>
      <c r="D3421" s="197" t="s">
        <v>146</v>
      </c>
      <c r="E3421" s="197" t="s">
        <v>761</v>
      </c>
      <c r="F3421" s="197" t="s">
        <v>416</v>
      </c>
      <c r="G3421" s="197" t="s">
        <v>114</v>
      </c>
      <c r="H3421" s="197" t="s">
        <v>416</v>
      </c>
      <c r="I3421" s="209" t="s">
        <v>416</v>
      </c>
    </row>
    <row r="3422" spans="1:12">
      <c r="A3422" s="195"/>
      <c r="B3422" s="195" t="s">
        <v>207</v>
      </c>
      <c r="C3422"/>
      <c r="D3422" s="197"/>
      <c r="E3422" s="197" t="s">
        <v>761</v>
      </c>
      <c r="F3422" s="197" t="s">
        <v>416</v>
      </c>
      <c r="G3422" s="197" t="s">
        <v>51</v>
      </c>
      <c r="H3422" s="197" t="s">
        <v>416</v>
      </c>
      <c r="I3422" s="209" t="s">
        <v>416</v>
      </c>
    </row>
    <row r="3423" spans="1:12">
      <c r="A3423" s="195"/>
      <c r="B3423" s="196" t="s">
        <v>219</v>
      </c>
      <c r="C3423"/>
      <c r="D3423" s="197"/>
      <c r="E3423" s="197"/>
      <c r="F3423" s="197"/>
      <c r="G3423" s="197" t="s">
        <v>51</v>
      </c>
      <c r="H3423" s="197"/>
      <c r="I3423" s="209"/>
    </row>
    <row r="3424" spans="1:12">
      <c r="A3424" s="195"/>
      <c r="B3424" s="195" t="s">
        <v>205</v>
      </c>
      <c r="C3424"/>
      <c r="D3424" s="197"/>
      <c r="E3424" s="197"/>
      <c r="F3424" s="197"/>
      <c r="G3424" s="197" t="s">
        <v>51</v>
      </c>
      <c r="H3424" s="197"/>
      <c r="I3424" s="209"/>
    </row>
    <row r="3425" spans="1:9">
      <c r="A3425" s="195"/>
      <c r="B3425" s="195" t="s">
        <v>206</v>
      </c>
      <c r="C3425"/>
      <c r="D3425" s="197"/>
      <c r="E3425" s="197"/>
      <c r="F3425" s="197"/>
      <c r="G3425" s="197"/>
      <c r="H3425" s="197"/>
      <c r="I3425" s="209"/>
    </row>
    <row r="3426" spans="1:9">
      <c r="A3426" s="195"/>
      <c r="B3426" s="195" t="s">
        <v>207</v>
      </c>
      <c r="C3426"/>
      <c r="D3426" s="197"/>
      <c r="E3426" s="197"/>
      <c r="F3426" s="197"/>
      <c r="G3426" s="197"/>
      <c r="H3426" s="197"/>
      <c r="I3426" s="209"/>
    </row>
    <row r="3427" spans="1:9">
      <c r="A3427" s="195"/>
      <c r="B3427" s="196" t="s">
        <v>220</v>
      </c>
      <c r="C3427"/>
      <c r="D3427" s="189" t="s">
        <v>248</v>
      </c>
      <c r="E3427" s="189" t="s">
        <v>926</v>
      </c>
      <c r="F3427" s="197"/>
      <c r="G3427" s="189" t="s">
        <v>925</v>
      </c>
      <c r="H3427" s="197"/>
      <c r="I3427" s="209"/>
    </row>
    <row r="3428" spans="1:9">
      <c r="A3428" s="195"/>
      <c r="B3428" s="195" t="s">
        <v>205</v>
      </c>
      <c r="C3428"/>
      <c r="D3428" s="197" t="s">
        <v>759</v>
      </c>
      <c r="E3428" s="197" t="s">
        <v>848</v>
      </c>
      <c r="F3428" s="197" t="s">
        <v>224</v>
      </c>
      <c r="G3428" s="197" t="s">
        <v>56</v>
      </c>
      <c r="H3428" s="197" t="s">
        <v>848</v>
      </c>
      <c r="I3428" s="209" t="s">
        <v>848</v>
      </c>
    </row>
    <row r="3429" spans="1:9">
      <c r="A3429" s="195"/>
      <c r="B3429" s="195" t="s">
        <v>206</v>
      </c>
      <c r="C3429"/>
      <c r="D3429" s="197" t="s">
        <v>759</v>
      </c>
      <c r="E3429" s="197" t="s">
        <v>848</v>
      </c>
      <c r="F3429" s="197" t="s">
        <v>865</v>
      </c>
      <c r="G3429" s="197" t="s">
        <v>56</v>
      </c>
      <c r="H3429" s="197" t="s">
        <v>848</v>
      </c>
      <c r="I3429" s="209" t="s">
        <v>848</v>
      </c>
    </row>
    <row r="3430" spans="1:9">
      <c r="A3430" s="195"/>
      <c r="B3430" s="195" t="s">
        <v>207</v>
      </c>
      <c r="C3430"/>
      <c r="D3430" s="197" t="s">
        <v>759</v>
      </c>
      <c r="E3430" s="197" t="s">
        <v>848</v>
      </c>
      <c r="F3430" s="197" t="s">
        <v>866</v>
      </c>
      <c r="G3430" s="197" t="s">
        <v>56</v>
      </c>
      <c r="H3430" s="197" t="s">
        <v>848</v>
      </c>
      <c r="I3430" s="209" t="s">
        <v>848</v>
      </c>
    </row>
    <row r="3431" spans="1:9">
      <c r="A3431" s="195"/>
      <c r="B3431" s="196" t="s">
        <v>222</v>
      </c>
      <c r="C3431"/>
      <c r="D3431" s="197" t="s">
        <v>216</v>
      </c>
      <c r="E3431" s="197" t="s">
        <v>273</v>
      </c>
      <c r="F3431" s="197" t="s">
        <v>416</v>
      </c>
      <c r="G3431" s="197" t="s">
        <v>56</v>
      </c>
      <c r="H3431" s="197" t="s">
        <v>848</v>
      </c>
      <c r="I3431" s="209" t="s">
        <v>848</v>
      </c>
    </row>
    <row r="3432" spans="1:9">
      <c r="A3432" s="195"/>
      <c r="B3432" s="195" t="s">
        <v>205</v>
      </c>
      <c r="C3432"/>
      <c r="D3432" s="197" t="s">
        <v>216</v>
      </c>
      <c r="E3432" s="197" t="s">
        <v>273</v>
      </c>
      <c r="F3432" s="197" t="s">
        <v>901</v>
      </c>
      <c r="G3432" s="197"/>
      <c r="H3432" s="197" t="s">
        <v>848</v>
      </c>
      <c r="I3432" s="209" t="s">
        <v>848</v>
      </c>
    </row>
    <row r="3433" spans="1:9">
      <c r="A3433" s="195"/>
      <c r="B3433" s="195" t="s">
        <v>206</v>
      </c>
      <c r="C3433"/>
      <c r="D3433" s="197" t="s">
        <v>216</v>
      </c>
      <c r="E3433" s="197" t="s">
        <v>273</v>
      </c>
      <c r="F3433" s="197" t="s">
        <v>416</v>
      </c>
      <c r="G3433" s="197" t="s">
        <v>270</v>
      </c>
      <c r="H3433" s="197" t="s">
        <v>848</v>
      </c>
      <c r="I3433" s="209" t="s">
        <v>848</v>
      </c>
    </row>
    <row r="3434" spans="1:9">
      <c r="A3434" s="195"/>
      <c r="B3434" s="195" t="s">
        <v>207</v>
      </c>
      <c r="C3434"/>
      <c r="D3434" s="197" t="s">
        <v>216</v>
      </c>
      <c r="E3434" s="197" t="s">
        <v>252</v>
      </c>
      <c r="F3434" s="197" t="s">
        <v>416</v>
      </c>
      <c r="G3434" s="197" t="s">
        <v>270</v>
      </c>
      <c r="H3434" s="197" t="s">
        <v>848</v>
      </c>
      <c r="I3434" s="209" t="s">
        <v>848</v>
      </c>
    </row>
    <row r="3435" spans="1:9">
      <c r="A3435" s="195"/>
      <c r="B3435" s="196" t="s">
        <v>223</v>
      </c>
      <c r="C3435"/>
      <c r="D3435" s="197" t="s">
        <v>216</v>
      </c>
      <c r="E3435" s="197" t="s">
        <v>252</v>
      </c>
      <c r="F3435" s="197" t="s">
        <v>416</v>
      </c>
      <c r="G3435" s="197" t="s">
        <v>270</v>
      </c>
      <c r="H3435" s="197" t="s">
        <v>848</v>
      </c>
      <c r="I3435" s="209" t="s">
        <v>848</v>
      </c>
    </row>
    <row r="3436" spans="1:9">
      <c r="A3436" s="195"/>
      <c r="B3436" s="195" t="s">
        <v>205</v>
      </c>
      <c r="C3436"/>
      <c r="D3436" s="197" t="s">
        <v>160</v>
      </c>
      <c r="E3436" s="197" t="s">
        <v>252</v>
      </c>
      <c r="F3436" s="197"/>
      <c r="G3436" s="197" t="s">
        <v>270</v>
      </c>
      <c r="H3436" s="197" t="s">
        <v>229</v>
      </c>
      <c r="I3436" s="209" t="s">
        <v>229</v>
      </c>
    </row>
    <row r="3437" spans="1:9">
      <c r="A3437" s="195"/>
      <c r="B3437" s="195" t="s">
        <v>206</v>
      </c>
      <c r="C3437"/>
      <c r="D3437" s="197" t="s">
        <v>215</v>
      </c>
      <c r="E3437" s="197" t="s">
        <v>252</v>
      </c>
      <c r="F3437" s="197"/>
      <c r="G3437" s="197" t="s">
        <v>270</v>
      </c>
      <c r="H3437" s="197" t="s">
        <v>229</v>
      </c>
      <c r="I3437" s="209" t="s">
        <v>229</v>
      </c>
    </row>
    <row r="3438" spans="1:9">
      <c r="A3438" s="195"/>
      <c r="B3438" s="195" t="s">
        <v>207</v>
      </c>
      <c r="C3438"/>
      <c r="D3438" s="197" t="s">
        <v>280</v>
      </c>
      <c r="E3438" s="197" t="s">
        <v>252</v>
      </c>
      <c r="F3438" s="197"/>
      <c r="G3438" s="197" t="s">
        <v>270</v>
      </c>
      <c r="H3438" s="197" t="s">
        <v>229</v>
      </c>
      <c r="I3438" s="209" t="s">
        <v>229</v>
      </c>
    </row>
    <row r="3439" spans="1:9">
      <c r="A3439" s="195"/>
      <c r="B3439" s="196" t="s">
        <v>225</v>
      </c>
      <c r="C3439"/>
      <c r="D3439" s="197" t="s">
        <v>127</v>
      </c>
      <c r="E3439" s="197" t="s">
        <v>252</v>
      </c>
      <c r="F3439" s="197"/>
      <c r="G3439" s="197" t="s">
        <v>270</v>
      </c>
      <c r="H3439" s="197" t="s">
        <v>230</v>
      </c>
      <c r="I3439" s="209" t="s">
        <v>230</v>
      </c>
    </row>
    <row r="3440" spans="1:9">
      <c r="A3440" s="195"/>
      <c r="B3440" s="195" t="s">
        <v>205</v>
      </c>
      <c r="C3440"/>
      <c r="D3440" s="197"/>
      <c r="E3440" s="197" t="s">
        <v>252</v>
      </c>
      <c r="F3440" s="197"/>
      <c r="G3440" s="197" t="s">
        <v>270</v>
      </c>
      <c r="H3440" s="209" t="s">
        <v>230</v>
      </c>
      <c r="I3440" s="209" t="s">
        <v>230</v>
      </c>
    </row>
    <row r="3441" spans="1:12">
      <c r="A3441" s="195"/>
      <c r="B3441" s="195" t="s">
        <v>206</v>
      </c>
      <c r="C3441"/>
      <c r="D3441" s="197"/>
      <c r="E3441" s="197"/>
      <c r="F3441" s="197"/>
      <c r="G3441" s="197" t="s">
        <v>270</v>
      </c>
      <c r="H3441" s="209" t="s">
        <v>230</v>
      </c>
      <c r="I3441" s="209" t="s">
        <v>230</v>
      </c>
    </row>
    <row r="3442" spans="1:12">
      <c r="A3442" s="195"/>
      <c r="B3442" s="195" t="s">
        <v>207</v>
      </c>
      <c r="C3442"/>
      <c r="D3442" s="197"/>
      <c r="E3442" s="197"/>
      <c r="F3442" s="197"/>
      <c r="G3442" s="197" t="s">
        <v>270</v>
      </c>
      <c r="H3442" s="209" t="s">
        <v>230</v>
      </c>
      <c r="I3442" s="209" t="s">
        <v>230</v>
      </c>
    </row>
    <row r="3443" spans="1:12">
      <c r="A3443" s="195"/>
      <c r="B3443" s="196" t="s">
        <v>226</v>
      </c>
      <c r="C3443"/>
      <c r="D3443" s="197"/>
      <c r="E3443" s="197"/>
      <c r="F3443" s="197"/>
      <c r="G3443" s="197" t="s">
        <v>270</v>
      </c>
      <c r="H3443" s="209" t="s">
        <v>230</v>
      </c>
      <c r="I3443" s="209" t="s">
        <v>230</v>
      </c>
    </row>
    <row r="3444" spans="1:12">
      <c r="A3444" s="195"/>
      <c r="B3444" s="195" t="s">
        <v>205</v>
      </c>
      <c r="C3444"/>
      <c r="D3444" s="197"/>
      <c r="E3444" s="197"/>
      <c r="F3444" s="197"/>
      <c r="G3444" s="197" t="s">
        <v>270</v>
      </c>
      <c r="H3444" s="209" t="s">
        <v>230</v>
      </c>
      <c r="I3444" s="209" t="s">
        <v>230</v>
      </c>
    </row>
    <row r="3445" spans="1:12">
      <c r="A3445" s="195"/>
      <c r="B3445" s="195" t="s">
        <v>206</v>
      </c>
      <c r="C3445"/>
      <c r="D3445" s="197"/>
      <c r="E3445" s="197"/>
      <c r="F3445" s="197"/>
      <c r="G3445" s="197" t="s">
        <v>270</v>
      </c>
      <c r="H3445" s="209"/>
      <c r="I3445" s="209"/>
    </row>
    <row r="3446" spans="1:12">
      <c r="A3446" s="195"/>
      <c r="B3446" s="195" t="s">
        <v>207</v>
      </c>
      <c r="C3446"/>
      <c r="D3446" s="197"/>
      <c r="E3446" s="197"/>
      <c r="F3446" s="197"/>
      <c r="G3446" s="197" t="s">
        <v>270</v>
      </c>
      <c r="H3446" s="209"/>
      <c r="I3446" s="209"/>
    </row>
    <row r="3447" spans="1:12">
      <c r="A3447" s="195"/>
      <c r="B3447" s="196" t="s">
        <v>227</v>
      </c>
      <c r="C3447"/>
      <c r="D3447" s="197"/>
      <c r="E3447" s="197"/>
      <c r="F3447" s="197"/>
      <c r="G3447" s="197"/>
      <c r="H3447" s="209"/>
      <c r="I3447" s="209"/>
      <c r="K3447"/>
    </row>
    <row r="3448" spans="1:12" ht="29.25" thickBot="1">
      <c r="A3448" s="182" t="str">
        <f>"回収シフト  第"&amp;ROUNDUP(DAY(B3451)/7,0)  &amp;"  "&amp;TEXT(B3451,"aaaa")</f>
        <v>回収シフト  第3  火曜日</v>
      </c>
      <c r="B3448" s="183"/>
      <c r="C3448" s="183"/>
      <c r="D3448" s="183"/>
      <c r="E3448" s="183"/>
      <c r="F3448" s="183"/>
      <c r="G3448" s="184"/>
      <c r="H3448" s="184"/>
      <c r="I3448" s="184"/>
      <c r="K3448" s="183"/>
      <c r="L3448" s="183"/>
    </row>
    <row r="3449" spans="1:12" ht="15.75" thickBot="1">
      <c r="A3449"/>
      <c r="B3449"/>
      <c r="C3449"/>
      <c r="D3449" s="186" t="s">
        <v>201</v>
      </c>
      <c r="E3449" s="186" t="s">
        <v>202</v>
      </c>
      <c r="F3449" s="186" t="s">
        <v>203</v>
      </c>
      <c r="G3449" s="186" t="s">
        <v>204</v>
      </c>
      <c r="H3449" s="186" t="s">
        <v>267</v>
      </c>
      <c r="I3449" s="217" t="s">
        <v>267</v>
      </c>
      <c r="K3449" s="230" t="s">
        <v>257</v>
      </c>
      <c r="L3449" s="231"/>
    </row>
    <row r="3450" spans="1:12">
      <c r="A3450" s="187"/>
      <c r="B3450" s="188">
        <v>46119</v>
      </c>
      <c r="C3450" s="187"/>
      <c r="D3450" s="189" t="s">
        <v>937</v>
      </c>
      <c r="E3450" s="189" t="s">
        <v>859</v>
      </c>
      <c r="F3450" s="189" t="s">
        <v>867</v>
      </c>
      <c r="G3450" s="189" t="s">
        <v>960</v>
      </c>
      <c r="H3450" s="189" t="s">
        <v>852</v>
      </c>
      <c r="I3450" s="218" t="s">
        <v>852</v>
      </c>
      <c r="K3450" s="232" t="s">
        <v>258</v>
      </c>
      <c r="L3450" s="190" t="str">
        <f>_xlfn.XLOOKUP($B3451,シフト抽出!$19:$19,シフト抽出!$20:$20,"該当なし",0,1)</f>
        <v>該当なし</v>
      </c>
    </row>
    <row r="3451" spans="1:12" ht="19.5" thickBot="1">
      <c r="A3451"/>
      <c r="B3451" s="191">
        <f>B3398+1</f>
        <v>46189</v>
      </c>
      <c r="C3451" s="192"/>
      <c r="D3451" s="193"/>
      <c r="E3451" s="193"/>
      <c r="F3451" s="193"/>
      <c r="G3451" s="193"/>
      <c r="H3451" s="193"/>
      <c r="I3451" s="219"/>
      <c r="K3451" s="233"/>
      <c r="L3451" s="194" t="str">
        <f>_xlfn.XLOOKUP($B3451,シフト抽出!$19:$19,シフト抽出!$21:$21,"該当なし",0,1)</f>
        <v>該当なし</v>
      </c>
    </row>
    <row r="3452" spans="1:12">
      <c r="A3452" s="195"/>
      <c r="B3452" s="196">
        <v>0.25</v>
      </c>
      <c r="C3452"/>
      <c r="D3452" s="197"/>
      <c r="E3452" s="196"/>
      <c r="F3452" s="197"/>
      <c r="G3452" s="197"/>
      <c r="H3452" s="197"/>
      <c r="I3452" s="209"/>
      <c r="K3452" s="234" t="s">
        <v>259</v>
      </c>
      <c r="L3452" s="198" t="str">
        <f>_xlfn.XLOOKUP($B3451,シフト抽出!$19:$19,シフト抽出!$23:$23,"該当なし",0,1)</f>
        <v>該当なし</v>
      </c>
    </row>
    <row r="3453" spans="1:12" ht="15.75" thickBot="1">
      <c r="A3453" s="195"/>
      <c r="B3453" s="195" t="s">
        <v>205</v>
      </c>
      <c r="C3453"/>
      <c r="D3453" s="197" t="s">
        <v>107</v>
      </c>
      <c r="E3453" s="197"/>
      <c r="F3453" s="197"/>
      <c r="G3453" s="197"/>
      <c r="H3453" s="197"/>
      <c r="I3453" s="209"/>
      <c r="K3453" s="235"/>
      <c r="L3453" s="199" t="str">
        <f>_xlfn.XLOOKUP($B3451,シフト抽出!$19:$19,シフト抽出!$24:$24,"該当なし",0,1)</f>
        <v>該当なし</v>
      </c>
    </row>
    <row r="3454" spans="1:12">
      <c r="A3454" s="195"/>
      <c r="B3454" s="195" t="s">
        <v>206</v>
      </c>
      <c r="C3454"/>
      <c r="D3454" s="197"/>
      <c r="E3454" s="197"/>
      <c r="F3454" s="197"/>
      <c r="G3454" s="197"/>
      <c r="H3454" s="197"/>
      <c r="I3454" s="209"/>
      <c r="K3454" s="224" t="s">
        <v>260</v>
      </c>
      <c r="L3454" s="200" t="str">
        <f>_xlfn.XLOOKUP($B3451,シフト抽出!$19:$19,シフト抽出!$26:$26,"該当なし",0,1)</f>
        <v>該当なし</v>
      </c>
    </row>
    <row r="3455" spans="1:12">
      <c r="A3455" s="195"/>
      <c r="B3455" s="195" t="s">
        <v>207</v>
      </c>
      <c r="C3455"/>
      <c r="D3455" s="197"/>
      <c r="E3455" s="197"/>
      <c r="F3455" s="197"/>
      <c r="G3455" s="197"/>
      <c r="H3455" s="197"/>
      <c r="I3455" s="209"/>
      <c r="K3455" s="225"/>
      <c r="L3455" s="201" t="str">
        <f>_xlfn.XLOOKUP($B3451,シフト抽出!$19:$19,シフト抽出!$27:$27,"該当なし",0,1)</f>
        <v>該当なし</v>
      </c>
    </row>
    <row r="3456" spans="1:12">
      <c r="A3456" s="195"/>
      <c r="B3456" s="202" t="s">
        <v>208</v>
      </c>
      <c r="C3456"/>
      <c r="D3456" s="197"/>
      <c r="E3456" s="197" t="s">
        <v>4</v>
      </c>
      <c r="F3456" s="197"/>
      <c r="G3456" s="197" t="s">
        <v>4</v>
      </c>
      <c r="H3456" s="197"/>
      <c r="I3456" s="209"/>
      <c r="J3456" s="203"/>
      <c r="K3456" s="225"/>
      <c r="L3456" s="201" t="str">
        <f>_xlfn.XLOOKUP($B3451,シフト抽出!$19:$19,シフト抽出!$28:$28,"該当なし",0,1)</f>
        <v>該当なし</v>
      </c>
    </row>
    <row r="3457" spans="1:12" ht="15.75" thickBot="1">
      <c r="A3457" s="195"/>
      <c r="B3457" s="195" t="s">
        <v>205</v>
      </c>
      <c r="C3457"/>
      <c r="D3457" s="197"/>
      <c r="E3457" s="197" t="s">
        <v>420</v>
      </c>
      <c r="F3457" s="197"/>
      <c r="G3457" s="197" t="s">
        <v>22</v>
      </c>
      <c r="H3457" s="197"/>
      <c r="I3457" s="209"/>
      <c r="J3457" s="203"/>
      <c r="K3457" s="226"/>
      <c r="L3457" s="204" t="str">
        <f>_xlfn.XLOOKUP($B3451,シフト抽出!$19:$19,シフト抽出!$29:$29,"該当なし",0,1)</f>
        <v>該当なし</v>
      </c>
    </row>
    <row r="3458" spans="1:12" ht="15.75" thickBot="1">
      <c r="A3458" s="195"/>
      <c r="B3458" s="195" t="s">
        <v>206</v>
      </c>
      <c r="C3458"/>
      <c r="D3458" s="197"/>
      <c r="E3458" s="197" t="s">
        <v>420</v>
      </c>
      <c r="F3458" s="197"/>
      <c r="G3458" s="197" t="s">
        <v>22</v>
      </c>
      <c r="H3458" s="197"/>
      <c r="I3458" s="209"/>
      <c r="K3458" s="205" t="s">
        <v>261</v>
      </c>
      <c r="L3458" s="205">
        <f>_xlfn.XLOOKUP($B3451,予定表!B:B,予定表!R:R,"該当なし",0,1)</f>
        <v>0</v>
      </c>
    </row>
    <row r="3459" spans="1:12">
      <c r="A3459" s="195"/>
      <c r="B3459" s="195" t="s">
        <v>207</v>
      </c>
      <c r="C3459"/>
      <c r="D3459" s="197"/>
      <c r="E3459" s="197" t="s">
        <v>420</v>
      </c>
      <c r="F3459" s="197"/>
      <c r="G3459" s="197" t="s">
        <v>22</v>
      </c>
      <c r="H3459" s="197"/>
      <c r="I3459" s="209"/>
      <c r="K3459" s="227" t="s">
        <v>262</v>
      </c>
      <c r="L3459" s="206">
        <f>_xlfn.XLOOKUP($B3451,予定表!$B:$B,予定表!E:E,"該当なし",0,1)</f>
        <v>0</v>
      </c>
    </row>
    <row r="3460" spans="1:12">
      <c r="A3460" s="195"/>
      <c r="B3460" s="196" t="s">
        <v>209</v>
      </c>
      <c r="C3460"/>
      <c r="D3460" s="197" t="s">
        <v>4</v>
      </c>
      <c r="E3460" s="197" t="s">
        <v>420</v>
      </c>
      <c r="F3460" s="197" t="s">
        <v>4</v>
      </c>
      <c r="G3460" s="197" t="s">
        <v>268</v>
      </c>
      <c r="H3460" s="197" t="s">
        <v>4</v>
      </c>
      <c r="I3460" s="209" t="s">
        <v>4</v>
      </c>
      <c r="K3460" s="228"/>
      <c r="L3460" s="207">
        <f>_xlfn.XLOOKUP($B3451,予定表!$B:$B,予定表!F:F,"該当なし",0,1)</f>
        <v>0</v>
      </c>
    </row>
    <row r="3461" spans="1:12">
      <c r="A3461" s="195"/>
      <c r="B3461" s="195" t="s">
        <v>205</v>
      </c>
      <c r="C3461"/>
      <c r="D3461" s="197" t="s">
        <v>414</v>
      </c>
      <c r="E3461" s="197" t="s">
        <v>420</v>
      </c>
      <c r="F3461" s="197" t="s">
        <v>851</v>
      </c>
      <c r="G3461" s="197" t="s">
        <v>268</v>
      </c>
      <c r="H3461" s="197" t="s">
        <v>60</v>
      </c>
      <c r="I3461" s="209" t="s">
        <v>60</v>
      </c>
      <c r="K3461" s="228"/>
      <c r="L3461" s="207">
        <f>_xlfn.XLOOKUP($B3451,予定表!$B:$B,予定表!G:G,"該当なし",0,1)</f>
        <v>0</v>
      </c>
    </row>
    <row r="3462" spans="1:12">
      <c r="A3462" s="195"/>
      <c r="B3462" s="195" t="s">
        <v>206</v>
      </c>
      <c r="C3462"/>
      <c r="D3462" s="197" t="s">
        <v>414</v>
      </c>
      <c r="E3462" s="197" t="s">
        <v>273</v>
      </c>
      <c r="F3462" s="197" t="s">
        <v>851</v>
      </c>
      <c r="G3462" s="197" t="s">
        <v>268</v>
      </c>
      <c r="H3462" s="197" t="s">
        <v>60</v>
      </c>
      <c r="I3462" s="209" t="s">
        <v>60</v>
      </c>
      <c r="K3462" s="228"/>
      <c r="L3462" s="207">
        <f>_xlfn.XLOOKUP($B3451,予定表!$B:$B,予定表!H:H,"該当なし",0,1)</f>
        <v>0</v>
      </c>
    </row>
    <row r="3463" spans="1:12">
      <c r="A3463" s="195"/>
      <c r="B3463" s="195" t="s">
        <v>207</v>
      </c>
      <c r="C3463"/>
      <c r="D3463" s="197" t="s">
        <v>414</v>
      </c>
      <c r="E3463" s="197" t="s">
        <v>273</v>
      </c>
      <c r="F3463" s="197" t="s">
        <v>851</v>
      </c>
      <c r="G3463" s="197" t="s">
        <v>268</v>
      </c>
      <c r="H3463" s="197" t="s">
        <v>60</v>
      </c>
      <c r="I3463" s="209" t="s">
        <v>60</v>
      </c>
      <c r="K3463" s="228"/>
      <c r="L3463" s="207" t="str">
        <f>_xlfn.XLOOKUP($B3451,予定表!$B:$B,予定表!I:I,"該当なし",0,1)</f>
        <v/>
      </c>
    </row>
    <row r="3464" spans="1:12">
      <c r="A3464" s="195"/>
      <c r="B3464" s="196" t="s">
        <v>212</v>
      </c>
      <c r="C3464"/>
      <c r="D3464" s="197" t="s">
        <v>414</v>
      </c>
      <c r="E3464" s="197" t="s">
        <v>273</v>
      </c>
      <c r="F3464" s="197" t="s">
        <v>851</v>
      </c>
      <c r="G3464" s="197" t="s">
        <v>268</v>
      </c>
      <c r="H3464" s="197"/>
      <c r="I3464" s="209"/>
      <c r="K3464" s="228"/>
      <c r="L3464" s="207" t="str">
        <f>_xlfn.XLOOKUP($B3451,予定表!$B:$B,予定表!J:J,"該当なし",0,1)</f>
        <v/>
      </c>
    </row>
    <row r="3465" spans="1:12">
      <c r="A3465" s="195"/>
      <c r="B3465" s="195" t="s">
        <v>205</v>
      </c>
      <c r="C3465"/>
      <c r="D3465" s="197" t="s">
        <v>414</v>
      </c>
      <c r="E3465" s="197" t="s">
        <v>947</v>
      </c>
      <c r="F3465" s="197" t="s">
        <v>851</v>
      </c>
      <c r="G3465" s="197" t="s">
        <v>169</v>
      </c>
      <c r="H3465" s="197" t="s">
        <v>848</v>
      </c>
      <c r="I3465" s="209" t="s">
        <v>848</v>
      </c>
      <c r="K3465" s="228"/>
      <c r="L3465" s="207" t="str">
        <f>_xlfn.XLOOKUP($B3451,予定表!$B:$B,予定表!K:K,"該当なし",0,1)</f>
        <v/>
      </c>
    </row>
    <row r="3466" spans="1:12">
      <c r="A3466" s="195"/>
      <c r="B3466" s="195" t="s">
        <v>206</v>
      </c>
      <c r="C3466"/>
      <c r="D3466" s="197" t="s">
        <v>214</v>
      </c>
      <c r="E3466" s="197" t="s">
        <v>228</v>
      </c>
      <c r="F3466" s="197" t="s">
        <v>62</v>
      </c>
      <c r="G3466" s="197" t="s">
        <v>169</v>
      </c>
      <c r="H3466" s="197" t="s">
        <v>848</v>
      </c>
      <c r="I3466" s="209" t="s">
        <v>848</v>
      </c>
      <c r="K3466" s="228"/>
      <c r="L3466" s="207" t="str">
        <f>_xlfn.XLOOKUP($B3451,予定表!$B:$B,予定表!L:L,"該当なし",0,1)</f>
        <v/>
      </c>
    </row>
    <row r="3467" spans="1:12" ht="15.75" thickBot="1">
      <c r="A3467" s="195"/>
      <c r="B3467" s="195" t="s">
        <v>207</v>
      </c>
      <c r="C3467"/>
      <c r="D3467" s="197" t="s">
        <v>214</v>
      </c>
      <c r="E3467" s="197" t="s">
        <v>228</v>
      </c>
      <c r="F3467" s="197" t="s">
        <v>62</v>
      </c>
      <c r="G3467" s="197" t="s">
        <v>169</v>
      </c>
      <c r="H3467" s="197" t="s">
        <v>848</v>
      </c>
      <c r="I3467" s="209" t="s">
        <v>848</v>
      </c>
      <c r="K3467" s="229"/>
      <c r="L3467" s="204" t="str">
        <f>_xlfn.XLOOKUP($A3448,ﾘｽﾄマスタ!$U$8:$U$17,ﾘｽﾄマスタ!$V$8:$V$17,"",0)</f>
        <v/>
      </c>
    </row>
    <row r="3468" spans="1:12" ht="15.75" thickBot="1">
      <c r="A3468" s="195"/>
      <c r="B3468" s="196" t="s">
        <v>251</v>
      </c>
      <c r="C3468"/>
      <c r="D3468" s="197" t="s">
        <v>214</v>
      </c>
      <c r="E3468" s="197" t="s">
        <v>228</v>
      </c>
      <c r="F3468" s="197" t="s">
        <v>62</v>
      </c>
      <c r="G3468" s="197" t="s">
        <v>169</v>
      </c>
      <c r="H3468" s="197" t="s">
        <v>848</v>
      </c>
      <c r="I3468" s="209" t="s">
        <v>848</v>
      </c>
      <c r="K3468" s="208" t="s">
        <v>277</v>
      </c>
      <c r="L3468" s="208" t="str">
        <f>_xlfn.XLOOKUP($B3451,シフト抽出!$19:$19,シフト抽出!$30:$30,"該当なし",0,1)</f>
        <v>該当なし</v>
      </c>
    </row>
    <row r="3469" spans="1:12">
      <c r="A3469" s="195"/>
      <c r="B3469" s="195" t="s">
        <v>205</v>
      </c>
      <c r="C3469"/>
      <c r="D3469" s="197" t="s">
        <v>353</v>
      </c>
      <c r="E3469" s="197" t="s">
        <v>228</v>
      </c>
      <c r="F3469" s="197" t="s">
        <v>62</v>
      </c>
      <c r="G3469" s="197" t="s">
        <v>169</v>
      </c>
      <c r="H3469" s="197" t="s">
        <v>848</v>
      </c>
      <c r="I3469" s="209" t="s">
        <v>848</v>
      </c>
    </row>
    <row r="3470" spans="1:12">
      <c r="A3470" s="195"/>
      <c r="B3470" s="195" t="s">
        <v>206</v>
      </c>
      <c r="C3470"/>
      <c r="D3470" s="197" t="s">
        <v>353</v>
      </c>
      <c r="E3470" s="197" t="s">
        <v>263</v>
      </c>
      <c r="F3470" s="197" t="s">
        <v>62</v>
      </c>
      <c r="G3470" s="197" t="s">
        <v>279</v>
      </c>
      <c r="H3470" s="197" t="s">
        <v>229</v>
      </c>
      <c r="I3470" s="209" t="s">
        <v>229</v>
      </c>
    </row>
    <row r="3471" spans="1:12">
      <c r="A3471" s="195"/>
      <c r="B3471" s="195" t="s">
        <v>207</v>
      </c>
      <c r="C3471"/>
      <c r="D3471" s="197" t="s">
        <v>761</v>
      </c>
      <c r="E3471" s="197" t="s">
        <v>263</v>
      </c>
      <c r="F3471" s="197" t="s">
        <v>51</v>
      </c>
      <c r="G3471" s="197" t="s">
        <v>279</v>
      </c>
      <c r="H3471" s="197" t="s">
        <v>229</v>
      </c>
      <c r="I3471" s="209" t="s">
        <v>229</v>
      </c>
    </row>
    <row r="3472" spans="1:12">
      <c r="A3472" s="195"/>
      <c r="B3472" s="196" t="s">
        <v>217</v>
      </c>
      <c r="C3472"/>
      <c r="D3472" s="197" t="s">
        <v>761</v>
      </c>
      <c r="E3472" s="197" t="s">
        <v>263</v>
      </c>
      <c r="F3472" s="197" t="s">
        <v>51</v>
      </c>
      <c r="G3472" s="197" t="s">
        <v>279</v>
      </c>
      <c r="H3472" s="197" t="s">
        <v>230</v>
      </c>
      <c r="I3472" s="209" t="s">
        <v>230</v>
      </c>
    </row>
    <row r="3473" spans="1:9">
      <c r="A3473" s="195"/>
      <c r="B3473" s="195" t="s">
        <v>205</v>
      </c>
      <c r="C3473"/>
      <c r="D3473" s="197" t="s">
        <v>761</v>
      </c>
      <c r="E3473" s="197" t="s">
        <v>263</v>
      </c>
      <c r="F3473" s="197" t="s">
        <v>51</v>
      </c>
      <c r="G3473" s="197" t="s">
        <v>279</v>
      </c>
      <c r="H3473" s="197" t="s">
        <v>230</v>
      </c>
      <c r="I3473" s="209" t="s">
        <v>230</v>
      </c>
    </row>
    <row r="3474" spans="1:9">
      <c r="A3474" s="195"/>
      <c r="B3474" s="195" t="s">
        <v>206</v>
      </c>
      <c r="C3474"/>
      <c r="D3474" s="197" t="s">
        <v>88</v>
      </c>
      <c r="E3474" s="197" t="s">
        <v>426</v>
      </c>
      <c r="F3474" s="197" t="s">
        <v>51</v>
      </c>
      <c r="G3474" s="197" t="s">
        <v>279</v>
      </c>
      <c r="H3474" s="197" t="s">
        <v>230</v>
      </c>
      <c r="I3474" s="209" t="s">
        <v>230</v>
      </c>
    </row>
    <row r="3475" spans="1:9">
      <c r="A3475" s="195"/>
      <c r="B3475" s="195" t="s">
        <v>207</v>
      </c>
      <c r="C3475"/>
      <c r="D3475" s="197" t="s">
        <v>88</v>
      </c>
      <c r="E3475" s="197" t="s">
        <v>426</v>
      </c>
      <c r="F3475" s="197" t="s">
        <v>62</v>
      </c>
      <c r="G3475" s="197" t="s">
        <v>279</v>
      </c>
      <c r="H3475" s="197" t="s">
        <v>230</v>
      </c>
      <c r="I3475" s="209" t="s">
        <v>230</v>
      </c>
    </row>
    <row r="3476" spans="1:9">
      <c r="A3476" s="195"/>
      <c r="B3476" s="196" t="s">
        <v>219</v>
      </c>
      <c r="C3476"/>
      <c r="D3476" s="197"/>
      <c r="E3476" s="197"/>
      <c r="F3476" s="197" t="s">
        <v>62</v>
      </c>
      <c r="G3476" s="197"/>
      <c r="H3476" s="197" t="s">
        <v>230</v>
      </c>
      <c r="I3476" s="209" t="s">
        <v>230</v>
      </c>
    </row>
    <row r="3477" spans="1:9">
      <c r="A3477" s="195"/>
      <c r="B3477" s="195" t="s">
        <v>205</v>
      </c>
      <c r="C3477"/>
      <c r="D3477" s="197"/>
      <c r="E3477" s="197"/>
      <c r="F3477" s="197" t="s">
        <v>62</v>
      </c>
      <c r="G3477" s="197"/>
      <c r="H3477" s="197" t="s">
        <v>230</v>
      </c>
      <c r="I3477" s="209" t="s">
        <v>230</v>
      </c>
    </row>
    <row r="3478" spans="1:9">
      <c r="A3478" s="195"/>
      <c r="B3478" s="195" t="s">
        <v>206</v>
      </c>
      <c r="C3478"/>
      <c r="D3478" s="197"/>
      <c r="E3478" s="197"/>
      <c r="F3478" s="197"/>
      <c r="G3478" s="197"/>
      <c r="H3478" s="197"/>
      <c r="I3478" s="209"/>
    </row>
    <row r="3479" spans="1:9">
      <c r="A3479" s="195"/>
      <c r="B3479" s="195" t="s">
        <v>207</v>
      </c>
      <c r="C3479"/>
      <c r="D3479" s="197"/>
      <c r="E3479" s="197"/>
      <c r="F3479" s="197"/>
      <c r="G3479" s="197"/>
      <c r="H3479" s="197"/>
      <c r="I3479" s="209"/>
    </row>
    <row r="3480" spans="1:9">
      <c r="A3480" s="195"/>
      <c r="B3480" s="196" t="s">
        <v>220</v>
      </c>
      <c r="C3480"/>
      <c r="D3480" s="197"/>
      <c r="E3480" s="197"/>
      <c r="F3480" s="197"/>
      <c r="G3480" s="197"/>
      <c r="H3480" s="197"/>
      <c r="I3480" s="209"/>
    </row>
    <row r="3481" spans="1:9">
      <c r="A3481" s="195"/>
      <c r="B3481" s="195" t="s">
        <v>205</v>
      </c>
      <c r="C3481"/>
      <c r="D3481" s="197" t="s">
        <v>114</v>
      </c>
      <c r="E3481" s="197" t="s">
        <v>393</v>
      </c>
      <c r="F3481" s="197" t="s">
        <v>193</v>
      </c>
      <c r="G3481" s="197" t="s">
        <v>56</v>
      </c>
      <c r="H3481" s="197" t="s">
        <v>390</v>
      </c>
      <c r="I3481" s="209" t="s">
        <v>390</v>
      </c>
    </row>
    <row r="3482" spans="1:9">
      <c r="A3482" s="195"/>
      <c r="B3482" s="195" t="s">
        <v>206</v>
      </c>
      <c r="C3482"/>
      <c r="D3482" s="197" t="s">
        <v>114</v>
      </c>
      <c r="E3482" s="197" t="s">
        <v>393</v>
      </c>
      <c r="F3482" s="197" t="s">
        <v>122</v>
      </c>
      <c r="G3482" s="197" t="s">
        <v>56</v>
      </c>
      <c r="H3482" s="197" t="s">
        <v>390</v>
      </c>
      <c r="I3482" s="209" t="s">
        <v>390</v>
      </c>
    </row>
    <row r="3483" spans="1:9">
      <c r="A3483" s="195"/>
      <c r="B3483" s="195" t="s">
        <v>207</v>
      </c>
      <c r="C3483"/>
      <c r="D3483" s="197" t="s">
        <v>129</v>
      </c>
      <c r="E3483" s="197" t="s">
        <v>393</v>
      </c>
      <c r="F3483" s="197" t="s">
        <v>62</v>
      </c>
      <c r="G3483" s="197" t="s">
        <v>56</v>
      </c>
      <c r="H3483" s="197"/>
      <c r="I3483" s="209"/>
    </row>
    <row r="3484" spans="1:9">
      <c r="A3484" s="195"/>
      <c r="B3484" s="196" t="s">
        <v>222</v>
      </c>
      <c r="C3484"/>
      <c r="D3484" s="197" t="s">
        <v>129</v>
      </c>
      <c r="E3484" s="197" t="s">
        <v>393</v>
      </c>
      <c r="F3484" s="197" t="s">
        <v>62</v>
      </c>
      <c r="G3484" s="197" t="s">
        <v>56</v>
      </c>
      <c r="H3484" s="197" t="s">
        <v>231</v>
      </c>
      <c r="I3484" s="209" t="s">
        <v>231</v>
      </c>
    </row>
    <row r="3485" spans="1:9">
      <c r="A3485" s="195"/>
      <c r="B3485" s="195" t="s">
        <v>205</v>
      </c>
      <c r="C3485"/>
      <c r="D3485" s="197" t="s">
        <v>129</v>
      </c>
      <c r="E3485" s="197" t="s">
        <v>393</v>
      </c>
      <c r="F3485" s="197" t="s">
        <v>62</v>
      </c>
      <c r="G3485" s="197"/>
      <c r="H3485" s="197" t="s">
        <v>232</v>
      </c>
      <c r="I3485" s="209" t="s">
        <v>232</v>
      </c>
    </row>
    <row r="3486" spans="1:9">
      <c r="A3486" s="195"/>
      <c r="B3486" s="195" t="s">
        <v>206</v>
      </c>
      <c r="C3486"/>
      <c r="D3486" s="197"/>
      <c r="E3486" s="197" t="s">
        <v>252</v>
      </c>
      <c r="F3486" s="197" t="s">
        <v>62</v>
      </c>
      <c r="G3486" s="197" t="s">
        <v>270</v>
      </c>
      <c r="H3486" s="197" t="s">
        <v>211</v>
      </c>
      <c r="I3486" s="209" t="s">
        <v>211</v>
      </c>
    </row>
    <row r="3487" spans="1:9">
      <c r="A3487" s="195"/>
      <c r="B3487" s="195" t="s">
        <v>207</v>
      </c>
      <c r="C3487"/>
      <c r="D3487" s="197" t="s">
        <v>515</v>
      </c>
      <c r="E3487" s="197" t="s">
        <v>252</v>
      </c>
      <c r="F3487" s="197" t="s">
        <v>62</v>
      </c>
      <c r="G3487" s="197" t="s">
        <v>270</v>
      </c>
      <c r="H3487" s="197" t="s">
        <v>211</v>
      </c>
      <c r="I3487" s="209" t="s">
        <v>211</v>
      </c>
    </row>
    <row r="3488" spans="1:9">
      <c r="A3488" s="195"/>
      <c r="B3488" s="196" t="s">
        <v>223</v>
      </c>
      <c r="C3488"/>
      <c r="D3488" s="197" t="s">
        <v>515</v>
      </c>
      <c r="E3488" s="197" t="s">
        <v>252</v>
      </c>
      <c r="F3488" s="197" t="s">
        <v>62</v>
      </c>
      <c r="G3488" s="197" t="s">
        <v>270</v>
      </c>
      <c r="H3488" s="197"/>
      <c r="I3488" s="209"/>
    </row>
    <row r="3489" spans="1:12">
      <c r="A3489" s="195"/>
      <c r="B3489" s="195" t="s">
        <v>205</v>
      </c>
      <c r="C3489"/>
      <c r="D3489" s="197" t="s">
        <v>269</v>
      </c>
      <c r="E3489" s="197" t="s">
        <v>252</v>
      </c>
      <c r="F3489" s="197" t="s">
        <v>62</v>
      </c>
      <c r="G3489" s="197" t="s">
        <v>270</v>
      </c>
      <c r="H3489" s="197" t="s">
        <v>856</v>
      </c>
      <c r="I3489" s="209" t="s">
        <v>856</v>
      </c>
    </row>
    <row r="3490" spans="1:12">
      <c r="A3490" s="195"/>
      <c r="B3490" s="195" t="s">
        <v>206</v>
      </c>
      <c r="C3490"/>
      <c r="D3490" s="197" t="s">
        <v>269</v>
      </c>
      <c r="E3490" s="197" t="s">
        <v>252</v>
      </c>
      <c r="F3490" s="197" t="s">
        <v>62</v>
      </c>
      <c r="G3490" s="197" t="s">
        <v>270</v>
      </c>
      <c r="H3490" s="197" t="s">
        <v>856</v>
      </c>
      <c r="I3490" s="209" t="s">
        <v>856</v>
      </c>
    </row>
    <row r="3491" spans="1:12">
      <c r="A3491" s="195"/>
      <c r="B3491" s="195" t="s">
        <v>207</v>
      </c>
      <c r="C3491"/>
      <c r="D3491" s="197" t="s">
        <v>269</v>
      </c>
      <c r="E3491" s="197" t="s">
        <v>252</v>
      </c>
      <c r="F3491" s="197" t="s">
        <v>62</v>
      </c>
      <c r="G3491" s="197" t="s">
        <v>270</v>
      </c>
      <c r="H3491" s="197" t="s">
        <v>856</v>
      </c>
      <c r="I3491" s="209" t="s">
        <v>856</v>
      </c>
    </row>
    <row r="3492" spans="1:12">
      <c r="A3492" s="195"/>
      <c r="B3492" s="196" t="s">
        <v>225</v>
      </c>
      <c r="C3492"/>
      <c r="D3492" s="197" t="s">
        <v>269</v>
      </c>
      <c r="E3492" s="197" t="s">
        <v>252</v>
      </c>
      <c r="F3492" s="197" t="s">
        <v>62</v>
      </c>
      <c r="G3492" s="197" t="s">
        <v>270</v>
      </c>
      <c r="H3492" s="197" t="s">
        <v>856</v>
      </c>
      <c r="I3492" s="209" t="s">
        <v>856</v>
      </c>
    </row>
    <row r="3493" spans="1:12">
      <c r="A3493" s="195"/>
      <c r="B3493" s="195" t="s">
        <v>205</v>
      </c>
      <c r="C3493"/>
      <c r="D3493" s="197" t="s">
        <v>475</v>
      </c>
      <c r="E3493" s="197" t="s">
        <v>252</v>
      </c>
      <c r="F3493" s="197" t="s">
        <v>62</v>
      </c>
      <c r="G3493" s="197" t="s">
        <v>270</v>
      </c>
      <c r="H3493" s="209" t="s">
        <v>856</v>
      </c>
      <c r="I3493" s="209" t="s">
        <v>856</v>
      </c>
    </row>
    <row r="3494" spans="1:12">
      <c r="A3494" s="195"/>
      <c r="B3494" s="195" t="s">
        <v>206</v>
      </c>
      <c r="C3494"/>
      <c r="D3494" s="197" t="s">
        <v>361</v>
      </c>
      <c r="E3494" s="197" t="s">
        <v>252</v>
      </c>
      <c r="F3494" s="197" t="s">
        <v>62</v>
      </c>
      <c r="G3494" s="197" t="s">
        <v>270</v>
      </c>
      <c r="H3494" s="209" t="s">
        <v>856</v>
      </c>
      <c r="I3494" s="209" t="s">
        <v>856</v>
      </c>
    </row>
    <row r="3495" spans="1:12">
      <c r="A3495" s="195"/>
      <c r="B3495" s="195" t="s">
        <v>207</v>
      </c>
      <c r="C3495"/>
      <c r="D3495" s="197"/>
      <c r="E3495" s="197"/>
      <c r="F3495" s="197"/>
      <c r="G3495" s="197" t="s">
        <v>270</v>
      </c>
      <c r="H3495" s="209"/>
      <c r="I3495" s="209"/>
    </row>
    <row r="3496" spans="1:12">
      <c r="A3496" s="195"/>
      <c r="B3496" s="196" t="s">
        <v>226</v>
      </c>
      <c r="C3496"/>
      <c r="D3496" s="197"/>
      <c r="E3496" s="197"/>
      <c r="F3496" s="197"/>
      <c r="G3496" s="197" t="s">
        <v>270</v>
      </c>
      <c r="H3496" s="209"/>
      <c r="I3496" s="209"/>
    </row>
    <row r="3497" spans="1:12">
      <c r="A3497" s="195"/>
      <c r="B3497" s="195" t="s">
        <v>205</v>
      </c>
      <c r="C3497"/>
      <c r="D3497" s="197"/>
      <c r="E3497" s="197"/>
      <c r="F3497" s="197"/>
      <c r="G3497" s="197" t="s">
        <v>270</v>
      </c>
      <c r="H3497" s="209"/>
      <c r="I3497" s="209"/>
    </row>
    <row r="3498" spans="1:12">
      <c r="A3498" s="195"/>
      <c r="B3498" s="195" t="s">
        <v>206</v>
      </c>
      <c r="C3498"/>
      <c r="D3498" s="197"/>
      <c r="E3498" s="197"/>
      <c r="F3498" s="197"/>
      <c r="G3498" s="197" t="s">
        <v>270</v>
      </c>
      <c r="H3498" s="209"/>
      <c r="I3498" s="209"/>
    </row>
    <row r="3499" spans="1:12">
      <c r="A3499" s="195"/>
      <c r="B3499" s="195" t="s">
        <v>207</v>
      </c>
      <c r="C3499"/>
      <c r="D3499" s="197"/>
      <c r="E3499" s="197"/>
      <c r="F3499" s="197"/>
      <c r="G3499" s="197" t="s">
        <v>270</v>
      </c>
      <c r="H3499" s="209"/>
      <c r="I3499" s="209"/>
    </row>
    <row r="3500" spans="1:12">
      <c r="A3500" s="195"/>
      <c r="B3500" s="196" t="s">
        <v>227</v>
      </c>
      <c r="C3500"/>
      <c r="D3500" s="197"/>
      <c r="E3500" s="197"/>
      <c r="F3500" s="197"/>
      <c r="G3500" s="197"/>
      <c r="H3500" s="209"/>
      <c r="I3500" s="209"/>
      <c r="K3500"/>
    </row>
    <row r="3501" spans="1:12" ht="29.25" thickBot="1">
      <c r="A3501" s="182" t="str">
        <f>"回収シフト  第"&amp;ROUNDUP(DAY(B3504)/7,0)  &amp;"  "&amp;TEXT(B3504,"aaaa")</f>
        <v>回収シフト  第3  水曜日</v>
      </c>
      <c r="B3501" s="183"/>
      <c r="C3501" s="183"/>
      <c r="D3501" s="183"/>
      <c r="E3501" s="183"/>
      <c r="F3501" s="183"/>
      <c r="G3501" s="184"/>
      <c r="H3501" s="184"/>
      <c r="I3501" s="184"/>
      <c r="K3501" s="183"/>
      <c r="L3501" s="183"/>
    </row>
    <row r="3502" spans="1:12" ht="15.75" thickBot="1">
      <c r="A3502"/>
      <c r="B3502"/>
      <c r="C3502"/>
      <c r="D3502" s="186" t="s">
        <v>201</v>
      </c>
      <c r="E3502" s="186" t="s">
        <v>202</v>
      </c>
      <c r="F3502" s="186" t="s">
        <v>203</v>
      </c>
      <c r="G3502" s="186" t="s">
        <v>204</v>
      </c>
      <c r="H3502" s="186" t="s">
        <v>267</v>
      </c>
      <c r="I3502" s="217" t="s">
        <v>267</v>
      </c>
      <c r="K3502" s="230" t="s">
        <v>257</v>
      </c>
      <c r="L3502" s="231"/>
    </row>
    <row r="3503" spans="1:12">
      <c r="A3503" s="187"/>
      <c r="B3503" s="188">
        <v>46119</v>
      </c>
      <c r="C3503" s="187"/>
      <c r="D3503" s="189" t="s">
        <v>857</v>
      </c>
      <c r="E3503" s="189" t="s">
        <v>858</v>
      </c>
      <c r="F3503" s="189" t="s">
        <v>867</v>
      </c>
      <c r="G3503" s="189" t="s">
        <v>863</v>
      </c>
      <c r="H3503" s="189" t="s">
        <v>852</v>
      </c>
      <c r="I3503" s="218" t="s">
        <v>852</v>
      </c>
      <c r="K3503" s="232" t="s">
        <v>258</v>
      </c>
      <c r="L3503" s="190" t="str">
        <f>_xlfn.XLOOKUP($B3504,シフト抽出!$19:$19,シフト抽出!$20:$20,"該当なし",0,1)</f>
        <v>該当なし</v>
      </c>
    </row>
    <row r="3504" spans="1:12" ht="19.5" thickBot="1">
      <c r="A3504"/>
      <c r="B3504" s="191">
        <f>B3451+1</f>
        <v>46190</v>
      </c>
      <c r="C3504" s="192" t="e">
        <v>#REF!</v>
      </c>
      <c r="D3504" s="193"/>
      <c r="E3504" s="193"/>
      <c r="F3504" s="193"/>
      <c r="G3504" s="193"/>
      <c r="H3504" s="193"/>
      <c r="I3504" s="219"/>
      <c r="K3504" s="233"/>
      <c r="L3504" s="194" t="str">
        <f>_xlfn.XLOOKUP($B3504,シフト抽出!$19:$19,シフト抽出!$21:$21,"該当なし",0,1)</f>
        <v>該当なし</v>
      </c>
    </row>
    <row r="3505" spans="1:12">
      <c r="A3505" s="195"/>
      <c r="B3505" s="196">
        <v>0.25</v>
      </c>
      <c r="C3505"/>
      <c r="D3505" s="197"/>
      <c r="E3505" s="197"/>
      <c r="F3505" s="197"/>
      <c r="G3505" s="197"/>
      <c r="H3505" s="197"/>
      <c r="I3505" s="209"/>
      <c r="K3505" s="234" t="s">
        <v>259</v>
      </c>
      <c r="L3505" s="198" t="str">
        <f>_xlfn.XLOOKUP($B3504,シフト抽出!$19:$19,シフト抽出!$23:$23,"該当なし",0,1)</f>
        <v>該当なし</v>
      </c>
    </row>
    <row r="3506" spans="1:12" ht="15.75" thickBot="1">
      <c r="A3506" s="195"/>
      <c r="B3506" s="195" t="s">
        <v>205</v>
      </c>
      <c r="C3506"/>
      <c r="D3506" s="197"/>
      <c r="E3506" s="197"/>
      <c r="F3506" s="197"/>
      <c r="G3506" s="197"/>
      <c r="H3506" s="197"/>
      <c r="I3506" s="209"/>
      <c r="K3506" s="235"/>
      <c r="L3506" s="199" t="str">
        <f>_xlfn.XLOOKUP($B3504,シフト抽出!$19:$19,シフト抽出!$24:$24,"該当なし",0,1)</f>
        <v>該当なし</v>
      </c>
    </row>
    <row r="3507" spans="1:12">
      <c r="A3507" s="195"/>
      <c r="B3507" s="195" t="s">
        <v>206</v>
      </c>
      <c r="C3507"/>
      <c r="D3507" s="197"/>
      <c r="E3507" s="197"/>
      <c r="F3507" s="197"/>
      <c r="G3507" s="197"/>
      <c r="H3507" s="197"/>
      <c r="I3507" s="209"/>
      <c r="K3507" s="224" t="s">
        <v>260</v>
      </c>
      <c r="L3507" s="200" t="str">
        <f>_xlfn.XLOOKUP($B3504,シフト抽出!$19:$19,シフト抽出!$26:$26,"該当なし",0,1)</f>
        <v>該当なし</v>
      </c>
    </row>
    <row r="3508" spans="1:12">
      <c r="A3508" s="195"/>
      <c r="B3508" s="195" t="s">
        <v>207</v>
      </c>
      <c r="C3508"/>
      <c r="D3508" s="197"/>
      <c r="E3508" s="197"/>
      <c r="F3508" s="197" t="s">
        <v>961</v>
      </c>
      <c r="G3508" s="197"/>
      <c r="H3508" s="197"/>
      <c r="I3508" s="209"/>
      <c r="K3508" s="225"/>
      <c r="L3508" s="201" t="str">
        <f>_xlfn.XLOOKUP($B3504,シフト抽出!$19:$19,シフト抽出!$27:$27,"該当なし",0,1)</f>
        <v>該当なし</v>
      </c>
    </row>
    <row r="3509" spans="1:12">
      <c r="A3509" s="195"/>
      <c r="B3509" s="202" t="s">
        <v>208</v>
      </c>
      <c r="C3509"/>
      <c r="D3509" s="197"/>
      <c r="E3509" s="197"/>
      <c r="F3509" s="197"/>
      <c r="G3509" s="197"/>
      <c r="H3509" s="197"/>
      <c r="I3509" s="209"/>
      <c r="J3509" s="203"/>
      <c r="K3509" s="225"/>
      <c r="L3509" s="201" t="str">
        <f>_xlfn.XLOOKUP($B3504,シフト抽出!$19:$19,シフト抽出!$28:$28,"該当なし",0,1)</f>
        <v>該当なし</v>
      </c>
    </row>
    <row r="3510" spans="1:12" ht="15.75" thickBot="1">
      <c r="A3510" s="195"/>
      <c r="B3510" s="195" t="s">
        <v>205</v>
      </c>
      <c r="C3510"/>
      <c r="D3510" s="197"/>
      <c r="E3510" s="197"/>
      <c r="F3510" s="197"/>
      <c r="G3510" s="197"/>
      <c r="H3510" s="197"/>
      <c r="I3510" s="209"/>
      <c r="J3510" s="203"/>
      <c r="K3510" s="226"/>
      <c r="L3510" s="204" t="str">
        <f>_xlfn.XLOOKUP($B3504,シフト抽出!$19:$19,シフト抽出!$29:$29,"該当なし",0,1)</f>
        <v>該当なし</v>
      </c>
    </row>
    <row r="3511" spans="1:12" ht="15.75" thickBot="1">
      <c r="A3511" s="195"/>
      <c r="B3511" s="195" t="s">
        <v>206</v>
      </c>
      <c r="C3511"/>
      <c r="D3511" s="197"/>
      <c r="E3511" s="197"/>
      <c r="F3511" s="197"/>
      <c r="G3511" s="197"/>
      <c r="H3511" s="197"/>
      <c r="I3511" s="209"/>
      <c r="K3511" s="205" t="s">
        <v>261</v>
      </c>
      <c r="L3511" s="205">
        <f>_xlfn.XLOOKUP($B3504,予定表!B:B,予定表!R:R,"該当なし",0,1)</f>
        <v>0</v>
      </c>
    </row>
    <row r="3512" spans="1:12">
      <c r="A3512" s="195"/>
      <c r="B3512" s="195" t="s">
        <v>207</v>
      </c>
      <c r="C3512"/>
      <c r="D3512" s="197"/>
      <c r="E3512" s="197"/>
      <c r="F3512" s="197"/>
      <c r="G3512" s="197"/>
      <c r="H3512" s="197"/>
      <c r="I3512" s="209"/>
      <c r="K3512" s="227" t="s">
        <v>262</v>
      </c>
      <c r="L3512" s="206">
        <f>_xlfn.XLOOKUP($B3504,予定表!$B:$B,予定表!E:E,"該当なし",0,1)</f>
        <v>0</v>
      </c>
    </row>
    <row r="3513" spans="1:12">
      <c r="A3513" s="195"/>
      <c r="B3513" s="196" t="s">
        <v>209</v>
      </c>
      <c r="C3513"/>
      <c r="D3513" s="197" t="s">
        <v>22</v>
      </c>
      <c r="E3513" s="197" t="s">
        <v>414</v>
      </c>
      <c r="F3513" s="197" t="s">
        <v>264</v>
      </c>
      <c r="G3513" s="197" t="s">
        <v>268</v>
      </c>
      <c r="H3513" s="197" t="s">
        <v>60</v>
      </c>
      <c r="I3513" s="209" t="s">
        <v>60</v>
      </c>
      <c r="K3513" s="228"/>
      <c r="L3513" s="207">
        <f>_xlfn.XLOOKUP($B3504,予定表!$B:$B,予定表!F:F,"該当なし",0,1)</f>
        <v>0</v>
      </c>
    </row>
    <row r="3514" spans="1:12">
      <c r="A3514" s="195"/>
      <c r="B3514" s="195" t="s">
        <v>205</v>
      </c>
      <c r="C3514"/>
      <c r="D3514" s="197" t="s">
        <v>22</v>
      </c>
      <c r="E3514" s="197" t="s">
        <v>414</v>
      </c>
      <c r="F3514" s="197" t="s">
        <v>280</v>
      </c>
      <c r="G3514" s="197" t="s">
        <v>268</v>
      </c>
      <c r="H3514" s="197" t="s">
        <v>60</v>
      </c>
      <c r="I3514" s="209" t="s">
        <v>60</v>
      </c>
      <c r="K3514" s="228"/>
      <c r="L3514" s="207">
        <f>_xlfn.XLOOKUP($B3504,予定表!$B:$B,予定表!G:G,"該当なし",0,1)</f>
        <v>0</v>
      </c>
    </row>
    <row r="3515" spans="1:12">
      <c r="A3515" s="195"/>
      <c r="B3515" s="195" t="s">
        <v>206</v>
      </c>
      <c r="C3515"/>
      <c r="D3515" s="197" t="s">
        <v>793</v>
      </c>
      <c r="E3515" s="197" t="s">
        <v>414</v>
      </c>
      <c r="F3515" s="197" t="s">
        <v>280</v>
      </c>
      <c r="G3515" s="197" t="s">
        <v>268</v>
      </c>
      <c r="H3515" s="197" t="s">
        <v>60</v>
      </c>
      <c r="I3515" s="209" t="s">
        <v>60</v>
      </c>
      <c r="K3515" s="228"/>
      <c r="L3515" s="207" t="str">
        <f>_xlfn.XLOOKUP($B3504,予定表!$B:$B,予定表!H:H,"該当なし",0,1)</f>
        <v>資さんうどん</v>
      </c>
    </row>
    <row r="3516" spans="1:12">
      <c r="A3516" s="195"/>
      <c r="B3516" s="195" t="s">
        <v>207</v>
      </c>
      <c r="C3516"/>
      <c r="D3516" s="197" t="s">
        <v>793</v>
      </c>
      <c r="E3516" s="197" t="s">
        <v>414</v>
      </c>
      <c r="F3516" s="197" t="s">
        <v>215</v>
      </c>
      <c r="G3516" s="197" t="s">
        <v>268</v>
      </c>
      <c r="H3516" s="197"/>
      <c r="I3516" s="209"/>
      <c r="K3516" s="228"/>
      <c r="L3516" s="207" t="str">
        <f>_xlfn.XLOOKUP($B3504,予定表!$B:$B,予定表!I:I,"該当なし",0,1)</f>
        <v/>
      </c>
    </row>
    <row r="3517" spans="1:12">
      <c r="A3517" s="195"/>
      <c r="B3517" s="196" t="s">
        <v>212</v>
      </c>
      <c r="C3517"/>
      <c r="D3517" s="197" t="s">
        <v>851</v>
      </c>
      <c r="E3517" s="197" t="s">
        <v>414</v>
      </c>
      <c r="F3517" s="197" t="s">
        <v>127</v>
      </c>
      <c r="G3517" s="197" t="s">
        <v>268</v>
      </c>
      <c r="H3517" s="197" t="s">
        <v>848</v>
      </c>
      <c r="I3517" s="209" t="s">
        <v>848</v>
      </c>
      <c r="K3517" s="228"/>
      <c r="L3517" s="207" t="str">
        <f>_xlfn.XLOOKUP($B3504,予定表!$B:$B,予定表!J:J,"該当なし",0,1)</f>
        <v/>
      </c>
    </row>
    <row r="3518" spans="1:12">
      <c r="A3518" s="195"/>
      <c r="B3518" s="195" t="s">
        <v>205</v>
      </c>
      <c r="C3518"/>
      <c r="D3518" s="197" t="s">
        <v>851</v>
      </c>
      <c r="E3518" s="197" t="s">
        <v>414</v>
      </c>
      <c r="F3518" s="197" t="s">
        <v>127</v>
      </c>
      <c r="G3518" s="197" t="s">
        <v>268</v>
      </c>
      <c r="H3518" s="197" t="s">
        <v>848</v>
      </c>
      <c r="I3518" s="209" t="s">
        <v>848</v>
      </c>
      <c r="K3518" s="228"/>
      <c r="L3518" s="207" t="str">
        <f>_xlfn.XLOOKUP($B3504,予定表!$B:$B,予定表!K:K,"該当なし",0,1)</f>
        <v/>
      </c>
    </row>
    <row r="3519" spans="1:12">
      <c r="A3519" s="195"/>
      <c r="B3519" s="195" t="s">
        <v>206</v>
      </c>
      <c r="C3519"/>
      <c r="D3519" s="197" t="s">
        <v>851</v>
      </c>
      <c r="E3519" s="197" t="s">
        <v>214</v>
      </c>
      <c r="F3519" s="197" t="s">
        <v>397</v>
      </c>
      <c r="G3519" s="197" t="s">
        <v>268</v>
      </c>
      <c r="H3519" s="197" t="s">
        <v>848</v>
      </c>
      <c r="I3519" s="209" t="s">
        <v>848</v>
      </c>
      <c r="K3519" s="228"/>
      <c r="L3519" s="207" t="str">
        <f>_xlfn.XLOOKUP($B3504,予定表!$B:$B,予定表!L:L,"該当なし",0,1)</f>
        <v/>
      </c>
    </row>
    <row r="3520" spans="1:12" ht="15.75" thickBot="1">
      <c r="A3520" s="195"/>
      <c r="B3520" s="195" t="s">
        <v>207</v>
      </c>
      <c r="C3520"/>
      <c r="D3520" s="197" t="s">
        <v>851</v>
      </c>
      <c r="E3520" s="197" t="s">
        <v>214</v>
      </c>
      <c r="F3520" s="197" t="s">
        <v>51</v>
      </c>
      <c r="G3520" s="197" t="s">
        <v>515</v>
      </c>
      <c r="H3520" s="197" t="s">
        <v>848</v>
      </c>
      <c r="I3520" s="209" t="s">
        <v>848</v>
      </c>
      <c r="K3520" s="229"/>
      <c r="L3520" s="204" t="str">
        <f>_xlfn.XLOOKUP($A3501,ﾘｽﾄマスタ!$U$8:$U$17,ﾘｽﾄマスタ!$V$8:$V$17,"",0)</f>
        <v/>
      </c>
    </row>
    <row r="3521" spans="1:12" ht="15.75" thickBot="1">
      <c r="A3521" s="195"/>
      <c r="B3521" s="196" t="s">
        <v>251</v>
      </c>
      <c r="C3521"/>
      <c r="D3521" s="197" t="s">
        <v>851</v>
      </c>
      <c r="E3521" s="197" t="s">
        <v>214</v>
      </c>
      <c r="F3521" s="197" t="s">
        <v>51</v>
      </c>
      <c r="G3521" s="197" t="s">
        <v>515</v>
      </c>
      <c r="H3521" s="197" t="s">
        <v>848</v>
      </c>
      <c r="I3521" s="209" t="s">
        <v>848</v>
      </c>
      <c r="K3521" s="208" t="s">
        <v>277</v>
      </c>
      <c r="L3521" s="208" t="str">
        <f>_xlfn.XLOOKUP($B3504,シフト抽出!$19:$19,シフト抽出!$30:$30,"該当なし",0,1)</f>
        <v>該当なし</v>
      </c>
    </row>
    <row r="3522" spans="1:12">
      <c r="A3522" s="195"/>
      <c r="B3522" s="195" t="s">
        <v>205</v>
      </c>
      <c r="C3522"/>
      <c r="D3522" s="197" t="s">
        <v>224</v>
      </c>
      <c r="E3522" s="197" t="s">
        <v>214</v>
      </c>
      <c r="F3522" s="197" t="s">
        <v>51</v>
      </c>
      <c r="G3522" s="197" t="s">
        <v>515</v>
      </c>
      <c r="H3522" s="197" t="s">
        <v>848</v>
      </c>
      <c r="I3522" s="209" t="s">
        <v>848</v>
      </c>
    </row>
    <row r="3523" spans="1:12">
      <c r="A3523" s="195"/>
      <c r="B3523" s="195" t="s">
        <v>206</v>
      </c>
      <c r="C3523"/>
      <c r="D3523" s="197" t="s">
        <v>224</v>
      </c>
      <c r="E3523" s="197" t="s">
        <v>214</v>
      </c>
      <c r="F3523" s="197" t="s">
        <v>51</v>
      </c>
      <c r="G3523" s="197" t="s">
        <v>269</v>
      </c>
      <c r="H3523" s="197" t="s">
        <v>229</v>
      </c>
      <c r="I3523" s="209" t="s">
        <v>229</v>
      </c>
    </row>
    <row r="3524" spans="1:12">
      <c r="A3524" s="195"/>
      <c r="B3524" s="195" t="s">
        <v>207</v>
      </c>
      <c r="C3524"/>
      <c r="D3524" s="197" t="s">
        <v>224</v>
      </c>
      <c r="E3524" s="197" t="s">
        <v>761</v>
      </c>
      <c r="F3524" s="197"/>
      <c r="G3524" s="197" t="s">
        <v>269</v>
      </c>
      <c r="H3524" s="197" t="s">
        <v>229</v>
      </c>
      <c r="I3524" s="209" t="s">
        <v>229</v>
      </c>
    </row>
    <row r="3525" spans="1:12">
      <c r="A3525" s="195"/>
      <c r="B3525" s="196" t="s">
        <v>217</v>
      </c>
      <c r="C3525"/>
      <c r="D3525" s="197" t="s">
        <v>224</v>
      </c>
      <c r="E3525" s="197" t="s">
        <v>761</v>
      </c>
      <c r="F3525" s="197"/>
      <c r="G3525" s="197" t="s">
        <v>269</v>
      </c>
      <c r="H3525" s="197" t="s">
        <v>230</v>
      </c>
      <c r="I3525" s="209" t="s">
        <v>230</v>
      </c>
    </row>
    <row r="3526" spans="1:12">
      <c r="A3526" s="195"/>
      <c r="B3526" s="195" t="s">
        <v>205</v>
      </c>
      <c r="C3526"/>
      <c r="D3526" s="197" t="s">
        <v>224</v>
      </c>
      <c r="E3526" s="197" t="s">
        <v>761</v>
      </c>
      <c r="F3526" s="197"/>
      <c r="G3526" s="197" t="s">
        <v>446</v>
      </c>
      <c r="H3526" s="197" t="s">
        <v>230</v>
      </c>
      <c r="I3526" s="209" t="s">
        <v>230</v>
      </c>
    </row>
    <row r="3527" spans="1:12">
      <c r="A3527" s="195"/>
      <c r="B3527" s="195" t="s">
        <v>206</v>
      </c>
      <c r="C3527"/>
      <c r="D3527" s="197"/>
      <c r="E3527" s="197"/>
      <c r="F3527" s="197"/>
      <c r="G3527" s="197" t="s">
        <v>446</v>
      </c>
      <c r="H3527" s="197" t="s">
        <v>230</v>
      </c>
      <c r="I3527" s="209" t="s">
        <v>230</v>
      </c>
    </row>
    <row r="3528" spans="1:12">
      <c r="A3528" s="195"/>
      <c r="B3528" s="195" t="s">
        <v>207</v>
      </c>
      <c r="C3528"/>
      <c r="D3528" s="197"/>
      <c r="E3528" s="197"/>
      <c r="F3528" s="197"/>
      <c r="G3528" s="197" t="s">
        <v>114</v>
      </c>
      <c r="H3528" s="197" t="s">
        <v>230</v>
      </c>
      <c r="I3528" s="209" t="s">
        <v>230</v>
      </c>
    </row>
    <row r="3529" spans="1:12">
      <c r="A3529" s="195"/>
      <c r="B3529" s="196" t="s">
        <v>219</v>
      </c>
      <c r="C3529"/>
      <c r="D3529" s="197"/>
      <c r="E3529" s="197"/>
      <c r="F3529" s="197"/>
      <c r="G3529" s="197" t="s">
        <v>114</v>
      </c>
      <c r="H3529" s="197" t="s">
        <v>230</v>
      </c>
      <c r="I3529" s="209" t="s">
        <v>230</v>
      </c>
    </row>
    <row r="3530" spans="1:12">
      <c r="A3530" s="195"/>
      <c r="B3530" s="195" t="s">
        <v>205</v>
      </c>
      <c r="C3530"/>
      <c r="D3530" s="197"/>
      <c r="E3530" s="197"/>
      <c r="F3530" s="197"/>
      <c r="G3530" s="197" t="s">
        <v>114</v>
      </c>
      <c r="H3530" s="197" t="s">
        <v>230</v>
      </c>
      <c r="I3530" s="209" t="s">
        <v>230</v>
      </c>
    </row>
    <row r="3531" spans="1:12">
      <c r="A3531" s="195"/>
      <c r="B3531" s="195" t="s">
        <v>206</v>
      </c>
      <c r="C3531"/>
      <c r="D3531" s="197"/>
      <c r="E3531" s="197"/>
      <c r="F3531" s="197"/>
      <c r="G3531" s="197"/>
      <c r="H3531" s="197"/>
      <c r="I3531" s="209"/>
    </row>
    <row r="3532" spans="1:12">
      <c r="A3532" s="195"/>
      <c r="B3532" s="195" t="s">
        <v>207</v>
      </c>
      <c r="C3532"/>
      <c r="D3532" s="197"/>
      <c r="E3532" s="197"/>
      <c r="F3532" s="197"/>
      <c r="G3532" s="197"/>
      <c r="H3532" s="197"/>
      <c r="I3532" s="209"/>
    </row>
    <row r="3533" spans="1:12">
      <c r="A3533" s="195"/>
      <c r="B3533" s="196" t="s">
        <v>220</v>
      </c>
      <c r="C3533"/>
      <c r="D3533" s="189" t="s">
        <v>926</v>
      </c>
      <c r="E3533" s="189"/>
      <c r="F3533" s="197"/>
      <c r="G3533" s="189" t="s">
        <v>890</v>
      </c>
      <c r="H3533" s="197"/>
      <c r="I3533" s="209"/>
    </row>
    <row r="3534" spans="1:12">
      <c r="A3534" s="195"/>
      <c r="B3534" s="195" t="s">
        <v>205</v>
      </c>
      <c r="C3534"/>
      <c r="D3534" s="197" t="s">
        <v>878</v>
      </c>
      <c r="E3534" s="197" t="s">
        <v>273</v>
      </c>
      <c r="F3534" s="197" t="s">
        <v>252</v>
      </c>
      <c r="G3534" s="197" t="s">
        <v>56</v>
      </c>
      <c r="H3534" s="209" t="s">
        <v>415</v>
      </c>
      <c r="I3534" s="209" t="s">
        <v>415</v>
      </c>
    </row>
    <row r="3535" spans="1:12">
      <c r="A3535" s="195"/>
      <c r="B3535" s="195" t="s">
        <v>206</v>
      </c>
      <c r="C3535"/>
      <c r="D3535" s="197" t="s">
        <v>878</v>
      </c>
      <c r="E3535" s="197" t="s">
        <v>273</v>
      </c>
      <c r="F3535" s="197" t="s">
        <v>252</v>
      </c>
      <c r="G3535" s="197" t="s">
        <v>56</v>
      </c>
      <c r="H3535" s="209" t="s">
        <v>415</v>
      </c>
      <c r="I3535" s="209" t="s">
        <v>415</v>
      </c>
    </row>
    <row r="3536" spans="1:12">
      <c r="A3536" s="195"/>
      <c r="B3536" s="195" t="s">
        <v>207</v>
      </c>
      <c r="C3536"/>
      <c r="D3536" s="197" t="s">
        <v>878</v>
      </c>
      <c r="E3536" s="197" t="s">
        <v>273</v>
      </c>
      <c r="F3536" s="197" t="s">
        <v>252</v>
      </c>
      <c r="G3536" s="197" t="s">
        <v>56</v>
      </c>
      <c r="H3536" s="209" t="s">
        <v>415</v>
      </c>
      <c r="I3536" s="209" t="s">
        <v>415</v>
      </c>
    </row>
    <row r="3537" spans="1:9">
      <c r="A3537" s="195"/>
      <c r="B3537" s="196" t="s">
        <v>222</v>
      </c>
      <c r="C3537"/>
      <c r="D3537" s="197" t="s">
        <v>523</v>
      </c>
      <c r="E3537" s="197" t="s">
        <v>273</v>
      </c>
      <c r="F3537" s="197" t="s">
        <v>252</v>
      </c>
      <c r="G3537" s="197"/>
      <c r="H3537" s="209" t="s">
        <v>415</v>
      </c>
      <c r="I3537" s="209" t="s">
        <v>415</v>
      </c>
    </row>
    <row r="3538" spans="1:9">
      <c r="A3538" s="195"/>
      <c r="B3538" s="195" t="s">
        <v>205</v>
      </c>
      <c r="C3538"/>
      <c r="D3538" s="197" t="s">
        <v>523</v>
      </c>
      <c r="E3538" s="197" t="s">
        <v>273</v>
      </c>
      <c r="F3538" s="197" t="s">
        <v>252</v>
      </c>
      <c r="G3538" s="197" t="s">
        <v>270</v>
      </c>
      <c r="H3538" s="209" t="s">
        <v>415</v>
      </c>
      <c r="I3538" s="209" t="s">
        <v>415</v>
      </c>
    </row>
    <row r="3539" spans="1:9">
      <c r="A3539" s="195"/>
      <c r="B3539" s="195" t="s">
        <v>206</v>
      </c>
      <c r="C3539"/>
      <c r="D3539" s="197" t="s">
        <v>759</v>
      </c>
      <c r="E3539" s="197" t="s">
        <v>186</v>
      </c>
      <c r="F3539" s="197" t="s">
        <v>252</v>
      </c>
      <c r="G3539" s="197" t="s">
        <v>270</v>
      </c>
      <c r="H3539" s="209" t="s">
        <v>415</v>
      </c>
      <c r="I3539" s="209" t="s">
        <v>415</v>
      </c>
    </row>
    <row r="3540" spans="1:9">
      <c r="A3540" s="195"/>
      <c r="B3540" s="195" t="s">
        <v>207</v>
      </c>
      <c r="C3540"/>
      <c r="D3540" s="197" t="s">
        <v>759</v>
      </c>
      <c r="E3540" s="197" t="s">
        <v>186</v>
      </c>
      <c r="F3540" s="197" t="s">
        <v>252</v>
      </c>
      <c r="G3540" s="197" t="s">
        <v>270</v>
      </c>
      <c r="H3540" s="209" t="s">
        <v>415</v>
      </c>
      <c r="I3540" s="209" t="s">
        <v>415</v>
      </c>
    </row>
    <row r="3541" spans="1:9">
      <c r="A3541" s="195"/>
      <c r="B3541" s="196" t="s">
        <v>223</v>
      </c>
      <c r="C3541"/>
      <c r="D3541" s="197" t="s">
        <v>366</v>
      </c>
      <c r="E3541" s="197" t="s">
        <v>252</v>
      </c>
      <c r="F3541" s="197" t="s">
        <v>252</v>
      </c>
      <c r="G3541" s="197" t="s">
        <v>270</v>
      </c>
      <c r="H3541" s="209" t="s">
        <v>415</v>
      </c>
      <c r="I3541" s="209" t="s">
        <v>415</v>
      </c>
    </row>
    <row r="3542" spans="1:9">
      <c r="A3542" s="195"/>
      <c r="B3542" s="195" t="s">
        <v>205</v>
      </c>
      <c r="C3542"/>
      <c r="D3542" s="197" t="s">
        <v>366</v>
      </c>
      <c r="E3542" s="197" t="s">
        <v>252</v>
      </c>
      <c r="F3542" s="197" t="s">
        <v>252</v>
      </c>
      <c r="G3542" s="197" t="s">
        <v>270</v>
      </c>
      <c r="H3542" s="209" t="s">
        <v>415</v>
      </c>
      <c r="I3542" s="209" t="s">
        <v>415</v>
      </c>
    </row>
    <row r="3543" spans="1:9">
      <c r="A3543" s="195"/>
      <c r="B3543" s="195" t="s">
        <v>206</v>
      </c>
      <c r="C3543"/>
      <c r="D3543" s="197" t="s">
        <v>366</v>
      </c>
      <c r="E3543" s="197" t="s">
        <v>252</v>
      </c>
      <c r="F3543" s="197" t="s">
        <v>252</v>
      </c>
      <c r="G3543" s="197" t="s">
        <v>270</v>
      </c>
      <c r="H3543" s="209" t="s">
        <v>415</v>
      </c>
      <c r="I3543" s="209" t="s">
        <v>415</v>
      </c>
    </row>
    <row r="3544" spans="1:9">
      <c r="A3544" s="195"/>
      <c r="B3544" s="195" t="s">
        <v>207</v>
      </c>
      <c r="C3544"/>
      <c r="D3544" s="197" t="s">
        <v>216</v>
      </c>
      <c r="E3544" s="197" t="s">
        <v>252</v>
      </c>
      <c r="F3544" s="197" t="s">
        <v>62</v>
      </c>
      <c r="G3544" s="197" t="s">
        <v>270</v>
      </c>
      <c r="H3544" s="209" t="s">
        <v>415</v>
      </c>
      <c r="I3544" s="209" t="s">
        <v>415</v>
      </c>
    </row>
    <row r="3545" spans="1:9">
      <c r="A3545" s="195"/>
      <c r="B3545" s="196" t="s">
        <v>225</v>
      </c>
      <c r="C3545"/>
      <c r="D3545" s="197" t="s">
        <v>216</v>
      </c>
      <c r="E3545" s="197" t="s">
        <v>252</v>
      </c>
      <c r="F3545" s="197" t="s">
        <v>62</v>
      </c>
      <c r="G3545" s="197" t="s">
        <v>270</v>
      </c>
      <c r="H3545" s="209" t="s">
        <v>415</v>
      </c>
      <c r="I3545" s="209" t="s">
        <v>415</v>
      </c>
    </row>
    <row r="3546" spans="1:9">
      <c r="A3546" s="195"/>
      <c r="B3546" s="195" t="s">
        <v>205</v>
      </c>
      <c r="C3546"/>
      <c r="D3546" s="197" t="s">
        <v>216</v>
      </c>
      <c r="E3546" s="197" t="s">
        <v>252</v>
      </c>
      <c r="F3546" s="197" t="s">
        <v>62</v>
      </c>
      <c r="G3546" s="197" t="s">
        <v>270</v>
      </c>
      <c r="H3546" s="209" t="s">
        <v>415</v>
      </c>
      <c r="I3546" s="209" t="s">
        <v>415</v>
      </c>
    </row>
    <row r="3547" spans="1:9">
      <c r="A3547" s="195"/>
      <c r="B3547" s="195" t="s">
        <v>206</v>
      </c>
      <c r="C3547"/>
      <c r="D3547" s="197" t="s">
        <v>216</v>
      </c>
      <c r="E3547" s="197" t="s">
        <v>252</v>
      </c>
      <c r="F3547" s="197" t="s">
        <v>62</v>
      </c>
      <c r="G3547" s="197" t="s">
        <v>270</v>
      </c>
      <c r="H3547" s="209" t="s">
        <v>415</v>
      </c>
      <c r="I3547" s="209" t="s">
        <v>415</v>
      </c>
    </row>
    <row r="3548" spans="1:9">
      <c r="A3548" s="195"/>
      <c r="B3548" s="195" t="s">
        <v>207</v>
      </c>
      <c r="C3548"/>
      <c r="D3548" s="197"/>
      <c r="E3548" s="197" t="s">
        <v>252</v>
      </c>
      <c r="F3548" s="197"/>
      <c r="G3548" s="197" t="s">
        <v>270</v>
      </c>
      <c r="H3548" s="209" t="s">
        <v>415</v>
      </c>
      <c r="I3548" s="209" t="s">
        <v>415</v>
      </c>
    </row>
    <row r="3549" spans="1:9">
      <c r="A3549" s="195"/>
      <c r="B3549" s="196" t="s">
        <v>226</v>
      </c>
      <c r="C3549"/>
      <c r="D3549" s="197"/>
      <c r="E3549" s="197"/>
      <c r="F3549" s="197"/>
      <c r="G3549" s="197" t="s">
        <v>270</v>
      </c>
      <c r="H3549" s="209"/>
      <c r="I3549" s="209"/>
    </row>
    <row r="3550" spans="1:9">
      <c r="A3550" s="195"/>
      <c r="B3550" s="195" t="s">
        <v>205</v>
      </c>
      <c r="C3550"/>
      <c r="D3550" s="197"/>
      <c r="E3550" s="197"/>
      <c r="F3550" s="197"/>
      <c r="G3550" s="197"/>
      <c r="H3550" s="209"/>
      <c r="I3550" s="209"/>
    </row>
    <row r="3551" spans="1:9">
      <c r="A3551" s="195"/>
      <c r="B3551" s="195" t="s">
        <v>206</v>
      </c>
      <c r="C3551"/>
      <c r="D3551" s="197"/>
      <c r="E3551" s="197"/>
      <c r="F3551" s="197"/>
      <c r="G3551" s="197"/>
      <c r="H3551" s="209"/>
      <c r="I3551" s="209"/>
    </row>
    <row r="3552" spans="1:9">
      <c r="A3552" s="195"/>
      <c r="B3552" s="195" t="s">
        <v>207</v>
      </c>
      <c r="C3552"/>
      <c r="D3552" s="197"/>
      <c r="E3552" s="197"/>
      <c r="F3552" s="197"/>
      <c r="G3552" s="197"/>
      <c r="H3552" s="209"/>
      <c r="I3552" s="209"/>
    </row>
    <row r="3553" spans="1:12">
      <c r="A3553" s="195"/>
      <c r="B3553" s="196" t="s">
        <v>227</v>
      </c>
      <c r="C3553"/>
      <c r="D3553" s="197"/>
      <c r="E3553" s="197"/>
      <c r="F3553" s="197"/>
      <c r="G3553" s="197"/>
      <c r="H3553" s="209"/>
      <c r="I3553" s="209"/>
      <c r="K3553"/>
    </row>
    <row r="3554" spans="1:12" ht="29.25" thickBot="1">
      <c r="A3554" s="182" t="str">
        <f>"回収シフト  第"&amp;ROUNDUP(DAY(B3557)/7,0)  &amp;"  "&amp;TEXT(B3557,"aaaa")</f>
        <v>回収シフト  第3  木曜日</v>
      </c>
      <c r="B3554" s="183"/>
      <c r="C3554" s="183"/>
      <c r="D3554" s="183"/>
      <c r="E3554" s="183"/>
      <c r="F3554" s="183"/>
      <c r="G3554" s="184"/>
      <c r="H3554" s="184"/>
      <c r="I3554" s="184"/>
      <c r="K3554" s="183"/>
      <c r="L3554" s="183"/>
    </row>
    <row r="3555" spans="1:12" ht="15.75" thickBot="1">
      <c r="A3555"/>
      <c r="B3555"/>
      <c r="C3555"/>
      <c r="D3555" s="186" t="s">
        <v>201</v>
      </c>
      <c r="E3555" s="186" t="s">
        <v>202</v>
      </c>
      <c r="F3555" s="186" t="s">
        <v>203</v>
      </c>
      <c r="G3555" s="186" t="s">
        <v>204</v>
      </c>
      <c r="H3555" s="186" t="s">
        <v>267</v>
      </c>
      <c r="I3555" s="217" t="s">
        <v>267</v>
      </c>
      <c r="K3555" s="230" t="s">
        <v>257</v>
      </c>
      <c r="L3555" s="231"/>
    </row>
    <row r="3556" spans="1:12">
      <c r="A3556" s="187"/>
      <c r="B3556" s="188">
        <v>46119</v>
      </c>
      <c r="C3556" s="187"/>
      <c r="D3556" s="189" t="s">
        <v>926</v>
      </c>
      <c r="E3556" s="189" t="s">
        <v>247</v>
      </c>
      <c r="F3556" s="189" t="s">
        <v>867</v>
      </c>
      <c r="G3556" s="189" t="s">
        <v>890</v>
      </c>
      <c r="H3556" s="189" t="s">
        <v>852</v>
      </c>
      <c r="I3556" s="218" t="s">
        <v>852</v>
      </c>
      <c r="K3556" s="232" t="s">
        <v>258</v>
      </c>
      <c r="L3556" s="190" t="str">
        <f>_xlfn.XLOOKUP($B3557,シフト抽出!$19:$19,シフト抽出!$20:$20,"該当なし",0,1)</f>
        <v>該当なし</v>
      </c>
    </row>
    <row r="3557" spans="1:12" ht="19.5" thickBot="1">
      <c r="A3557"/>
      <c r="B3557" s="191">
        <f>B3504+1</f>
        <v>46191</v>
      </c>
      <c r="C3557" s="192"/>
      <c r="D3557" s="193"/>
      <c r="E3557" s="193"/>
      <c r="F3557" s="193"/>
      <c r="G3557" s="193"/>
      <c r="H3557" s="193"/>
      <c r="I3557" s="219"/>
      <c r="K3557" s="233"/>
      <c r="L3557" s="194" t="str">
        <f>_xlfn.XLOOKUP($B3557,シフト抽出!$19:$19,シフト抽出!$21:$21,"該当なし",0,1)</f>
        <v>該当なし</v>
      </c>
    </row>
    <row r="3558" spans="1:12">
      <c r="A3558" s="195"/>
      <c r="B3558" s="196">
        <v>0.25</v>
      </c>
      <c r="C3558"/>
      <c r="D3558" s="197"/>
      <c r="E3558" s="196"/>
      <c r="F3558" s="197"/>
      <c r="G3558" s="197"/>
      <c r="H3558" s="197"/>
      <c r="I3558" s="209"/>
      <c r="K3558" s="234" t="s">
        <v>259</v>
      </c>
      <c r="L3558" s="198" t="str">
        <f>_xlfn.XLOOKUP($B3557,シフト抽出!$19:$19,シフト抽出!$23:$23,"該当なし",0,1)</f>
        <v>該当なし</v>
      </c>
    </row>
    <row r="3559" spans="1:12" ht="15.75" thickBot="1">
      <c r="A3559" s="195"/>
      <c r="B3559" s="195" t="s">
        <v>205</v>
      </c>
      <c r="C3559"/>
      <c r="D3559" s="197"/>
      <c r="E3559" s="197"/>
      <c r="F3559" s="197"/>
      <c r="G3559" s="197" t="s">
        <v>807</v>
      </c>
      <c r="H3559" s="197"/>
      <c r="I3559" s="209"/>
      <c r="K3559" s="235"/>
      <c r="L3559" s="199" t="str">
        <f>_xlfn.XLOOKUP($B3557,シフト抽出!$19:$19,シフト抽出!$24:$24,"該当なし",0,1)</f>
        <v>該当なし</v>
      </c>
    </row>
    <row r="3560" spans="1:12">
      <c r="A3560" s="195"/>
      <c r="B3560" s="195" t="s">
        <v>206</v>
      </c>
      <c r="C3560"/>
      <c r="D3560" s="197"/>
      <c r="E3560" s="197"/>
      <c r="F3560" s="197"/>
      <c r="G3560" s="197"/>
      <c r="H3560" s="197"/>
      <c r="I3560" s="209"/>
      <c r="K3560" s="224" t="s">
        <v>260</v>
      </c>
      <c r="L3560" s="200" t="str">
        <f>_xlfn.XLOOKUP($B3557,シフト抽出!$19:$19,シフト抽出!$26:$26,"該当なし",0,1)</f>
        <v>該当なし</v>
      </c>
    </row>
    <row r="3561" spans="1:12">
      <c r="A3561" s="195"/>
      <c r="B3561" s="195" t="s">
        <v>207</v>
      </c>
      <c r="C3561"/>
      <c r="D3561" s="197"/>
      <c r="E3561" s="197"/>
      <c r="F3561" s="197"/>
      <c r="G3561" s="197"/>
      <c r="H3561" s="197"/>
      <c r="I3561" s="209"/>
      <c r="K3561" s="225"/>
      <c r="L3561" s="201" t="str">
        <f>_xlfn.XLOOKUP($B3557,シフト抽出!$19:$19,シフト抽出!$27:$27,"該当なし",0,1)</f>
        <v>該当なし</v>
      </c>
    </row>
    <row r="3562" spans="1:12">
      <c r="A3562" s="195"/>
      <c r="B3562" s="202" t="s">
        <v>208</v>
      </c>
      <c r="C3562"/>
      <c r="D3562" s="197" t="s">
        <v>4</v>
      </c>
      <c r="E3562" s="197" t="s">
        <v>4</v>
      </c>
      <c r="F3562" s="197" t="s">
        <v>4</v>
      </c>
      <c r="G3562" s="197" t="s">
        <v>4</v>
      </c>
      <c r="H3562" s="197"/>
      <c r="I3562" s="209"/>
      <c r="J3562" s="203"/>
      <c r="K3562" s="225"/>
      <c r="L3562" s="201" t="str">
        <f>_xlfn.XLOOKUP($B3557,シフト抽出!$19:$19,シフト抽出!$28:$28,"該当なし",0,1)</f>
        <v>該当なし</v>
      </c>
    </row>
    <row r="3563" spans="1:12" ht="15.75" thickBot="1">
      <c r="A3563" s="195"/>
      <c r="B3563" s="195" t="s">
        <v>205</v>
      </c>
      <c r="C3563"/>
      <c r="D3563" s="197" t="s">
        <v>414</v>
      </c>
      <c r="E3563" s="197" t="s">
        <v>421</v>
      </c>
      <c r="F3563" s="197" t="s">
        <v>851</v>
      </c>
      <c r="G3563" s="197" t="s">
        <v>22</v>
      </c>
      <c r="H3563" s="197"/>
      <c r="I3563" s="209"/>
      <c r="J3563" s="203"/>
      <c r="K3563" s="226"/>
      <c r="L3563" s="204" t="str">
        <f>_xlfn.XLOOKUP($B3557,シフト抽出!$19:$19,シフト抽出!$29:$29,"該当なし",0,1)</f>
        <v>該当なし</v>
      </c>
    </row>
    <row r="3564" spans="1:12" ht="15.75" thickBot="1">
      <c r="A3564" s="195"/>
      <c r="B3564" s="195" t="s">
        <v>206</v>
      </c>
      <c r="C3564"/>
      <c r="D3564" s="197" t="s">
        <v>414</v>
      </c>
      <c r="E3564" s="197" t="s">
        <v>421</v>
      </c>
      <c r="F3564" s="197" t="s">
        <v>851</v>
      </c>
      <c r="G3564" s="197" t="s">
        <v>22</v>
      </c>
      <c r="H3564" s="197"/>
      <c r="I3564" s="209"/>
      <c r="K3564" s="205" t="s">
        <v>261</v>
      </c>
      <c r="L3564" s="205">
        <f>_xlfn.XLOOKUP($B3557,予定表!B:B,予定表!R:R,"該当なし",0,1)</f>
        <v>0</v>
      </c>
    </row>
    <row r="3565" spans="1:12">
      <c r="A3565" s="195"/>
      <c r="B3565" s="195" t="s">
        <v>207</v>
      </c>
      <c r="C3565"/>
      <c r="D3565" s="197" t="s">
        <v>414</v>
      </c>
      <c r="E3565" s="197" t="s">
        <v>421</v>
      </c>
      <c r="F3565" s="197" t="s">
        <v>851</v>
      </c>
      <c r="G3565" s="197" t="s">
        <v>22</v>
      </c>
      <c r="H3565" s="197"/>
      <c r="I3565" s="209"/>
      <c r="K3565" s="227" t="s">
        <v>262</v>
      </c>
      <c r="L3565" s="206">
        <f>_xlfn.XLOOKUP($B3557,予定表!$B:$B,予定表!E:E,"該当なし",0,1)</f>
        <v>0</v>
      </c>
    </row>
    <row r="3566" spans="1:12">
      <c r="A3566" s="195"/>
      <c r="B3566" s="196" t="s">
        <v>209</v>
      </c>
      <c r="C3566"/>
      <c r="D3566" s="197" t="s">
        <v>414</v>
      </c>
      <c r="E3566" s="197" t="s">
        <v>421</v>
      </c>
      <c r="F3566" s="197" t="s">
        <v>851</v>
      </c>
      <c r="G3566" s="197" t="s">
        <v>268</v>
      </c>
      <c r="H3566" s="197" t="s">
        <v>4</v>
      </c>
      <c r="I3566" s="209" t="s">
        <v>4</v>
      </c>
      <c r="K3566" s="228"/>
      <c r="L3566" s="207" t="str">
        <f>_xlfn.XLOOKUP($B3557,予定表!$B:$B,予定表!F:F,"該当なし",0,1)</f>
        <v>ディーミング</v>
      </c>
    </row>
    <row r="3567" spans="1:12">
      <c r="A3567" s="195"/>
      <c r="B3567" s="195" t="s">
        <v>205</v>
      </c>
      <c r="C3567"/>
      <c r="D3567" s="197" t="s">
        <v>414</v>
      </c>
      <c r="E3567" s="197" t="s">
        <v>421</v>
      </c>
      <c r="F3567" s="197" t="s">
        <v>851</v>
      </c>
      <c r="G3567" s="197" t="s">
        <v>268</v>
      </c>
      <c r="H3567" s="197" t="s">
        <v>60</v>
      </c>
      <c r="I3567" s="209" t="s">
        <v>60</v>
      </c>
      <c r="K3567" s="228"/>
      <c r="L3567" s="207">
        <f>_xlfn.XLOOKUP($B3557,予定表!$B:$B,予定表!G:G,"該当なし",0,1)</f>
        <v>0</v>
      </c>
    </row>
    <row r="3568" spans="1:12">
      <c r="A3568" s="195"/>
      <c r="B3568" s="195" t="s">
        <v>206</v>
      </c>
      <c r="C3568"/>
      <c r="D3568" s="197" t="s">
        <v>214</v>
      </c>
      <c r="E3568" s="197" t="s">
        <v>934</v>
      </c>
      <c r="F3568" s="197"/>
      <c r="G3568" s="197" t="s">
        <v>268</v>
      </c>
      <c r="H3568" s="197" t="s">
        <v>60</v>
      </c>
      <c r="I3568" s="209" t="s">
        <v>60</v>
      </c>
      <c r="K3568" s="228"/>
      <c r="L3568" s="207">
        <f>_xlfn.XLOOKUP($B3557,予定表!$B:$B,予定表!H:H,"該当なし",0,1)</f>
        <v>0</v>
      </c>
    </row>
    <row r="3569" spans="1:12">
      <c r="A3569" s="195"/>
      <c r="B3569" s="195" t="s">
        <v>207</v>
      </c>
      <c r="C3569"/>
      <c r="D3569" s="197" t="s">
        <v>214</v>
      </c>
      <c r="E3569" s="197" t="s">
        <v>273</v>
      </c>
      <c r="F3569" s="197" t="s">
        <v>416</v>
      </c>
      <c r="G3569" s="197" t="s">
        <v>268</v>
      </c>
      <c r="H3569" s="197" t="s">
        <v>60</v>
      </c>
      <c r="I3569" s="209" t="s">
        <v>60</v>
      </c>
      <c r="K3569" s="228"/>
      <c r="L3569" s="207" t="str">
        <f>_xlfn.XLOOKUP($B3557,予定表!$B:$B,予定表!I:I,"該当なし",0,1)</f>
        <v/>
      </c>
    </row>
    <row r="3570" spans="1:12">
      <c r="A3570" s="195"/>
      <c r="B3570" s="196" t="s">
        <v>212</v>
      </c>
      <c r="C3570"/>
      <c r="D3570" s="197" t="s">
        <v>214</v>
      </c>
      <c r="E3570" s="197" t="s">
        <v>273</v>
      </c>
      <c r="F3570" s="197" t="s">
        <v>416</v>
      </c>
      <c r="G3570" s="197" t="s">
        <v>268</v>
      </c>
      <c r="H3570" s="197"/>
      <c r="I3570" s="209"/>
      <c r="K3570" s="228"/>
      <c r="L3570" s="207" t="str">
        <f>_xlfn.XLOOKUP($B3557,予定表!$B:$B,予定表!J:J,"該当なし",0,1)</f>
        <v/>
      </c>
    </row>
    <row r="3571" spans="1:12">
      <c r="A3571" s="195"/>
      <c r="B3571" s="195" t="s">
        <v>205</v>
      </c>
      <c r="C3571"/>
      <c r="D3571" s="197" t="s">
        <v>761</v>
      </c>
      <c r="E3571" s="197" t="s">
        <v>228</v>
      </c>
      <c r="F3571" s="197" t="s">
        <v>771</v>
      </c>
      <c r="G3571" s="197" t="s">
        <v>268</v>
      </c>
      <c r="H3571" s="197" t="s">
        <v>230</v>
      </c>
      <c r="I3571" s="209" t="s">
        <v>230</v>
      </c>
      <c r="K3571" s="228"/>
      <c r="L3571" s="207" t="str">
        <f>_xlfn.XLOOKUP($B3557,予定表!$B:$B,予定表!K:K,"該当なし",0,1)</f>
        <v/>
      </c>
    </row>
    <row r="3572" spans="1:12">
      <c r="A3572" s="195"/>
      <c r="B3572" s="195" t="s">
        <v>206</v>
      </c>
      <c r="C3572"/>
      <c r="D3572" s="197" t="s">
        <v>761</v>
      </c>
      <c r="E3572" s="197" t="s">
        <v>228</v>
      </c>
      <c r="F3572" s="197" t="s">
        <v>416</v>
      </c>
      <c r="G3572" s="197" t="s">
        <v>169</v>
      </c>
      <c r="H3572" s="197" t="s">
        <v>230</v>
      </c>
      <c r="I3572" s="209" t="s">
        <v>230</v>
      </c>
      <c r="K3572" s="228"/>
      <c r="L3572" s="207" t="str">
        <f>_xlfn.XLOOKUP($B3557,予定表!$B:$B,予定表!L:L,"該当なし",0,1)</f>
        <v/>
      </c>
    </row>
    <row r="3573" spans="1:12" ht="15.75" thickBot="1">
      <c r="A3573" s="195"/>
      <c r="B3573" s="195" t="s">
        <v>207</v>
      </c>
      <c r="C3573"/>
      <c r="D3573" s="197" t="s">
        <v>761</v>
      </c>
      <c r="E3573" s="197" t="s">
        <v>228</v>
      </c>
      <c r="F3573" s="197" t="s">
        <v>7</v>
      </c>
      <c r="G3573" s="197" t="s">
        <v>169</v>
      </c>
      <c r="H3573" s="197" t="s">
        <v>230</v>
      </c>
      <c r="I3573" s="209" t="s">
        <v>230</v>
      </c>
      <c r="K3573" s="229"/>
      <c r="L3573" s="204" t="str">
        <f>_xlfn.XLOOKUP($A3554,ﾘｽﾄマスタ!$U$8:$U$17,ﾘｽﾄマスタ!$V$8:$V$17,"",0)</f>
        <v>宇都宮螺子</v>
      </c>
    </row>
    <row r="3574" spans="1:12" ht="15.75" thickBot="1">
      <c r="A3574" s="195"/>
      <c r="B3574" s="196" t="s">
        <v>251</v>
      </c>
      <c r="C3574"/>
      <c r="D3574" s="197" t="s">
        <v>7</v>
      </c>
      <c r="E3574" s="197" t="s">
        <v>228</v>
      </c>
      <c r="F3574" s="197"/>
      <c r="G3574" s="197" t="s">
        <v>169</v>
      </c>
      <c r="H3574" s="197" t="s">
        <v>229</v>
      </c>
      <c r="I3574" s="209" t="s">
        <v>229</v>
      </c>
      <c r="K3574" s="208" t="s">
        <v>277</v>
      </c>
      <c r="L3574" s="208" t="str">
        <f>_xlfn.XLOOKUP($B3557,シフト抽出!$19:$19,シフト抽出!$30:$30,"該当なし",0,1)</f>
        <v>該当なし</v>
      </c>
    </row>
    <row r="3575" spans="1:12">
      <c r="A3575" s="195"/>
      <c r="B3575" s="195" t="s">
        <v>205</v>
      </c>
      <c r="C3575"/>
      <c r="D3575" s="197" t="s">
        <v>114</v>
      </c>
      <c r="E3575" s="197" t="s">
        <v>228</v>
      </c>
      <c r="F3575" s="197" t="s">
        <v>253</v>
      </c>
      <c r="G3575" s="197" t="s">
        <v>169</v>
      </c>
      <c r="H3575" s="197" t="s">
        <v>229</v>
      </c>
      <c r="I3575" s="209" t="s">
        <v>229</v>
      </c>
    </row>
    <row r="3576" spans="1:12">
      <c r="A3576" s="195"/>
      <c r="B3576" s="195" t="s">
        <v>206</v>
      </c>
      <c r="C3576"/>
      <c r="D3576" s="197" t="s">
        <v>114</v>
      </c>
      <c r="E3576" s="197" t="s">
        <v>263</v>
      </c>
      <c r="F3576" s="197" t="s">
        <v>253</v>
      </c>
      <c r="G3576" s="197" t="s">
        <v>169</v>
      </c>
      <c r="H3576" s="197" t="s">
        <v>848</v>
      </c>
      <c r="I3576" s="209" t="s">
        <v>848</v>
      </c>
    </row>
    <row r="3577" spans="1:12">
      <c r="A3577" s="195"/>
      <c r="B3577" s="195" t="s">
        <v>207</v>
      </c>
      <c r="C3577"/>
      <c r="D3577" s="197" t="s">
        <v>129</v>
      </c>
      <c r="E3577" s="197" t="s">
        <v>263</v>
      </c>
      <c r="F3577" s="197" t="s">
        <v>51</v>
      </c>
      <c r="G3577" s="197" t="s">
        <v>169</v>
      </c>
      <c r="H3577" s="197" t="s">
        <v>848</v>
      </c>
      <c r="I3577" s="209" t="s">
        <v>848</v>
      </c>
    </row>
    <row r="3578" spans="1:12">
      <c r="A3578" s="195"/>
      <c r="B3578" s="196" t="s">
        <v>217</v>
      </c>
      <c r="C3578"/>
      <c r="D3578" s="197" t="s">
        <v>129</v>
      </c>
      <c r="E3578" s="197" t="s">
        <v>263</v>
      </c>
      <c r="F3578" s="197" t="s">
        <v>51</v>
      </c>
      <c r="G3578" s="197" t="s">
        <v>169</v>
      </c>
      <c r="H3578" s="197" t="s">
        <v>848</v>
      </c>
      <c r="I3578" s="209" t="s">
        <v>848</v>
      </c>
    </row>
    <row r="3579" spans="1:12">
      <c r="A3579" s="195"/>
      <c r="B3579" s="195" t="s">
        <v>205</v>
      </c>
      <c r="C3579"/>
      <c r="D3579" s="197" t="s">
        <v>129</v>
      </c>
      <c r="E3579" s="197" t="s">
        <v>848</v>
      </c>
      <c r="F3579" s="197" t="s">
        <v>51</v>
      </c>
      <c r="G3579" s="197" t="s">
        <v>169</v>
      </c>
      <c r="H3579" s="197" t="s">
        <v>848</v>
      </c>
      <c r="I3579" s="209" t="s">
        <v>848</v>
      </c>
    </row>
    <row r="3580" spans="1:12">
      <c r="A3580" s="195"/>
      <c r="B3580" s="195" t="s">
        <v>206</v>
      </c>
      <c r="C3580"/>
      <c r="D3580" s="197" t="s">
        <v>129</v>
      </c>
      <c r="E3580" s="197" t="s">
        <v>848</v>
      </c>
      <c r="F3580" s="197" t="s">
        <v>51</v>
      </c>
      <c r="G3580" s="197" t="s">
        <v>278</v>
      </c>
      <c r="H3580" s="197" t="s">
        <v>848</v>
      </c>
      <c r="I3580" s="209" t="s">
        <v>848</v>
      </c>
    </row>
    <row r="3581" spans="1:12">
      <c r="A3581" s="195"/>
      <c r="B3581" s="195" t="s">
        <v>207</v>
      </c>
      <c r="C3581"/>
      <c r="D3581" s="197" t="s">
        <v>129</v>
      </c>
      <c r="E3581" s="197" t="s">
        <v>848</v>
      </c>
      <c r="F3581" s="197"/>
      <c r="G3581" s="197" t="s">
        <v>278</v>
      </c>
      <c r="H3581" s="197" t="s">
        <v>848</v>
      </c>
      <c r="I3581" s="209" t="s">
        <v>848</v>
      </c>
    </row>
    <row r="3582" spans="1:12">
      <c r="A3582" s="195"/>
      <c r="B3582" s="196" t="s">
        <v>219</v>
      </c>
      <c r="C3582"/>
      <c r="D3582" s="197"/>
      <c r="E3582" s="197" t="s">
        <v>848</v>
      </c>
      <c r="F3582" s="197"/>
      <c r="G3582" s="197"/>
      <c r="H3582" s="197"/>
      <c r="I3582" s="209"/>
    </row>
    <row r="3583" spans="1:12">
      <c r="A3583" s="195"/>
      <c r="B3583" s="195" t="s">
        <v>205</v>
      </c>
      <c r="C3583"/>
      <c r="D3583" s="197"/>
      <c r="E3583" s="197" t="s">
        <v>848</v>
      </c>
      <c r="F3583" s="197"/>
      <c r="G3583" s="197"/>
      <c r="H3583" s="197"/>
      <c r="I3583" s="209"/>
    </row>
    <row r="3584" spans="1:12">
      <c r="A3584" s="195"/>
      <c r="B3584" s="195" t="s">
        <v>206</v>
      </c>
      <c r="C3584"/>
      <c r="D3584" s="197"/>
      <c r="E3584" s="197"/>
      <c r="F3584" s="197"/>
      <c r="G3584" s="197"/>
      <c r="H3584" s="197"/>
      <c r="I3584" s="209"/>
    </row>
    <row r="3585" spans="1:9">
      <c r="A3585" s="195"/>
      <c r="B3585" s="195" t="s">
        <v>207</v>
      </c>
      <c r="C3585"/>
      <c r="D3585" s="197"/>
      <c r="E3585" s="197"/>
      <c r="F3585" s="197"/>
      <c r="G3585" s="197"/>
      <c r="H3585" s="197"/>
      <c r="I3585" s="209"/>
    </row>
    <row r="3586" spans="1:9">
      <c r="A3586" s="195"/>
      <c r="B3586" s="196" t="s">
        <v>220</v>
      </c>
      <c r="C3586"/>
      <c r="D3586" s="189" t="s">
        <v>891</v>
      </c>
      <c r="E3586" s="197"/>
      <c r="F3586" s="189" t="s">
        <v>874</v>
      </c>
      <c r="G3586" s="189"/>
      <c r="H3586" s="197"/>
      <c r="I3586" s="209"/>
    </row>
    <row r="3587" spans="1:9">
      <c r="A3587" s="195"/>
      <c r="B3587" s="195" t="s">
        <v>205</v>
      </c>
      <c r="C3587"/>
      <c r="D3587" s="197" t="s">
        <v>515</v>
      </c>
      <c r="E3587" s="197" t="s">
        <v>95</v>
      </c>
      <c r="F3587" s="197" t="s">
        <v>252</v>
      </c>
      <c r="G3587" s="197" t="s">
        <v>56</v>
      </c>
      <c r="H3587" s="197" t="s">
        <v>415</v>
      </c>
      <c r="I3587" s="209" t="s">
        <v>415</v>
      </c>
    </row>
    <row r="3588" spans="1:9">
      <c r="A3588" s="195"/>
      <c r="B3588" s="195" t="s">
        <v>206</v>
      </c>
      <c r="C3588"/>
      <c r="D3588" s="197" t="s">
        <v>515</v>
      </c>
      <c r="E3588" s="197" t="s">
        <v>95</v>
      </c>
      <c r="F3588" s="197" t="s">
        <v>252</v>
      </c>
      <c r="G3588" s="197" t="s">
        <v>56</v>
      </c>
      <c r="H3588" s="197" t="s">
        <v>415</v>
      </c>
      <c r="I3588" s="209" t="s">
        <v>415</v>
      </c>
    </row>
    <row r="3589" spans="1:9">
      <c r="A3589" s="195"/>
      <c r="B3589" s="195" t="s">
        <v>207</v>
      </c>
      <c r="C3589"/>
      <c r="D3589" s="197" t="s">
        <v>515</v>
      </c>
      <c r="E3589" s="197" t="s">
        <v>95</v>
      </c>
      <c r="F3589" s="197" t="s">
        <v>252</v>
      </c>
      <c r="G3589" s="197" t="s">
        <v>56</v>
      </c>
      <c r="H3589" s="197" t="s">
        <v>415</v>
      </c>
      <c r="I3589" s="209" t="s">
        <v>415</v>
      </c>
    </row>
    <row r="3590" spans="1:9">
      <c r="A3590" s="195"/>
      <c r="B3590" s="196" t="s">
        <v>222</v>
      </c>
      <c r="C3590"/>
      <c r="D3590" s="197" t="s">
        <v>269</v>
      </c>
      <c r="E3590" s="197" t="s">
        <v>95</v>
      </c>
      <c r="F3590" s="197" t="s">
        <v>252</v>
      </c>
      <c r="G3590" s="197" t="s">
        <v>56</v>
      </c>
      <c r="H3590" s="197" t="s">
        <v>415</v>
      </c>
      <c r="I3590" s="209" t="s">
        <v>415</v>
      </c>
    </row>
    <row r="3591" spans="1:9">
      <c r="A3591" s="195"/>
      <c r="B3591" s="195" t="s">
        <v>205</v>
      </c>
      <c r="C3591"/>
      <c r="D3591" s="197" t="s">
        <v>269</v>
      </c>
      <c r="E3591" s="197" t="s">
        <v>95</v>
      </c>
      <c r="F3591" s="197" t="s">
        <v>252</v>
      </c>
      <c r="G3591" s="197"/>
      <c r="H3591" s="197" t="s">
        <v>415</v>
      </c>
      <c r="I3591" s="209" t="s">
        <v>415</v>
      </c>
    </row>
    <row r="3592" spans="1:9">
      <c r="A3592" s="195"/>
      <c r="B3592" s="195" t="s">
        <v>206</v>
      </c>
      <c r="C3592"/>
      <c r="D3592" s="197" t="s">
        <v>237</v>
      </c>
      <c r="E3592" s="197" t="s">
        <v>95</v>
      </c>
      <c r="F3592" s="197" t="s">
        <v>252</v>
      </c>
      <c r="G3592" s="197" t="s">
        <v>270</v>
      </c>
      <c r="H3592" s="197" t="s">
        <v>415</v>
      </c>
      <c r="I3592" s="209" t="s">
        <v>415</v>
      </c>
    </row>
    <row r="3593" spans="1:9">
      <c r="A3593" s="195"/>
      <c r="B3593" s="195" t="s">
        <v>207</v>
      </c>
      <c r="C3593"/>
      <c r="D3593" s="197" t="s">
        <v>237</v>
      </c>
      <c r="E3593" s="197" t="s">
        <v>95</v>
      </c>
      <c r="F3593" s="197" t="s">
        <v>252</v>
      </c>
      <c r="G3593" s="197" t="s">
        <v>270</v>
      </c>
      <c r="H3593" s="197" t="s">
        <v>415</v>
      </c>
      <c r="I3593" s="209" t="s">
        <v>415</v>
      </c>
    </row>
    <row r="3594" spans="1:9">
      <c r="A3594" s="195"/>
      <c r="B3594" s="196" t="s">
        <v>223</v>
      </c>
      <c r="C3594"/>
      <c r="D3594" s="197" t="s">
        <v>236</v>
      </c>
      <c r="E3594" s="197" t="s">
        <v>95</v>
      </c>
      <c r="F3594" s="197" t="s">
        <v>252</v>
      </c>
      <c r="G3594" s="197" t="s">
        <v>270</v>
      </c>
      <c r="H3594" s="197" t="s">
        <v>415</v>
      </c>
      <c r="I3594" s="209" t="s">
        <v>415</v>
      </c>
    </row>
    <row r="3595" spans="1:9">
      <c r="A3595" s="195"/>
      <c r="B3595" s="195" t="s">
        <v>205</v>
      </c>
      <c r="C3595"/>
      <c r="D3595" s="197" t="s">
        <v>193</v>
      </c>
      <c r="E3595" s="197" t="s">
        <v>95</v>
      </c>
      <c r="F3595" s="197" t="s">
        <v>252</v>
      </c>
      <c r="G3595" s="197" t="s">
        <v>270</v>
      </c>
      <c r="H3595" s="197" t="s">
        <v>415</v>
      </c>
      <c r="I3595" s="209" t="s">
        <v>415</v>
      </c>
    </row>
    <row r="3596" spans="1:9">
      <c r="A3596" s="195"/>
      <c r="B3596" s="195" t="s">
        <v>206</v>
      </c>
      <c r="C3596"/>
      <c r="D3596" s="197"/>
      <c r="E3596" s="197" t="s">
        <v>95</v>
      </c>
      <c r="F3596" s="197" t="s">
        <v>252</v>
      </c>
      <c r="G3596" s="197" t="s">
        <v>270</v>
      </c>
      <c r="H3596" s="197" t="s">
        <v>415</v>
      </c>
      <c r="I3596" s="209" t="s">
        <v>415</v>
      </c>
    </row>
    <row r="3597" spans="1:9">
      <c r="A3597" s="195"/>
      <c r="B3597" s="195" t="s">
        <v>207</v>
      </c>
      <c r="C3597"/>
      <c r="D3597" s="197"/>
      <c r="E3597" s="197" t="s">
        <v>95</v>
      </c>
      <c r="F3597" s="197" t="s">
        <v>252</v>
      </c>
      <c r="G3597" s="197" t="s">
        <v>270</v>
      </c>
      <c r="H3597" s="197" t="s">
        <v>415</v>
      </c>
      <c r="I3597" s="209" t="s">
        <v>415</v>
      </c>
    </row>
    <row r="3598" spans="1:9">
      <c r="A3598" s="195"/>
      <c r="B3598" s="196" t="s">
        <v>225</v>
      </c>
      <c r="C3598"/>
      <c r="D3598" s="197"/>
      <c r="E3598" s="197" t="s">
        <v>95</v>
      </c>
      <c r="F3598" s="197" t="s">
        <v>252</v>
      </c>
      <c r="G3598" s="197" t="s">
        <v>270</v>
      </c>
      <c r="H3598" s="197" t="s">
        <v>415</v>
      </c>
      <c r="I3598" s="209" t="s">
        <v>415</v>
      </c>
    </row>
    <row r="3599" spans="1:9">
      <c r="A3599" s="195"/>
      <c r="B3599" s="195" t="s">
        <v>205</v>
      </c>
      <c r="C3599"/>
      <c r="D3599" s="197"/>
      <c r="E3599" s="197" t="s">
        <v>95</v>
      </c>
      <c r="F3599" s="197" t="s">
        <v>252</v>
      </c>
      <c r="G3599" s="197" t="s">
        <v>270</v>
      </c>
      <c r="H3599" s="197" t="s">
        <v>415</v>
      </c>
      <c r="I3599" s="209" t="s">
        <v>415</v>
      </c>
    </row>
    <row r="3600" spans="1:9">
      <c r="A3600" s="195"/>
      <c r="B3600" s="195" t="s">
        <v>206</v>
      </c>
      <c r="C3600"/>
      <c r="D3600" s="197"/>
      <c r="E3600" s="197"/>
      <c r="F3600" s="197"/>
      <c r="G3600" s="197" t="s">
        <v>270</v>
      </c>
      <c r="H3600" s="197" t="s">
        <v>415</v>
      </c>
      <c r="I3600" s="209" t="s">
        <v>415</v>
      </c>
    </row>
    <row r="3601" spans="1:12">
      <c r="A3601" s="195"/>
      <c r="B3601" s="195" t="s">
        <v>207</v>
      </c>
      <c r="C3601"/>
      <c r="D3601" s="197"/>
      <c r="E3601" s="197"/>
      <c r="F3601" s="197"/>
      <c r="G3601" s="197" t="s">
        <v>270</v>
      </c>
      <c r="H3601" s="197" t="s">
        <v>415</v>
      </c>
      <c r="I3601" s="209" t="s">
        <v>415</v>
      </c>
    </row>
    <row r="3602" spans="1:12">
      <c r="A3602" s="195"/>
      <c r="B3602" s="196" t="s">
        <v>226</v>
      </c>
      <c r="C3602"/>
      <c r="D3602" s="197"/>
      <c r="E3602" s="197"/>
      <c r="F3602" s="197"/>
      <c r="G3602" s="197"/>
      <c r="H3602" s="209"/>
      <c r="I3602" s="209"/>
    </row>
    <row r="3603" spans="1:12">
      <c r="A3603" s="195"/>
      <c r="B3603" s="195" t="s">
        <v>205</v>
      </c>
      <c r="C3603"/>
      <c r="D3603" s="197"/>
      <c r="E3603" s="197"/>
      <c r="F3603" s="197"/>
      <c r="G3603" s="197"/>
      <c r="H3603" s="209"/>
      <c r="I3603" s="209"/>
    </row>
    <row r="3604" spans="1:12">
      <c r="A3604" s="195"/>
      <c r="B3604" s="195" t="s">
        <v>206</v>
      </c>
      <c r="C3604"/>
      <c r="D3604" s="197"/>
      <c r="E3604" s="197"/>
      <c r="F3604" s="197"/>
      <c r="G3604" s="197"/>
      <c r="H3604" s="209"/>
      <c r="I3604" s="209"/>
    </row>
    <row r="3605" spans="1:12">
      <c r="A3605" s="195"/>
      <c r="B3605" s="195" t="s">
        <v>207</v>
      </c>
      <c r="C3605"/>
      <c r="D3605" s="197"/>
      <c r="E3605" s="197"/>
      <c r="F3605" s="197"/>
      <c r="G3605" s="197"/>
      <c r="H3605" s="209"/>
      <c r="I3605" s="209"/>
    </row>
    <row r="3606" spans="1:12">
      <c r="A3606" s="195"/>
      <c r="B3606" s="196" t="s">
        <v>227</v>
      </c>
      <c r="C3606"/>
      <c r="D3606" s="197"/>
      <c r="E3606" s="197"/>
      <c r="F3606" s="197"/>
      <c r="G3606" s="197"/>
      <c r="H3606" s="209"/>
      <c r="I3606" s="209"/>
      <c r="K3606"/>
    </row>
    <row r="3607" spans="1:12" ht="29.25" thickBot="1">
      <c r="A3607" s="182" t="str">
        <f>"回収シフト  第"&amp;ROUNDUP(DAY(B3610)/7,0)  &amp;"  "&amp;TEXT(B3610,"aaaa")</f>
        <v>回収シフト  第3  金曜日</v>
      </c>
      <c r="B3607" s="183"/>
      <c r="C3607" s="183"/>
      <c r="D3607" s="183"/>
      <c r="E3607" s="183"/>
      <c r="F3607" s="183"/>
      <c r="G3607" s="184"/>
      <c r="H3607" s="184"/>
      <c r="I3607" s="184"/>
      <c r="K3607" s="183"/>
      <c r="L3607" s="183"/>
    </row>
    <row r="3608" spans="1:12" ht="15.75" thickBot="1">
      <c r="A3608"/>
      <c r="B3608"/>
      <c r="C3608"/>
      <c r="D3608" s="186" t="s">
        <v>201</v>
      </c>
      <c r="E3608" s="186" t="s">
        <v>202</v>
      </c>
      <c r="F3608" s="186" t="s">
        <v>203</v>
      </c>
      <c r="G3608" s="186" t="s">
        <v>204</v>
      </c>
      <c r="H3608" s="186" t="s">
        <v>267</v>
      </c>
      <c r="I3608" s="217" t="s">
        <v>267</v>
      </c>
      <c r="K3608" s="230" t="s">
        <v>257</v>
      </c>
      <c r="L3608" s="231"/>
    </row>
    <row r="3609" spans="1:12">
      <c r="A3609" s="187"/>
      <c r="B3609" s="188">
        <v>46119</v>
      </c>
      <c r="C3609" s="187"/>
      <c r="D3609" s="189" t="s">
        <v>248</v>
      </c>
      <c r="E3609" s="189" t="s">
        <v>859</v>
      </c>
      <c r="F3609" s="189" t="s">
        <v>867</v>
      </c>
      <c r="G3609" s="189" t="s">
        <v>890</v>
      </c>
      <c r="H3609" s="189" t="s">
        <v>852</v>
      </c>
      <c r="I3609" s="218" t="s">
        <v>852</v>
      </c>
      <c r="K3609" s="232" t="s">
        <v>258</v>
      </c>
      <c r="L3609" s="190" t="str">
        <f>_xlfn.XLOOKUP($B3610,シフト抽出!$19:$19,シフト抽出!$20:$20,"該当なし",0,1)</f>
        <v>該当なし</v>
      </c>
    </row>
    <row r="3610" spans="1:12" ht="19.5" thickBot="1">
      <c r="A3610"/>
      <c r="B3610" s="191">
        <f>B3557+1</f>
        <v>46192</v>
      </c>
      <c r="C3610" s="192"/>
      <c r="D3610" s="193"/>
      <c r="E3610" s="193"/>
      <c r="F3610" s="193"/>
      <c r="G3610" s="193"/>
      <c r="H3610" s="193"/>
      <c r="I3610" s="219"/>
      <c r="K3610" s="233"/>
      <c r="L3610" s="194" t="str">
        <f>_xlfn.XLOOKUP($B3610,シフト抽出!$19:$19,シフト抽出!$21:$21,"該当なし",0,1)</f>
        <v>該当なし</v>
      </c>
    </row>
    <row r="3611" spans="1:12">
      <c r="A3611" s="195"/>
      <c r="B3611" s="196">
        <v>0.25</v>
      </c>
      <c r="C3611"/>
      <c r="D3611" s="197"/>
      <c r="E3611" s="196"/>
      <c r="F3611" s="197"/>
      <c r="G3611" s="197"/>
      <c r="H3611" s="197"/>
      <c r="I3611" s="209"/>
      <c r="K3611" s="234" t="s">
        <v>259</v>
      </c>
      <c r="L3611" s="198" t="str">
        <f>_xlfn.XLOOKUP($B3610,シフト抽出!$19:$19,シフト抽出!$23:$23,"該当なし",0,1)</f>
        <v>該当なし</v>
      </c>
    </row>
    <row r="3612" spans="1:12" ht="15.75" thickBot="1">
      <c r="A3612" s="195"/>
      <c r="B3612" s="195" t="s">
        <v>205</v>
      </c>
      <c r="C3612"/>
      <c r="D3612" s="197"/>
      <c r="E3612" s="197"/>
      <c r="F3612" s="197"/>
      <c r="G3612" s="197"/>
      <c r="H3612" s="197"/>
      <c r="I3612" s="209"/>
      <c r="K3612" s="235"/>
      <c r="L3612" s="199" t="str">
        <f>_xlfn.XLOOKUP($B3610,シフト抽出!$19:$19,シフト抽出!$24:$24,"該当なし",0,1)</f>
        <v>該当なし</v>
      </c>
    </row>
    <row r="3613" spans="1:12">
      <c r="A3613" s="195"/>
      <c r="B3613" s="195" t="s">
        <v>206</v>
      </c>
      <c r="C3613"/>
      <c r="D3613" s="197" t="s">
        <v>238</v>
      </c>
      <c r="E3613" s="197"/>
      <c r="F3613" s="197"/>
      <c r="G3613" s="197"/>
      <c r="H3613" s="197"/>
      <c r="I3613" s="209"/>
      <c r="K3613" s="224" t="s">
        <v>260</v>
      </c>
      <c r="L3613" s="200" t="str">
        <f>_xlfn.XLOOKUP($B3610,シフト抽出!$19:$19,シフト抽出!$26:$26,"該当なし",0,1)</f>
        <v>該当なし</v>
      </c>
    </row>
    <row r="3614" spans="1:12">
      <c r="A3614" s="195"/>
      <c r="B3614" s="195" t="s">
        <v>207</v>
      </c>
      <c r="C3614"/>
      <c r="D3614" s="197" t="s">
        <v>238</v>
      </c>
      <c r="E3614" s="197"/>
      <c r="F3614" s="197"/>
      <c r="G3614" s="197"/>
      <c r="H3614" s="197"/>
      <c r="I3614" s="209"/>
      <c r="K3614" s="225"/>
      <c r="L3614" s="201" t="str">
        <f>_xlfn.XLOOKUP($B3610,シフト抽出!$19:$19,シフト抽出!$27:$27,"該当なし",0,1)</f>
        <v>該当なし</v>
      </c>
    </row>
    <row r="3615" spans="1:12">
      <c r="A3615" s="195"/>
      <c r="B3615" s="202" t="s">
        <v>208</v>
      </c>
      <c r="C3615"/>
      <c r="D3615" s="197" t="s">
        <v>238</v>
      </c>
      <c r="E3615" s="197" t="s">
        <v>4</v>
      </c>
      <c r="F3615" s="197"/>
      <c r="G3615" s="197" t="s">
        <v>22</v>
      </c>
      <c r="H3615" s="197"/>
      <c r="I3615" s="209"/>
      <c r="J3615" s="203"/>
      <c r="K3615" s="225"/>
      <c r="L3615" s="201" t="str">
        <f>_xlfn.XLOOKUP($B3610,シフト抽出!$19:$19,シフト抽出!$28:$28,"該当なし",0,1)</f>
        <v>該当なし</v>
      </c>
    </row>
    <row r="3616" spans="1:12" ht="15.75" thickBot="1">
      <c r="A3616" s="195"/>
      <c r="B3616" s="195" t="s">
        <v>205</v>
      </c>
      <c r="C3616"/>
      <c r="D3616" s="197" t="s">
        <v>238</v>
      </c>
      <c r="E3616" s="197" t="s">
        <v>420</v>
      </c>
      <c r="F3616" s="197" t="s">
        <v>851</v>
      </c>
      <c r="G3616" s="197" t="s">
        <v>22</v>
      </c>
      <c r="H3616" s="197"/>
      <c r="I3616" s="209"/>
      <c r="J3616" s="203"/>
      <c r="K3616" s="226"/>
      <c r="L3616" s="204" t="str">
        <f>_xlfn.XLOOKUP($B3610,シフト抽出!$19:$19,シフト抽出!$29:$29,"該当なし",0,1)</f>
        <v>該当なし</v>
      </c>
    </row>
    <row r="3617" spans="1:12" ht="15.75" thickBot="1">
      <c r="A3617" s="195"/>
      <c r="B3617" s="195" t="s">
        <v>206</v>
      </c>
      <c r="C3617"/>
      <c r="D3617" s="197" t="s">
        <v>238</v>
      </c>
      <c r="E3617" s="197" t="s">
        <v>420</v>
      </c>
      <c r="F3617" s="197" t="s">
        <v>851</v>
      </c>
      <c r="G3617" s="197" t="s">
        <v>788</v>
      </c>
      <c r="H3617" s="197"/>
      <c r="I3617" s="209"/>
      <c r="K3617" s="205" t="s">
        <v>261</v>
      </c>
      <c r="L3617" s="205">
        <f>_xlfn.XLOOKUP($B3610,予定表!B:B,予定表!R:R,"該当なし",0,1)</f>
        <v>0</v>
      </c>
    </row>
    <row r="3618" spans="1:12">
      <c r="A3618" s="195"/>
      <c r="B3618" s="195" t="s">
        <v>207</v>
      </c>
      <c r="C3618"/>
      <c r="D3618" s="197" t="s">
        <v>238</v>
      </c>
      <c r="E3618" s="197" t="s">
        <v>420</v>
      </c>
      <c r="F3618" s="197" t="s">
        <v>851</v>
      </c>
      <c r="G3618" s="197" t="s">
        <v>788</v>
      </c>
      <c r="H3618" s="197"/>
      <c r="I3618" s="209"/>
      <c r="K3618" s="227" t="s">
        <v>262</v>
      </c>
      <c r="L3618" s="206" t="str">
        <f>_xlfn.XLOOKUP($B3610,予定表!$B:$B,予定表!E:E,"該当なし",0,1)</f>
        <v>IWD(南海辰村建設)</v>
      </c>
    </row>
    <row r="3619" spans="1:12">
      <c r="A3619" s="195"/>
      <c r="B3619" s="196" t="s">
        <v>209</v>
      </c>
      <c r="C3619"/>
      <c r="D3619" s="197"/>
      <c r="E3619" s="197" t="s">
        <v>420</v>
      </c>
      <c r="F3619" s="197" t="s">
        <v>851</v>
      </c>
      <c r="G3619" s="197" t="s">
        <v>268</v>
      </c>
      <c r="H3619" s="197" t="s">
        <v>4</v>
      </c>
      <c r="I3619" s="209" t="s">
        <v>4</v>
      </c>
      <c r="K3619" s="228"/>
      <c r="L3619" s="207" t="str">
        <f>_xlfn.XLOOKUP($B3610,予定表!$B:$B,予定表!F:F,"該当なし",0,1)</f>
        <v>IWD(㈱大勝)</v>
      </c>
    </row>
    <row r="3620" spans="1:12">
      <c r="A3620" s="195"/>
      <c r="B3620" s="195" t="s">
        <v>205</v>
      </c>
      <c r="C3620"/>
      <c r="D3620" s="197" t="s">
        <v>264</v>
      </c>
      <c r="E3620" s="197" t="s">
        <v>420</v>
      </c>
      <c r="F3620" s="197" t="s">
        <v>851</v>
      </c>
      <c r="G3620" s="197" t="s">
        <v>268</v>
      </c>
      <c r="H3620" s="197" t="s">
        <v>60</v>
      </c>
      <c r="I3620" s="209" t="s">
        <v>60</v>
      </c>
      <c r="K3620" s="228"/>
      <c r="L3620" s="207">
        <f>_xlfn.XLOOKUP($B3610,予定表!$B:$B,予定表!G:G,"該当なし",0,1)</f>
        <v>0</v>
      </c>
    </row>
    <row r="3621" spans="1:12">
      <c r="A3621" s="195"/>
      <c r="B3621" s="195" t="s">
        <v>206</v>
      </c>
      <c r="C3621"/>
      <c r="D3621" s="197" t="s">
        <v>239</v>
      </c>
      <c r="E3621" s="197" t="s">
        <v>414</v>
      </c>
      <c r="F3621" s="197"/>
      <c r="G3621" s="197" t="s">
        <v>268</v>
      </c>
      <c r="H3621" s="197" t="s">
        <v>60</v>
      </c>
      <c r="I3621" s="209" t="s">
        <v>60</v>
      </c>
      <c r="K3621" s="228"/>
      <c r="L3621" s="207" t="str">
        <f>_xlfn.XLOOKUP($B3610,予定表!$B:$B,予定表!H:H,"該当なし",0,1)</f>
        <v>資さんうどん</v>
      </c>
    </row>
    <row r="3622" spans="1:12">
      <c r="A3622" s="195"/>
      <c r="B3622" s="195" t="s">
        <v>207</v>
      </c>
      <c r="C3622"/>
      <c r="D3622" s="197" t="s">
        <v>239</v>
      </c>
      <c r="E3622" s="197" t="s">
        <v>414</v>
      </c>
      <c r="F3622" s="197" t="s">
        <v>62</v>
      </c>
      <c r="G3622" s="197" t="s">
        <v>268</v>
      </c>
      <c r="H3622" s="197" t="s">
        <v>60</v>
      </c>
      <c r="I3622" s="209" t="s">
        <v>60</v>
      </c>
      <c r="K3622" s="228"/>
      <c r="L3622" s="207" t="str">
        <f>_xlfn.XLOOKUP($B3610,予定表!$B:$B,予定表!I:I,"該当なし",0,1)</f>
        <v/>
      </c>
    </row>
    <row r="3623" spans="1:12">
      <c r="A3623" s="195"/>
      <c r="B3623" s="196" t="s">
        <v>212</v>
      </c>
      <c r="C3623"/>
      <c r="D3623" s="197" t="s">
        <v>240</v>
      </c>
      <c r="E3623" s="197" t="s">
        <v>414</v>
      </c>
      <c r="F3623" s="197" t="s">
        <v>62</v>
      </c>
      <c r="G3623" s="197" t="s">
        <v>268</v>
      </c>
      <c r="H3623" s="197"/>
      <c r="I3623" s="209"/>
      <c r="K3623" s="228"/>
      <c r="L3623" s="207" t="str">
        <f>_xlfn.XLOOKUP($B3610,予定表!$B:$B,予定表!J:J,"該当なし",0,1)</f>
        <v/>
      </c>
    </row>
    <row r="3624" spans="1:12">
      <c r="A3624" s="195"/>
      <c r="B3624" s="195" t="s">
        <v>205</v>
      </c>
      <c r="C3624"/>
      <c r="D3624" s="197" t="s">
        <v>240</v>
      </c>
      <c r="E3624" s="197" t="s">
        <v>414</v>
      </c>
      <c r="F3624" s="197" t="s">
        <v>62</v>
      </c>
      <c r="G3624" s="197" t="s">
        <v>268</v>
      </c>
      <c r="H3624" s="197" t="s">
        <v>848</v>
      </c>
      <c r="I3624" s="209" t="s">
        <v>848</v>
      </c>
      <c r="K3624" s="228"/>
      <c r="L3624" s="207" t="str">
        <f>_xlfn.XLOOKUP($B3610,予定表!$B:$B,予定表!K:K,"該当なし",0,1)</f>
        <v/>
      </c>
    </row>
    <row r="3625" spans="1:12">
      <c r="A3625" s="195"/>
      <c r="B3625" s="195" t="s">
        <v>206</v>
      </c>
      <c r="C3625"/>
      <c r="D3625" s="197" t="s">
        <v>353</v>
      </c>
      <c r="E3625" s="197" t="s">
        <v>854</v>
      </c>
      <c r="F3625" s="197" t="s">
        <v>62</v>
      </c>
      <c r="G3625" s="197" t="s">
        <v>515</v>
      </c>
      <c r="H3625" s="197" t="s">
        <v>848</v>
      </c>
      <c r="I3625" s="209" t="s">
        <v>848</v>
      </c>
      <c r="K3625" s="228"/>
      <c r="L3625" s="207" t="str">
        <f>_xlfn.XLOOKUP($B3610,予定表!$B:$B,予定表!L:L,"該当なし",0,1)</f>
        <v/>
      </c>
    </row>
    <row r="3626" spans="1:12" ht="15.75" thickBot="1">
      <c r="A3626" s="195"/>
      <c r="B3626" s="195" t="s">
        <v>207</v>
      </c>
      <c r="C3626"/>
      <c r="D3626" s="197" t="s">
        <v>353</v>
      </c>
      <c r="E3626" s="197" t="s">
        <v>854</v>
      </c>
      <c r="F3626" s="197" t="s">
        <v>62</v>
      </c>
      <c r="G3626" s="197" t="s">
        <v>515</v>
      </c>
      <c r="H3626" s="197" t="s">
        <v>848</v>
      </c>
      <c r="I3626" s="209" t="s">
        <v>848</v>
      </c>
      <c r="K3626" s="229"/>
      <c r="L3626" s="204" t="str">
        <f>_xlfn.XLOOKUP($A3607,ﾘｽﾄマスタ!$U$8:$U$17,ﾘｽﾄマスタ!$V$8:$V$17,"",0)</f>
        <v>LIXIL厚木</v>
      </c>
    </row>
    <row r="3627" spans="1:12" ht="15.75" thickBot="1">
      <c r="A3627" s="195"/>
      <c r="B3627" s="196" t="s">
        <v>251</v>
      </c>
      <c r="C3627"/>
      <c r="D3627" s="197" t="s">
        <v>353</v>
      </c>
      <c r="E3627" s="197" t="s">
        <v>854</v>
      </c>
      <c r="F3627" s="197" t="s">
        <v>88</v>
      </c>
      <c r="G3627" s="197" t="s">
        <v>515</v>
      </c>
      <c r="H3627" s="197" t="s">
        <v>848</v>
      </c>
      <c r="I3627" s="209" t="s">
        <v>848</v>
      </c>
      <c r="K3627" s="208" t="s">
        <v>277</v>
      </c>
      <c r="L3627" s="208" t="str">
        <f>_xlfn.XLOOKUP($B3610,シフト抽出!$19:$19,シフト抽出!$30:$30,"該当なし",0,1)</f>
        <v>該当なし</v>
      </c>
    </row>
    <row r="3628" spans="1:12">
      <c r="A3628" s="195"/>
      <c r="B3628" s="195" t="s">
        <v>205</v>
      </c>
      <c r="C3628"/>
      <c r="D3628" s="197" t="s">
        <v>761</v>
      </c>
      <c r="E3628" s="197" t="s">
        <v>854</v>
      </c>
      <c r="F3628" s="197" t="s">
        <v>280</v>
      </c>
      <c r="G3628" s="197" t="s">
        <v>269</v>
      </c>
      <c r="H3628" s="197" t="s">
        <v>848</v>
      </c>
      <c r="I3628" s="209" t="s">
        <v>848</v>
      </c>
    </row>
    <row r="3629" spans="1:12">
      <c r="A3629" s="195"/>
      <c r="B3629" s="195" t="s">
        <v>206</v>
      </c>
      <c r="C3629"/>
      <c r="D3629" s="197" t="s">
        <v>761</v>
      </c>
      <c r="E3629" s="197" t="s">
        <v>216</v>
      </c>
      <c r="F3629" s="197" t="s">
        <v>215</v>
      </c>
      <c r="G3629" s="197" t="s">
        <v>269</v>
      </c>
      <c r="H3629" s="197" t="s">
        <v>848</v>
      </c>
      <c r="I3629" s="209" t="s">
        <v>848</v>
      </c>
    </row>
    <row r="3630" spans="1:12">
      <c r="A3630" s="195"/>
      <c r="B3630" s="195" t="s">
        <v>207</v>
      </c>
      <c r="C3630"/>
      <c r="D3630" s="197" t="s">
        <v>761</v>
      </c>
      <c r="E3630" s="197" t="s">
        <v>216</v>
      </c>
      <c r="F3630" s="197" t="s">
        <v>51</v>
      </c>
      <c r="G3630" s="197" t="s">
        <v>446</v>
      </c>
      <c r="H3630" s="197" t="s">
        <v>848</v>
      </c>
      <c r="I3630" s="209" t="s">
        <v>848</v>
      </c>
    </row>
    <row r="3631" spans="1:12">
      <c r="A3631" s="195"/>
      <c r="B3631" s="196" t="s">
        <v>217</v>
      </c>
      <c r="C3631"/>
      <c r="D3631" s="197" t="s">
        <v>423</v>
      </c>
      <c r="E3631" s="197" t="s">
        <v>216</v>
      </c>
      <c r="F3631" s="197" t="s">
        <v>51</v>
      </c>
      <c r="G3631" s="197" t="s">
        <v>446</v>
      </c>
      <c r="H3631" s="197" t="s">
        <v>848</v>
      </c>
      <c r="I3631" s="209" t="s">
        <v>848</v>
      </c>
    </row>
    <row r="3632" spans="1:12">
      <c r="A3632" s="195"/>
      <c r="B3632" s="195" t="s">
        <v>205</v>
      </c>
      <c r="C3632"/>
      <c r="D3632" s="197" t="s">
        <v>588</v>
      </c>
      <c r="E3632" s="197" t="s">
        <v>216</v>
      </c>
      <c r="F3632" s="197" t="s">
        <v>51</v>
      </c>
      <c r="G3632" s="197" t="s">
        <v>114</v>
      </c>
      <c r="H3632" s="197" t="s">
        <v>848</v>
      </c>
      <c r="I3632" s="209" t="s">
        <v>848</v>
      </c>
    </row>
    <row r="3633" spans="1:9">
      <c r="A3633" s="195"/>
      <c r="B3633" s="195" t="s">
        <v>206</v>
      </c>
      <c r="C3633"/>
      <c r="D3633" s="197" t="s">
        <v>127</v>
      </c>
      <c r="E3633" s="197" t="s">
        <v>216</v>
      </c>
      <c r="F3633" s="197" t="s">
        <v>51</v>
      </c>
      <c r="G3633" s="197" t="s">
        <v>114</v>
      </c>
      <c r="H3633" s="197" t="s">
        <v>848</v>
      </c>
      <c r="I3633" s="209" t="s">
        <v>848</v>
      </c>
    </row>
    <row r="3634" spans="1:9">
      <c r="A3634" s="195"/>
      <c r="B3634" s="195" t="s">
        <v>207</v>
      </c>
      <c r="C3634"/>
      <c r="D3634" s="197"/>
      <c r="E3634" s="197" t="s">
        <v>216</v>
      </c>
      <c r="F3634" s="197"/>
      <c r="G3634" s="197" t="s">
        <v>114</v>
      </c>
      <c r="H3634" s="197"/>
      <c r="I3634" s="209"/>
    </row>
    <row r="3635" spans="1:9">
      <c r="A3635" s="195"/>
      <c r="B3635" s="196" t="s">
        <v>219</v>
      </c>
      <c r="C3635"/>
      <c r="D3635" s="197"/>
      <c r="E3635" s="197" t="s">
        <v>216</v>
      </c>
      <c r="F3635" s="197"/>
      <c r="G3635" s="197"/>
      <c r="H3635" s="197"/>
      <c r="I3635" s="209"/>
    </row>
    <row r="3636" spans="1:9">
      <c r="A3636" s="195"/>
      <c r="B3636" s="195" t="s">
        <v>205</v>
      </c>
      <c r="C3636"/>
      <c r="D3636" s="197"/>
      <c r="E3636" s="197" t="s">
        <v>216</v>
      </c>
      <c r="F3636" s="197"/>
      <c r="G3636" s="197"/>
      <c r="H3636" s="197"/>
      <c r="I3636" s="209"/>
    </row>
    <row r="3637" spans="1:9">
      <c r="A3637" s="195"/>
      <c r="B3637" s="195" t="s">
        <v>206</v>
      </c>
      <c r="C3637"/>
      <c r="D3637" s="197"/>
      <c r="E3637" s="197"/>
      <c r="F3637" s="197"/>
      <c r="G3637" s="197"/>
      <c r="H3637" s="197" t="s">
        <v>884</v>
      </c>
      <c r="I3637" s="209" t="s">
        <v>884</v>
      </c>
    </row>
    <row r="3638" spans="1:9">
      <c r="A3638" s="195"/>
      <c r="B3638" s="195" t="s">
        <v>207</v>
      </c>
      <c r="C3638"/>
      <c r="D3638" s="197"/>
      <c r="E3638" s="197"/>
      <c r="F3638" s="197"/>
      <c r="G3638" s="197"/>
      <c r="H3638" s="197" t="s">
        <v>884</v>
      </c>
      <c r="I3638" s="209" t="s">
        <v>884</v>
      </c>
    </row>
    <row r="3639" spans="1:9">
      <c r="A3639" s="195"/>
      <c r="B3639" s="196" t="s">
        <v>220</v>
      </c>
      <c r="C3639"/>
      <c r="D3639" s="197"/>
      <c r="E3639" s="197"/>
      <c r="F3639" s="189" t="s">
        <v>728</v>
      </c>
      <c r="G3639" s="189" t="s">
        <v>850</v>
      </c>
      <c r="H3639" s="197" t="s">
        <v>231</v>
      </c>
      <c r="I3639" s="209" t="s">
        <v>231</v>
      </c>
    </row>
    <row r="3640" spans="1:9">
      <c r="A3640" s="195"/>
      <c r="B3640" s="195" t="s">
        <v>205</v>
      </c>
      <c r="C3640"/>
      <c r="D3640" s="197" t="s">
        <v>759</v>
      </c>
      <c r="E3640" s="197" t="s">
        <v>273</v>
      </c>
      <c r="F3640" s="197" t="s">
        <v>224</v>
      </c>
      <c r="G3640" s="197" t="s">
        <v>56</v>
      </c>
      <c r="H3640" s="197" t="s">
        <v>231</v>
      </c>
      <c r="I3640" s="209" t="s">
        <v>231</v>
      </c>
    </row>
    <row r="3641" spans="1:9">
      <c r="A3641" s="195"/>
      <c r="B3641" s="195" t="s">
        <v>206</v>
      </c>
      <c r="C3641"/>
      <c r="D3641" s="197" t="s">
        <v>759</v>
      </c>
      <c r="E3641" s="197" t="s">
        <v>273</v>
      </c>
      <c r="F3641" s="197" t="s">
        <v>224</v>
      </c>
      <c r="G3641" s="197" t="s">
        <v>56</v>
      </c>
      <c r="H3641" s="197" t="s">
        <v>211</v>
      </c>
      <c r="I3641" s="209" t="s">
        <v>211</v>
      </c>
    </row>
    <row r="3642" spans="1:9">
      <c r="A3642" s="195"/>
      <c r="B3642" s="195" t="s">
        <v>207</v>
      </c>
      <c r="C3642"/>
      <c r="D3642" s="197" t="s">
        <v>759</v>
      </c>
      <c r="E3642" s="197" t="s">
        <v>273</v>
      </c>
      <c r="F3642" s="197" t="s">
        <v>224</v>
      </c>
      <c r="G3642" s="197" t="s">
        <v>56</v>
      </c>
      <c r="H3642" s="197" t="s">
        <v>211</v>
      </c>
      <c r="I3642" s="209" t="s">
        <v>211</v>
      </c>
    </row>
    <row r="3643" spans="1:9">
      <c r="A3643" s="195"/>
      <c r="B3643" s="196" t="s">
        <v>222</v>
      </c>
      <c r="C3643"/>
      <c r="D3643" s="197" t="s">
        <v>759</v>
      </c>
      <c r="E3643" s="197" t="s">
        <v>266</v>
      </c>
      <c r="F3643" s="197"/>
      <c r="G3643" s="197"/>
      <c r="H3643" s="197"/>
      <c r="I3643" s="209"/>
    </row>
    <row r="3644" spans="1:9">
      <c r="A3644" s="195"/>
      <c r="B3644" s="195" t="s">
        <v>205</v>
      </c>
      <c r="C3644"/>
      <c r="D3644" s="197" t="s">
        <v>416</v>
      </c>
      <c r="E3644" s="197" t="s">
        <v>266</v>
      </c>
      <c r="F3644" s="197" t="s">
        <v>89</v>
      </c>
      <c r="G3644" s="197" t="s">
        <v>270</v>
      </c>
      <c r="H3644" s="197" t="s">
        <v>856</v>
      </c>
      <c r="I3644" s="209" t="s">
        <v>856</v>
      </c>
    </row>
    <row r="3645" spans="1:9">
      <c r="A3645" s="195"/>
      <c r="B3645" s="195" t="s">
        <v>206</v>
      </c>
      <c r="C3645"/>
      <c r="D3645" s="197" t="s">
        <v>954</v>
      </c>
      <c r="E3645" s="197" t="s">
        <v>266</v>
      </c>
      <c r="F3645" s="197" t="s">
        <v>89</v>
      </c>
      <c r="G3645" s="197" t="s">
        <v>270</v>
      </c>
      <c r="H3645" s="197" t="s">
        <v>856</v>
      </c>
      <c r="I3645" s="209" t="s">
        <v>856</v>
      </c>
    </row>
    <row r="3646" spans="1:9">
      <c r="A3646" s="195"/>
      <c r="B3646" s="195" t="s">
        <v>207</v>
      </c>
      <c r="C3646"/>
      <c r="D3646" s="197" t="s">
        <v>416</v>
      </c>
      <c r="E3646" s="197" t="s">
        <v>266</v>
      </c>
      <c r="F3646" s="197" t="s">
        <v>89</v>
      </c>
      <c r="G3646" s="197" t="s">
        <v>270</v>
      </c>
      <c r="H3646" s="197" t="s">
        <v>856</v>
      </c>
      <c r="I3646" s="209" t="s">
        <v>856</v>
      </c>
    </row>
    <row r="3647" spans="1:9">
      <c r="A3647" s="195"/>
      <c r="B3647" s="196" t="s">
        <v>223</v>
      </c>
      <c r="C3647"/>
      <c r="D3647" s="197" t="s">
        <v>951</v>
      </c>
      <c r="E3647" s="197" t="s">
        <v>252</v>
      </c>
      <c r="F3647" s="197" t="s">
        <v>89</v>
      </c>
      <c r="G3647" s="197" t="s">
        <v>270</v>
      </c>
      <c r="H3647" s="197" t="s">
        <v>856</v>
      </c>
      <c r="I3647" s="209" t="s">
        <v>856</v>
      </c>
    </row>
    <row r="3648" spans="1:9">
      <c r="A3648" s="195"/>
      <c r="B3648" s="195" t="s">
        <v>205</v>
      </c>
      <c r="C3648"/>
      <c r="D3648" s="197" t="s">
        <v>416</v>
      </c>
      <c r="E3648" s="197" t="s">
        <v>252</v>
      </c>
      <c r="F3648" s="197" t="s">
        <v>89</v>
      </c>
      <c r="G3648" s="197" t="s">
        <v>270</v>
      </c>
      <c r="H3648" s="197" t="s">
        <v>856</v>
      </c>
      <c r="I3648" s="209" t="s">
        <v>856</v>
      </c>
    </row>
    <row r="3649" spans="1:12">
      <c r="A3649" s="195"/>
      <c r="B3649" s="195" t="s">
        <v>206</v>
      </c>
      <c r="C3649"/>
      <c r="D3649" s="197" t="s">
        <v>214</v>
      </c>
      <c r="E3649" s="197" t="s">
        <v>252</v>
      </c>
      <c r="F3649" s="197" t="s">
        <v>89</v>
      </c>
      <c r="G3649" s="197" t="s">
        <v>270</v>
      </c>
      <c r="H3649" s="197" t="s">
        <v>856</v>
      </c>
      <c r="I3649" s="209" t="s">
        <v>856</v>
      </c>
    </row>
    <row r="3650" spans="1:12">
      <c r="A3650" s="195"/>
      <c r="B3650" s="195" t="s">
        <v>207</v>
      </c>
      <c r="C3650"/>
      <c r="D3650" s="197" t="s">
        <v>214</v>
      </c>
      <c r="E3650" s="197" t="s">
        <v>252</v>
      </c>
      <c r="F3650" s="197" t="s">
        <v>89</v>
      </c>
      <c r="G3650" s="197" t="s">
        <v>270</v>
      </c>
      <c r="H3650" s="197" t="s">
        <v>856</v>
      </c>
      <c r="I3650" s="209" t="s">
        <v>856</v>
      </c>
    </row>
    <row r="3651" spans="1:12">
      <c r="A3651" s="195"/>
      <c r="B3651" s="196" t="s">
        <v>225</v>
      </c>
      <c r="C3651"/>
      <c r="D3651" s="197" t="s">
        <v>214</v>
      </c>
      <c r="E3651" s="197" t="s">
        <v>252</v>
      </c>
      <c r="F3651" s="197" t="s">
        <v>89</v>
      </c>
      <c r="G3651" s="197" t="s">
        <v>270</v>
      </c>
      <c r="H3651" s="197" t="s">
        <v>415</v>
      </c>
      <c r="I3651" s="209" t="s">
        <v>415</v>
      </c>
    </row>
    <row r="3652" spans="1:12">
      <c r="A3652" s="195"/>
      <c r="B3652" s="195" t="s">
        <v>205</v>
      </c>
      <c r="C3652"/>
      <c r="D3652" s="197" t="s">
        <v>214</v>
      </c>
      <c r="E3652" s="197" t="s">
        <v>252</v>
      </c>
      <c r="F3652" s="197" t="s">
        <v>89</v>
      </c>
      <c r="G3652" s="197" t="s">
        <v>270</v>
      </c>
      <c r="H3652" s="209" t="s">
        <v>415</v>
      </c>
      <c r="I3652" s="209" t="s">
        <v>415</v>
      </c>
    </row>
    <row r="3653" spans="1:12">
      <c r="A3653" s="195"/>
      <c r="B3653" s="195" t="s">
        <v>206</v>
      </c>
      <c r="C3653"/>
      <c r="D3653" s="197" t="s">
        <v>214</v>
      </c>
      <c r="E3653" s="197" t="s">
        <v>252</v>
      </c>
      <c r="F3653" s="197" t="s">
        <v>89</v>
      </c>
      <c r="G3653" s="197" t="s">
        <v>270</v>
      </c>
      <c r="H3653" s="209" t="s">
        <v>415</v>
      </c>
      <c r="I3653" s="209" t="s">
        <v>415</v>
      </c>
    </row>
    <row r="3654" spans="1:12">
      <c r="A3654" s="195"/>
      <c r="B3654" s="195" t="s">
        <v>207</v>
      </c>
      <c r="C3654"/>
      <c r="D3654" s="197" t="s">
        <v>214</v>
      </c>
      <c r="E3654" s="197" t="s">
        <v>252</v>
      </c>
      <c r="F3654" s="197" t="s">
        <v>89</v>
      </c>
      <c r="G3654" s="197" t="s">
        <v>270</v>
      </c>
      <c r="H3654" s="209" t="s">
        <v>415</v>
      </c>
      <c r="I3654" s="209" t="s">
        <v>415</v>
      </c>
    </row>
    <row r="3655" spans="1:12">
      <c r="A3655" s="195"/>
      <c r="B3655" s="196" t="s">
        <v>226</v>
      </c>
      <c r="C3655"/>
      <c r="D3655" s="197"/>
      <c r="E3655" s="197"/>
      <c r="F3655" s="197"/>
      <c r="G3655" s="197" t="s">
        <v>270</v>
      </c>
      <c r="H3655" s="209"/>
      <c r="I3655" s="209"/>
    </row>
    <row r="3656" spans="1:12">
      <c r="A3656" s="195"/>
      <c r="B3656" s="195" t="s">
        <v>205</v>
      </c>
      <c r="C3656"/>
      <c r="D3656" s="197"/>
      <c r="E3656" s="197"/>
      <c r="F3656" s="197"/>
      <c r="G3656" s="197" t="s">
        <v>270</v>
      </c>
      <c r="H3656" s="209"/>
      <c r="I3656" s="209"/>
    </row>
    <row r="3657" spans="1:12">
      <c r="A3657" s="195"/>
      <c r="B3657" s="195" t="s">
        <v>206</v>
      </c>
      <c r="C3657"/>
      <c r="D3657" s="197"/>
      <c r="E3657" s="197"/>
      <c r="F3657" s="197"/>
      <c r="G3657" s="197" t="s">
        <v>270</v>
      </c>
      <c r="H3657" s="209"/>
      <c r="I3657" s="209"/>
    </row>
    <row r="3658" spans="1:12">
      <c r="A3658" s="195"/>
      <c r="B3658" s="195" t="s">
        <v>207</v>
      </c>
      <c r="C3658"/>
      <c r="D3658" s="197"/>
      <c r="E3658" s="197"/>
      <c r="F3658" s="197"/>
      <c r="G3658" s="197" t="s">
        <v>270</v>
      </c>
      <c r="H3658" s="209"/>
      <c r="I3658" s="209"/>
    </row>
    <row r="3659" spans="1:12">
      <c r="A3659" s="195"/>
      <c r="B3659" s="196" t="s">
        <v>227</v>
      </c>
      <c r="C3659"/>
      <c r="D3659" s="197"/>
      <c r="E3659" s="197"/>
      <c r="F3659" s="197"/>
      <c r="G3659" s="197"/>
      <c r="H3659" s="209"/>
      <c r="I3659" s="209"/>
      <c r="K3659"/>
    </row>
    <row r="3660" spans="1:12" ht="29.25" thickBot="1">
      <c r="A3660" s="182" t="str">
        <f>"回収シフト  第"&amp;ROUNDUP(DAY(B3663)/7,0)  &amp;"  "&amp;TEXT(B3663,"aaaa")</f>
        <v>回収シフト  第3  土曜日</v>
      </c>
      <c r="B3660" s="183"/>
      <c r="C3660" s="183"/>
      <c r="D3660" s="183"/>
      <c r="E3660" s="183"/>
      <c r="F3660" s="183"/>
      <c r="G3660" s="184"/>
      <c r="H3660" s="184"/>
      <c r="I3660" s="184"/>
      <c r="K3660" s="183"/>
      <c r="L3660" s="183"/>
    </row>
    <row r="3661" spans="1:12" ht="15.75" thickBot="1">
      <c r="A3661"/>
      <c r="B3661"/>
      <c r="C3661"/>
      <c r="D3661" s="186" t="s">
        <v>201</v>
      </c>
      <c r="E3661" s="186" t="s">
        <v>202</v>
      </c>
      <c r="F3661" s="186" t="s">
        <v>203</v>
      </c>
      <c r="G3661" s="186" t="s">
        <v>204</v>
      </c>
      <c r="H3661" s="186" t="s">
        <v>267</v>
      </c>
      <c r="I3661" s="217" t="s">
        <v>267</v>
      </c>
      <c r="K3661" s="230" t="s">
        <v>257</v>
      </c>
      <c r="L3661" s="231"/>
    </row>
    <row r="3662" spans="1:12">
      <c r="A3662" s="187"/>
      <c r="B3662" s="188">
        <v>46119</v>
      </c>
      <c r="C3662" s="187"/>
      <c r="D3662" s="189"/>
      <c r="E3662" s="189"/>
      <c r="F3662" s="189"/>
      <c r="G3662" s="189"/>
      <c r="H3662" s="189"/>
      <c r="I3662" s="218"/>
      <c r="K3662" s="232" t="s">
        <v>258</v>
      </c>
      <c r="L3662" s="190" t="str">
        <f>_xlfn.XLOOKUP($B3663,シフト抽出!$19:$19,シフト抽出!$20:$20,"該当なし",0,1)</f>
        <v>該当なし</v>
      </c>
    </row>
    <row r="3663" spans="1:12" ht="19.5" thickBot="1">
      <c r="A3663"/>
      <c r="B3663" s="191">
        <f>B3610+1</f>
        <v>46193</v>
      </c>
      <c r="C3663" s="192"/>
      <c r="D3663" s="193"/>
      <c r="E3663" s="193"/>
      <c r="F3663" s="193"/>
      <c r="G3663" s="193"/>
      <c r="H3663" s="193"/>
      <c r="I3663" s="219"/>
      <c r="K3663" s="233"/>
      <c r="L3663" s="194" t="str">
        <f>_xlfn.XLOOKUP($B3663,シフト抽出!$19:$19,シフト抽出!$21:$21,"該当なし",0,1)</f>
        <v>該当なし</v>
      </c>
    </row>
    <row r="3664" spans="1:12">
      <c r="A3664" s="195"/>
      <c r="B3664" s="196">
        <v>0.25</v>
      </c>
      <c r="C3664"/>
      <c r="D3664" s="197"/>
      <c r="E3664" s="196"/>
      <c r="F3664" s="197"/>
      <c r="G3664" s="197"/>
      <c r="H3664" s="197"/>
      <c r="I3664" s="209"/>
      <c r="K3664" s="234" t="s">
        <v>259</v>
      </c>
      <c r="L3664" s="198" t="str">
        <f>_xlfn.XLOOKUP($B3663,シフト抽出!$19:$19,シフト抽出!$23:$23,"該当なし",0,1)</f>
        <v>該当なし</v>
      </c>
    </row>
    <row r="3665" spans="1:12" ht="15.75" thickBot="1">
      <c r="A3665" s="195"/>
      <c r="B3665" s="195" t="s">
        <v>205</v>
      </c>
      <c r="C3665"/>
      <c r="D3665" s="197"/>
      <c r="E3665" s="197"/>
      <c r="F3665" s="197"/>
      <c r="G3665" s="197"/>
      <c r="H3665" s="197"/>
      <c r="I3665" s="209"/>
      <c r="K3665" s="235"/>
      <c r="L3665" s="199" t="str">
        <f>_xlfn.XLOOKUP($B3663,シフト抽出!$19:$19,シフト抽出!$24:$24,"該当なし",0,1)</f>
        <v>該当なし</v>
      </c>
    </row>
    <row r="3666" spans="1:12">
      <c r="A3666" s="195"/>
      <c r="B3666" s="195" t="s">
        <v>206</v>
      </c>
      <c r="C3666"/>
      <c r="D3666" s="197"/>
      <c r="E3666" s="197"/>
      <c r="F3666" s="197"/>
      <c r="G3666" s="197"/>
      <c r="H3666" s="197"/>
      <c r="I3666" s="209"/>
      <c r="K3666" s="224" t="s">
        <v>260</v>
      </c>
      <c r="L3666" s="200" t="str">
        <f>_xlfn.XLOOKUP($B3663,シフト抽出!$19:$19,シフト抽出!$26:$26,"該当なし",0,1)</f>
        <v>該当なし</v>
      </c>
    </row>
    <row r="3667" spans="1:12">
      <c r="A3667" s="195"/>
      <c r="B3667" s="195" t="s">
        <v>207</v>
      </c>
      <c r="C3667"/>
      <c r="D3667" s="197"/>
      <c r="E3667" s="197"/>
      <c r="F3667" s="197"/>
      <c r="G3667" s="197"/>
      <c r="H3667" s="197"/>
      <c r="I3667" s="209"/>
      <c r="K3667" s="225"/>
      <c r="L3667" s="201" t="str">
        <f>_xlfn.XLOOKUP($B3663,シフト抽出!$19:$19,シフト抽出!$27:$27,"該当なし",0,1)</f>
        <v>該当なし</v>
      </c>
    </row>
    <row r="3668" spans="1:12">
      <c r="A3668" s="195"/>
      <c r="B3668" s="202" t="s">
        <v>208</v>
      </c>
      <c r="C3668"/>
      <c r="D3668" s="197"/>
      <c r="E3668" s="197"/>
      <c r="F3668" s="197"/>
      <c r="G3668" s="197"/>
      <c r="H3668" s="197"/>
      <c r="I3668" s="209"/>
      <c r="J3668" s="203"/>
      <c r="K3668" s="225"/>
      <c r="L3668" s="201" t="str">
        <f>_xlfn.XLOOKUP($B3663,シフト抽出!$19:$19,シフト抽出!$28:$28,"該当なし",0,1)</f>
        <v>該当なし</v>
      </c>
    </row>
    <row r="3669" spans="1:12" ht="15.75" thickBot="1">
      <c r="A3669" s="195"/>
      <c r="B3669" s="195" t="s">
        <v>205</v>
      </c>
      <c r="C3669"/>
      <c r="D3669" s="197"/>
      <c r="E3669" s="197"/>
      <c r="F3669" s="197"/>
      <c r="G3669" s="197"/>
      <c r="H3669" s="197"/>
      <c r="I3669" s="209"/>
      <c r="J3669" s="203"/>
      <c r="K3669" s="226"/>
      <c r="L3669" s="204" t="str">
        <f>_xlfn.XLOOKUP($B3663,シフト抽出!$19:$19,シフト抽出!$29:$29,"該当なし",0,1)</f>
        <v>該当なし</v>
      </c>
    </row>
    <row r="3670" spans="1:12" ht="15.75" thickBot="1">
      <c r="A3670" s="195"/>
      <c r="B3670" s="195" t="s">
        <v>206</v>
      </c>
      <c r="C3670"/>
      <c r="D3670" s="197"/>
      <c r="E3670" s="197"/>
      <c r="F3670" s="197"/>
      <c r="G3670" s="197"/>
      <c r="H3670" s="197"/>
      <c r="I3670" s="209"/>
      <c r="K3670" s="205" t="s">
        <v>261</v>
      </c>
      <c r="L3670" s="205">
        <f>_xlfn.XLOOKUP($B3663,予定表!B:B,予定表!R:R,"該当なし",0,1)</f>
        <v>0</v>
      </c>
    </row>
    <row r="3671" spans="1:12">
      <c r="A3671" s="195"/>
      <c r="B3671" s="195" t="s">
        <v>207</v>
      </c>
      <c r="C3671"/>
      <c r="D3671" s="197"/>
      <c r="E3671" s="197"/>
      <c r="F3671" s="197"/>
      <c r="G3671" s="197"/>
      <c r="H3671" s="197"/>
      <c r="I3671" s="209"/>
      <c r="K3671" s="227" t="s">
        <v>262</v>
      </c>
      <c r="L3671" s="206">
        <f>_xlfn.XLOOKUP($B3663,予定表!$B:$B,予定表!E:E,"該当なし",0,1)</f>
        <v>0</v>
      </c>
    </row>
    <row r="3672" spans="1:12">
      <c r="A3672" s="195"/>
      <c r="B3672" s="196" t="s">
        <v>209</v>
      </c>
      <c r="C3672"/>
      <c r="D3672" s="197" t="s">
        <v>4</v>
      </c>
      <c r="E3672" s="197" t="s">
        <v>4</v>
      </c>
      <c r="F3672" s="197"/>
      <c r="G3672" s="197"/>
      <c r="H3672" s="197"/>
      <c r="I3672" s="209"/>
      <c r="K3672" s="228"/>
      <c r="L3672" s="207">
        <f>_xlfn.XLOOKUP($B3663,予定表!$B:$B,予定表!F:F,"該当なし",0,1)</f>
        <v>0</v>
      </c>
    </row>
    <row r="3673" spans="1:12">
      <c r="A3673" s="195"/>
      <c r="B3673" s="195" t="s">
        <v>205</v>
      </c>
      <c r="C3673"/>
      <c r="D3673" s="197" t="s">
        <v>268</v>
      </c>
      <c r="E3673" s="197" t="s">
        <v>22</v>
      </c>
      <c r="F3673" s="197"/>
      <c r="G3673" s="197"/>
      <c r="H3673" s="197"/>
      <c r="I3673" s="209"/>
      <c r="K3673" s="228"/>
      <c r="L3673" s="207">
        <f>_xlfn.XLOOKUP($B3663,予定表!$B:$B,予定表!G:G,"該当なし",0,1)</f>
        <v>0</v>
      </c>
    </row>
    <row r="3674" spans="1:12">
      <c r="A3674" s="195"/>
      <c r="B3674" s="195" t="s">
        <v>206</v>
      </c>
      <c r="C3674"/>
      <c r="D3674" s="197" t="s">
        <v>268</v>
      </c>
      <c r="E3674" s="197" t="s">
        <v>22</v>
      </c>
      <c r="F3674" s="197"/>
      <c r="G3674" s="197"/>
      <c r="H3674" s="197"/>
      <c r="I3674" s="209"/>
      <c r="K3674" s="228"/>
      <c r="L3674" s="207" t="str">
        <f>_xlfn.XLOOKUP($B3663,予定表!$B:$B,予定表!H:H,"該当なし",0,1)</f>
        <v>資さんうどん</v>
      </c>
    </row>
    <row r="3675" spans="1:12">
      <c r="A3675" s="195"/>
      <c r="B3675" s="195" t="s">
        <v>207</v>
      </c>
      <c r="C3675"/>
      <c r="D3675" s="197" t="s">
        <v>268</v>
      </c>
      <c r="E3675" s="197" t="s">
        <v>793</v>
      </c>
      <c r="F3675" s="197"/>
      <c r="G3675" s="197"/>
      <c r="H3675" s="197"/>
      <c r="I3675" s="209"/>
      <c r="K3675" s="228"/>
      <c r="L3675" s="207" t="str">
        <f>_xlfn.XLOOKUP($B3663,予定表!$B:$B,予定表!I:I,"該当なし",0,1)</f>
        <v/>
      </c>
    </row>
    <row r="3676" spans="1:12">
      <c r="A3676" s="195"/>
      <c r="B3676" s="196" t="s">
        <v>212</v>
      </c>
      <c r="C3676"/>
      <c r="D3676" s="197" t="s">
        <v>268</v>
      </c>
      <c r="E3676" s="197" t="s">
        <v>241</v>
      </c>
      <c r="F3676" s="197"/>
      <c r="G3676" s="197"/>
      <c r="H3676" s="197"/>
      <c r="I3676" s="209"/>
      <c r="K3676" s="228"/>
      <c r="L3676" s="207" t="str">
        <f>_xlfn.XLOOKUP($B3663,予定表!$B:$B,予定表!J:J,"該当なし",0,1)</f>
        <v/>
      </c>
    </row>
    <row r="3677" spans="1:12">
      <c r="A3677" s="195"/>
      <c r="B3677" s="195" t="s">
        <v>205</v>
      </c>
      <c r="C3677"/>
      <c r="D3677" s="197" t="s">
        <v>268</v>
      </c>
      <c r="E3677" s="197" t="s">
        <v>241</v>
      </c>
      <c r="F3677" s="197"/>
      <c r="G3677" s="197"/>
      <c r="H3677" s="197"/>
      <c r="I3677" s="209"/>
      <c r="K3677" s="228"/>
      <c r="L3677" s="207" t="str">
        <f>_xlfn.XLOOKUP($B3663,予定表!$B:$B,予定表!K:K,"該当なし",0,1)</f>
        <v/>
      </c>
    </row>
    <row r="3678" spans="1:12">
      <c r="A3678" s="195"/>
      <c r="B3678" s="195" t="s">
        <v>206</v>
      </c>
      <c r="C3678"/>
      <c r="D3678" s="197" t="s">
        <v>515</v>
      </c>
      <c r="E3678" s="197" t="s">
        <v>244</v>
      </c>
      <c r="F3678" s="197"/>
      <c r="G3678" s="197"/>
      <c r="H3678" s="197"/>
      <c r="I3678" s="209"/>
      <c r="K3678" s="228"/>
      <c r="L3678" s="207" t="str">
        <f>_xlfn.XLOOKUP($B3663,予定表!$B:$B,予定表!L:L,"該当なし",0,1)</f>
        <v/>
      </c>
    </row>
    <row r="3679" spans="1:12" ht="15.75" thickBot="1">
      <c r="A3679" s="195"/>
      <c r="B3679" s="195" t="s">
        <v>207</v>
      </c>
      <c r="C3679"/>
      <c r="D3679" s="197" t="s">
        <v>515</v>
      </c>
      <c r="E3679" s="197" t="s">
        <v>244</v>
      </c>
      <c r="F3679" s="197"/>
      <c r="G3679" s="197"/>
      <c r="H3679" s="197"/>
      <c r="I3679" s="209"/>
      <c r="K3679" s="229"/>
      <c r="L3679" s="204" t="str">
        <f>_xlfn.XLOOKUP($A3660,ﾘｽﾄマスタ!$U$8:$U$17,ﾘｽﾄマスタ!$V$8:$V$17,"",0)</f>
        <v/>
      </c>
    </row>
    <row r="3680" spans="1:12" ht="15.75" thickBot="1">
      <c r="A3680" s="195"/>
      <c r="B3680" s="196" t="s">
        <v>251</v>
      </c>
      <c r="C3680"/>
      <c r="D3680" s="197" t="s">
        <v>515</v>
      </c>
      <c r="E3680" s="197" t="s">
        <v>114</v>
      </c>
      <c r="F3680" s="197"/>
      <c r="G3680" s="197"/>
      <c r="H3680" s="197"/>
      <c r="I3680" s="209"/>
      <c r="K3680" s="208" t="s">
        <v>277</v>
      </c>
      <c r="L3680" s="208" t="str">
        <f>_xlfn.XLOOKUP($B3663,シフト抽出!$19:$19,シフト抽出!$30:$30,"該当なし",0,1)</f>
        <v>該当なし</v>
      </c>
    </row>
    <row r="3681" spans="1:9">
      <c r="A3681" s="195"/>
      <c r="B3681" s="195" t="s">
        <v>205</v>
      </c>
      <c r="C3681"/>
      <c r="D3681" s="197" t="s">
        <v>242</v>
      </c>
      <c r="E3681" s="197" t="s">
        <v>114</v>
      </c>
      <c r="F3681" s="197"/>
      <c r="G3681" s="197"/>
      <c r="H3681" s="197"/>
      <c r="I3681" s="209"/>
    </row>
    <row r="3682" spans="1:9">
      <c r="A3682" s="195"/>
      <c r="B3682" s="195" t="s">
        <v>206</v>
      </c>
      <c r="C3682"/>
      <c r="D3682" s="197" t="s">
        <v>242</v>
      </c>
      <c r="E3682" s="197"/>
      <c r="F3682" s="197"/>
      <c r="G3682" s="197"/>
      <c r="H3682" s="197"/>
      <c r="I3682" s="209"/>
    </row>
    <row r="3683" spans="1:9">
      <c r="A3683" s="195"/>
      <c r="B3683" s="195" t="s">
        <v>207</v>
      </c>
      <c r="C3683"/>
      <c r="D3683" s="197" t="s">
        <v>242</v>
      </c>
      <c r="E3683" s="197" t="s">
        <v>851</v>
      </c>
      <c r="F3683" s="197"/>
      <c r="G3683" s="197"/>
      <c r="H3683" s="197"/>
      <c r="I3683" s="209"/>
    </row>
    <row r="3684" spans="1:9">
      <c r="A3684" s="195"/>
      <c r="B3684" s="196" t="s">
        <v>217</v>
      </c>
      <c r="C3684"/>
      <c r="D3684" s="197" t="s">
        <v>242</v>
      </c>
      <c r="E3684" s="197" t="s">
        <v>851</v>
      </c>
      <c r="F3684" s="197"/>
      <c r="G3684" s="197"/>
      <c r="H3684" s="197"/>
      <c r="I3684" s="209"/>
    </row>
    <row r="3685" spans="1:9">
      <c r="A3685" s="195"/>
      <c r="B3685" s="195" t="s">
        <v>205</v>
      </c>
      <c r="C3685"/>
      <c r="D3685" s="197" t="s">
        <v>242</v>
      </c>
      <c r="E3685" s="197" t="s">
        <v>851</v>
      </c>
      <c r="F3685" s="197"/>
      <c r="G3685" s="197"/>
      <c r="H3685" s="197"/>
      <c r="I3685" s="209"/>
    </row>
    <row r="3686" spans="1:9">
      <c r="A3686" s="195"/>
      <c r="B3686" s="195" t="s">
        <v>206</v>
      </c>
      <c r="C3686"/>
      <c r="D3686" s="197" t="s">
        <v>242</v>
      </c>
      <c r="E3686" s="197" t="s">
        <v>851</v>
      </c>
      <c r="F3686" s="197"/>
      <c r="G3686" s="197"/>
      <c r="H3686" s="197"/>
      <c r="I3686" s="209"/>
    </row>
    <row r="3687" spans="1:9">
      <c r="A3687" s="195"/>
      <c r="B3687" s="195" t="s">
        <v>207</v>
      </c>
      <c r="C3687"/>
      <c r="D3687" s="197"/>
      <c r="E3687" s="197" t="s">
        <v>851</v>
      </c>
      <c r="F3687" s="197"/>
      <c r="G3687" s="197"/>
      <c r="H3687" s="197"/>
      <c r="I3687" s="209"/>
    </row>
    <row r="3688" spans="1:9">
      <c r="A3688" s="195"/>
      <c r="B3688" s="196" t="s">
        <v>219</v>
      </c>
      <c r="C3688"/>
      <c r="D3688" s="197"/>
      <c r="E3688" s="197" t="s">
        <v>851</v>
      </c>
      <c r="F3688" s="197"/>
      <c r="G3688" s="197"/>
      <c r="H3688" s="197"/>
      <c r="I3688" s="209"/>
    </row>
    <row r="3689" spans="1:9">
      <c r="A3689" s="195"/>
      <c r="B3689" s="195" t="s">
        <v>205</v>
      </c>
      <c r="C3689"/>
      <c r="D3689" s="197"/>
      <c r="E3689" s="197"/>
      <c r="F3689" s="197"/>
      <c r="G3689" s="197"/>
      <c r="H3689" s="197"/>
      <c r="I3689" s="209"/>
    </row>
    <row r="3690" spans="1:9">
      <c r="A3690" s="195"/>
      <c r="B3690" s="195" t="s">
        <v>206</v>
      </c>
      <c r="C3690"/>
      <c r="D3690" s="197"/>
      <c r="E3690" s="197"/>
      <c r="F3690" s="197"/>
      <c r="G3690" s="197"/>
      <c r="H3690" s="197"/>
      <c r="I3690" s="209"/>
    </row>
    <row r="3691" spans="1:9">
      <c r="A3691" s="195"/>
      <c r="B3691" s="195" t="s">
        <v>207</v>
      </c>
      <c r="C3691"/>
      <c r="D3691" s="197"/>
      <c r="E3691" s="197"/>
      <c r="F3691" s="197"/>
      <c r="G3691" s="197"/>
      <c r="H3691" s="197"/>
      <c r="I3691" s="209"/>
    </row>
    <row r="3692" spans="1:9">
      <c r="A3692" s="195"/>
      <c r="B3692" s="196" t="s">
        <v>220</v>
      </c>
      <c r="C3692"/>
      <c r="D3692" s="197" t="s">
        <v>7</v>
      </c>
      <c r="E3692" s="197" t="s">
        <v>7</v>
      </c>
      <c r="F3692" s="197"/>
      <c r="G3692" s="189"/>
      <c r="H3692" s="197"/>
      <c r="I3692" s="209"/>
    </row>
    <row r="3693" spans="1:9">
      <c r="A3693" s="195"/>
      <c r="B3693" s="195" t="s">
        <v>205</v>
      </c>
      <c r="C3693"/>
      <c r="D3693" s="197" t="s">
        <v>886</v>
      </c>
      <c r="E3693" s="197" t="s">
        <v>228</v>
      </c>
      <c r="F3693" s="197"/>
      <c r="G3693" s="197"/>
      <c r="H3693" s="197"/>
      <c r="I3693" s="209"/>
    </row>
    <row r="3694" spans="1:9">
      <c r="A3694" s="195"/>
      <c r="B3694" s="195" t="s">
        <v>206</v>
      </c>
      <c r="C3694"/>
      <c r="D3694" s="197" t="s">
        <v>886</v>
      </c>
      <c r="E3694" s="197" t="s">
        <v>228</v>
      </c>
      <c r="F3694" s="197"/>
      <c r="G3694" s="197"/>
      <c r="H3694" s="197"/>
      <c r="I3694" s="209"/>
    </row>
    <row r="3695" spans="1:9">
      <c r="A3695" s="195"/>
      <c r="B3695" s="195" t="s">
        <v>207</v>
      </c>
      <c r="C3695"/>
      <c r="D3695" s="197" t="s">
        <v>886</v>
      </c>
      <c r="E3695" s="197" t="s">
        <v>228</v>
      </c>
      <c r="F3695" s="197"/>
      <c r="G3695" s="197"/>
      <c r="H3695" s="197"/>
      <c r="I3695" s="209"/>
    </row>
    <row r="3696" spans="1:9">
      <c r="A3696" s="195"/>
      <c r="B3696" s="196" t="s">
        <v>222</v>
      </c>
      <c r="C3696"/>
      <c r="D3696" s="197" t="s">
        <v>886</v>
      </c>
      <c r="E3696" s="197" t="s">
        <v>228</v>
      </c>
      <c r="F3696" s="197"/>
      <c r="G3696" s="197"/>
      <c r="H3696" s="197"/>
      <c r="I3696" s="209"/>
    </row>
    <row r="3697" spans="1:11">
      <c r="A3697" s="195"/>
      <c r="B3697" s="195" t="s">
        <v>205</v>
      </c>
      <c r="C3697"/>
      <c r="D3697" s="197"/>
      <c r="E3697" s="197" t="s">
        <v>228</v>
      </c>
      <c r="F3697" s="197"/>
      <c r="G3697" s="197"/>
      <c r="H3697" s="197"/>
      <c r="I3697" s="209"/>
    </row>
    <row r="3698" spans="1:11">
      <c r="A3698" s="195"/>
      <c r="B3698" s="195" t="s">
        <v>206</v>
      </c>
      <c r="C3698"/>
      <c r="D3698" s="197" t="s">
        <v>270</v>
      </c>
      <c r="E3698" s="197" t="s">
        <v>228</v>
      </c>
      <c r="F3698" s="197"/>
      <c r="G3698" s="197"/>
      <c r="H3698" s="197"/>
      <c r="I3698" s="209"/>
    </row>
    <row r="3699" spans="1:11">
      <c r="A3699" s="195"/>
      <c r="B3699" s="195" t="s">
        <v>207</v>
      </c>
      <c r="C3699"/>
      <c r="D3699" s="197" t="s">
        <v>270</v>
      </c>
      <c r="E3699" s="197" t="s">
        <v>228</v>
      </c>
      <c r="F3699" s="197"/>
      <c r="G3699" s="197"/>
      <c r="H3699" s="197"/>
      <c r="I3699" s="209"/>
    </row>
    <row r="3700" spans="1:11">
      <c r="A3700" s="195"/>
      <c r="B3700" s="196" t="s">
        <v>223</v>
      </c>
      <c r="C3700"/>
      <c r="D3700" s="197" t="s">
        <v>270</v>
      </c>
      <c r="E3700" s="197" t="s">
        <v>228</v>
      </c>
      <c r="F3700" s="197"/>
      <c r="G3700" s="197"/>
      <c r="H3700" s="197"/>
      <c r="I3700" s="209"/>
    </row>
    <row r="3701" spans="1:11">
      <c r="A3701" s="195"/>
      <c r="B3701" s="195" t="s">
        <v>205</v>
      </c>
      <c r="C3701"/>
      <c r="D3701" s="197" t="s">
        <v>270</v>
      </c>
      <c r="E3701" s="197" t="s">
        <v>273</v>
      </c>
      <c r="F3701" s="197"/>
      <c r="G3701" s="197"/>
      <c r="H3701" s="197"/>
      <c r="I3701" s="209"/>
    </row>
    <row r="3702" spans="1:11">
      <c r="A3702" s="195"/>
      <c r="B3702" s="195" t="s">
        <v>206</v>
      </c>
      <c r="C3702"/>
      <c r="D3702" s="197" t="s">
        <v>270</v>
      </c>
      <c r="E3702" s="197" t="s">
        <v>273</v>
      </c>
      <c r="F3702" s="197"/>
      <c r="G3702" s="197"/>
      <c r="H3702" s="197"/>
      <c r="I3702" s="209"/>
    </row>
    <row r="3703" spans="1:11">
      <c r="A3703" s="195"/>
      <c r="B3703" s="195" t="s">
        <v>207</v>
      </c>
      <c r="C3703"/>
      <c r="D3703" s="197" t="s">
        <v>270</v>
      </c>
      <c r="E3703" s="197" t="s">
        <v>273</v>
      </c>
      <c r="F3703" s="197"/>
      <c r="G3703" s="197"/>
      <c r="H3703" s="197"/>
      <c r="I3703" s="209"/>
    </row>
    <row r="3704" spans="1:11">
      <c r="A3704" s="195"/>
      <c r="B3704" s="196" t="s">
        <v>225</v>
      </c>
      <c r="C3704"/>
      <c r="D3704" s="197" t="s">
        <v>270</v>
      </c>
      <c r="E3704" s="197" t="s">
        <v>263</v>
      </c>
      <c r="F3704" s="197"/>
      <c r="G3704" s="197"/>
      <c r="H3704" s="197"/>
      <c r="I3704" s="209"/>
    </row>
    <row r="3705" spans="1:11">
      <c r="A3705" s="195"/>
      <c r="B3705" s="195" t="s">
        <v>205</v>
      </c>
      <c r="C3705"/>
      <c r="D3705" s="197" t="s">
        <v>270</v>
      </c>
      <c r="E3705" s="197" t="s">
        <v>263</v>
      </c>
      <c r="F3705" s="197"/>
      <c r="G3705" s="197"/>
      <c r="H3705" s="209"/>
      <c r="I3705" s="209"/>
    </row>
    <row r="3706" spans="1:11">
      <c r="A3706" s="195"/>
      <c r="B3706" s="195" t="s">
        <v>206</v>
      </c>
      <c r="C3706"/>
      <c r="D3706" s="197" t="s">
        <v>270</v>
      </c>
      <c r="E3706" s="197" t="s">
        <v>263</v>
      </c>
      <c r="F3706" s="197"/>
      <c r="G3706" s="197"/>
      <c r="H3706" s="209"/>
      <c r="I3706" s="209"/>
    </row>
    <row r="3707" spans="1:11">
      <c r="A3707" s="195"/>
      <c r="B3707" s="195" t="s">
        <v>207</v>
      </c>
      <c r="C3707"/>
      <c r="D3707" s="197" t="s">
        <v>270</v>
      </c>
      <c r="E3707" s="197" t="s">
        <v>263</v>
      </c>
      <c r="F3707" s="197"/>
      <c r="G3707" s="197"/>
      <c r="H3707" s="209"/>
      <c r="I3707" s="209"/>
    </row>
    <row r="3708" spans="1:11">
      <c r="A3708" s="195"/>
      <c r="B3708" s="196" t="s">
        <v>226</v>
      </c>
      <c r="C3708"/>
      <c r="D3708" s="197" t="s">
        <v>270</v>
      </c>
      <c r="E3708" s="197"/>
      <c r="F3708" s="197"/>
      <c r="G3708" s="197"/>
      <c r="H3708" s="209"/>
      <c r="I3708" s="209"/>
    </row>
    <row r="3709" spans="1:11">
      <c r="A3709" s="195"/>
      <c r="B3709" s="195" t="s">
        <v>205</v>
      </c>
      <c r="C3709"/>
      <c r="D3709" s="197" t="s">
        <v>270</v>
      </c>
      <c r="E3709" s="197"/>
      <c r="F3709" s="197"/>
      <c r="G3709" s="197"/>
      <c r="H3709" s="209"/>
      <c r="I3709" s="209"/>
    </row>
    <row r="3710" spans="1:11">
      <c r="A3710" s="195"/>
      <c r="B3710" s="195" t="s">
        <v>206</v>
      </c>
      <c r="C3710"/>
      <c r="D3710" s="197" t="s">
        <v>270</v>
      </c>
      <c r="E3710" s="197"/>
      <c r="F3710" s="197"/>
      <c r="G3710" s="197"/>
      <c r="H3710" s="209"/>
      <c r="I3710" s="209"/>
    </row>
    <row r="3711" spans="1:11">
      <c r="A3711" s="195"/>
      <c r="B3711" s="195" t="s">
        <v>207</v>
      </c>
      <c r="C3711"/>
      <c r="D3711" s="197" t="s">
        <v>270</v>
      </c>
      <c r="E3711" s="197"/>
      <c r="F3711" s="197"/>
      <c r="G3711" s="197"/>
      <c r="H3711" s="209"/>
      <c r="I3711" s="209"/>
    </row>
    <row r="3712" spans="1:11">
      <c r="A3712" s="195"/>
      <c r="B3712" s="196" t="s">
        <v>227</v>
      </c>
      <c r="C3712"/>
      <c r="D3712" s="197"/>
      <c r="E3712" s="197"/>
      <c r="F3712" s="197"/>
      <c r="G3712" s="197"/>
      <c r="H3712" s="209"/>
      <c r="I3712" s="209"/>
      <c r="K3712"/>
    </row>
    <row r="3713" spans="1:12" ht="29.25" thickBot="1">
      <c r="A3713" s="182" t="str">
        <f>"回収シフト  第"&amp;ROUNDUP(DAY(B3716)/7,0)  &amp;"  "&amp;TEXT(B3716,"aaaa")</f>
        <v>回収シフト  第4  月曜日</v>
      </c>
      <c r="B3713" s="183"/>
      <c r="C3713" s="183"/>
      <c r="D3713" s="183"/>
      <c r="E3713" s="183"/>
      <c r="F3713" s="183"/>
      <c r="G3713" s="184"/>
      <c r="H3713" s="184"/>
      <c r="I3713" s="184"/>
      <c r="K3713" s="183"/>
      <c r="L3713" s="183"/>
    </row>
    <row r="3714" spans="1:12" ht="15.75" thickBot="1">
      <c r="A3714"/>
      <c r="B3714"/>
      <c r="C3714"/>
      <c r="D3714" s="186" t="s">
        <v>201</v>
      </c>
      <c r="E3714" s="186" t="s">
        <v>202</v>
      </c>
      <c r="F3714" s="186" t="s">
        <v>203</v>
      </c>
      <c r="G3714" s="186" t="s">
        <v>204</v>
      </c>
      <c r="H3714" s="186" t="s">
        <v>267</v>
      </c>
      <c r="I3714" s="217" t="s">
        <v>267</v>
      </c>
      <c r="K3714" s="230" t="s">
        <v>257</v>
      </c>
      <c r="L3714" s="231"/>
    </row>
    <row r="3715" spans="1:12">
      <c r="A3715" s="187"/>
      <c r="B3715" s="188">
        <v>45495</v>
      </c>
      <c r="C3715" s="187"/>
      <c r="D3715" s="189" t="s">
        <v>276</v>
      </c>
      <c r="E3715" s="189" t="s">
        <v>849</v>
      </c>
      <c r="F3715" s="189" t="s">
        <v>925</v>
      </c>
      <c r="G3715" s="189" t="s">
        <v>926</v>
      </c>
      <c r="H3715" s="189" t="s">
        <v>852</v>
      </c>
      <c r="I3715" s="218" t="s">
        <v>852</v>
      </c>
      <c r="K3715" s="232" t="s">
        <v>258</v>
      </c>
      <c r="L3715" s="190" t="str">
        <f>_xlfn.XLOOKUP($B3716,シフト抽出!$19:$19,シフト抽出!$20:$20,"該当なし",0,1)</f>
        <v>該当なし</v>
      </c>
    </row>
    <row r="3716" spans="1:12" ht="19.5" thickBot="1">
      <c r="A3716"/>
      <c r="B3716" s="191">
        <f>B3663+2</f>
        <v>46195</v>
      </c>
      <c r="C3716" s="192"/>
      <c r="D3716" s="193"/>
      <c r="E3716" s="193"/>
      <c r="F3716" s="193"/>
      <c r="G3716" s="193"/>
      <c r="H3716" s="193"/>
      <c r="I3716" s="219"/>
      <c r="K3716" s="233"/>
      <c r="L3716" s="194" t="str">
        <f>_xlfn.XLOOKUP($B3716,シフト抽出!$19:$19,シフト抽出!$21:$21,"該当なし",0,1)</f>
        <v>該当なし</v>
      </c>
    </row>
    <row r="3717" spans="1:12">
      <c r="A3717" s="195"/>
      <c r="B3717" s="196">
        <v>0.25</v>
      </c>
      <c r="C3717"/>
      <c r="D3717" s="197"/>
      <c r="E3717" s="196"/>
      <c r="F3717" s="197"/>
      <c r="G3717" s="197"/>
      <c r="H3717" s="197"/>
      <c r="I3717" s="209"/>
      <c r="K3717" s="234" t="s">
        <v>259</v>
      </c>
      <c r="L3717" s="198" t="str">
        <f>_xlfn.XLOOKUP($B3716,シフト抽出!$19:$19,シフト抽出!$23:$23,"該当なし",0,1)</f>
        <v>該当なし</v>
      </c>
    </row>
    <row r="3718" spans="1:12" ht="15.75" thickBot="1">
      <c r="A3718" s="195"/>
      <c r="B3718" s="195" t="s">
        <v>205</v>
      </c>
      <c r="C3718"/>
      <c r="D3718" s="197"/>
      <c r="E3718" s="197"/>
      <c r="F3718" s="197"/>
      <c r="G3718" s="197"/>
      <c r="H3718" s="197"/>
      <c r="I3718" s="209"/>
      <c r="K3718" s="235"/>
      <c r="L3718" s="199" t="str">
        <f>_xlfn.XLOOKUP($B3716,シフト抽出!$19:$19,シフト抽出!$24:$24,"該当なし",0,1)</f>
        <v>該当なし</v>
      </c>
    </row>
    <row r="3719" spans="1:12">
      <c r="A3719" s="195"/>
      <c r="B3719" s="195" t="s">
        <v>206</v>
      </c>
      <c r="C3719"/>
      <c r="D3719" s="197"/>
      <c r="E3719" s="197"/>
      <c r="F3719" s="197"/>
      <c r="G3719" s="197"/>
      <c r="H3719" s="197"/>
      <c r="I3719" s="209"/>
      <c r="K3719" s="224" t="s">
        <v>260</v>
      </c>
      <c r="L3719" s="200" t="str">
        <f>_xlfn.XLOOKUP($B3716,シフト抽出!$19:$19,シフト抽出!$26:$26,"該当なし",0,1)</f>
        <v>該当なし</v>
      </c>
    </row>
    <row r="3720" spans="1:12">
      <c r="A3720" s="195"/>
      <c r="B3720" s="195" t="s">
        <v>207</v>
      </c>
      <c r="C3720"/>
      <c r="D3720" s="197"/>
      <c r="E3720" s="197"/>
      <c r="F3720" s="197"/>
      <c r="G3720" s="197"/>
      <c r="H3720" s="197"/>
      <c r="I3720" s="209"/>
      <c r="K3720" s="225"/>
      <c r="L3720" s="201" t="str">
        <f>_xlfn.XLOOKUP($B3716,シフト抽出!$19:$19,シフト抽出!$27:$27,"該当なし",0,1)</f>
        <v>該当なし</v>
      </c>
    </row>
    <row r="3721" spans="1:12">
      <c r="A3721" s="195"/>
      <c r="B3721" s="202" t="s">
        <v>208</v>
      </c>
      <c r="C3721"/>
      <c r="D3721" s="197"/>
      <c r="E3721" s="197" t="s">
        <v>851</v>
      </c>
      <c r="F3721" s="197" t="s">
        <v>89</v>
      </c>
      <c r="G3721" s="197"/>
      <c r="H3721" s="197"/>
      <c r="I3721" s="209"/>
      <c r="J3721" s="203"/>
      <c r="K3721" s="225"/>
      <c r="L3721" s="201" t="str">
        <f>_xlfn.XLOOKUP($B3716,シフト抽出!$19:$19,シフト抽出!$28:$28,"該当なし",0,1)</f>
        <v>該当なし</v>
      </c>
    </row>
    <row r="3722" spans="1:12" ht="15.75" thickBot="1">
      <c r="A3722" s="195"/>
      <c r="B3722" s="195" t="s">
        <v>205</v>
      </c>
      <c r="C3722"/>
      <c r="D3722" s="197"/>
      <c r="E3722" s="197" t="s">
        <v>851</v>
      </c>
      <c r="F3722" s="197"/>
      <c r="G3722" s="197"/>
      <c r="H3722" s="197"/>
      <c r="I3722" s="209"/>
      <c r="J3722" s="203"/>
      <c r="K3722" s="226"/>
      <c r="L3722" s="204" t="str">
        <f>_xlfn.XLOOKUP($B3716,シフト抽出!$19:$19,シフト抽出!$29:$29,"該当なし",0,1)</f>
        <v>該当なし</v>
      </c>
    </row>
    <row r="3723" spans="1:12" ht="15.75" thickBot="1">
      <c r="A3723" s="195"/>
      <c r="B3723" s="195" t="s">
        <v>206</v>
      </c>
      <c r="C3723"/>
      <c r="D3723" s="197"/>
      <c r="E3723" s="197" t="s">
        <v>851</v>
      </c>
      <c r="F3723" s="197"/>
      <c r="G3723" s="197"/>
      <c r="H3723" s="197"/>
      <c r="I3723" s="209"/>
      <c r="K3723" s="205" t="s">
        <v>261</v>
      </c>
      <c r="L3723" s="205">
        <f>_xlfn.XLOOKUP($B3716,予定表!B:B,予定表!R:R,"該当なし",0,1)</f>
        <v>0</v>
      </c>
    </row>
    <row r="3724" spans="1:12">
      <c r="A3724" s="195"/>
      <c r="B3724" s="195" t="s">
        <v>207</v>
      </c>
      <c r="C3724"/>
      <c r="D3724" s="197"/>
      <c r="E3724" s="197" t="s">
        <v>851</v>
      </c>
      <c r="F3724" s="197"/>
      <c r="G3724" s="197"/>
      <c r="H3724" s="197"/>
      <c r="I3724" s="209"/>
      <c r="K3724" s="227" t="s">
        <v>262</v>
      </c>
      <c r="L3724" s="206" t="str">
        <f>_xlfn.XLOOKUP($B3716,予定表!$B:$B,予定表!E:E,"該当なし",0,1)</f>
        <v>キョクレイストレッチ</v>
      </c>
    </row>
    <row r="3725" spans="1:12">
      <c r="A3725" s="195"/>
      <c r="B3725" s="196" t="s">
        <v>209</v>
      </c>
      <c r="C3725"/>
      <c r="D3725" s="197" t="s">
        <v>264</v>
      </c>
      <c r="E3725" s="197" t="s">
        <v>851</v>
      </c>
      <c r="F3725" s="197" t="s">
        <v>62</v>
      </c>
      <c r="G3725" s="197" t="s">
        <v>268</v>
      </c>
      <c r="H3725" s="197" t="s">
        <v>848</v>
      </c>
      <c r="I3725" s="209" t="s">
        <v>848</v>
      </c>
      <c r="K3725" s="228"/>
      <c r="L3725" s="207" t="str">
        <f>_xlfn.XLOOKUP($B3716,予定表!$B:$B,予定表!F:F,"該当なし",0,1)</f>
        <v>ディーミング</v>
      </c>
    </row>
    <row r="3726" spans="1:12">
      <c r="A3726" s="195"/>
      <c r="B3726" s="195" t="s">
        <v>205</v>
      </c>
      <c r="C3726"/>
      <c r="D3726" s="197" t="s">
        <v>793</v>
      </c>
      <c r="E3726" s="197" t="s">
        <v>851</v>
      </c>
      <c r="F3726" s="197" t="s">
        <v>62</v>
      </c>
      <c r="G3726" s="197" t="s">
        <v>268</v>
      </c>
      <c r="H3726" s="197" t="s">
        <v>848</v>
      </c>
      <c r="I3726" s="209" t="s">
        <v>848</v>
      </c>
      <c r="K3726" s="228"/>
      <c r="L3726" s="207">
        <f>_xlfn.XLOOKUP($B3716,予定表!$B:$B,予定表!G:G,"該当なし",0,1)</f>
        <v>0</v>
      </c>
    </row>
    <row r="3727" spans="1:12">
      <c r="A3727" s="195"/>
      <c r="B3727" s="195" t="s">
        <v>206</v>
      </c>
      <c r="C3727"/>
      <c r="D3727" s="197" t="s">
        <v>793</v>
      </c>
      <c r="E3727" s="197"/>
      <c r="F3727" s="197" t="s">
        <v>62</v>
      </c>
      <c r="G3727" s="197" t="s">
        <v>268</v>
      </c>
      <c r="H3727" s="197" t="s">
        <v>848</v>
      </c>
      <c r="I3727" s="209" t="s">
        <v>848</v>
      </c>
      <c r="K3727" s="228"/>
      <c r="L3727" s="207" t="str">
        <f>_xlfn.XLOOKUP($B3716,予定表!$B:$B,予定表!H:H,"該当なし",0,1)</f>
        <v>資さんうどん</v>
      </c>
    </row>
    <row r="3728" spans="1:12">
      <c r="A3728" s="195"/>
      <c r="B3728" s="195" t="s">
        <v>207</v>
      </c>
      <c r="C3728"/>
      <c r="D3728" s="197" t="s">
        <v>119</v>
      </c>
      <c r="E3728" s="197" t="s">
        <v>414</v>
      </c>
      <c r="F3728" s="197" t="s">
        <v>62</v>
      </c>
      <c r="G3728" s="197" t="s">
        <v>268</v>
      </c>
      <c r="H3728" s="197" t="s">
        <v>848</v>
      </c>
      <c r="I3728" s="209" t="s">
        <v>848</v>
      </c>
      <c r="K3728" s="228"/>
      <c r="L3728" s="207" t="str">
        <f>_xlfn.XLOOKUP($B3716,予定表!$B:$B,予定表!I:I,"該当なし",0,1)</f>
        <v/>
      </c>
    </row>
    <row r="3729" spans="1:12">
      <c r="A3729" s="195"/>
      <c r="B3729" s="196" t="s">
        <v>212</v>
      </c>
      <c r="C3729"/>
      <c r="D3729" s="197" t="s">
        <v>278</v>
      </c>
      <c r="E3729" s="197" t="s">
        <v>414</v>
      </c>
      <c r="F3729" s="197" t="s">
        <v>62</v>
      </c>
      <c r="G3729" s="197" t="s">
        <v>268</v>
      </c>
      <c r="H3729" s="197" t="s">
        <v>848</v>
      </c>
      <c r="I3729" s="209" t="s">
        <v>848</v>
      </c>
      <c r="K3729" s="228"/>
      <c r="L3729" s="207" t="str">
        <f>_xlfn.XLOOKUP($B3716,予定表!$B:$B,予定表!J:J,"該当なし",0,1)</f>
        <v/>
      </c>
    </row>
    <row r="3730" spans="1:12">
      <c r="A3730" s="195"/>
      <c r="B3730" s="195" t="s">
        <v>205</v>
      </c>
      <c r="C3730"/>
      <c r="D3730" s="197" t="s">
        <v>213</v>
      </c>
      <c r="E3730" s="197" t="s">
        <v>414</v>
      </c>
      <c r="F3730" s="197" t="s">
        <v>62</v>
      </c>
      <c r="G3730" s="197" t="s">
        <v>515</v>
      </c>
      <c r="H3730" s="197" t="s">
        <v>229</v>
      </c>
      <c r="I3730" s="209" t="s">
        <v>229</v>
      </c>
      <c r="K3730" s="228"/>
      <c r="L3730" s="207" t="str">
        <f>_xlfn.XLOOKUP($B3716,予定表!$B:$B,予定表!K:K,"該当なし",0,1)</f>
        <v/>
      </c>
    </row>
    <row r="3731" spans="1:12">
      <c r="A3731" s="195"/>
      <c r="B3731" s="195" t="s">
        <v>206</v>
      </c>
      <c r="C3731"/>
      <c r="D3731" s="197" t="s">
        <v>144</v>
      </c>
      <c r="E3731" s="197" t="s">
        <v>414</v>
      </c>
      <c r="F3731" s="197" t="s">
        <v>62</v>
      </c>
      <c r="G3731" s="197" t="s">
        <v>515</v>
      </c>
      <c r="H3731" s="197" t="s">
        <v>229</v>
      </c>
      <c r="I3731" s="209" t="s">
        <v>229</v>
      </c>
      <c r="K3731" s="228"/>
      <c r="L3731" s="207" t="str">
        <f>_xlfn.XLOOKUP($B3716,予定表!$B:$B,予定表!L:L,"該当なし",0,1)</f>
        <v/>
      </c>
    </row>
    <row r="3732" spans="1:12" ht="15.75" thickBot="1">
      <c r="A3732" s="195"/>
      <c r="B3732" s="195" t="s">
        <v>207</v>
      </c>
      <c r="C3732"/>
      <c r="D3732" s="197" t="s">
        <v>144</v>
      </c>
      <c r="E3732" s="197" t="s">
        <v>414</v>
      </c>
      <c r="F3732" s="197" t="s">
        <v>62</v>
      </c>
      <c r="G3732" s="197" t="s">
        <v>269</v>
      </c>
      <c r="H3732" s="197" t="s">
        <v>229</v>
      </c>
      <c r="I3732" s="209" t="s">
        <v>229</v>
      </c>
      <c r="K3732" s="229"/>
      <c r="L3732" s="204" t="str">
        <f>_xlfn.XLOOKUP($A3713,ﾘｽﾄマスタ!$U$8:$U$17,ﾘｽﾄマスタ!$V$8:$V$17,"",0)</f>
        <v/>
      </c>
    </row>
    <row r="3733" spans="1:12" ht="15.75" thickBot="1">
      <c r="A3733" s="195"/>
      <c r="B3733" s="196" t="s">
        <v>251</v>
      </c>
      <c r="C3733"/>
      <c r="D3733" s="197" t="s">
        <v>218</v>
      </c>
      <c r="E3733" s="197" t="s">
        <v>862</v>
      </c>
      <c r="F3733" s="197" t="s">
        <v>62</v>
      </c>
      <c r="G3733" s="197" t="s">
        <v>269</v>
      </c>
      <c r="H3733" s="197" t="s">
        <v>230</v>
      </c>
      <c r="I3733" s="209" t="s">
        <v>230</v>
      </c>
      <c r="K3733" s="208" t="s">
        <v>277</v>
      </c>
      <c r="L3733" s="208" t="str">
        <f>_xlfn.XLOOKUP($B3716,シフト抽出!$19:$19,シフト抽出!$30:$30,"該当なし",0,1)</f>
        <v>該当なし</v>
      </c>
    </row>
    <row r="3734" spans="1:12">
      <c r="A3734" s="195"/>
      <c r="B3734" s="195" t="s">
        <v>205</v>
      </c>
      <c r="C3734"/>
      <c r="D3734" s="197" t="s">
        <v>78</v>
      </c>
      <c r="E3734" s="197" t="s">
        <v>214</v>
      </c>
      <c r="F3734" s="197" t="s">
        <v>62</v>
      </c>
      <c r="G3734" s="197" t="s">
        <v>269</v>
      </c>
      <c r="H3734" s="197" t="s">
        <v>230</v>
      </c>
      <c r="I3734" s="209" t="s">
        <v>230</v>
      </c>
    </row>
    <row r="3735" spans="1:12">
      <c r="A3735" s="195"/>
      <c r="B3735" s="195" t="s">
        <v>206</v>
      </c>
      <c r="C3735"/>
      <c r="D3735" s="197" t="s">
        <v>78</v>
      </c>
      <c r="E3735" s="197" t="s">
        <v>214</v>
      </c>
      <c r="F3735" s="197" t="s">
        <v>62</v>
      </c>
      <c r="G3735" s="197" t="s">
        <v>269</v>
      </c>
      <c r="H3735" s="197" t="s">
        <v>230</v>
      </c>
      <c r="I3735" s="209" t="s">
        <v>230</v>
      </c>
    </row>
    <row r="3736" spans="1:12">
      <c r="A3736" s="195"/>
      <c r="B3736" s="195" t="s">
        <v>207</v>
      </c>
      <c r="C3736"/>
      <c r="D3736" s="197" t="s">
        <v>146</v>
      </c>
      <c r="E3736" s="197" t="s">
        <v>214</v>
      </c>
      <c r="F3736" s="197" t="s">
        <v>62</v>
      </c>
      <c r="G3736" s="197" t="s">
        <v>446</v>
      </c>
      <c r="H3736" s="197" t="s">
        <v>230</v>
      </c>
      <c r="I3736" s="209" t="s">
        <v>230</v>
      </c>
    </row>
    <row r="3737" spans="1:12">
      <c r="A3737" s="195"/>
      <c r="B3737" s="196" t="s">
        <v>217</v>
      </c>
      <c r="C3737"/>
      <c r="D3737" s="197" t="s">
        <v>146</v>
      </c>
      <c r="E3737" s="197" t="s">
        <v>214</v>
      </c>
      <c r="F3737" s="197" t="s">
        <v>62</v>
      </c>
      <c r="G3737" s="197" t="s">
        <v>446</v>
      </c>
      <c r="H3737" s="197" t="s">
        <v>230</v>
      </c>
      <c r="I3737" s="209" t="s">
        <v>230</v>
      </c>
    </row>
    <row r="3738" spans="1:12">
      <c r="A3738" s="195"/>
      <c r="B3738" s="195" t="s">
        <v>205</v>
      </c>
      <c r="C3738"/>
      <c r="D3738" s="197" t="s">
        <v>146</v>
      </c>
      <c r="E3738" s="197" t="s">
        <v>761</v>
      </c>
      <c r="F3738" s="197" t="s">
        <v>62</v>
      </c>
      <c r="G3738" s="197" t="s">
        <v>114</v>
      </c>
      <c r="H3738" s="197" t="s">
        <v>230</v>
      </c>
      <c r="I3738" s="209" t="s">
        <v>230</v>
      </c>
    </row>
    <row r="3739" spans="1:12">
      <c r="A3739" s="195"/>
      <c r="B3739" s="195" t="s">
        <v>206</v>
      </c>
      <c r="C3739"/>
      <c r="D3739" s="197"/>
      <c r="E3739" s="197" t="s">
        <v>761</v>
      </c>
      <c r="F3739" s="197" t="s">
        <v>62</v>
      </c>
      <c r="G3739" s="197" t="s">
        <v>51</v>
      </c>
      <c r="H3739" s="197"/>
      <c r="I3739" s="209"/>
    </row>
    <row r="3740" spans="1:12">
      <c r="A3740" s="195"/>
      <c r="B3740" s="195" t="s">
        <v>207</v>
      </c>
      <c r="C3740"/>
      <c r="D3740" s="197"/>
      <c r="E3740" s="197" t="s">
        <v>761</v>
      </c>
      <c r="F3740" s="197" t="s">
        <v>62</v>
      </c>
      <c r="G3740" s="197" t="s">
        <v>51</v>
      </c>
      <c r="H3740" s="197"/>
      <c r="I3740" s="209"/>
    </row>
    <row r="3741" spans="1:12">
      <c r="A3741" s="195"/>
      <c r="B3741" s="196" t="s">
        <v>219</v>
      </c>
      <c r="C3741"/>
      <c r="D3741" s="197"/>
      <c r="E3741" s="197" t="s">
        <v>761</v>
      </c>
      <c r="F3741" s="197" t="s">
        <v>62</v>
      </c>
      <c r="G3741" s="197" t="s">
        <v>51</v>
      </c>
      <c r="H3741" s="197"/>
      <c r="I3741" s="209"/>
    </row>
    <row r="3742" spans="1:12">
      <c r="A3742" s="195"/>
      <c r="B3742" s="195" t="s">
        <v>205</v>
      </c>
      <c r="C3742"/>
      <c r="D3742" s="197"/>
      <c r="E3742" s="197"/>
      <c r="F3742" s="197"/>
      <c r="G3742" s="197"/>
      <c r="H3742" s="197"/>
      <c r="I3742" s="209"/>
    </row>
    <row r="3743" spans="1:12">
      <c r="A3743" s="195"/>
      <c r="B3743" s="195" t="s">
        <v>206</v>
      </c>
      <c r="C3743"/>
      <c r="D3743" s="197"/>
      <c r="E3743" s="197"/>
      <c r="F3743" s="197"/>
      <c r="G3743" s="197"/>
      <c r="H3743" s="197"/>
      <c r="I3743" s="209"/>
    </row>
    <row r="3744" spans="1:12">
      <c r="A3744" s="195"/>
      <c r="B3744" s="195" t="s">
        <v>207</v>
      </c>
      <c r="C3744"/>
      <c r="D3744" s="189" t="s">
        <v>963</v>
      </c>
      <c r="E3744" s="189"/>
      <c r="F3744" s="189" t="s">
        <v>921</v>
      </c>
      <c r="G3744" s="189" t="s">
        <v>857</v>
      </c>
      <c r="H3744" s="197"/>
      <c r="I3744" s="209"/>
    </row>
    <row r="3745" spans="1:9">
      <c r="A3745" s="195"/>
      <c r="B3745" s="196" t="s">
        <v>220</v>
      </c>
      <c r="C3745"/>
      <c r="D3745" s="197" t="s">
        <v>759</v>
      </c>
      <c r="E3745" s="197" t="s">
        <v>848</v>
      </c>
      <c r="F3745" s="197" t="s">
        <v>56</v>
      </c>
      <c r="G3745" s="197" t="s">
        <v>89</v>
      </c>
      <c r="H3745" s="209" t="s">
        <v>415</v>
      </c>
      <c r="I3745" s="209" t="s">
        <v>415</v>
      </c>
    </row>
    <row r="3746" spans="1:9">
      <c r="A3746" s="195"/>
      <c r="B3746" s="195" t="s">
        <v>205</v>
      </c>
      <c r="C3746"/>
      <c r="D3746" s="197" t="s">
        <v>759</v>
      </c>
      <c r="E3746" s="197" t="s">
        <v>848</v>
      </c>
      <c r="F3746" s="197" t="s">
        <v>56</v>
      </c>
      <c r="G3746" s="197" t="s">
        <v>89</v>
      </c>
      <c r="H3746" s="209" t="s">
        <v>415</v>
      </c>
      <c r="I3746" s="209" t="s">
        <v>415</v>
      </c>
    </row>
    <row r="3747" spans="1:9">
      <c r="A3747" s="195"/>
      <c r="B3747" s="195" t="s">
        <v>206</v>
      </c>
      <c r="C3747"/>
      <c r="D3747" s="197" t="s">
        <v>759</v>
      </c>
      <c r="E3747" s="197" t="s">
        <v>848</v>
      </c>
      <c r="F3747" s="197" t="s">
        <v>56</v>
      </c>
      <c r="G3747" s="197" t="s">
        <v>89</v>
      </c>
      <c r="H3747" s="209" t="s">
        <v>415</v>
      </c>
      <c r="I3747" s="209" t="s">
        <v>415</v>
      </c>
    </row>
    <row r="3748" spans="1:9">
      <c r="A3748" s="195"/>
      <c r="B3748" s="195" t="s">
        <v>207</v>
      </c>
      <c r="C3748"/>
      <c r="D3748" s="197" t="s">
        <v>216</v>
      </c>
      <c r="E3748" s="197" t="s">
        <v>273</v>
      </c>
      <c r="F3748" s="197" t="s">
        <v>56</v>
      </c>
      <c r="G3748" s="197" t="s">
        <v>89</v>
      </c>
      <c r="H3748" s="209" t="s">
        <v>415</v>
      </c>
      <c r="I3748" s="209" t="s">
        <v>415</v>
      </c>
    </row>
    <row r="3749" spans="1:9">
      <c r="A3749" s="195"/>
      <c r="B3749" s="196" t="s">
        <v>222</v>
      </c>
      <c r="C3749"/>
      <c r="D3749" s="197" t="s">
        <v>216</v>
      </c>
      <c r="E3749" s="197" t="s">
        <v>273</v>
      </c>
      <c r="F3749" s="197"/>
      <c r="G3749" s="197" t="s">
        <v>424</v>
      </c>
      <c r="H3749" s="197"/>
      <c r="I3749" s="197" t="s">
        <v>424</v>
      </c>
    </row>
    <row r="3750" spans="1:9">
      <c r="A3750" s="195"/>
      <c r="B3750" s="195" t="s">
        <v>205</v>
      </c>
      <c r="C3750"/>
      <c r="D3750" s="197" t="s">
        <v>216</v>
      </c>
      <c r="E3750" s="197" t="s">
        <v>273</v>
      </c>
      <c r="F3750" s="197" t="s">
        <v>193</v>
      </c>
      <c r="G3750" s="197" t="s">
        <v>270</v>
      </c>
      <c r="H3750" s="209" t="s">
        <v>415</v>
      </c>
      <c r="I3750" s="209" t="s">
        <v>415</v>
      </c>
    </row>
    <row r="3751" spans="1:9">
      <c r="A3751" s="195"/>
      <c r="B3751" s="195" t="s">
        <v>206</v>
      </c>
      <c r="C3751"/>
      <c r="D3751" s="197" t="s">
        <v>216</v>
      </c>
      <c r="E3751" s="197" t="s">
        <v>252</v>
      </c>
      <c r="F3751" s="197" t="s">
        <v>122</v>
      </c>
      <c r="G3751" s="197" t="s">
        <v>270</v>
      </c>
      <c r="H3751" s="209" t="s">
        <v>415</v>
      </c>
      <c r="I3751" s="209" t="s">
        <v>415</v>
      </c>
    </row>
    <row r="3752" spans="1:9">
      <c r="A3752" s="195"/>
      <c r="B3752" s="195" t="s">
        <v>207</v>
      </c>
      <c r="C3752"/>
      <c r="D3752" s="197" t="s">
        <v>215</v>
      </c>
      <c r="E3752" s="197" t="s">
        <v>252</v>
      </c>
      <c r="F3752" s="197" t="s">
        <v>224</v>
      </c>
      <c r="G3752" s="197" t="s">
        <v>270</v>
      </c>
      <c r="H3752" s="209" t="s">
        <v>415</v>
      </c>
      <c r="I3752" s="209" t="s">
        <v>415</v>
      </c>
    </row>
    <row r="3753" spans="1:9">
      <c r="A3753" s="195"/>
      <c r="B3753" s="196" t="s">
        <v>223</v>
      </c>
      <c r="C3753"/>
      <c r="D3753" s="197" t="s">
        <v>280</v>
      </c>
      <c r="E3753" s="197" t="s">
        <v>252</v>
      </c>
      <c r="F3753" s="197" t="s">
        <v>865</v>
      </c>
      <c r="G3753" s="197" t="s">
        <v>270</v>
      </c>
      <c r="H3753" s="209" t="s">
        <v>415</v>
      </c>
      <c r="I3753" s="209" t="s">
        <v>415</v>
      </c>
    </row>
    <row r="3754" spans="1:9">
      <c r="A3754" s="195"/>
      <c r="B3754" s="195" t="s">
        <v>205</v>
      </c>
      <c r="C3754"/>
      <c r="D3754" s="197" t="s">
        <v>127</v>
      </c>
      <c r="E3754" s="197" t="s">
        <v>252</v>
      </c>
      <c r="F3754" s="197" t="s">
        <v>866</v>
      </c>
      <c r="G3754" s="197" t="s">
        <v>270</v>
      </c>
      <c r="H3754" s="209" t="s">
        <v>415</v>
      </c>
      <c r="I3754" s="209" t="s">
        <v>415</v>
      </c>
    </row>
    <row r="3755" spans="1:9">
      <c r="A3755" s="195"/>
      <c r="B3755" s="195" t="s">
        <v>206</v>
      </c>
      <c r="C3755"/>
      <c r="D3755" s="197"/>
      <c r="E3755" s="197" t="s">
        <v>252</v>
      </c>
      <c r="F3755" s="197" t="s">
        <v>416</v>
      </c>
      <c r="G3755" s="197" t="s">
        <v>270</v>
      </c>
      <c r="H3755" s="209" t="s">
        <v>415</v>
      </c>
      <c r="I3755" s="209" t="s">
        <v>415</v>
      </c>
    </row>
    <row r="3756" spans="1:9">
      <c r="A3756" s="195"/>
      <c r="B3756" s="195" t="s">
        <v>207</v>
      </c>
      <c r="C3756"/>
      <c r="D3756" s="197"/>
      <c r="E3756" s="197" t="s">
        <v>252</v>
      </c>
      <c r="F3756" s="197" t="s">
        <v>771</v>
      </c>
      <c r="G3756" s="197" t="s">
        <v>270</v>
      </c>
      <c r="H3756" s="209" t="s">
        <v>415</v>
      </c>
      <c r="I3756" s="209" t="s">
        <v>415</v>
      </c>
    </row>
    <row r="3757" spans="1:9">
      <c r="A3757" s="195"/>
      <c r="B3757" s="196" t="s">
        <v>225</v>
      </c>
      <c r="C3757"/>
      <c r="D3757" s="197"/>
      <c r="E3757" s="197" t="s">
        <v>252</v>
      </c>
      <c r="F3757" s="197" t="s">
        <v>416</v>
      </c>
      <c r="G3757" s="197" t="s">
        <v>270</v>
      </c>
      <c r="H3757" s="209" t="s">
        <v>415</v>
      </c>
      <c r="I3757" s="209" t="s">
        <v>415</v>
      </c>
    </row>
    <row r="3758" spans="1:9">
      <c r="A3758" s="195"/>
      <c r="B3758" s="195" t="s">
        <v>205</v>
      </c>
      <c r="C3758"/>
      <c r="D3758" s="197"/>
      <c r="E3758" s="197"/>
      <c r="F3758" s="197" t="s">
        <v>62</v>
      </c>
      <c r="G3758" s="197" t="s">
        <v>270</v>
      </c>
      <c r="H3758" s="209" t="s">
        <v>415</v>
      </c>
      <c r="I3758" s="209" t="s">
        <v>415</v>
      </c>
    </row>
    <row r="3759" spans="1:9">
      <c r="A3759" s="195"/>
      <c r="B3759" s="195" t="s">
        <v>206</v>
      </c>
      <c r="C3759"/>
      <c r="D3759" s="197"/>
      <c r="E3759" s="197"/>
      <c r="F3759" s="197" t="s">
        <v>62</v>
      </c>
      <c r="G3759" s="197" t="s">
        <v>270</v>
      </c>
      <c r="H3759" s="209" t="s">
        <v>415</v>
      </c>
      <c r="I3759" s="209" t="s">
        <v>415</v>
      </c>
    </row>
    <row r="3760" spans="1:9">
      <c r="A3760" s="195"/>
      <c r="B3760" s="195" t="s">
        <v>207</v>
      </c>
      <c r="C3760"/>
      <c r="D3760" s="197"/>
      <c r="E3760" s="197"/>
      <c r="F3760" s="197" t="s">
        <v>62</v>
      </c>
      <c r="G3760" s="197" t="s">
        <v>270</v>
      </c>
      <c r="H3760" s="209" t="s">
        <v>415</v>
      </c>
      <c r="I3760" s="209" t="s">
        <v>415</v>
      </c>
    </row>
    <row r="3761" spans="1:12">
      <c r="A3761" s="195"/>
      <c r="B3761" s="196" t="s">
        <v>226</v>
      </c>
      <c r="C3761"/>
      <c r="D3761" s="197"/>
      <c r="E3761" s="197"/>
      <c r="F3761" s="197"/>
      <c r="G3761" s="197" t="s">
        <v>270</v>
      </c>
      <c r="H3761" s="209"/>
      <c r="I3761" s="209"/>
    </row>
    <row r="3762" spans="1:12">
      <c r="A3762" s="195"/>
      <c r="B3762" s="195" t="s">
        <v>205</v>
      </c>
      <c r="C3762"/>
      <c r="D3762" s="197"/>
      <c r="E3762" s="197"/>
      <c r="F3762" s="197"/>
      <c r="G3762" s="197" t="s">
        <v>270</v>
      </c>
      <c r="H3762" s="209"/>
      <c r="I3762" s="209"/>
    </row>
    <row r="3763" spans="1:12">
      <c r="A3763" s="195"/>
      <c r="B3763" s="195" t="s">
        <v>206</v>
      </c>
      <c r="C3763"/>
      <c r="D3763" s="197"/>
      <c r="E3763" s="197"/>
      <c r="F3763" s="197"/>
      <c r="G3763" s="197" t="s">
        <v>270</v>
      </c>
      <c r="H3763" s="209"/>
      <c r="I3763" s="209"/>
    </row>
    <row r="3764" spans="1:12">
      <c r="A3764" s="195"/>
      <c r="B3764" s="195" t="s">
        <v>207</v>
      </c>
      <c r="C3764"/>
      <c r="D3764" s="197"/>
      <c r="E3764" s="197"/>
      <c r="F3764" s="197"/>
      <c r="G3764" s="197" t="s">
        <v>270</v>
      </c>
      <c r="H3764" s="209"/>
      <c r="I3764" s="209"/>
    </row>
    <row r="3765" spans="1:12">
      <c r="A3765" s="195"/>
      <c r="B3765" s="196" t="s">
        <v>227</v>
      </c>
      <c r="C3765"/>
      <c r="D3765" s="197"/>
      <c r="E3765" s="197"/>
      <c r="F3765" s="197"/>
      <c r="G3765" s="197"/>
      <c r="H3765" s="209"/>
      <c r="I3765" s="209"/>
      <c r="K3765"/>
    </row>
    <row r="3766" spans="1:12" ht="29.25" thickBot="1">
      <c r="A3766" s="182" t="str">
        <f>"回収シフト  第"&amp;ROUNDUP(DAY(B3769)/7,0)  &amp;"  "&amp;TEXT(B3769,"aaaa")</f>
        <v>回収シフト  第4  火曜日</v>
      </c>
      <c r="B3766" s="183"/>
      <c r="C3766" s="183"/>
      <c r="D3766" s="183"/>
      <c r="E3766" s="183"/>
      <c r="F3766" s="183"/>
      <c r="G3766" s="184"/>
      <c r="H3766" s="184"/>
      <c r="I3766" s="184"/>
      <c r="K3766" s="183"/>
      <c r="L3766" s="183"/>
    </row>
    <row r="3767" spans="1:12" ht="15.75" thickBot="1">
      <c r="A3767"/>
      <c r="B3767"/>
      <c r="C3767"/>
      <c r="D3767" s="186" t="s">
        <v>201</v>
      </c>
      <c r="E3767" s="186" t="s">
        <v>202</v>
      </c>
      <c r="F3767" s="186" t="s">
        <v>203</v>
      </c>
      <c r="G3767" s="186" t="s">
        <v>204</v>
      </c>
      <c r="H3767" s="186" t="s">
        <v>267</v>
      </c>
      <c r="I3767" s="217" t="s">
        <v>267</v>
      </c>
      <c r="K3767" s="230" t="s">
        <v>257</v>
      </c>
      <c r="L3767" s="231"/>
    </row>
    <row r="3768" spans="1:12">
      <c r="A3768" s="187"/>
      <c r="B3768" s="188">
        <v>46119</v>
      </c>
      <c r="C3768" s="187"/>
      <c r="D3768" s="189" t="s">
        <v>859</v>
      </c>
      <c r="E3768" s="189" t="s">
        <v>849</v>
      </c>
      <c r="F3768" s="189" t="s">
        <v>925</v>
      </c>
      <c r="G3768" s="189" t="s">
        <v>857</v>
      </c>
      <c r="H3768" s="189" t="s">
        <v>852</v>
      </c>
      <c r="I3768" s="218" t="s">
        <v>852</v>
      </c>
      <c r="K3768" s="232" t="s">
        <v>258</v>
      </c>
      <c r="L3768" s="190" t="str">
        <f>_xlfn.XLOOKUP($B3769,シフト抽出!$19:$19,シフト抽出!$20:$20,"該当なし",0,1)</f>
        <v>該当なし</v>
      </c>
    </row>
    <row r="3769" spans="1:12" ht="19.5" thickBot="1">
      <c r="A3769"/>
      <c r="B3769" s="191">
        <f>B3716+1</f>
        <v>46196</v>
      </c>
      <c r="C3769" s="192"/>
      <c r="D3769" s="193"/>
      <c r="E3769" s="193"/>
      <c r="F3769" s="193"/>
      <c r="G3769" s="193"/>
      <c r="H3769" s="193"/>
      <c r="I3769" s="219"/>
      <c r="K3769" s="233"/>
      <c r="L3769" s="194" t="str">
        <f>_xlfn.XLOOKUP($B3769,シフト抽出!$19:$19,シフト抽出!$21:$21,"該当なし",0,1)</f>
        <v>該当なし</v>
      </c>
    </row>
    <row r="3770" spans="1:12">
      <c r="A3770" s="195"/>
      <c r="B3770" s="196">
        <v>0.25</v>
      </c>
      <c r="C3770"/>
      <c r="D3770" s="197"/>
      <c r="E3770" s="196"/>
      <c r="F3770" s="197"/>
      <c r="G3770" s="197"/>
      <c r="H3770" s="197"/>
      <c r="I3770" s="209"/>
      <c r="K3770" s="234" t="s">
        <v>259</v>
      </c>
      <c r="L3770" s="198" t="str">
        <f>_xlfn.XLOOKUP($B3769,シフト抽出!$19:$19,シフト抽出!$23:$23,"該当なし",0,1)</f>
        <v>該当なし</v>
      </c>
    </row>
    <row r="3771" spans="1:12" ht="15.75" thickBot="1">
      <c r="A3771" s="195"/>
      <c r="B3771" s="195" t="s">
        <v>205</v>
      </c>
      <c r="C3771"/>
      <c r="D3771" s="197"/>
      <c r="E3771" s="197"/>
      <c r="F3771" s="197"/>
      <c r="G3771" s="197"/>
      <c r="H3771" s="197"/>
      <c r="I3771" s="209"/>
      <c r="K3771" s="235"/>
      <c r="L3771" s="199" t="str">
        <f>_xlfn.XLOOKUP($B3769,シフト抽出!$19:$19,シフト抽出!$24:$24,"該当なし",0,1)</f>
        <v>該当なし</v>
      </c>
    </row>
    <row r="3772" spans="1:12">
      <c r="A3772" s="195"/>
      <c r="B3772" s="195" t="s">
        <v>206</v>
      </c>
      <c r="C3772"/>
      <c r="D3772" s="197"/>
      <c r="E3772" s="197"/>
      <c r="F3772" s="197"/>
      <c r="G3772" s="197"/>
      <c r="H3772" s="197"/>
      <c r="I3772" s="209"/>
      <c r="K3772" s="224" t="s">
        <v>260</v>
      </c>
      <c r="L3772" s="200" t="str">
        <f>_xlfn.XLOOKUP($B3769,シフト抽出!$19:$19,シフト抽出!$26:$26,"該当なし",0,1)</f>
        <v>該当なし</v>
      </c>
    </row>
    <row r="3773" spans="1:12">
      <c r="A3773" s="195"/>
      <c r="B3773" s="195" t="s">
        <v>207</v>
      </c>
      <c r="C3773"/>
      <c r="D3773" s="197"/>
      <c r="E3773" s="197"/>
      <c r="F3773" s="197"/>
      <c r="G3773" s="197"/>
      <c r="H3773" s="197"/>
      <c r="I3773" s="209"/>
      <c r="K3773" s="225"/>
      <c r="L3773" s="201" t="str">
        <f>_xlfn.XLOOKUP($B3769,シフト抽出!$19:$19,シフト抽出!$27:$27,"該当なし",0,1)</f>
        <v>該当なし</v>
      </c>
    </row>
    <row r="3774" spans="1:12">
      <c r="A3774" s="195"/>
      <c r="B3774" s="202" t="s">
        <v>208</v>
      </c>
      <c r="C3774"/>
      <c r="D3774" s="197" t="s">
        <v>4</v>
      </c>
      <c r="E3774" s="197" t="s">
        <v>4</v>
      </c>
      <c r="F3774" s="197"/>
      <c r="G3774" s="197" t="s">
        <v>4</v>
      </c>
      <c r="H3774" s="197"/>
      <c r="I3774" s="209"/>
      <c r="J3774" s="203"/>
      <c r="K3774" s="225"/>
      <c r="L3774" s="201" t="str">
        <f>_xlfn.XLOOKUP($B3769,シフト抽出!$19:$19,シフト抽出!$28:$28,"該当なし",0,1)</f>
        <v>該当なし</v>
      </c>
    </row>
    <row r="3775" spans="1:12" ht="15.75" thickBot="1">
      <c r="A3775" s="195"/>
      <c r="B3775" s="195" t="s">
        <v>205</v>
      </c>
      <c r="C3775"/>
      <c r="D3775" s="197" t="s">
        <v>414</v>
      </c>
      <c r="E3775" s="197" t="s">
        <v>420</v>
      </c>
      <c r="F3775" s="197" t="s">
        <v>851</v>
      </c>
      <c r="G3775" s="197" t="s">
        <v>22</v>
      </c>
      <c r="H3775" s="197"/>
      <c r="I3775" s="209"/>
      <c r="J3775" s="203"/>
      <c r="K3775" s="226"/>
      <c r="L3775" s="204" t="str">
        <f>_xlfn.XLOOKUP($B3769,シフト抽出!$19:$19,シフト抽出!$29:$29,"該当なし",0,1)</f>
        <v>該当なし</v>
      </c>
    </row>
    <row r="3776" spans="1:12" ht="15.75" thickBot="1">
      <c r="A3776" s="195"/>
      <c r="B3776" s="195" t="s">
        <v>206</v>
      </c>
      <c r="C3776"/>
      <c r="D3776" s="197" t="s">
        <v>414</v>
      </c>
      <c r="E3776" s="197" t="s">
        <v>420</v>
      </c>
      <c r="F3776" s="197" t="s">
        <v>851</v>
      </c>
      <c r="G3776" s="197" t="s">
        <v>22</v>
      </c>
      <c r="H3776" s="197"/>
      <c r="I3776" s="209"/>
      <c r="K3776" s="205" t="s">
        <v>261</v>
      </c>
      <c r="L3776" s="205">
        <f>_xlfn.XLOOKUP($B3769,予定表!B:B,予定表!R:R,"該当なし",0,1)</f>
        <v>0</v>
      </c>
    </row>
    <row r="3777" spans="1:12">
      <c r="A3777" s="195"/>
      <c r="B3777" s="195" t="s">
        <v>207</v>
      </c>
      <c r="C3777"/>
      <c r="D3777" s="197" t="s">
        <v>414</v>
      </c>
      <c r="E3777" s="197" t="s">
        <v>420</v>
      </c>
      <c r="F3777" s="197" t="s">
        <v>851</v>
      </c>
      <c r="G3777" s="197" t="s">
        <v>22</v>
      </c>
      <c r="H3777" s="197"/>
      <c r="I3777" s="209"/>
      <c r="K3777" s="227" t="s">
        <v>262</v>
      </c>
      <c r="L3777" s="206">
        <f>_xlfn.XLOOKUP($B3769,予定表!$B:$B,予定表!E:E,"該当なし",0,1)</f>
        <v>0</v>
      </c>
    </row>
    <row r="3778" spans="1:12">
      <c r="A3778" s="195"/>
      <c r="B3778" s="196" t="s">
        <v>209</v>
      </c>
      <c r="C3778"/>
      <c r="D3778" s="197" t="s">
        <v>414</v>
      </c>
      <c r="E3778" s="197" t="s">
        <v>420</v>
      </c>
      <c r="F3778" s="197" t="s">
        <v>851</v>
      </c>
      <c r="G3778" s="197" t="s">
        <v>268</v>
      </c>
      <c r="H3778" s="197" t="s">
        <v>4</v>
      </c>
      <c r="I3778" s="209" t="s">
        <v>4</v>
      </c>
      <c r="K3778" s="228"/>
      <c r="L3778" s="207">
        <f>_xlfn.XLOOKUP($B3769,予定表!$B:$B,予定表!F:F,"該当なし",0,1)</f>
        <v>0</v>
      </c>
    </row>
    <row r="3779" spans="1:12">
      <c r="A3779" s="195"/>
      <c r="B3779" s="195" t="s">
        <v>205</v>
      </c>
      <c r="C3779"/>
      <c r="D3779" s="197" t="s">
        <v>414</v>
      </c>
      <c r="E3779" s="197" t="s">
        <v>420</v>
      </c>
      <c r="F3779" s="197" t="s">
        <v>851</v>
      </c>
      <c r="G3779" s="197" t="s">
        <v>268</v>
      </c>
      <c r="H3779" s="197" t="s">
        <v>60</v>
      </c>
      <c r="I3779" s="209" t="s">
        <v>60</v>
      </c>
      <c r="K3779" s="228"/>
      <c r="L3779" s="207">
        <f>_xlfn.XLOOKUP($B3769,予定表!$B:$B,予定表!G:G,"該当なし",0,1)</f>
        <v>0</v>
      </c>
    </row>
    <row r="3780" spans="1:12">
      <c r="A3780" s="195"/>
      <c r="B3780" s="195" t="s">
        <v>206</v>
      </c>
      <c r="C3780"/>
      <c r="D3780" s="197" t="s">
        <v>214</v>
      </c>
      <c r="E3780" s="197" t="s">
        <v>273</v>
      </c>
      <c r="F3780" s="197" t="s">
        <v>851</v>
      </c>
      <c r="G3780" s="197" t="s">
        <v>268</v>
      </c>
      <c r="H3780" s="197" t="s">
        <v>60</v>
      </c>
      <c r="I3780" s="209" t="s">
        <v>60</v>
      </c>
      <c r="K3780" s="228"/>
      <c r="L3780" s="207">
        <f>_xlfn.XLOOKUP($B3769,予定表!$B:$B,予定表!H:H,"該当なし",0,1)</f>
        <v>0</v>
      </c>
    </row>
    <row r="3781" spans="1:12">
      <c r="A3781" s="195"/>
      <c r="B3781" s="195" t="s">
        <v>207</v>
      </c>
      <c r="C3781"/>
      <c r="D3781" s="197" t="s">
        <v>214</v>
      </c>
      <c r="E3781" s="197" t="s">
        <v>273</v>
      </c>
      <c r="F3781" s="197"/>
      <c r="G3781" s="197" t="s">
        <v>268</v>
      </c>
      <c r="H3781" s="197" t="s">
        <v>60</v>
      </c>
      <c r="I3781" s="209" t="s">
        <v>60</v>
      </c>
      <c r="K3781" s="228"/>
      <c r="L3781" s="207" t="str">
        <f>_xlfn.XLOOKUP($B3769,予定表!$B:$B,予定表!I:I,"該当なし",0,1)</f>
        <v/>
      </c>
    </row>
    <row r="3782" spans="1:12">
      <c r="A3782" s="195"/>
      <c r="B3782" s="196" t="s">
        <v>212</v>
      </c>
      <c r="C3782"/>
      <c r="D3782" s="197" t="s">
        <v>214</v>
      </c>
      <c r="E3782" s="197" t="s">
        <v>273</v>
      </c>
      <c r="F3782" s="197" t="s">
        <v>62</v>
      </c>
      <c r="G3782" s="197" t="s">
        <v>169</v>
      </c>
      <c r="H3782" s="197"/>
      <c r="I3782" s="209"/>
      <c r="K3782" s="228"/>
      <c r="L3782" s="207" t="str">
        <f>_xlfn.XLOOKUP($B3769,予定表!$B:$B,予定表!J:J,"該当なし",0,1)</f>
        <v/>
      </c>
    </row>
    <row r="3783" spans="1:12">
      <c r="A3783" s="195"/>
      <c r="B3783" s="195" t="s">
        <v>205</v>
      </c>
      <c r="C3783"/>
      <c r="D3783" s="197" t="s">
        <v>214</v>
      </c>
      <c r="E3783" s="197" t="s">
        <v>947</v>
      </c>
      <c r="F3783" s="197" t="s">
        <v>62</v>
      </c>
      <c r="G3783" s="197" t="s">
        <v>169</v>
      </c>
      <c r="H3783" s="197" t="s">
        <v>848</v>
      </c>
      <c r="I3783" s="209" t="s">
        <v>848</v>
      </c>
      <c r="K3783" s="228"/>
      <c r="L3783" s="207" t="str">
        <f>_xlfn.XLOOKUP($B3769,予定表!$B:$B,予定表!K:K,"該当なし",0,1)</f>
        <v/>
      </c>
    </row>
    <row r="3784" spans="1:12">
      <c r="A3784" s="195"/>
      <c r="B3784" s="195" t="s">
        <v>206</v>
      </c>
      <c r="C3784"/>
      <c r="D3784" s="197" t="s">
        <v>353</v>
      </c>
      <c r="E3784" s="197" t="s">
        <v>228</v>
      </c>
      <c r="F3784" s="197" t="s">
        <v>62</v>
      </c>
      <c r="G3784" s="197" t="s">
        <v>169</v>
      </c>
      <c r="H3784" s="197" t="s">
        <v>848</v>
      </c>
      <c r="I3784" s="209" t="s">
        <v>848</v>
      </c>
      <c r="K3784" s="228"/>
      <c r="L3784" s="207" t="str">
        <f>_xlfn.XLOOKUP($B3769,予定表!$B:$B,予定表!L:L,"該当なし",0,1)</f>
        <v/>
      </c>
    </row>
    <row r="3785" spans="1:12" ht="15.75" thickBot="1">
      <c r="A3785" s="195"/>
      <c r="B3785" s="195" t="s">
        <v>207</v>
      </c>
      <c r="C3785"/>
      <c r="D3785" s="197" t="s">
        <v>353</v>
      </c>
      <c r="E3785" s="197" t="s">
        <v>228</v>
      </c>
      <c r="F3785" s="197" t="s">
        <v>62</v>
      </c>
      <c r="G3785" s="197" t="s">
        <v>169</v>
      </c>
      <c r="H3785" s="197" t="s">
        <v>848</v>
      </c>
      <c r="I3785" s="209" t="s">
        <v>848</v>
      </c>
      <c r="K3785" s="229"/>
      <c r="L3785" s="204" t="str">
        <f>_xlfn.XLOOKUP($A3766,ﾘｽﾄマスタ!$U$8:$U$17,ﾘｽﾄマスタ!$V$8:$V$17,"",0)</f>
        <v>東冷厚木,ﾏﾙﾅｶ</v>
      </c>
    </row>
    <row r="3786" spans="1:12" ht="15.75" thickBot="1">
      <c r="A3786" s="195"/>
      <c r="B3786" s="196" t="s">
        <v>251</v>
      </c>
      <c r="C3786"/>
      <c r="D3786" s="197" t="s">
        <v>353</v>
      </c>
      <c r="E3786" s="197" t="s">
        <v>228</v>
      </c>
      <c r="F3786" s="197" t="s">
        <v>62</v>
      </c>
      <c r="G3786" s="197" t="s">
        <v>279</v>
      </c>
      <c r="H3786" s="197" t="s">
        <v>848</v>
      </c>
      <c r="I3786" s="209" t="s">
        <v>848</v>
      </c>
      <c r="K3786" s="208" t="s">
        <v>277</v>
      </c>
      <c r="L3786" s="208" t="str">
        <f>_xlfn.XLOOKUP($B3769,シフト抽出!$19:$19,シフト抽出!$30:$30,"該当なし",0,1)</f>
        <v>該当なし</v>
      </c>
    </row>
    <row r="3787" spans="1:12">
      <c r="A3787" s="195"/>
      <c r="B3787" s="195" t="s">
        <v>205</v>
      </c>
      <c r="C3787"/>
      <c r="D3787" s="197" t="s">
        <v>761</v>
      </c>
      <c r="E3787" s="197" t="s">
        <v>228</v>
      </c>
      <c r="F3787" s="197" t="s">
        <v>62</v>
      </c>
      <c r="G3787" s="197" t="s">
        <v>279</v>
      </c>
      <c r="H3787" s="197" t="s">
        <v>848</v>
      </c>
      <c r="I3787" s="209" t="s">
        <v>848</v>
      </c>
    </row>
    <row r="3788" spans="1:12">
      <c r="A3788" s="195"/>
      <c r="B3788" s="195" t="s">
        <v>206</v>
      </c>
      <c r="C3788"/>
      <c r="D3788" s="197" t="s">
        <v>761</v>
      </c>
      <c r="E3788" s="197" t="s">
        <v>263</v>
      </c>
      <c r="F3788" s="197"/>
      <c r="G3788" s="197" t="s">
        <v>279</v>
      </c>
      <c r="H3788" s="197" t="s">
        <v>229</v>
      </c>
      <c r="I3788" s="209" t="s">
        <v>229</v>
      </c>
    </row>
    <row r="3789" spans="1:12">
      <c r="A3789" s="195"/>
      <c r="B3789" s="195" t="s">
        <v>207</v>
      </c>
      <c r="C3789"/>
      <c r="D3789" s="197" t="s">
        <v>761</v>
      </c>
      <c r="E3789" s="197" t="s">
        <v>263</v>
      </c>
      <c r="F3789" s="197" t="s">
        <v>51</v>
      </c>
      <c r="G3789" s="197" t="s">
        <v>279</v>
      </c>
      <c r="H3789" s="197" t="s">
        <v>229</v>
      </c>
      <c r="I3789" s="209" t="s">
        <v>229</v>
      </c>
    </row>
    <row r="3790" spans="1:12">
      <c r="A3790" s="195"/>
      <c r="B3790" s="196" t="s">
        <v>217</v>
      </c>
      <c r="C3790"/>
      <c r="D3790" s="197" t="s">
        <v>88</v>
      </c>
      <c r="E3790" s="197" t="s">
        <v>263</v>
      </c>
      <c r="F3790" s="197" t="s">
        <v>51</v>
      </c>
      <c r="G3790" s="197" t="s">
        <v>279</v>
      </c>
      <c r="H3790" s="197" t="s">
        <v>230</v>
      </c>
      <c r="I3790" s="209" t="s">
        <v>230</v>
      </c>
    </row>
    <row r="3791" spans="1:12">
      <c r="A3791" s="195"/>
      <c r="B3791" s="195" t="s">
        <v>205</v>
      </c>
      <c r="C3791"/>
      <c r="D3791" s="197" t="s">
        <v>88</v>
      </c>
      <c r="E3791" s="197" t="s">
        <v>263</v>
      </c>
      <c r="F3791" s="197" t="s">
        <v>51</v>
      </c>
      <c r="G3791" s="197" t="s">
        <v>279</v>
      </c>
      <c r="H3791" s="197" t="s">
        <v>230</v>
      </c>
      <c r="I3791" s="209" t="s">
        <v>230</v>
      </c>
    </row>
    <row r="3792" spans="1:12">
      <c r="A3792" s="195"/>
      <c r="B3792" s="195" t="s">
        <v>206</v>
      </c>
      <c r="C3792"/>
      <c r="D3792" s="197"/>
      <c r="E3792" s="197" t="s">
        <v>426</v>
      </c>
      <c r="F3792" s="197" t="s">
        <v>51</v>
      </c>
      <c r="G3792" s="197"/>
      <c r="H3792" s="197" t="s">
        <v>230</v>
      </c>
      <c r="I3792" s="209" t="s">
        <v>230</v>
      </c>
    </row>
    <row r="3793" spans="1:9">
      <c r="A3793" s="195"/>
      <c r="B3793" s="195" t="s">
        <v>207</v>
      </c>
      <c r="C3793"/>
      <c r="D3793" s="197"/>
      <c r="E3793" s="197" t="s">
        <v>426</v>
      </c>
      <c r="F3793" s="197"/>
      <c r="G3793" s="197"/>
      <c r="H3793" s="197" t="s">
        <v>230</v>
      </c>
      <c r="I3793" s="209" t="s">
        <v>230</v>
      </c>
    </row>
    <row r="3794" spans="1:9">
      <c r="A3794" s="195"/>
      <c r="B3794" s="196" t="s">
        <v>219</v>
      </c>
      <c r="C3794"/>
      <c r="D3794" s="197"/>
      <c r="E3794" s="197"/>
      <c r="F3794" s="197"/>
      <c r="G3794" s="197"/>
      <c r="H3794" s="197" t="s">
        <v>230</v>
      </c>
      <c r="I3794" s="209" t="s">
        <v>230</v>
      </c>
    </row>
    <row r="3795" spans="1:9">
      <c r="A3795" s="195"/>
      <c r="B3795" s="195" t="s">
        <v>205</v>
      </c>
      <c r="C3795"/>
      <c r="D3795" s="197"/>
      <c r="E3795" s="197"/>
      <c r="F3795" s="197"/>
      <c r="G3795" s="197"/>
      <c r="H3795" s="197" t="s">
        <v>230</v>
      </c>
      <c r="I3795" s="209" t="s">
        <v>230</v>
      </c>
    </row>
    <row r="3796" spans="1:9">
      <c r="A3796" s="195"/>
      <c r="B3796" s="195" t="s">
        <v>206</v>
      </c>
      <c r="C3796"/>
      <c r="D3796" s="197"/>
      <c r="E3796" s="197"/>
      <c r="F3796" s="197"/>
      <c r="G3796" s="197"/>
      <c r="H3796" s="197"/>
      <c r="I3796" s="209"/>
    </row>
    <row r="3797" spans="1:9">
      <c r="A3797" s="195"/>
      <c r="B3797" s="195" t="s">
        <v>207</v>
      </c>
      <c r="C3797"/>
      <c r="D3797" s="197"/>
      <c r="E3797" s="197"/>
      <c r="F3797" s="197"/>
      <c r="G3797" s="197"/>
      <c r="H3797" s="197"/>
      <c r="I3797" s="209"/>
    </row>
    <row r="3798" spans="1:9">
      <c r="A3798" s="195"/>
      <c r="B3798" s="196" t="s">
        <v>220</v>
      </c>
      <c r="C3798"/>
      <c r="D3798" s="197"/>
      <c r="E3798" s="197"/>
      <c r="F3798" s="197"/>
      <c r="G3798" s="197"/>
      <c r="H3798" s="197"/>
      <c r="I3798" s="209"/>
    </row>
    <row r="3799" spans="1:9">
      <c r="A3799" s="195"/>
      <c r="B3799" s="195" t="s">
        <v>205</v>
      </c>
      <c r="C3799"/>
      <c r="D3799" s="197" t="s">
        <v>114</v>
      </c>
      <c r="E3799" s="197" t="s">
        <v>393</v>
      </c>
      <c r="F3799" s="197" t="s">
        <v>62</v>
      </c>
      <c r="G3799" s="197" t="s">
        <v>56</v>
      </c>
      <c r="H3799" s="197" t="s">
        <v>390</v>
      </c>
      <c r="I3799" s="209" t="s">
        <v>390</v>
      </c>
    </row>
    <row r="3800" spans="1:9">
      <c r="A3800" s="195"/>
      <c r="B3800" s="195" t="s">
        <v>206</v>
      </c>
      <c r="C3800"/>
      <c r="D3800" s="197" t="s">
        <v>114</v>
      </c>
      <c r="E3800" s="197" t="s">
        <v>393</v>
      </c>
      <c r="F3800" s="197" t="s">
        <v>62</v>
      </c>
      <c r="G3800" s="197" t="s">
        <v>56</v>
      </c>
      <c r="H3800" s="197" t="s">
        <v>390</v>
      </c>
      <c r="I3800" s="209" t="s">
        <v>390</v>
      </c>
    </row>
    <row r="3801" spans="1:9">
      <c r="A3801" s="195"/>
      <c r="B3801" s="195" t="s">
        <v>207</v>
      </c>
      <c r="C3801"/>
      <c r="D3801" s="197" t="s">
        <v>114</v>
      </c>
      <c r="E3801" s="197" t="s">
        <v>393</v>
      </c>
      <c r="F3801" s="197" t="s">
        <v>62</v>
      </c>
      <c r="G3801" s="197" t="s">
        <v>56</v>
      </c>
      <c r="H3801" s="197"/>
      <c r="I3801" s="209"/>
    </row>
    <row r="3802" spans="1:9">
      <c r="A3802" s="195"/>
      <c r="B3802" s="196" t="s">
        <v>222</v>
      </c>
      <c r="C3802"/>
      <c r="D3802" s="197" t="s">
        <v>129</v>
      </c>
      <c r="E3802" s="197" t="s">
        <v>393</v>
      </c>
      <c r="F3802" s="197" t="s">
        <v>62</v>
      </c>
      <c r="G3802" s="197" t="s">
        <v>56</v>
      </c>
      <c r="H3802" s="197" t="s">
        <v>231</v>
      </c>
      <c r="I3802" s="209" t="s">
        <v>231</v>
      </c>
    </row>
    <row r="3803" spans="1:9">
      <c r="A3803" s="195"/>
      <c r="B3803" s="195" t="s">
        <v>205</v>
      </c>
      <c r="C3803"/>
      <c r="D3803" s="197" t="s">
        <v>129</v>
      </c>
      <c r="E3803" s="197" t="s">
        <v>393</v>
      </c>
      <c r="F3803" s="197" t="s">
        <v>62</v>
      </c>
      <c r="G3803" s="197"/>
      <c r="H3803" s="197" t="s">
        <v>232</v>
      </c>
      <c r="I3803" s="209" t="s">
        <v>232</v>
      </c>
    </row>
    <row r="3804" spans="1:9">
      <c r="A3804" s="195"/>
      <c r="B3804" s="195" t="s">
        <v>206</v>
      </c>
      <c r="C3804"/>
      <c r="D3804" s="197"/>
      <c r="E3804" s="197" t="s">
        <v>252</v>
      </c>
      <c r="F3804" s="197" t="s">
        <v>62</v>
      </c>
      <c r="G3804" s="197" t="s">
        <v>270</v>
      </c>
      <c r="H3804" s="197" t="s">
        <v>211</v>
      </c>
      <c r="I3804" s="209" t="s">
        <v>211</v>
      </c>
    </row>
    <row r="3805" spans="1:9">
      <c r="A3805" s="195"/>
      <c r="B3805" s="195" t="s">
        <v>207</v>
      </c>
      <c r="C3805"/>
      <c r="D3805" s="197" t="s">
        <v>515</v>
      </c>
      <c r="E3805" s="197" t="s">
        <v>252</v>
      </c>
      <c r="F3805" s="197" t="s">
        <v>62</v>
      </c>
      <c r="G3805" s="197" t="s">
        <v>270</v>
      </c>
      <c r="H3805" s="197" t="s">
        <v>211</v>
      </c>
      <c r="I3805" s="209" t="s">
        <v>211</v>
      </c>
    </row>
    <row r="3806" spans="1:9">
      <c r="A3806" s="195"/>
      <c r="B3806" s="196" t="s">
        <v>223</v>
      </c>
      <c r="C3806"/>
      <c r="D3806" s="197" t="s">
        <v>515</v>
      </c>
      <c r="E3806" s="197" t="s">
        <v>252</v>
      </c>
      <c r="F3806" s="197" t="s">
        <v>62</v>
      </c>
      <c r="G3806" s="197" t="s">
        <v>270</v>
      </c>
      <c r="H3806" s="197"/>
      <c r="I3806" s="209"/>
    </row>
    <row r="3807" spans="1:9">
      <c r="A3807" s="195"/>
      <c r="B3807" s="195" t="s">
        <v>205</v>
      </c>
      <c r="C3807"/>
      <c r="D3807" s="197" t="s">
        <v>269</v>
      </c>
      <c r="E3807" s="197" t="s">
        <v>252</v>
      </c>
      <c r="F3807" s="197" t="s">
        <v>62</v>
      </c>
      <c r="G3807" s="197" t="s">
        <v>270</v>
      </c>
      <c r="H3807" s="197" t="s">
        <v>856</v>
      </c>
      <c r="I3807" s="209" t="s">
        <v>856</v>
      </c>
    </row>
    <row r="3808" spans="1:9">
      <c r="A3808" s="195"/>
      <c r="B3808" s="195" t="s">
        <v>206</v>
      </c>
      <c r="C3808"/>
      <c r="D3808" s="197" t="s">
        <v>269</v>
      </c>
      <c r="E3808" s="197" t="s">
        <v>252</v>
      </c>
      <c r="F3808" s="197" t="s">
        <v>62</v>
      </c>
      <c r="G3808" s="197" t="s">
        <v>270</v>
      </c>
      <c r="H3808" s="197" t="s">
        <v>856</v>
      </c>
      <c r="I3808" s="209" t="s">
        <v>856</v>
      </c>
    </row>
    <row r="3809" spans="1:12">
      <c r="A3809" s="195"/>
      <c r="B3809" s="195" t="s">
        <v>207</v>
      </c>
      <c r="C3809"/>
      <c r="D3809" s="197" t="s">
        <v>269</v>
      </c>
      <c r="E3809" s="197" t="s">
        <v>252</v>
      </c>
      <c r="F3809" s="197" t="s">
        <v>62</v>
      </c>
      <c r="G3809" s="197" t="s">
        <v>270</v>
      </c>
      <c r="H3809" s="197" t="s">
        <v>856</v>
      </c>
      <c r="I3809" s="209" t="s">
        <v>856</v>
      </c>
    </row>
    <row r="3810" spans="1:12">
      <c r="A3810" s="195"/>
      <c r="B3810" s="196" t="s">
        <v>225</v>
      </c>
      <c r="C3810"/>
      <c r="D3810" s="197" t="s">
        <v>269</v>
      </c>
      <c r="E3810" s="197" t="s">
        <v>252</v>
      </c>
      <c r="F3810" s="197" t="s">
        <v>62</v>
      </c>
      <c r="G3810" s="197" t="s">
        <v>270</v>
      </c>
      <c r="H3810" s="197" t="s">
        <v>856</v>
      </c>
      <c r="I3810" s="209" t="s">
        <v>856</v>
      </c>
    </row>
    <row r="3811" spans="1:12">
      <c r="A3811" s="195"/>
      <c r="B3811" s="195" t="s">
        <v>205</v>
      </c>
      <c r="C3811"/>
      <c r="D3811" s="197" t="s">
        <v>475</v>
      </c>
      <c r="E3811" s="197" t="s">
        <v>252</v>
      </c>
      <c r="F3811" s="197" t="s">
        <v>62</v>
      </c>
      <c r="G3811" s="197" t="s">
        <v>270</v>
      </c>
      <c r="H3811" s="209" t="s">
        <v>856</v>
      </c>
      <c r="I3811" s="209" t="s">
        <v>856</v>
      </c>
    </row>
    <row r="3812" spans="1:12">
      <c r="A3812" s="195"/>
      <c r="B3812" s="195" t="s">
        <v>206</v>
      </c>
      <c r="C3812"/>
      <c r="D3812" s="197" t="s">
        <v>361</v>
      </c>
      <c r="E3812" s="197" t="s">
        <v>252</v>
      </c>
      <c r="F3812" s="197" t="s">
        <v>62</v>
      </c>
      <c r="G3812" s="197" t="s">
        <v>270</v>
      </c>
      <c r="H3812" s="209" t="s">
        <v>856</v>
      </c>
      <c r="I3812" s="209" t="s">
        <v>856</v>
      </c>
    </row>
    <row r="3813" spans="1:12">
      <c r="A3813" s="195"/>
      <c r="B3813" s="195" t="s">
        <v>207</v>
      </c>
      <c r="C3813"/>
      <c r="D3813" s="197"/>
      <c r="E3813" s="197"/>
      <c r="F3813" s="197"/>
      <c r="G3813" s="197" t="s">
        <v>270</v>
      </c>
      <c r="H3813" s="209"/>
      <c r="I3813" s="209"/>
    </row>
    <row r="3814" spans="1:12">
      <c r="A3814" s="195"/>
      <c r="B3814" s="196" t="s">
        <v>226</v>
      </c>
      <c r="C3814"/>
      <c r="D3814" s="197"/>
      <c r="E3814" s="197"/>
      <c r="F3814" s="197"/>
      <c r="G3814" s="197"/>
      <c r="H3814" s="209"/>
      <c r="I3814" s="209"/>
    </row>
    <row r="3815" spans="1:12">
      <c r="A3815" s="195"/>
      <c r="B3815" s="195" t="s">
        <v>205</v>
      </c>
      <c r="C3815"/>
      <c r="D3815" s="197"/>
      <c r="E3815" s="197"/>
      <c r="F3815" s="197"/>
      <c r="G3815" s="197"/>
      <c r="H3815" s="209"/>
      <c r="I3815" s="209"/>
    </row>
    <row r="3816" spans="1:12">
      <c r="A3816" s="195"/>
      <c r="B3816" s="195" t="s">
        <v>206</v>
      </c>
      <c r="C3816"/>
      <c r="D3816" s="197"/>
      <c r="E3816" s="197"/>
      <c r="F3816" s="197"/>
      <c r="G3816" s="197"/>
      <c r="H3816" s="209"/>
      <c r="I3816" s="209"/>
    </row>
    <row r="3817" spans="1:12">
      <c r="A3817" s="195"/>
      <c r="B3817" s="195" t="s">
        <v>207</v>
      </c>
      <c r="C3817"/>
      <c r="D3817" s="197"/>
      <c r="E3817" s="197"/>
      <c r="F3817" s="197"/>
      <c r="G3817" s="197"/>
      <c r="H3817" s="209"/>
      <c r="I3817" s="209"/>
    </row>
    <row r="3818" spans="1:12">
      <c r="A3818" s="195"/>
      <c r="B3818" s="196" t="s">
        <v>227</v>
      </c>
      <c r="C3818"/>
      <c r="D3818" s="197"/>
      <c r="E3818" s="197"/>
      <c r="F3818" s="197"/>
      <c r="G3818" s="197"/>
      <c r="H3818" s="209"/>
      <c r="I3818" s="209"/>
      <c r="K3818"/>
    </row>
    <row r="3819" spans="1:12" ht="29.25" thickBot="1">
      <c r="A3819" s="182" t="str">
        <f>"回収シフト  第"&amp;ROUNDUP(DAY(B3822)/7,0)  &amp;"  "&amp;TEXT(B3822,"aaaa")</f>
        <v>回収シフト  第4  水曜日</v>
      </c>
      <c r="B3819" s="183"/>
      <c r="C3819" s="183"/>
      <c r="D3819" s="183"/>
      <c r="E3819" s="183"/>
      <c r="F3819" s="183"/>
      <c r="G3819" s="184"/>
      <c r="H3819" s="184"/>
      <c r="I3819" s="184"/>
      <c r="K3819" s="183"/>
      <c r="L3819" s="183"/>
    </row>
    <row r="3820" spans="1:12" ht="15.75" thickBot="1">
      <c r="A3820"/>
      <c r="B3820"/>
      <c r="C3820"/>
      <c r="D3820" s="186" t="s">
        <v>201</v>
      </c>
      <c r="E3820" s="186" t="s">
        <v>202</v>
      </c>
      <c r="F3820" s="186" t="s">
        <v>203</v>
      </c>
      <c r="G3820" s="186" t="s">
        <v>204</v>
      </c>
      <c r="H3820" s="186" t="s">
        <v>267</v>
      </c>
      <c r="I3820" s="217" t="s">
        <v>267</v>
      </c>
      <c r="K3820" s="230" t="s">
        <v>257</v>
      </c>
      <c r="L3820" s="231"/>
    </row>
    <row r="3821" spans="1:12">
      <c r="A3821" s="187"/>
      <c r="B3821" s="188">
        <v>46119</v>
      </c>
      <c r="C3821" s="187"/>
      <c r="D3821" s="189" t="s">
        <v>859</v>
      </c>
      <c r="E3821" s="189" t="s">
        <v>965</v>
      </c>
      <c r="F3821" s="189" t="s">
        <v>921</v>
      </c>
      <c r="G3821" s="189" t="s">
        <v>964</v>
      </c>
      <c r="H3821" s="189" t="s">
        <v>858</v>
      </c>
      <c r="I3821" s="218" t="s">
        <v>858</v>
      </c>
      <c r="K3821" s="232" t="s">
        <v>258</v>
      </c>
      <c r="L3821" s="190" t="str">
        <f>_xlfn.XLOOKUP($B3822,シフト抽出!$19:$19,シフト抽出!$20:$20,"該当なし",0,1)</f>
        <v>該当なし</v>
      </c>
    </row>
    <row r="3822" spans="1:12" ht="19.5" thickBot="1">
      <c r="A3822"/>
      <c r="B3822" s="191">
        <f>B3769+1</f>
        <v>46197</v>
      </c>
      <c r="C3822" s="192"/>
      <c r="D3822" s="193"/>
      <c r="E3822" s="193"/>
      <c r="F3822" s="193"/>
      <c r="G3822" s="193"/>
      <c r="H3822" s="193"/>
      <c r="I3822" s="219"/>
      <c r="K3822" s="233"/>
      <c r="L3822" s="194" t="str">
        <f>_xlfn.XLOOKUP($B3822,シフト抽出!$19:$19,シフト抽出!$21:$21,"該当なし",0,1)</f>
        <v>該当なし</v>
      </c>
    </row>
    <row r="3823" spans="1:12">
      <c r="A3823" s="195"/>
      <c r="B3823" s="196">
        <v>0.25</v>
      </c>
      <c r="C3823"/>
      <c r="D3823" s="197"/>
      <c r="E3823" s="196"/>
      <c r="F3823" s="197"/>
      <c r="G3823" s="197"/>
      <c r="H3823" s="197"/>
      <c r="I3823" s="209"/>
      <c r="K3823" s="234" t="s">
        <v>259</v>
      </c>
      <c r="L3823" s="198" t="str">
        <f>_xlfn.XLOOKUP($B3822,シフト抽出!$19:$19,シフト抽出!$23:$23,"該当なし",0,1)</f>
        <v>該当なし</v>
      </c>
    </row>
    <row r="3824" spans="1:12" ht="15.75" thickBot="1">
      <c r="A3824" s="195"/>
      <c r="B3824" s="195" t="s">
        <v>205</v>
      </c>
      <c r="C3824"/>
      <c r="D3824" s="197"/>
      <c r="E3824" s="197"/>
      <c r="F3824" s="197"/>
      <c r="G3824" s="197"/>
      <c r="H3824" s="197"/>
      <c r="I3824" s="209"/>
      <c r="K3824" s="235"/>
      <c r="L3824" s="199" t="str">
        <f>_xlfn.XLOOKUP($B3822,シフト抽出!$19:$19,シフト抽出!$24:$24,"該当なし",0,1)</f>
        <v>該当なし</v>
      </c>
    </row>
    <row r="3825" spans="1:12">
      <c r="A3825" s="195"/>
      <c r="B3825" s="195" t="s">
        <v>206</v>
      </c>
      <c r="C3825"/>
      <c r="D3825" s="197"/>
      <c r="E3825" s="197"/>
      <c r="F3825" s="197"/>
      <c r="G3825" s="197"/>
      <c r="H3825" s="197"/>
      <c r="I3825" s="209"/>
      <c r="K3825" s="224" t="s">
        <v>260</v>
      </c>
      <c r="L3825" s="200" t="str">
        <f>_xlfn.XLOOKUP($B3822,シフト抽出!$19:$19,シフト抽出!$26:$26,"該当なし",0,1)</f>
        <v>該当なし</v>
      </c>
    </row>
    <row r="3826" spans="1:12">
      <c r="A3826" s="195"/>
      <c r="B3826" s="195" t="s">
        <v>207</v>
      </c>
      <c r="C3826"/>
      <c r="D3826" s="197"/>
      <c r="E3826" s="197"/>
      <c r="F3826" s="197"/>
      <c r="G3826" s="197"/>
      <c r="H3826" s="197"/>
      <c r="I3826" s="209"/>
      <c r="K3826" s="225"/>
      <c r="L3826" s="201" t="str">
        <f>_xlfn.XLOOKUP($B3822,シフト抽出!$19:$19,シフト抽出!$27:$27,"該当なし",0,1)</f>
        <v>該当なし</v>
      </c>
    </row>
    <row r="3827" spans="1:12">
      <c r="A3827" s="195"/>
      <c r="B3827" s="202" t="s">
        <v>208</v>
      </c>
      <c r="C3827"/>
      <c r="D3827" s="197" t="s">
        <v>414</v>
      </c>
      <c r="E3827" s="197" t="s">
        <v>106</v>
      </c>
      <c r="F3827" s="197" t="s">
        <v>851</v>
      </c>
      <c r="G3827" s="197" t="s">
        <v>22</v>
      </c>
      <c r="H3827" s="197"/>
      <c r="I3827" s="209"/>
      <c r="J3827" s="203"/>
      <c r="K3827" s="225"/>
      <c r="L3827" s="201" t="str">
        <f>_xlfn.XLOOKUP($B3822,シフト抽出!$19:$19,シフト抽出!$28:$28,"該当なし",0,1)</f>
        <v>該当なし</v>
      </c>
    </row>
    <row r="3828" spans="1:12" ht="15.75" thickBot="1">
      <c r="A3828" s="195"/>
      <c r="B3828" s="195" t="s">
        <v>205</v>
      </c>
      <c r="C3828"/>
      <c r="D3828" s="197" t="s">
        <v>414</v>
      </c>
      <c r="E3828" s="197" t="s">
        <v>106</v>
      </c>
      <c r="F3828" s="197" t="s">
        <v>851</v>
      </c>
      <c r="G3828" s="197" t="s">
        <v>22</v>
      </c>
      <c r="H3828" s="197"/>
      <c r="I3828" s="209"/>
      <c r="J3828" s="203"/>
      <c r="K3828" s="226"/>
      <c r="L3828" s="204" t="str">
        <f>_xlfn.XLOOKUP($B3822,シフト抽出!$19:$19,シフト抽出!$29:$29,"該当なし",0,1)</f>
        <v>該当なし</v>
      </c>
    </row>
    <row r="3829" spans="1:12" ht="15.75" thickBot="1">
      <c r="A3829" s="195"/>
      <c r="B3829" s="195" t="s">
        <v>206</v>
      </c>
      <c r="C3829"/>
      <c r="D3829" s="197" t="s">
        <v>414</v>
      </c>
      <c r="E3829" s="197" t="s">
        <v>106</v>
      </c>
      <c r="F3829" s="197" t="s">
        <v>851</v>
      </c>
      <c r="G3829" s="197" t="s">
        <v>788</v>
      </c>
      <c r="H3829" s="197"/>
      <c r="I3829" s="209"/>
      <c r="K3829" s="205" t="s">
        <v>261</v>
      </c>
      <c r="L3829" s="205">
        <f>_xlfn.XLOOKUP($B3822,予定表!B:B,予定表!R:R,"該当なし",0,1)</f>
        <v>0</v>
      </c>
    </row>
    <row r="3830" spans="1:12">
      <c r="A3830" s="195"/>
      <c r="B3830" s="195" t="s">
        <v>207</v>
      </c>
      <c r="C3830"/>
      <c r="D3830" s="197" t="s">
        <v>414</v>
      </c>
      <c r="E3830" s="197" t="s">
        <v>106</v>
      </c>
      <c r="F3830" s="197" t="s">
        <v>851</v>
      </c>
      <c r="G3830" s="197" t="s">
        <v>788</v>
      </c>
      <c r="H3830" s="197"/>
      <c r="I3830" s="209"/>
      <c r="K3830" s="227" t="s">
        <v>262</v>
      </c>
      <c r="L3830" s="206">
        <f>_xlfn.XLOOKUP($B3822,予定表!$B:$B,予定表!E:E,"該当なし",0,1)</f>
        <v>0</v>
      </c>
    </row>
    <row r="3831" spans="1:12">
      <c r="A3831" s="195"/>
      <c r="B3831" s="196" t="s">
        <v>209</v>
      </c>
      <c r="C3831"/>
      <c r="D3831" s="197" t="s">
        <v>414</v>
      </c>
      <c r="E3831" s="197" t="s">
        <v>106</v>
      </c>
      <c r="F3831" s="197" t="s">
        <v>851</v>
      </c>
      <c r="G3831" s="197" t="s">
        <v>268</v>
      </c>
      <c r="H3831" s="197" t="s">
        <v>848</v>
      </c>
      <c r="I3831" s="209" t="s">
        <v>848</v>
      </c>
      <c r="K3831" s="228"/>
      <c r="L3831" s="207">
        <f>_xlfn.XLOOKUP($B3822,予定表!$B:$B,予定表!F:F,"該当なし",0,1)</f>
        <v>0</v>
      </c>
    </row>
    <row r="3832" spans="1:12">
      <c r="A3832" s="195"/>
      <c r="B3832" s="195" t="s">
        <v>205</v>
      </c>
      <c r="C3832"/>
      <c r="D3832" s="197" t="s">
        <v>414</v>
      </c>
      <c r="E3832" s="197" t="s">
        <v>106</v>
      </c>
      <c r="F3832" s="197" t="s">
        <v>851</v>
      </c>
      <c r="G3832" s="197" t="s">
        <v>268</v>
      </c>
      <c r="H3832" s="197" t="s">
        <v>848</v>
      </c>
      <c r="I3832" s="209" t="s">
        <v>848</v>
      </c>
      <c r="K3832" s="228"/>
      <c r="L3832" s="207">
        <f>_xlfn.XLOOKUP($B3822,予定表!$B:$B,予定表!G:G,"該当なし",0,1)</f>
        <v>0</v>
      </c>
    </row>
    <row r="3833" spans="1:12">
      <c r="A3833" s="195"/>
      <c r="B3833" s="195" t="s">
        <v>206</v>
      </c>
      <c r="C3833"/>
      <c r="D3833" s="197" t="s">
        <v>214</v>
      </c>
      <c r="E3833" s="197" t="s">
        <v>106</v>
      </c>
      <c r="F3833" s="197"/>
      <c r="G3833" s="197" t="s">
        <v>268</v>
      </c>
      <c r="H3833" s="197" t="s">
        <v>848</v>
      </c>
      <c r="I3833" s="209" t="s">
        <v>848</v>
      </c>
      <c r="K3833" s="228"/>
      <c r="L3833" s="207" t="str">
        <f>_xlfn.XLOOKUP($B3822,予定表!$B:$B,予定表!H:H,"該当なし",0,1)</f>
        <v>資さんうどん</v>
      </c>
    </row>
    <row r="3834" spans="1:12">
      <c r="A3834" s="195"/>
      <c r="B3834" s="195" t="s">
        <v>207</v>
      </c>
      <c r="C3834"/>
      <c r="D3834" s="197" t="s">
        <v>214</v>
      </c>
      <c r="E3834" s="197" t="s">
        <v>106</v>
      </c>
      <c r="F3834" s="197" t="s">
        <v>264</v>
      </c>
      <c r="G3834" s="197" t="s">
        <v>268</v>
      </c>
      <c r="H3834" s="197" t="s">
        <v>848</v>
      </c>
      <c r="I3834" s="209" t="s">
        <v>848</v>
      </c>
      <c r="K3834" s="228"/>
      <c r="L3834" s="207" t="str">
        <f>_xlfn.XLOOKUP($B3822,予定表!$B:$B,予定表!I:I,"該当なし",0,1)</f>
        <v/>
      </c>
    </row>
    <row r="3835" spans="1:12">
      <c r="A3835" s="195"/>
      <c r="B3835" s="196" t="s">
        <v>212</v>
      </c>
      <c r="C3835"/>
      <c r="D3835" s="197" t="s">
        <v>214</v>
      </c>
      <c r="E3835" s="197" t="s">
        <v>106</v>
      </c>
      <c r="F3835" s="197" t="s">
        <v>264</v>
      </c>
      <c r="G3835" s="197" t="s">
        <v>268</v>
      </c>
      <c r="H3835" s="197" t="s">
        <v>848</v>
      </c>
      <c r="I3835" s="209" t="s">
        <v>848</v>
      </c>
      <c r="K3835" s="228"/>
      <c r="L3835" s="207" t="str">
        <f>_xlfn.XLOOKUP($B3822,予定表!$B:$B,予定表!J:J,"該当なし",0,1)</f>
        <v/>
      </c>
    </row>
    <row r="3836" spans="1:12">
      <c r="A3836" s="195"/>
      <c r="B3836" s="195" t="s">
        <v>205</v>
      </c>
      <c r="C3836"/>
      <c r="D3836" s="197" t="s">
        <v>214</v>
      </c>
      <c r="E3836" s="197" t="s">
        <v>106</v>
      </c>
      <c r="F3836" s="197" t="s">
        <v>397</v>
      </c>
      <c r="G3836" s="197" t="s">
        <v>268</v>
      </c>
      <c r="H3836" s="197" t="s">
        <v>229</v>
      </c>
      <c r="I3836" s="209" t="s">
        <v>229</v>
      </c>
      <c r="K3836" s="228"/>
      <c r="L3836" s="207" t="str">
        <f>_xlfn.XLOOKUP($B3822,予定表!$B:$B,予定表!K:K,"該当なし",0,1)</f>
        <v/>
      </c>
    </row>
    <row r="3837" spans="1:12">
      <c r="A3837" s="195"/>
      <c r="B3837" s="195" t="s">
        <v>206</v>
      </c>
      <c r="C3837"/>
      <c r="D3837" s="197" t="s">
        <v>761</v>
      </c>
      <c r="E3837" s="197" t="s">
        <v>106</v>
      </c>
      <c r="F3837" s="197" t="s">
        <v>397</v>
      </c>
      <c r="G3837" s="197" t="s">
        <v>515</v>
      </c>
      <c r="H3837" s="197" t="s">
        <v>229</v>
      </c>
      <c r="I3837" s="209" t="s">
        <v>229</v>
      </c>
      <c r="K3837" s="228"/>
      <c r="L3837" s="207" t="str">
        <f>_xlfn.XLOOKUP($B3822,予定表!$B:$B,予定表!L:L,"該当なし",0,1)</f>
        <v/>
      </c>
    </row>
    <row r="3838" spans="1:12" ht="15.75" thickBot="1">
      <c r="A3838" s="195"/>
      <c r="B3838" s="195" t="s">
        <v>207</v>
      </c>
      <c r="C3838"/>
      <c r="D3838" s="197" t="s">
        <v>761</v>
      </c>
      <c r="E3838" s="197" t="s">
        <v>106</v>
      </c>
      <c r="F3838" s="197" t="s">
        <v>224</v>
      </c>
      <c r="G3838" s="197" t="s">
        <v>515</v>
      </c>
      <c r="H3838" s="197" t="s">
        <v>230</v>
      </c>
      <c r="I3838" s="209" t="s">
        <v>230</v>
      </c>
      <c r="K3838" s="229"/>
      <c r="L3838" s="204" t="str">
        <f>_xlfn.XLOOKUP($A3819,ﾘｽﾄマスタ!$U$8:$U$17,ﾘｽﾄマスタ!$V$8:$V$17,"",0)</f>
        <v>裕源・自衛隊</v>
      </c>
    </row>
    <row r="3839" spans="1:12" ht="15.75" thickBot="1">
      <c r="A3839" s="195"/>
      <c r="B3839" s="196" t="s">
        <v>251</v>
      </c>
      <c r="C3839"/>
      <c r="D3839" s="197" t="s">
        <v>761</v>
      </c>
      <c r="E3839" s="197" t="s">
        <v>106</v>
      </c>
      <c r="F3839" s="197" t="s">
        <v>224</v>
      </c>
      <c r="G3839" s="197" t="s">
        <v>269</v>
      </c>
      <c r="H3839" s="197" t="s">
        <v>230</v>
      </c>
      <c r="I3839" s="209" t="s">
        <v>230</v>
      </c>
      <c r="K3839" s="208" t="s">
        <v>277</v>
      </c>
      <c r="L3839" s="208" t="str">
        <f>_xlfn.XLOOKUP($B3822,シフト抽出!$19:$19,シフト抽出!$30:$30,"該当なし",0,1)</f>
        <v>該当なし</v>
      </c>
    </row>
    <row r="3840" spans="1:12">
      <c r="A3840" s="195"/>
      <c r="B3840" s="195" t="s">
        <v>205</v>
      </c>
      <c r="C3840"/>
      <c r="D3840" s="197" t="s">
        <v>280</v>
      </c>
      <c r="E3840" s="197" t="s">
        <v>106</v>
      </c>
      <c r="F3840" s="197" t="s">
        <v>224</v>
      </c>
      <c r="G3840" s="197" t="s">
        <v>269</v>
      </c>
      <c r="H3840" s="197" t="s">
        <v>230</v>
      </c>
      <c r="I3840" s="209" t="s">
        <v>230</v>
      </c>
    </row>
    <row r="3841" spans="1:9">
      <c r="A3841" s="195"/>
      <c r="B3841" s="195" t="s">
        <v>206</v>
      </c>
      <c r="C3841"/>
      <c r="D3841" s="197" t="s">
        <v>280</v>
      </c>
      <c r="E3841" s="197" t="s">
        <v>106</v>
      </c>
      <c r="F3841" s="197" t="s">
        <v>51</v>
      </c>
      <c r="G3841" s="197" t="s">
        <v>269</v>
      </c>
      <c r="H3841" s="197" t="s">
        <v>230</v>
      </c>
      <c r="I3841" s="209" t="s">
        <v>230</v>
      </c>
    </row>
    <row r="3842" spans="1:9">
      <c r="A3842" s="195"/>
      <c r="B3842" s="195" t="s">
        <v>207</v>
      </c>
      <c r="C3842"/>
      <c r="D3842" s="197" t="s">
        <v>127</v>
      </c>
      <c r="E3842" s="197" t="s">
        <v>106</v>
      </c>
      <c r="F3842" s="197" t="s">
        <v>51</v>
      </c>
      <c r="G3842" s="197" t="s">
        <v>446</v>
      </c>
      <c r="H3842" s="197" t="s">
        <v>230</v>
      </c>
      <c r="I3842" s="209" t="s">
        <v>230</v>
      </c>
    </row>
    <row r="3843" spans="1:9">
      <c r="A3843" s="195"/>
      <c r="B3843" s="196" t="s">
        <v>217</v>
      </c>
      <c r="C3843"/>
      <c r="D3843" s="197" t="s">
        <v>215</v>
      </c>
      <c r="E3843" s="197" t="s">
        <v>106</v>
      </c>
      <c r="F3843" s="197" t="s">
        <v>51</v>
      </c>
      <c r="G3843" s="197" t="s">
        <v>114</v>
      </c>
      <c r="H3843" s="197"/>
      <c r="I3843" s="209"/>
    </row>
    <row r="3844" spans="1:9">
      <c r="A3844" s="195"/>
      <c r="B3844" s="195" t="s">
        <v>205</v>
      </c>
      <c r="C3844"/>
      <c r="D3844" s="197" t="s">
        <v>215</v>
      </c>
      <c r="E3844" s="197" t="s">
        <v>106</v>
      </c>
      <c r="F3844" s="197" t="s">
        <v>51</v>
      </c>
      <c r="G3844" s="197" t="s">
        <v>114</v>
      </c>
      <c r="H3844" s="197"/>
      <c r="I3844" s="209"/>
    </row>
    <row r="3845" spans="1:9">
      <c r="A3845" s="195"/>
      <c r="B3845" s="195" t="s">
        <v>206</v>
      </c>
      <c r="C3845"/>
      <c r="D3845" s="197"/>
      <c r="E3845" s="197" t="s">
        <v>106</v>
      </c>
      <c r="F3845" s="197" t="s">
        <v>51</v>
      </c>
      <c r="G3845" s="197" t="s">
        <v>114</v>
      </c>
      <c r="H3845" s="197"/>
      <c r="I3845" s="209"/>
    </row>
    <row r="3846" spans="1:9">
      <c r="A3846" s="195"/>
      <c r="B3846" s="195" t="s">
        <v>207</v>
      </c>
      <c r="C3846"/>
      <c r="D3846" s="197"/>
      <c r="E3846" s="197" t="s">
        <v>106</v>
      </c>
      <c r="F3846" s="197"/>
      <c r="G3846" s="197"/>
      <c r="H3846" s="197"/>
      <c r="I3846" s="209"/>
    </row>
    <row r="3847" spans="1:9">
      <c r="A3847" s="195"/>
      <c r="B3847" s="196" t="s">
        <v>219</v>
      </c>
      <c r="C3847"/>
      <c r="D3847" s="197"/>
      <c r="E3847" s="197" t="s">
        <v>106</v>
      </c>
      <c r="F3847" s="197"/>
      <c r="G3847" s="197"/>
      <c r="H3847" s="197"/>
      <c r="I3847" s="209"/>
    </row>
    <row r="3848" spans="1:9">
      <c r="A3848" s="195"/>
      <c r="B3848" s="195" t="s">
        <v>205</v>
      </c>
      <c r="C3848"/>
      <c r="D3848" s="197"/>
      <c r="E3848" s="197" t="s">
        <v>106</v>
      </c>
      <c r="F3848" s="197"/>
      <c r="G3848" s="197"/>
      <c r="H3848" s="197"/>
      <c r="I3848" s="209"/>
    </row>
    <row r="3849" spans="1:9">
      <c r="A3849" s="195"/>
      <c r="B3849" s="195" t="s">
        <v>206</v>
      </c>
      <c r="C3849"/>
      <c r="D3849" s="197"/>
      <c r="E3849" s="197"/>
      <c r="F3849" s="197"/>
      <c r="G3849" s="197"/>
      <c r="H3849" s="197"/>
      <c r="I3849" s="209"/>
    </row>
    <row r="3850" spans="1:9">
      <c r="A3850" s="195"/>
      <c r="B3850" s="195" t="s">
        <v>207</v>
      </c>
      <c r="C3850"/>
      <c r="D3850" s="197"/>
      <c r="E3850" s="197"/>
      <c r="F3850" s="197"/>
      <c r="G3850" s="197"/>
      <c r="H3850" s="197"/>
      <c r="I3850" s="209"/>
    </row>
    <row r="3851" spans="1:9">
      <c r="A3851" s="195"/>
      <c r="B3851" s="196" t="s">
        <v>220</v>
      </c>
      <c r="C3851"/>
      <c r="D3851" s="189"/>
      <c r="E3851" s="197"/>
      <c r="F3851" s="197"/>
      <c r="G3851" s="189"/>
      <c r="H3851" s="197"/>
      <c r="I3851" s="209"/>
    </row>
    <row r="3852" spans="1:9">
      <c r="A3852" s="195"/>
      <c r="B3852" s="195" t="s">
        <v>205</v>
      </c>
      <c r="C3852"/>
      <c r="D3852" s="197" t="s">
        <v>759</v>
      </c>
      <c r="E3852" s="197" t="s">
        <v>273</v>
      </c>
      <c r="F3852" s="197" t="s">
        <v>62</v>
      </c>
      <c r="G3852" s="197" t="s">
        <v>56</v>
      </c>
      <c r="H3852" s="197" t="s">
        <v>92</v>
      </c>
      <c r="I3852" s="209" t="s">
        <v>92</v>
      </c>
    </row>
    <row r="3853" spans="1:9">
      <c r="A3853" s="195"/>
      <c r="B3853" s="195" t="s">
        <v>206</v>
      </c>
      <c r="C3853"/>
      <c r="D3853" s="197" t="s">
        <v>759</v>
      </c>
      <c r="E3853" s="197" t="s">
        <v>273</v>
      </c>
      <c r="F3853" s="197" t="s">
        <v>62</v>
      </c>
      <c r="G3853" s="197" t="s">
        <v>56</v>
      </c>
      <c r="H3853" s="197" t="s">
        <v>92</v>
      </c>
      <c r="I3853" s="209" t="s">
        <v>92</v>
      </c>
    </row>
    <row r="3854" spans="1:9">
      <c r="A3854" s="195"/>
      <c r="B3854" s="195" t="s">
        <v>207</v>
      </c>
      <c r="C3854"/>
      <c r="D3854" s="197" t="s">
        <v>759</v>
      </c>
      <c r="E3854" s="197" t="s">
        <v>273</v>
      </c>
      <c r="F3854" s="197" t="s">
        <v>62</v>
      </c>
      <c r="G3854" s="197" t="s">
        <v>56</v>
      </c>
      <c r="H3854" s="197" t="s">
        <v>92</v>
      </c>
      <c r="I3854" s="209" t="s">
        <v>92</v>
      </c>
    </row>
    <row r="3855" spans="1:9">
      <c r="A3855" s="195"/>
      <c r="B3855" s="196" t="s">
        <v>222</v>
      </c>
      <c r="C3855"/>
      <c r="D3855" s="197" t="s">
        <v>759</v>
      </c>
      <c r="E3855" s="197" t="s">
        <v>273</v>
      </c>
      <c r="F3855" s="197" t="s">
        <v>62</v>
      </c>
      <c r="G3855" s="197" t="s">
        <v>4</v>
      </c>
      <c r="H3855" s="197" t="s">
        <v>92</v>
      </c>
      <c r="I3855" s="209" t="s">
        <v>92</v>
      </c>
    </row>
    <row r="3856" spans="1:9">
      <c r="A3856" s="195"/>
      <c r="B3856" s="195" t="s">
        <v>205</v>
      </c>
      <c r="C3856"/>
      <c r="D3856" s="197" t="s">
        <v>759</v>
      </c>
      <c r="E3856" s="197" t="s">
        <v>186</v>
      </c>
      <c r="F3856" s="197" t="s">
        <v>62</v>
      </c>
      <c r="G3856" s="197" t="s">
        <v>270</v>
      </c>
      <c r="H3856" s="197" t="s">
        <v>92</v>
      </c>
      <c r="I3856" s="209" t="s">
        <v>92</v>
      </c>
    </row>
    <row r="3857" spans="1:12">
      <c r="A3857" s="195"/>
      <c r="B3857" s="195" t="s">
        <v>206</v>
      </c>
      <c r="C3857"/>
      <c r="D3857" s="197" t="s">
        <v>759</v>
      </c>
      <c r="E3857" s="197" t="s">
        <v>186</v>
      </c>
      <c r="F3857" s="197" t="s">
        <v>62</v>
      </c>
      <c r="G3857" s="197" t="s">
        <v>270</v>
      </c>
      <c r="H3857" s="197" t="s">
        <v>92</v>
      </c>
      <c r="I3857" s="209" t="s">
        <v>92</v>
      </c>
    </row>
    <row r="3858" spans="1:12">
      <c r="A3858" s="195"/>
      <c r="B3858" s="195" t="s">
        <v>207</v>
      </c>
      <c r="C3858"/>
      <c r="D3858" s="197" t="s">
        <v>216</v>
      </c>
      <c r="E3858" s="197" t="s">
        <v>252</v>
      </c>
      <c r="F3858" s="197" t="s">
        <v>62</v>
      </c>
      <c r="G3858" s="197" t="s">
        <v>270</v>
      </c>
      <c r="H3858" s="197" t="s">
        <v>92</v>
      </c>
      <c r="I3858" s="209" t="s">
        <v>92</v>
      </c>
    </row>
    <row r="3859" spans="1:12">
      <c r="A3859" s="195"/>
      <c r="B3859" s="196" t="s">
        <v>223</v>
      </c>
      <c r="C3859"/>
      <c r="D3859" s="197" t="s">
        <v>216</v>
      </c>
      <c r="E3859" s="197" t="s">
        <v>252</v>
      </c>
      <c r="F3859" s="197" t="s">
        <v>62</v>
      </c>
      <c r="G3859" s="197" t="s">
        <v>270</v>
      </c>
      <c r="H3859" s="197" t="s">
        <v>92</v>
      </c>
      <c r="I3859" s="209" t="s">
        <v>92</v>
      </c>
    </row>
    <row r="3860" spans="1:12">
      <c r="A3860" s="195"/>
      <c r="B3860" s="195" t="s">
        <v>205</v>
      </c>
      <c r="C3860"/>
      <c r="D3860" s="197" t="s">
        <v>216</v>
      </c>
      <c r="E3860" s="197" t="s">
        <v>252</v>
      </c>
      <c r="F3860" s="197" t="s">
        <v>62</v>
      </c>
      <c r="G3860" s="197" t="s">
        <v>270</v>
      </c>
      <c r="H3860" s="197" t="s">
        <v>92</v>
      </c>
      <c r="I3860" s="209" t="s">
        <v>92</v>
      </c>
    </row>
    <row r="3861" spans="1:12">
      <c r="A3861" s="195"/>
      <c r="B3861" s="195" t="s">
        <v>206</v>
      </c>
      <c r="C3861"/>
      <c r="D3861" s="197" t="s">
        <v>216</v>
      </c>
      <c r="E3861" s="197" t="s">
        <v>252</v>
      </c>
      <c r="F3861" s="197" t="s">
        <v>62</v>
      </c>
      <c r="G3861" s="197" t="s">
        <v>270</v>
      </c>
      <c r="H3861" s="197" t="s">
        <v>92</v>
      </c>
      <c r="I3861" s="209" t="s">
        <v>92</v>
      </c>
    </row>
    <row r="3862" spans="1:12">
      <c r="A3862" s="195"/>
      <c r="B3862" s="195" t="s">
        <v>207</v>
      </c>
      <c r="C3862"/>
      <c r="D3862" s="197" t="s">
        <v>523</v>
      </c>
      <c r="E3862" s="197" t="s">
        <v>252</v>
      </c>
      <c r="F3862" s="197" t="s">
        <v>62</v>
      </c>
      <c r="G3862" s="197" t="s">
        <v>270</v>
      </c>
      <c r="H3862" s="197" t="s">
        <v>92</v>
      </c>
      <c r="I3862" s="209" t="s">
        <v>92</v>
      </c>
    </row>
    <row r="3863" spans="1:12">
      <c r="A3863" s="195"/>
      <c r="B3863" s="196" t="s">
        <v>225</v>
      </c>
      <c r="C3863"/>
      <c r="D3863" s="197" t="s">
        <v>523</v>
      </c>
      <c r="E3863" s="197" t="s">
        <v>252</v>
      </c>
      <c r="F3863" s="197" t="s">
        <v>62</v>
      </c>
      <c r="G3863" s="197" t="s">
        <v>270</v>
      </c>
      <c r="H3863" s="197" t="s">
        <v>92</v>
      </c>
      <c r="I3863" s="209" t="s">
        <v>92</v>
      </c>
    </row>
    <row r="3864" spans="1:12">
      <c r="A3864" s="195"/>
      <c r="B3864" s="195" t="s">
        <v>205</v>
      </c>
      <c r="C3864"/>
      <c r="D3864" s="197"/>
      <c r="E3864" s="197" t="s">
        <v>252</v>
      </c>
      <c r="F3864" s="197"/>
      <c r="G3864" s="197" t="s">
        <v>270</v>
      </c>
      <c r="H3864" s="197" t="s">
        <v>92</v>
      </c>
      <c r="I3864" s="209" t="s">
        <v>92</v>
      </c>
    </row>
    <row r="3865" spans="1:12">
      <c r="A3865" s="195"/>
      <c r="B3865" s="195" t="s">
        <v>206</v>
      </c>
      <c r="C3865"/>
      <c r="D3865" s="197"/>
      <c r="E3865" s="197" t="s">
        <v>252</v>
      </c>
      <c r="F3865" s="197"/>
      <c r="G3865" s="197" t="s">
        <v>270</v>
      </c>
      <c r="H3865" s="197" t="s">
        <v>92</v>
      </c>
      <c r="I3865" s="209" t="s">
        <v>92</v>
      </c>
    </row>
    <row r="3866" spans="1:12">
      <c r="A3866" s="195"/>
      <c r="B3866" s="195" t="s">
        <v>207</v>
      </c>
      <c r="C3866"/>
      <c r="D3866" s="197"/>
      <c r="E3866" s="197" t="s">
        <v>252</v>
      </c>
      <c r="F3866" s="197"/>
      <c r="G3866" s="197" t="s">
        <v>270</v>
      </c>
      <c r="H3866" s="197"/>
      <c r="I3866" s="209"/>
    </row>
    <row r="3867" spans="1:12">
      <c r="A3867" s="195"/>
      <c r="B3867" s="196" t="s">
        <v>226</v>
      </c>
      <c r="C3867"/>
      <c r="D3867" s="197"/>
      <c r="E3867" s="197"/>
      <c r="F3867" s="197"/>
      <c r="G3867" s="197"/>
      <c r="H3867" s="209"/>
      <c r="I3867" s="209"/>
    </row>
    <row r="3868" spans="1:12">
      <c r="A3868" s="195"/>
      <c r="B3868" s="195" t="s">
        <v>205</v>
      </c>
      <c r="C3868"/>
      <c r="D3868" s="197"/>
      <c r="E3868" s="197"/>
      <c r="F3868" s="197"/>
      <c r="G3868" s="197"/>
      <c r="H3868" s="209"/>
      <c r="I3868" s="209"/>
    </row>
    <row r="3869" spans="1:12">
      <c r="A3869" s="195"/>
      <c r="B3869" s="195" t="s">
        <v>206</v>
      </c>
      <c r="C3869"/>
      <c r="D3869" s="197"/>
      <c r="E3869" s="197"/>
      <c r="F3869" s="197"/>
      <c r="G3869" s="197"/>
      <c r="H3869" s="209"/>
      <c r="I3869" s="209"/>
    </row>
    <row r="3870" spans="1:12">
      <c r="A3870" s="195"/>
      <c r="B3870" s="195" t="s">
        <v>207</v>
      </c>
      <c r="C3870"/>
      <c r="D3870" s="197"/>
      <c r="E3870" s="197"/>
      <c r="F3870" s="197"/>
      <c r="G3870" s="197"/>
      <c r="H3870" s="209"/>
      <c r="I3870" s="209"/>
    </row>
    <row r="3871" spans="1:12">
      <c r="A3871" s="195"/>
      <c r="B3871" s="196" t="s">
        <v>227</v>
      </c>
      <c r="C3871"/>
      <c r="D3871" s="197"/>
      <c r="E3871" s="197"/>
      <c r="F3871" s="197"/>
      <c r="G3871" s="197"/>
      <c r="H3871" s="209"/>
      <c r="I3871" s="209"/>
      <c r="K3871"/>
    </row>
    <row r="3872" spans="1:12" ht="29.25" thickBot="1">
      <c r="A3872" s="182" t="str">
        <f>"回収シフト  第"&amp;ROUNDUP(DAY(B3875)/7,0)  &amp;"  "&amp;TEXT(B3875,"aaaa")</f>
        <v>回収シフト  第4  木曜日</v>
      </c>
      <c r="B3872" s="183"/>
      <c r="C3872" s="183"/>
      <c r="D3872" s="183"/>
      <c r="E3872" s="183"/>
      <c r="F3872" s="183"/>
      <c r="G3872" s="184"/>
      <c r="H3872" s="184"/>
      <c r="I3872" s="184"/>
      <c r="K3872" s="183"/>
      <c r="L3872" s="183"/>
    </row>
    <row r="3873" spans="1:12" ht="15.75" thickBot="1">
      <c r="A3873"/>
      <c r="B3873"/>
      <c r="C3873"/>
      <c r="D3873" s="186" t="s">
        <v>201</v>
      </c>
      <c r="E3873" s="186" t="s">
        <v>202</v>
      </c>
      <c r="F3873" s="186" t="s">
        <v>203</v>
      </c>
      <c r="G3873" s="186" t="s">
        <v>204</v>
      </c>
      <c r="H3873" s="186" t="s">
        <v>267</v>
      </c>
      <c r="I3873" s="217" t="s">
        <v>267</v>
      </c>
      <c r="K3873" s="230" t="s">
        <v>257</v>
      </c>
      <c r="L3873" s="231"/>
    </row>
    <row r="3874" spans="1:12">
      <c r="A3874" s="187"/>
      <c r="B3874" s="188">
        <v>46119</v>
      </c>
      <c r="C3874" s="187"/>
      <c r="D3874" s="189" t="s">
        <v>864</v>
      </c>
      <c r="E3874" s="189" t="s">
        <v>849</v>
      </c>
      <c r="F3874" s="189" t="s">
        <v>921</v>
      </c>
      <c r="G3874" s="189" t="s">
        <v>926</v>
      </c>
      <c r="H3874" s="189" t="s">
        <v>852</v>
      </c>
      <c r="I3874" s="218" t="s">
        <v>852</v>
      </c>
      <c r="K3874" s="232" t="s">
        <v>258</v>
      </c>
      <c r="L3874" s="190" t="str">
        <f>_xlfn.XLOOKUP($B3875,シフト抽出!$19:$19,シフト抽出!$20:$20,"該当なし",0,1)</f>
        <v>該当なし</v>
      </c>
    </row>
    <row r="3875" spans="1:12" ht="19.5" thickBot="1">
      <c r="A3875"/>
      <c r="B3875" s="191">
        <f>B3822+1</f>
        <v>46198</v>
      </c>
      <c r="C3875" s="192"/>
      <c r="D3875" s="193"/>
      <c r="E3875" s="193"/>
      <c r="F3875" s="193"/>
      <c r="G3875" s="193"/>
      <c r="H3875" s="193"/>
      <c r="I3875" s="219"/>
      <c r="K3875" s="233"/>
      <c r="L3875" s="194" t="str">
        <f>_xlfn.XLOOKUP($B3875,シフト抽出!$19:$19,シフト抽出!$21:$21,"該当なし",0,1)</f>
        <v>該当なし</v>
      </c>
    </row>
    <row r="3876" spans="1:12">
      <c r="A3876" s="195"/>
      <c r="B3876" s="196">
        <v>0.25</v>
      </c>
      <c r="C3876"/>
      <c r="D3876" s="197"/>
      <c r="E3876" s="197"/>
      <c r="F3876" s="197" t="s">
        <v>966</v>
      </c>
      <c r="G3876" s="197"/>
      <c r="H3876" s="197"/>
      <c r="I3876" s="209"/>
      <c r="K3876" s="234" t="s">
        <v>259</v>
      </c>
      <c r="L3876" s="198" t="str">
        <f>_xlfn.XLOOKUP($B3875,シフト抽出!$19:$19,シフト抽出!$23:$23,"該当なし",0,1)</f>
        <v>該当なし</v>
      </c>
    </row>
    <row r="3877" spans="1:12" ht="15.75" thickBot="1">
      <c r="A3877" s="195"/>
      <c r="B3877" s="195" t="s">
        <v>205</v>
      </c>
      <c r="C3877"/>
      <c r="D3877" s="197"/>
      <c r="E3877" s="197"/>
      <c r="F3877" s="197"/>
      <c r="G3877" s="197"/>
      <c r="H3877" s="197"/>
      <c r="I3877" s="209"/>
      <c r="K3877" s="235"/>
      <c r="L3877" s="199" t="str">
        <f>_xlfn.XLOOKUP($B3875,シフト抽出!$19:$19,シフト抽出!$24:$24,"該当なし",0,1)</f>
        <v>該当なし</v>
      </c>
    </row>
    <row r="3878" spans="1:12">
      <c r="A3878" s="195"/>
      <c r="B3878" s="195" t="s">
        <v>206</v>
      </c>
      <c r="C3878"/>
      <c r="D3878" s="197"/>
      <c r="E3878" s="197"/>
      <c r="F3878" s="197"/>
      <c r="G3878" s="197"/>
      <c r="H3878" s="197"/>
      <c r="I3878" s="209"/>
      <c r="K3878" s="224" t="s">
        <v>260</v>
      </c>
      <c r="L3878" s="200" t="str">
        <f>_xlfn.XLOOKUP($B3875,シフト抽出!$19:$19,シフト抽出!$26:$26,"該当なし",0,1)</f>
        <v>該当なし</v>
      </c>
    </row>
    <row r="3879" spans="1:12">
      <c r="A3879" s="195"/>
      <c r="B3879" s="195" t="s">
        <v>207</v>
      </c>
      <c r="C3879"/>
      <c r="D3879" s="197"/>
      <c r="E3879" s="197"/>
      <c r="F3879" s="197"/>
      <c r="G3879" s="197"/>
      <c r="H3879" s="197"/>
      <c r="I3879" s="209"/>
      <c r="K3879" s="225"/>
      <c r="L3879" s="201" t="str">
        <f>_xlfn.XLOOKUP($B3875,シフト抽出!$19:$19,シフト抽出!$27:$27,"該当なし",0,1)</f>
        <v>該当なし</v>
      </c>
    </row>
    <row r="3880" spans="1:12">
      <c r="A3880" s="195"/>
      <c r="B3880" s="202" t="s">
        <v>208</v>
      </c>
      <c r="C3880"/>
      <c r="D3880" s="197" t="s">
        <v>4</v>
      </c>
      <c r="E3880" s="197" t="s">
        <v>4</v>
      </c>
      <c r="F3880" s="197"/>
      <c r="G3880" s="197" t="s">
        <v>4</v>
      </c>
      <c r="H3880" s="197"/>
      <c r="I3880" s="209"/>
      <c r="J3880" s="203"/>
      <c r="K3880" s="225"/>
      <c r="L3880" s="201" t="str">
        <f>_xlfn.XLOOKUP($B3875,シフト抽出!$19:$19,シフト抽出!$28:$28,"該当なし",0,1)</f>
        <v>該当なし</v>
      </c>
    </row>
    <row r="3881" spans="1:12" ht="15.75" thickBot="1">
      <c r="A3881" s="195"/>
      <c r="B3881" s="195" t="s">
        <v>205</v>
      </c>
      <c r="C3881"/>
      <c r="D3881" s="197" t="s">
        <v>414</v>
      </c>
      <c r="E3881" s="197" t="s">
        <v>421</v>
      </c>
      <c r="F3881" s="197" t="s">
        <v>851</v>
      </c>
      <c r="G3881" s="197" t="s">
        <v>22</v>
      </c>
      <c r="H3881" s="197"/>
      <c r="I3881" s="209"/>
      <c r="J3881" s="203"/>
      <c r="K3881" s="226"/>
      <c r="L3881" s="204" t="str">
        <f>_xlfn.XLOOKUP($B3875,シフト抽出!$19:$19,シフト抽出!$29:$29,"該当なし",0,1)</f>
        <v>該当なし</v>
      </c>
    </row>
    <row r="3882" spans="1:12" ht="15.75" thickBot="1">
      <c r="A3882" s="195"/>
      <c r="B3882" s="195" t="s">
        <v>206</v>
      </c>
      <c r="C3882"/>
      <c r="D3882" s="197" t="s">
        <v>414</v>
      </c>
      <c r="E3882" s="197" t="s">
        <v>421</v>
      </c>
      <c r="F3882" s="197" t="s">
        <v>851</v>
      </c>
      <c r="G3882" s="197" t="s">
        <v>22</v>
      </c>
      <c r="H3882" s="197"/>
      <c r="I3882" s="209"/>
      <c r="K3882" s="205" t="s">
        <v>261</v>
      </c>
      <c r="L3882" s="205">
        <f>_xlfn.XLOOKUP($B3875,予定表!B:B,予定表!R:R,"該当なし",0,1)</f>
        <v>0</v>
      </c>
    </row>
    <row r="3883" spans="1:12">
      <c r="A3883" s="195"/>
      <c r="B3883" s="195" t="s">
        <v>207</v>
      </c>
      <c r="C3883"/>
      <c r="D3883" s="197" t="s">
        <v>414</v>
      </c>
      <c r="E3883" s="197" t="s">
        <v>421</v>
      </c>
      <c r="F3883" s="197" t="s">
        <v>851</v>
      </c>
      <c r="G3883" s="197" t="s">
        <v>22</v>
      </c>
      <c r="H3883" s="197"/>
      <c r="I3883" s="209"/>
      <c r="K3883" s="227" t="s">
        <v>262</v>
      </c>
      <c r="L3883" s="206">
        <f>_xlfn.XLOOKUP($B3875,予定表!$B:$B,予定表!E:E,"該当なし",0,1)</f>
        <v>0</v>
      </c>
    </row>
    <row r="3884" spans="1:12">
      <c r="A3884" s="195"/>
      <c r="B3884" s="196" t="s">
        <v>209</v>
      </c>
      <c r="C3884"/>
      <c r="D3884" s="197" t="s">
        <v>414</v>
      </c>
      <c r="E3884" s="197" t="s">
        <v>421</v>
      </c>
      <c r="F3884" s="197" t="s">
        <v>851</v>
      </c>
      <c r="G3884" s="197" t="s">
        <v>22</v>
      </c>
      <c r="H3884" s="197" t="s">
        <v>4</v>
      </c>
      <c r="I3884" s="209" t="s">
        <v>4</v>
      </c>
      <c r="K3884" s="228"/>
      <c r="L3884" s="207" t="str">
        <f>_xlfn.XLOOKUP($B3875,予定表!$B:$B,予定表!F:F,"該当なし",0,1)</f>
        <v>ディーミング</v>
      </c>
    </row>
    <row r="3885" spans="1:12">
      <c r="A3885" s="195"/>
      <c r="B3885" s="195" t="s">
        <v>205</v>
      </c>
      <c r="C3885"/>
      <c r="D3885" s="197" t="s">
        <v>414</v>
      </c>
      <c r="E3885" s="197" t="s">
        <v>421</v>
      </c>
      <c r="F3885" s="197"/>
      <c r="G3885" s="197" t="s">
        <v>268</v>
      </c>
      <c r="H3885" s="197" t="s">
        <v>60</v>
      </c>
      <c r="I3885" s="209" t="s">
        <v>60</v>
      </c>
      <c r="K3885" s="228"/>
      <c r="L3885" s="207">
        <f>_xlfn.XLOOKUP($B3875,予定表!$B:$B,予定表!G:G,"該当なし",0,1)</f>
        <v>0</v>
      </c>
    </row>
    <row r="3886" spans="1:12">
      <c r="A3886" s="195"/>
      <c r="B3886" s="195" t="s">
        <v>206</v>
      </c>
      <c r="C3886"/>
      <c r="D3886" s="197" t="s">
        <v>214</v>
      </c>
      <c r="E3886" s="197" t="s">
        <v>273</v>
      </c>
      <c r="F3886" s="197" t="s">
        <v>416</v>
      </c>
      <c r="G3886" s="197" t="s">
        <v>268</v>
      </c>
      <c r="H3886" s="197" t="s">
        <v>60</v>
      </c>
      <c r="I3886" s="209" t="s">
        <v>60</v>
      </c>
      <c r="K3886" s="228"/>
      <c r="L3886" s="207">
        <f>_xlfn.XLOOKUP($B3875,予定表!$B:$B,予定表!H:H,"該当なし",0,1)</f>
        <v>0</v>
      </c>
    </row>
    <row r="3887" spans="1:12">
      <c r="A3887" s="195"/>
      <c r="B3887" s="195" t="s">
        <v>207</v>
      </c>
      <c r="C3887"/>
      <c r="D3887" s="197" t="s">
        <v>214</v>
      </c>
      <c r="E3887" s="197" t="s">
        <v>273</v>
      </c>
      <c r="F3887" s="197" t="s">
        <v>771</v>
      </c>
      <c r="G3887" s="197" t="s">
        <v>268</v>
      </c>
      <c r="H3887" s="197" t="s">
        <v>60</v>
      </c>
      <c r="I3887" s="209" t="s">
        <v>60</v>
      </c>
      <c r="K3887" s="228"/>
      <c r="L3887" s="207" t="str">
        <f>_xlfn.XLOOKUP($B3875,予定表!$B:$B,予定表!I:I,"該当なし",0,1)</f>
        <v/>
      </c>
    </row>
    <row r="3888" spans="1:12">
      <c r="A3888" s="195"/>
      <c r="B3888" s="196" t="s">
        <v>212</v>
      </c>
      <c r="C3888"/>
      <c r="D3888" s="197" t="s">
        <v>214</v>
      </c>
      <c r="E3888" s="197" t="s">
        <v>930</v>
      </c>
      <c r="F3888" s="197" t="s">
        <v>416</v>
      </c>
      <c r="G3888" s="197" t="s">
        <v>268</v>
      </c>
      <c r="H3888" s="197"/>
      <c r="I3888" s="209"/>
      <c r="K3888" s="228"/>
      <c r="L3888" s="207" t="str">
        <f>_xlfn.XLOOKUP($B3875,予定表!$B:$B,予定表!J:J,"該当なし",0,1)</f>
        <v/>
      </c>
    </row>
    <row r="3889" spans="1:12">
      <c r="A3889" s="195"/>
      <c r="B3889" s="195" t="s">
        <v>205</v>
      </c>
      <c r="C3889"/>
      <c r="D3889" s="197" t="s">
        <v>761</v>
      </c>
      <c r="E3889" s="197" t="s">
        <v>228</v>
      </c>
      <c r="F3889" s="197" t="s">
        <v>416</v>
      </c>
      <c r="G3889" s="197" t="s">
        <v>268</v>
      </c>
      <c r="H3889" s="197" t="s">
        <v>230</v>
      </c>
      <c r="I3889" s="209" t="s">
        <v>230</v>
      </c>
      <c r="K3889" s="228"/>
      <c r="L3889" s="207" t="str">
        <f>_xlfn.XLOOKUP($B3875,予定表!$B:$B,予定表!K:K,"該当なし",0,1)</f>
        <v/>
      </c>
    </row>
    <row r="3890" spans="1:12">
      <c r="A3890" s="195"/>
      <c r="B3890" s="195" t="s">
        <v>206</v>
      </c>
      <c r="C3890"/>
      <c r="D3890" s="197" t="s">
        <v>761</v>
      </c>
      <c r="E3890" s="197" t="s">
        <v>228</v>
      </c>
      <c r="F3890" s="197" t="s">
        <v>416</v>
      </c>
      <c r="G3890" s="197" t="s">
        <v>268</v>
      </c>
      <c r="H3890" s="197" t="s">
        <v>230</v>
      </c>
      <c r="I3890" s="209" t="s">
        <v>230</v>
      </c>
      <c r="K3890" s="228"/>
      <c r="L3890" s="207" t="str">
        <f>_xlfn.XLOOKUP($B3875,予定表!$B:$B,予定表!L:L,"該当なし",0,1)</f>
        <v/>
      </c>
    </row>
    <row r="3891" spans="1:12" ht="15.75" thickBot="1">
      <c r="A3891" s="195"/>
      <c r="B3891" s="195" t="s">
        <v>207</v>
      </c>
      <c r="C3891"/>
      <c r="D3891" s="197" t="s">
        <v>761</v>
      </c>
      <c r="E3891" s="197" t="s">
        <v>228</v>
      </c>
      <c r="F3891" s="197" t="s">
        <v>416</v>
      </c>
      <c r="G3891" s="197" t="s">
        <v>268</v>
      </c>
      <c r="H3891" s="197" t="s">
        <v>230</v>
      </c>
      <c r="I3891" s="209" t="s">
        <v>230</v>
      </c>
      <c r="K3891" s="229"/>
      <c r="L3891" s="204" t="str">
        <f>_xlfn.XLOOKUP($A3872,ﾘｽﾄマスタ!$U$8:$U$17,ﾘｽﾄマスタ!$V$8:$V$17,"",0)</f>
        <v/>
      </c>
    </row>
    <row r="3892" spans="1:12" ht="15.75" thickBot="1">
      <c r="A3892" s="195"/>
      <c r="B3892" s="196" t="s">
        <v>251</v>
      </c>
      <c r="C3892"/>
      <c r="D3892" s="197"/>
      <c r="E3892" s="197" t="s">
        <v>228</v>
      </c>
      <c r="F3892" s="197"/>
      <c r="G3892" s="197" t="s">
        <v>268</v>
      </c>
      <c r="H3892" s="197" t="s">
        <v>229</v>
      </c>
      <c r="I3892" s="209" t="s">
        <v>229</v>
      </c>
      <c r="K3892" s="208" t="s">
        <v>277</v>
      </c>
      <c r="L3892" s="208" t="str">
        <f>_xlfn.XLOOKUP($B3875,シフト抽出!$19:$19,シフト抽出!$30:$30,"該当なし",0,1)</f>
        <v>該当なし</v>
      </c>
    </row>
    <row r="3893" spans="1:12">
      <c r="A3893" s="195"/>
      <c r="B3893" s="195" t="s">
        <v>205</v>
      </c>
      <c r="C3893"/>
      <c r="D3893" s="197" t="s">
        <v>114</v>
      </c>
      <c r="E3893" s="197" t="s">
        <v>228</v>
      </c>
      <c r="F3893" s="197"/>
      <c r="G3893" s="197" t="s">
        <v>169</v>
      </c>
      <c r="H3893" s="197" t="s">
        <v>229</v>
      </c>
      <c r="I3893" s="209" t="s">
        <v>229</v>
      </c>
    </row>
    <row r="3894" spans="1:12">
      <c r="A3894" s="195"/>
      <c r="B3894" s="195" t="s">
        <v>206</v>
      </c>
      <c r="C3894"/>
      <c r="D3894" s="197" t="s">
        <v>114</v>
      </c>
      <c r="E3894" s="197" t="s">
        <v>263</v>
      </c>
      <c r="F3894" s="197"/>
      <c r="G3894" s="197" t="s">
        <v>169</v>
      </c>
      <c r="H3894" s="197" t="s">
        <v>848</v>
      </c>
      <c r="I3894" s="209" t="s">
        <v>848</v>
      </c>
    </row>
    <row r="3895" spans="1:12">
      <c r="A3895" s="195"/>
      <c r="B3895" s="195" t="s">
        <v>207</v>
      </c>
      <c r="C3895"/>
      <c r="D3895" s="197" t="s">
        <v>129</v>
      </c>
      <c r="E3895" s="197" t="s">
        <v>263</v>
      </c>
      <c r="F3895" s="197" t="s">
        <v>51</v>
      </c>
      <c r="G3895" s="197" t="s">
        <v>169</v>
      </c>
      <c r="H3895" s="197" t="s">
        <v>848</v>
      </c>
      <c r="I3895" s="209" t="s">
        <v>848</v>
      </c>
    </row>
    <row r="3896" spans="1:12">
      <c r="A3896" s="195"/>
      <c r="B3896" s="196" t="s">
        <v>217</v>
      </c>
      <c r="C3896"/>
      <c r="D3896" s="197" t="s">
        <v>129</v>
      </c>
      <c r="E3896" s="197" t="s">
        <v>263</v>
      </c>
      <c r="F3896" s="197" t="s">
        <v>51</v>
      </c>
      <c r="G3896" s="197" t="s">
        <v>169</v>
      </c>
      <c r="H3896" s="197" t="s">
        <v>848</v>
      </c>
      <c r="I3896" s="209" t="s">
        <v>848</v>
      </c>
    </row>
    <row r="3897" spans="1:12">
      <c r="A3897" s="195"/>
      <c r="B3897" s="195" t="s">
        <v>205</v>
      </c>
      <c r="C3897"/>
      <c r="D3897" s="197" t="s">
        <v>129</v>
      </c>
      <c r="E3897" s="197" t="s">
        <v>848</v>
      </c>
      <c r="F3897" s="197" t="s">
        <v>51</v>
      </c>
      <c r="G3897" s="197" t="s">
        <v>169</v>
      </c>
      <c r="H3897" s="197" t="s">
        <v>848</v>
      </c>
      <c r="I3897" s="209" t="s">
        <v>848</v>
      </c>
    </row>
    <row r="3898" spans="1:12">
      <c r="A3898" s="195"/>
      <c r="B3898" s="195" t="s">
        <v>206</v>
      </c>
      <c r="C3898"/>
      <c r="D3898" s="197" t="s">
        <v>129</v>
      </c>
      <c r="E3898" s="197" t="s">
        <v>848</v>
      </c>
      <c r="F3898" s="197" t="s">
        <v>51</v>
      </c>
      <c r="G3898" s="197" t="s">
        <v>278</v>
      </c>
      <c r="H3898" s="197" t="s">
        <v>848</v>
      </c>
      <c r="I3898" s="209" t="s">
        <v>848</v>
      </c>
    </row>
    <row r="3899" spans="1:12">
      <c r="A3899" s="195"/>
      <c r="B3899" s="195" t="s">
        <v>207</v>
      </c>
      <c r="C3899"/>
      <c r="D3899" s="197" t="s">
        <v>129</v>
      </c>
      <c r="E3899" s="197" t="s">
        <v>848</v>
      </c>
      <c r="F3899" s="197" t="s">
        <v>51</v>
      </c>
      <c r="G3899" s="197" t="s">
        <v>278</v>
      </c>
      <c r="H3899" s="197" t="s">
        <v>848</v>
      </c>
      <c r="I3899" s="209" t="s">
        <v>848</v>
      </c>
    </row>
    <row r="3900" spans="1:12">
      <c r="A3900" s="195"/>
      <c r="B3900" s="196" t="s">
        <v>219</v>
      </c>
      <c r="C3900"/>
      <c r="D3900" s="197"/>
      <c r="E3900" s="197"/>
      <c r="F3900" s="197"/>
      <c r="G3900" s="197"/>
      <c r="H3900" s="197"/>
      <c r="I3900" s="209"/>
    </row>
    <row r="3901" spans="1:12">
      <c r="A3901" s="195"/>
      <c r="B3901" s="195" t="s">
        <v>205</v>
      </c>
      <c r="C3901"/>
      <c r="D3901" s="197"/>
      <c r="E3901" s="197"/>
      <c r="F3901" s="197"/>
      <c r="G3901" s="197"/>
      <c r="H3901" s="197"/>
      <c r="I3901" s="209"/>
    </row>
    <row r="3902" spans="1:12">
      <c r="A3902" s="195"/>
      <c r="B3902" s="195" t="s">
        <v>206</v>
      </c>
      <c r="C3902"/>
      <c r="D3902" s="197"/>
      <c r="E3902" s="197"/>
      <c r="F3902" s="197"/>
      <c r="G3902" s="197"/>
      <c r="H3902" s="197"/>
      <c r="I3902" s="209"/>
    </row>
    <row r="3903" spans="1:12">
      <c r="A3903" s="195"/>
      <c r="B3903" s="195" t="s">
        <v>207</v>
      </c>
      <c r="C3903"/>
      <c r="D3903" s="197"/>
      <c r="E3903" s="197"/>
      <c r="F3903" s="197"/>
      <c r="G3903" s="197"/>
      <c r="H3903" s="197"/>
      <c r="I3903" s="209"/>
    </row>
    <row r="3904" spans="1:12">
      <c r="A3904" s="195"/>
      <c r="B3904" s="196" t="s">
        <v>220</v>
      </c>
      <c r="C3904"/>
      <c r="D3904" s="189" t="s">
        <v>276</v>
      </c>
      <c r="E3904" s="197"/>
      <c r="F3904" s="189" t="s">
        <v>923</v>
      </c>
      <c r="G3904" s="189" t="s">
        <v>857</v>
      </c>
      <c r="H3904" s="197"/>
      <c r="I3904" s="209"/>
    </row>
    <row r="3905" spans="1:9">
      <c r="A3905" s="195"/>
      <c r="B3905" s="195" t="s">
        <v>205</v>
      </c>
      <c r="C3905"/>
      <c r="D3905" s="197" t="s">
        <v>515</v>
      </c>
      <c r="E3905" s="197" t="s">
        <v>95</v>
      </c>
      <c r="F3905" s="197" t="s">
        <v>252</v>
      </c>
      <c r="G3905" s="197" t="s">
        <v>56</v>
      </c>
      <c r="H3905" s="197" t="s">
        <v>415</v>
      </c>
      <c r="I3905" s="209" t="s">
        <v>415</v>
      </c>
    </row>
    <row r="3906" spans="1:9">
      <c r="A3906" s="195"/>
      <c r="B3906" s="195" t="s">
        <v>206</v>
      </c>
      <c r="C3906"/>
      <c r="D3906" s="197" t="s">
        <v>515</v>
      </c>
      <c r="E3906" s="197" t="s">
        <v>95</v>
      </c>
      <c r="F3906" s="197" t="s">
        <v>252</v>
      </c>
      <c r="G3906" s="197" t="s">
        <v>56</v>
      </c>
      <c r="H3906" s="197" t="s">
        <v>415</v>
      </c>
      <c r="I3906" s="209" t="s">
        <v>415</v>
      </c>
    </row>
    <row r="3907" spans="1:9">
      <c r="A3907" s="195"/>
      <c r="B3907" s="195" t="s">
        <v>207</v>
      </c>
      <c r="C3907"/>
      <c r="D3907" s="197" t="s">
        <v>269</v>
      </c>
      <c r="E3907" s="197" t="s">
        <v>95</v>
      </c>
      <c r="F3907" s="197" t="s">
        <v>252</v>
      </c>
      <c r="G3907" s="197" t="s">
        <v>56</v>
      </c>
      <c r="H3907" s="197" t="s">
        <v>415</v>
      </c>
      <c r="I3907" s="209" t="s">
        <v>415</v>
      </c>
    </row>
    <row r="3908" spans="1:9">
      <c r="A3908" s="195"/>
      <c r="B3908" s="196" t="s">
        <v>222</v>
      </c>
      <c r="C3908"/>
      <c r="D3908" s="197" t="s">
        <v>269</v>
      </c>
      <c r="E3908" s="197" t="s">
        <v>95</v>
      </c>
      <c r="F3908" s="197" t="s">
        <v>252</v>
      </c>
      <c r="G3908" s="197" t="s">
        <v>56</v>
      </c>
      <c r="H3908" s="197" t="s">
        <v>415</v>
      </c>
      <c r="I3908" s="209" t="s">
        <v>415</v>
      </c>
    </row>
    <row r="3909" spans="1:9">
      <c r="A3909" s="195"/>
      <c r="B3909" s="195" t="s">
        <v>205</v>
      </c>
      <c r="C3909"/>
      <c r="D3909" s="197" t="s">
        <v>269</v>
      </c>
      <c r="E3909" s="197" t="s">
        <v>95</v>
      </c>
      <c r="F3909" s="197" t="s">
        <v>252</v>
      </c>
      <c r="G3909" s="197"/>
      <c r="H3909" s="197" t="s">
        <v>415</v>
      </c>
      <c r="I3909" s="209" t="s">
        <v>415</v>
      </c>
    </row>
    <row r="3910" spans="1:9">
      <c r="A3910" s="195"/>
      <c r="B3910" s="195" t="s">
        <v>206</v>
      </c>
      <c r="C3910"/>
      <c r="D3910" s="197" t="s">
        <v>237</v>
      </c>
      <c r="E3910" s="197" t="s">
        <v>95</v>
      </c>
      <c r="F3910" s="197" t="s">
        <v>252</v>
      </c>
      <c r="G3910" s="197" t="s">
        <v>270</v>
      </c>
      <c r="H3910" s="197" t="s">
        <v>415</v>
      </c>
      <c r="I3910" s="209" t="s">
        <v>415</v>
      </c>
    </row>
    <row r="3911" spans="1:9">
      <c r="A3911" s="195"/>
      <c r="B3911" s="195" t="s">
        <v>207</v>
      </c>
      <c r="C3911"/>
      <c r="D3911" s="197" t="s">
        <v>236</v>
      </c>
      <c r="E3911" s="197" t="s">
        <v>95</v>
      </c>
      <c r="F3911" s="197" t="s">
        <v>252</v>
      </c>
      <c r="G3911" s="197" t="s">
        <v>270</v>
      </c>
      <c r="H3911" s="197" t="s">
        <v>415</v>
      </c>
      <c r="I3911" s="209" t="s">
        <v>415</v>
      </c>
    </row>
    <row r="3912" spans="1:9">
      <c r="A3912" s="195"/>
      <c r="B3912" s="196" t="s">
        <v>223</v>
      </c>
      <c r="C3912"/>
      <c r="D3912" s="197" t="s">
        <v>193</v>
      </c>
      <c r="E3912" s="197" t="s">
        <v>252</v>
      </c>
      <c r="F3912" s="197" t="s">
        <v>252</v>
      </c>
      <c r="G3912" s="197" t="s">
        <v>270</v>
      </c>
      <c r="H3912" s="197" t="s">
        <v>415</v>
      </c>
      <c r="I3912" s="209" t="s">
        <v>415</v>
      </c>
    </row>
    <row r="3913" spans="1:9">
      <c r="A3913" s="195"/>
      <c r="B3913" s="195" t="s">
        <v>205</v>
      </c>
      <c r="C3913"/>
      <c r="D3913" s="197"/>
      <c r="E3913" s="197" t="s">
        <v>252</v>
      </c>
      <c r="F3913" s="197" t="s">
        <v>252</v>
      </c>
      <c r="G3913" s="197" t="s">
        <v>270</v>
      </c>
      <c r="H3913" s="197" t="s">
        <v>415</v>
      </c>
      <c r="I3913" s="209" t="s">
        <v>415</v>
      </c>
    </row>
    <row r="3914" spans="1:9">
      <c r="A3914" s="195"/>
      <c r="B3914" s="195" t="s">
        <v>206</v>
      </c>
      <c r="C3914"/>
      <c r="D3914" s="197"/>
      <c r="E3914" s="197" t="s">
        <v>252</v>
      </c>
      <c r="F3914" s="197" t="s">
        <v>252</v>
      </c>
      <c r="G3914" s="197" t="s">
        <v>270</v>
      </c>
      <c r="H3914" s="197" t="s">
        <v>415</v>
      </c>
      <c r="I3914" s="209" t="s">
        <v>415</v>
      </c>
    </row>
    <row r="3915" spans="1:9">
      <c r="A3915" s="195"/>
      <c r="B3915" s="195" t="s">
        <v>207</v>
      </c>
      <c r="C3915"/>
      <c r="D3915" s="197"/>
      <c r="E3915" s="197" t="s">
        <v>252</v>
      </c>
      <c r="F3915" s="197" t="s">
        <v>252</v>
      </c>
      <c r="G3915" s="197" t="s">
        <v>270</v>
      </c>
      <c r="H3915" s="197" t="s">
        <v>415</v>
      </c>
      <c r="I3915" s="209" t="s">
        <v>415</v>
      </c>
    </row>
    <row r="3916" spans="1:9">
      <c r="A3916" s="195"/>
      <c r="B3916" s="196" t="s">
        <v>225</v>
      </c>
      <c r="C3916"/>
      <c r="D3916" s="197"/>
      <c r="E3916" s="197" t="s">
        <v>252</v>
      </c>
      <c r="F3916" s="197" t="s">
        <v>252</v>
      </c>
      <c r="G3916" s="197" t="s">
        <v>270</v>
      </c>
      <c r="H3916" s="197" t="s">
        <v>415</v>
      </c>
      <c r="I3916" s="209" t="s">
        <v>415</v>
      </c>
    </row>
    <row r="3917" spans="1:9">
      <c r="A3917" s="195"/>
      <c r="B3917" s="195" t="s">
        <v>205</v>
      </c>
      <c r="C3917"/>
      <c r="D3917" s="197"/>
      <c r="E3917" s="197" t="s">
        <v>252</v>
      </c>
      <c r="F3917" s="197" t="s">
        <v>252</v>
      </c>
      <c r="G3917" s="197" t="s">
        <v>270</v>
      </c>
      <c r="H3917" s="197" t="s">
        <v>415</v>
      </c>
      <c r="I3917" s="209" t="s">
        <v>415</v>
      </c>
    </row>
    <row r="3918" spans="1:9">
      <c r="A3918" s="195"/>
      <c r="B3918" s="195" t="s">
        <v>206</v>
      </c>
      <c r="C3918"/>
      <c r="D3918" s="197"/>
      <c r="E3918" s="197" t="s">
        <v>252</v>
      </c>
      <c r="F3918" s="197" t="s">
        <v>252</v>
      </c>
      <c r="G3918" s="197" t="s">
        <v>270</v>
      </c>
      <c r="H3918" s="197" t="s">
        <v>415</v>
      </c>
      <c r="I3918" s="209" t="s">
        <v>415</v>
      </c>
    </row>
    <row r="3919" spans="1:9">
      <c r="A3919" s="195"/>
      <c r="B3919" s="195" t="s">
        <v>207</v>
      </c>
      <c r="C3919"/>
      <c r="D3919" s="197"/>
      <c r="E3919" s="197"/>
      <c r="F3919" s="197"/>
      <c r="G3919" s="197" t="s">
        <v>270</v>
      </c>
      <c r="H3919" s="197" t="s">
        <v>415</v>
      </c>
      <c r="I3919" s="209" t="s">
        <v>415</v>
      </c>
    </row>
    <row r="3920" spans="1:9">
      <c r="A3920" s="195"/>
      <c r="B3920" s="196" t="s">
        <v>226</v>
      </c>
      <c r="C3920"/>
      <c r="D3920" s="197"/>
      <c r="E3920" s="197"/>
      <c r="F3920" s="197"/>
      <c r="G3920" s="197"/>
      <c r="H3920" s="209"/>
      <c r="I3920" s="209"/>
    </row>
    <row r="3921" spans="1:12">
      <c r="A3921" s="195"/>
      <c r="B3921" s="195" t="s">
        <v>205</v>
      </c>
      <c r="C3921"/>
      <c r="D3921" s="197"/>
      <c r="E3921" s="197"/>
      <c r="F3921" s="197"/>
      <c r="G3921" s="197"/>
      <c r="H3921" s="209"/>
      <c r="I3921" s="209"/>
    </row>
    <row r="3922" spans="1:12">
      <c r="A3922" s="195"/>
      <c r="B3922" s="195" t="s">
        <v>206</v>
      </c>
      <c r="C3922"/>
      <c r="D3922" s="197"/>
      <c r="E3922" s="197"/>
      <c r="F3922" s="197"/>
      <c r="G3922" s="197"/>
      <c r="H3922" s="209"/>
      <c r="I3922" s="209"/>
    </row>
    <row r="3923" spans="1:12">
      <c r="A3923" s="195"/>
      <c r="B3923" s="195" t="s">
        <v>207</v>
      </c>
      <c r="C3923"/>
      <c r="D3923" s="197"/>
      <c r="E3923" s="197"/>
      <c r="F3923" s="197"/>
      <c r="G3923" s="197"/>
      <c r="H3923" s="209"/>
      <c r="I3923" s="209"/>
    </row>
    <row r="3924" spans="1:12">
      <c r="A3924" s="195"/>
      <c r="B3924" s="196" t="s">
        <v>227</v>
      </c>
      <c r="C3924"/>
      <c r="D3924" s="197"/>
      <c r="E3924" s="197"/>
      <c r="F3924" s="197"/>
      <c r="G3924" s="197"/>
      <c r="H3924" s="209"/>
      <c r="I3924" s="209"/>
      <c r="K3924"/>
    </row>
    <row r="3925" spans="1:12" ht="29.25" thickBot="1">
      <c r="A3925" s="182" t="str">
        <f>"回収シフト  第"&amp;ROUNDUP(DAY(B3928)/7,0)  &amp;"  "&amp;TEXT(B3928,"aaaa")</f>
        <v>回収シフト  第4  金曜日</v>
      </c>
      <c r="B3925" s="183"/>
      <c r="C3925" s="183"/>
      <c r="D3925" s="183"/>
      <c r="E3925" s="183"/>
      <c r="F3925" s="183"/>
      <c r="G3925" s="184"/>
      <c r="H3925" s="184"/>
      <c r="I3925" s="184"/>
      <c r="K3925" s="183"/>
      <c r="L3925" s="183"/>
    </row>
    <row r="3926" spans="1:12" ht="15.75" thickBot="1">
      <c r="A3926"/>
      <c r="B3926"/>
      <c r="C3926"/>
      <c r="D3926" s="186" t="s">
        <v>201</v>
      </c>
      <c r="E3926" s="186" t="s">
        <v>202</v>
      </c>
      <c r="F3926" s="186" t="s">
        <v>203</v>
      </c>
      <c r="G3926" s="186" t="s">
        <v>204</v>
      </c>
      <c r="H3926" s="186" t="s">
        <v>267</v>
      </c>
      <c r="I3926" s="217" t="s">
        <v>267</v>
      </c>
      <c r="K3926" s="230" t="s">
        <v>257</v>
      </c>
      <c r="L3926" s="231"/>
    </row>
    <row r="3927" spans="1:12">
      <c r="A3927" s="187"/>
      <c r="B3927" s="188">
        <v>46119</v>
      </c>
      <c r="C3927" s="187"/>
      <c r="D3927" s="189" t="s">
        <v>859</v>
      </c>
      <c r="E3927" s="189" t="s">
        <v>849</v>
      </c>
      <c r="F3927" s="189" t="s">
        <v>921</v>
      </c>
      <c r="G3927" s="189" t="s">
        <v>890</v>
      </c>
      <c r="H3927" s="189" t="s">
        <v>852</v>
      </c>
      <c r="I3927" s="218" t="s">
        <v>852</v>
      </c>
      <c r="K3927" s="232" t="s">
        <v>258</v>
      </c>
      <c r="L3927" s="190" t="str">
        <f>_xlfn.XLOOKUP($B3928,シフト抽出!$19:$19,シフト抽出!$20:$20,"該当なし",0,1)</f>
        <v>該当なし</v>
      </c>
    </row>
    <row r="3928" spans="1:12" ht="19.5" thickBot="1">
      <c r="A3928"/>
      <c r="B3928" s="191">
        <f>B3875+1</f>
        <v>46199</v>
      </c>
      <c r="C3928" s="192"/>
      <c r="D3928" s="193"/>
      <c r="E3928" s="193"/>
      <c r="F3928" s="193"/>
      <c r="G3928" s="193"/>
      <c r="H3928" s="193"/>
      <c r="I3928" s="219"/>
      <c r="K3928" s="233"/>
      <c r="L3928" s="194" t="str">
        <f>_xlfn.XLOOKUP($B3928,シフト抽出!$19:$19,シフト抽出!$21:$21,"該当なし",0,1)</f>
        <v>該当なし</v>
      </c>
    </row>
    <row r="3929" spans="1:12">
      <c r="A3929" s="195"/>
      <c r="B3929" s="196">
        <v>0.25</v>
      </c>
      <c r="C3929"/>
      <c r="D3929" s="197"/>
      <c r="E3929" s="196"/>
      <c r="F3929" s="197"/>
      <c r="G3929" s="197"/>
      <c r="H3929" s="197"/>
      <c r="I3929" s="209"/>
      <c r="K3929" s="234" t="s">
        <v>259</v>
      </c>
      <c r="L3929" s="198" t="str">
        <f>_xlfn.XLOOKUP($B3928,シフト抽出!$19:$19,シフト抽出!$23:$23,"該当なし",0,1)</f>
        <v>該当なし</v>
      </c>
    </row>
    <row r="3930" spans="1:12" ht="15.75" thickBot="1">
      <c r="A3930" s="195"/>
      <c r="B3930" s="195" t="s">
        <v>205</v>
      </c>
      <c r="C3930"/>
      <c r="D3930" s="197"/>
      <c r="E3930" s="197"/>
      <c r="F3930" s="197" t="s">
        <v>107</v>
      </c>
      <c r="G3930" s="197"/>
      <c r="H3930" s="197"/>
      <c r="I3930" s="209"/>
      <c r="K3930" s="235"/>
      <c r="L3930" s="199" t="str">
        <f>_xlfn.XLOOKUP($B3928,シフト抽出!$19:$19,シフト抽出!$24:$24,"該当なし",0,1)</f>
        <v>該当なし</v>
      </c>
    </row>
    <row r="3931" spans="1:12">
      <c r="A3931" s="195"/>
      <c r="B3931" s="195" t="s">
        <v>206</v>
      </c>
      <c r="C3931"/>
      <c r="D3931" s="197" t="s">
        <v>238</v>
      </c>
      <c r="E3931" s="197"/>
      <c r="F3931" s="197"/>
      <c r="G3931" s="197"/>
      <c r="H3931" s="197"/>
      <c r="I3931" s="209"/>
      <c r="K3931" s="224" t="s">
        <v>260</v>
      </c>
      <c r="L3931" s="200" t="str">
        <f>_xlfn.XLOOKUP($B3928,シフト抽出!$19:$19,シフト抽出!$26:$26,"該当なし",0,1)</f>
        <v>該当なし</v>
      </c>
    </row>
    <row r="3932" spans="1:12">
      <c r="A3932" s="195"/>
      <c r="B3932" s="195" t="s">
        <v>207</v>
      </c>
      <c r="C3932"/>
      <c r="D3932" s="197" t="s">
        <v>238</v>
      </c>
      <c r="E3932" s="197"/>
      <c r="F3932" s="197"/>
      <c r="G3932" s="197"/>
      <c r="H3932" s="197"/>
      <c r="I3932" s="209"/>
      <c r="K3932" s="225"/>
      <c r="L3932" s="201" t="str">
        <f>_xlfn.XLOOKUP($B3928,シフト抽出!$19:$19,シフト抽出!$27:$27,"該当なし",0,1)</f>
        <v>該当なし</v>
      </c>
    </row>
    <row r="3933" spans="1:12">
      <c r="A3933" s="195"/>
      <c r="B3933" s="202" t="s">
        <v>208</v>
      </c>
      <c r="C3933"/>
      <c r="D3933" s="197" t="s">
        <v>238</v>
      </c>
      <c r="E3933" s="197" t="s">
        <v>4</v>
      </c>
      <c r="F3933" s="197" t="s">
        <v>851</v>
      </c>
      <c r="G3933" s="197" t="s">
        <v>22</v>
      </c>
      <c r="H3933" s="197"/>
      <c r="I3933" s="209"/>
      <c r="J3933" s="203"/>
      <c r="K3933" s="225"/>
      <c r="L3933" s="201" t="str">
        <f>_xlfn.XLOOKUP($B3928,シフト抽出!$19:$19,シフト抽出!$28:$28,"該当なし",0,1)</f>
        <v>該当なし</v>
      </c>
    </row>
    <row r="3934" spans="1:12" ht="15.75" thickBot="1">
      <c r="A3934" s="195"/>
      <c r="B3934" s="195" t="s">
        <v>205</v>
      </c>
      <c r="C3934"/>
      <c r="D3934" s="197" t="s">
        <v>238</v>
      </c>
      <c r="E3934" s="197" t="s">
        <v>420</v>
      </c>
      <c r="F3934" s="197" t="s">
        <v>851</v>
      </c>
      <c r="G3934" s="197" t="s">
        <v>22</v>
      </c>
      <c r="H3934" s="197"/>
      <c r="I3934" s="209"/>
      <c r="J3934" s="203"/>
      <c r="K3934" s="226"/>
      <c r="L3934" s="204" t="str">
        <f>_xlfn.XLOOKUP($B3928,シフト抽出!$19:$19,シフト抽出!$29:$29,"該当なし",0,1)</f>
        <v>該当なし</v>
      </c>
    </row>
    <row r="3935" spans="1:12" ht="15.75" thickBot="1">
      <c r="A3935" s="195"/>
      <c r="B3935" s="195" t="s">
        <v>206</v>
      </c>
      <c r="C3935"/>
      <c r="D3935" s="197" t="s">
        <v>238</v>
      </c>
      <c r="E3935" s="197" t="s">
        <v>420</v>
      </c>
      <c r="F3935" s="197" t="s">
        <v>851</v>
      </c>
      <c r="G3935" s="197" t="s">
        <v>788</v>
      </c>
      <c r="H3935" s="197"/>
      <c r="I3935" s="209"/>
      <c r="K3935" s="205" t="s">
        <v>261</v>
      </c>
      <c r="L3935" s="205">
        <f>_xlfn.XLOOKUP($B3928,予定表!B:B,予定表!R:R,"該当なし",0,1)</f>
        <v>0</v>
      </c>
    </row>
    <row r="3936" spans="1:12">
      <c r="A3936" s="195"/>
      <c r="B3936" s="195" t="s">
        <v>207</v>
      </c>
      <c r="C3936"/>
      <c r="D3936" s="197" t="s">
        <v>238</v>
      </c>
      <c r="E3936" s="197" t="s">
        <v>420</v>
      </c>
      <c r="F3936" s="197" t="s">
        <v>851</v>
      </c>
      <c r="G3936" s="197" t="s">
        <v>788</v>
      </c>
      <c r="H3936" s="197"/>
      <c r="I3936" s="209"/>
      <c r="K3936" s="227" t="s">
        <v>262</v>
      </c>
      <c r="L3936" s="206" t="str">
        <f>_xlfn.XLOOKUP($B3928,予定表!$B:$B,予定表!E:E,"該当なし",0,1)</f>
        <v>ジャクソン</v>
      </c>
    </row>
    <row r="3937" spans="1:12">
      <c r="A3937" s="195"/>
      <c r="B3937" s="196" t="s">
        <v>209</v>
      </c>
      <c r="C3937"/>
      <c r="D3937" s="197"/>
      <c r="E3937" s="197" t="s">
        <v>420</v>
      </c>
      <c r="F3937" s="197" t="s">
        <v>851</v>
      </c>
      <c r="G3937" s="197" t="s">
        <v>268</v>
      </c>
      <c r="H3937" s="197" t="s">
        <v>4</v>
      </c>
      <c r="I3937" s="209" t="s">
        <v>4</v>
      </c>
      <c r="K3937" s="228"/>
      <c r="L3937" s="207" t="str">
        <f>_xlfn.XLOOKUP($B3928,予定表!$B:$B,予定表!F:F,"該当なし",0,1)</f>
        <v>IWD(㈱大勝)</v>
      </c>
    </row>
    <row r="3938" spans="1:12">
      <c r="A3938" s="195"/>
      <c r="B3938" s="195" t="s">
        <v>205</v>
      </c>
      <c r="C3938"/>
      <c r="D3938" s="197" t="s">
        <v>264</v>
      </c>
      <c r="E3938" s="197" t="s">
        <v>420</v>
      </c>
      <c r="F3938" s="197"/>
      <c r="G3938" s="197" t="s">
        <v>268</v>
      </c>
      <c r="H3938" s="197" t="s">
        <v>60</v>
      </c>
      <c r="I3938" s="209" t="s">
        <v>60</v>
      </c>
      <c r="K3938" s="228"/>
      <c r="L3938" s="207">
        <f>_xlfn.XLOOKUP($B3928,予定表!$B:$B,予定表!G:G,"該当なし",0,1)</f>
        <v>0</v>
      </c>
    </row>
    <row r="3939" spans="1:12">
      <c r="A3939" s="195"/>
      <c r="B3939" s="195" t="s">
        <v>206</v>
      </c>
      <c r="C3939"/>
      <c r="D3939" s="197" t="s">
        <v>239</v>
      </c>
      <c r="E3939" s="197" t="s">
        <v>414</v>
      </c>
      <c r="F3939" s="197" t="s">
        <v>111</v>
      </c>
      <c r="G3939" s="197" t="s">
        <v>268</v>
      </c>
      <c r="H3939" s="197" t="s">
        <v>60</v>
      </c>
      <c r="I3939" s="209" t="s">
        <v>60</v>
      </c>
      <c r="K3939" s="228"/>
      <c r="L3939" s="207" t="str">
        <f>_xlfn.XLOOKUP($B3928,予定表!$B:$B,予定表!H:H,"該当なし",0,1)</f>
        <v>資さんうどん</v>
      </c>
    </row>
    <row r="3940" spans="1:12">
      <c r="A3940" s="195"/>
      <c r="B3940" s="195" t="s">
        <v>207</v>
      </c>
      <c r="C3940"/>
      <c r="D3940" s="197" t="s">
        <v>425</v>
      </c>
      <c r="E3940" s="197" t="s">
        <v>414</v>
      </c>
      <c r="F3940" s="197" t="s">
        <v>111</v>
      </c>
      <c r="G3940" s="197" t="s">
        <v>268</v>
      </c>
      <c r="H3940" s="197" t="s">
        <v>60</v>
      </c>
      <c r="I3940" s="209" t="s">
        <v>60</v>
      </c>
      <c r="K3940" s="228"/>
      <c r="L3940" s="207" t="str">
        <f>_xlfn.XLOOKUP($B3928,予定表!$B:$B,予定表!I:I,"該当なし",0,1)</f>
        <v/>
      </c>
    </row>
    <row r="3941" spans="1:12">
      <c r="A3941" s="195"/>
      <c r="B3941" s="196" t="s">
        <v>212</v>
      </c>
      <c r="C3941"/>
      <c r="D3941" s="197" t="s">
        <v>240</v>
      </c>
      <c r="E3941" s="197" t="s">
        <v>414</v>
      </c>
      <c r="F3941" s="197" t="s">
        <v>111</v>
      </c>
      <c r="G3941" s="197" t="s">
        <v>268</v>
      </c>
      <c r="H3941" s="197"/>
      <c r="I3941" s="209"/>
      <c r="K3941" s="228"/>
      <c r="L3941" s="207" t="str">
        <f>_xlfn.XLOOKUP($B3928,予定表!$B:$B,予定表!J:J,"該当なし",0,1)</f>
        <v/>
      </c>
    </row>
    <row r="3942" spans="1:12">
      <c r="A3942" s="195"/>
      <c r="B3942" s="195" t="s">
        <v>205</v>
      </c>
      <c r="C3942"/>
      <c r="D3942" s="197" t="s">
        <v>240</v>
      </c>
      <c r="E3942" s="197" t="s">
        <v>414</v>
      </c>
      <c r="F3942" s="197" t="s">
        <v>111</v>
      </c>
      <c r="G3942" s="197" t="s">
        <v>268</v>
      </c>
      <c r="H3942" s="197" t="s">
        <v>848</v>
      </c>
      <c r="I3942" s="209" t="s">
        <v>848</v>
      </c>
      <c r="K3942" s="228"/>
      <c r="L3942" s="207" t="str">
        <f>_xlfn.XLOOKUP($B3928,予定表!$B:$B,予定表!K:K,"該当なし",0,1)</f>
        <v/>
      </c>
    </row>
    <row r="3943" spans="1:12">
      <c r="A3943" s="195"/>
      <c r="B3943" s="195" t="s">
        <v>206</v>
      </c>
      <c r="C3943"/>
      <c r="D3943" s="197" t="s">
        <v>353</v>
      </c>
      <c r="E3943" s="197" t="s">
        <v>854</v>
      </c>
      <c r="F3943" s="197" t="s">
        <v>111</v>
      </c>
      <c r="G3943" s="197" t="s">
        <v>515</v>
      </c>
      <c r="H3943" s="197" t="s">
        <v>848</v>
      </c>
      <c r="I3943" s="209" t="s">
        <v>848</v>
      </c>
      <c r="K3943" s="228"/>
      <c r="L3943" s="207" t="str">
        <f>_xlfn.XLOOKUP($B3928,予定表!$B:$B,予定表!L:L,"該当なし",0,1)</f>
        <v/>
      </c>
    </row>
    <row r="3944" spans="1:12" ht="15.75" thickBot="1">
      <c r="A3944" s="195"/>
      <c r="B3944" s="195" t="s">
        <v>207</v>
      </c>
      <c r="C3944"/>
      <c r="D3944" s="197" t="s">
        <v>353</v>
      </c>
      <c r="E3944" s="197" t="s">
        <v>854</v>
      </c>
      <c r="F3944" s="197" t="s">
        <v>111</v>
      </c>
      <c r="G3944" s="197" t="s">
        <v>515</v>
      </c>
      <c r="H3944" s="197" t="s">
        <v>848</v>
      </c>
      <c r="I3944" s="209" t="s">
        <v>848</v>
      </c>
      <c r="K3944" s="229"/>
      <c r="L3944" s="204" t="str">
        <f>_xlfn.XLOOKUP($A3925,ﾘｽﾄマスタ!$U$8:$U$17,ﾘｽﾄマスタ!$V$8:$V$17,"",0)</f>
        <v/>
      </c>
    </row>
    <row r="3945" spans="1:12" ht="15.75" thickBot="1">
      <c r="A3945" s="195"/>
      <c r="B3945" s="196" t="s">
        <v>251</v>
      </c>
      <c r="C3945"/>
      <c r="D3945" s="197" t="s">
        <v>353</v>
      </c>
      <c r="E3945" s="197" t="s">
        <v>854</v>
      </c>
      <c r="F3945" s="197"/>
      <c r="G3945" s="197" t="s">
        <v>515</v>
      </c>
      <c r="H3945" s="197" t="s">
        <v>848</v>
      </c>
      <c r="I3945" s="209" t="s">
        <v>848</v>
      </c>
      <c r="K3945" s="208" t="s">
        <v>277</v>
      </c>
      <c r="L3945" s="208" t="str">
        <f>_xlfn.XLOOKUP($B3928,シフト抽出!$19:$19,シフト抽出!$30:$30,"該当なし",0,1)</f>
        <v>該当なし</v>
      </c>
    </row>
    <row r="3946" spans="1:12">
      <c r="A3946" s="195"/>
      <c r="B3946" s="195" t="s">
        <v>205</v>
      </c>
      <c r="C3946"/>
      <c r="D3946" s="197" t="s">
        <v>761</v>
      </c>
      <c r="E3946" s="197" t="s">
        <v>854</v>
      </c>
      <c r="F3946" s="197"/>
      <c r="G3946" s="197" t="s">
        <v>269</v>
      </c>
      <c r="H3946" s="197" t="s">
        <v>848</v>
      </c>
      <c r="I3946" s="209" t="s">
        <v>848</v>
      </c>
    </row>
    <row r="3947" spans="1:12">
      <c r="A3947" s="195"/>
      <c r="B3947" s="195" t="s">
        <v>206</v>
      </c>
      <c r="C3947"/>
      <c r="D3947" s="197" t="s">
        <v>761</v>
      </c>
      <c r="E3947" s="197" t="s">
        <v>216</v>
      </c>
      <c r="F3947" s="197" t="s">
        <v>51</v>
      </c>
      <c r="G3947" s="197" t="s">
        <v>269</v>
      </c>
      <c r="H3947" s="197" t="s">
        <v>848</v>
      </c>
      <c r="I3947" s="209" t="s">
        <v>848</v>
      </c>
    </row>
    <row r="3948" spans="1:12">
      <c r="A3948" s="195"/>
      <c r="B3948" s="195" t="s">
        <v>207</v>
      </c>
      <c r="C3948"/>
      <c r="D3948" s="197" t="s">
        <v>761</v>
      </c>
      <c r="E3948" s="197" t="s">
        <v>216</v>
      </c>
      <c r="F3948" s="197" t="s">
        <v>51</v>
      </c>
      <c r="G3948" s="197" t="s">
        <v>446</v>
      </c>
      <c r="H3948" s="197" t="s">
        <v>848</v>
      </c>
      <c r="I3948" s="209" t="s">
        <v>848</v>
      </c>
    </row>
    <row r="3949" spans="1:12">
      <c r="A3949" s="195"/>
      <c r="B3949" s="196" t="s">
        <v>217</v>
      </c>
      <c r="C3949"/>
      <c r="D3949" s="197" t="s">
        <v>423</v>
      </c>
      <c r="E3949" s="197" t="s">
        <v>216</v>
      </c>
      <c r="F3949" s="197" t="s">
        <v>51</v>
      </c>
      <c r="G3949" s="197" t="s">
        <v>446</v>
      </c>
      <c r="H3949" s="197" t="s">
        <v>848</v>
      </c>
      <c r="I3949" s="209" t="s">
        <v>848</v>
      </c>
    </row>
    <row r="3950" spans="1:12">
      <c r="A3950" s="195"/>
      <c r="B3950" s="195" t="s">
        <v>205</v>
      </c>
      <c r="C3950"/>
      <c r="D3950" s="197" t="s">
        <v>588</v>
      </c>
      <c r="E3950" s="197" t="s">
        <v>216</v>
      </c>
      <c r="F3950" s="197" t="s">
        <v>51</v>
      </c>
      <c r="G3950" s="197" t="s">
        <v>114</v>
      </c>
      <c r="H3950" s="197" t="s">
        <v>848</v>
      </c>
      <c r="I3950" s="209" t="s">
        <v>848</v>
      </c>
    </row>
    <row r="3951" spans="1:12">
      <c r="A3951" s="195"/>
      <c r="B3951" s="195" t="s">
        <v>206</v>
      </c>
      <c r="C3951"/>
      <c r="D3951" s="197" t="s">
        <v>127</v>
      </c>
      <c r="E3951" s="197" t="s">
        <v>216</v>
      </c>
      <c r="F3951" s="197"/>
      <c r="G3951" s="197" t="s">
        <v>114</v>
      </c>
      <c r="H3951" s="197" t="s">
        <v>848</v>
      </c>
      <c r="I3951" s="209" t="s">
        <v>848</v>
      </c>
    </row>
    <row r="3952" spans="1:12">
      <c r="A3952" s="195"/>
      <c r="B3952" s="195" t="s">
        <v>207</v>
      </c>
      <c r="C3952"/>
      <c r="D3952" s="197"/>
      <c r="E3952" s="197" t="s">
        <v>216</v>
      </c>
      <c r="F3952" s="197"/>
      <c r="G3952" s="197"/>
      <c r="H3952" s="197"/>
      <c r="I3952" s="209"/>
    </row>
    <row r="3953" spans="1:9">
      <c r="A3953" s="195"/>
      <c r="B3953" s="196" t="s">
        <v>219</v>
      </c>
      <c r="C3953"/>
      <c r="D3953" s="197"/>
      <c r="E3953" s="197"/>
      <c r="F3953" s="197"/>
      <c r="G3953" s="197"/>
      <c r="H3953" s="197"/>
      <c r="I3953" s="209"/>
    </row>
    <row r="3954" spans="1:9">
      <c r="A3954" s="195"/>
      <c r="B3954" s="195" t="s">
        <v>205</v>
      </c>
      <c r="C3954"/>
      <c r="D3954" s="197"/>
      <c r="E3954" s="197"/>
      <c r="F3954" s="197"/>
      <c r="G3954" s="197"/>
      <c r="H3954" s="197"/>
      <c r="I3954" s="209"/>
    </row>
    <row r="3955" spans="1:9">
      <c r="A3955" s="195"/>
      <c r="B3955" s="195" t="s">
        <v>206</v>
      </c>
      <c r="C3955"/>
      <c r="D3955" s="197"/>
      <c r="E3955" s="197"/>
      <c r="F3955" s="197"/>
      <c r="G3955" s="197"/>
      <c r="H3955" s="197"/>
      <c r="I3955" s="209"/>
    </row>
    <row r="3956" spans="1:9">
      <c r="A3956" s="195"/>
      <c r="B3956" s="195" t="s">
        <v>207</v>
      </c>
      <c r="C3956"/>
      <c r="D3956" s="197"/>
      <c r="E3956" s="197"/>
      <c r="F3956" s="197"/>
      <c r="G3956" s="197"/>
      <c r="H3956" s="197"/>
      <c r="I3956" s="209"/>
    </row>
    <row r="3957" spans="1:9">
      <c r="A3957" s="195"/>
      <c r="B3957" s="196" t="s">
        <v>220</v>
      </c>
      <c r="C3957"/>
      <c r="D3957" s="197"/>
      <c r="E3957" s="197"/>
      <c r="F3957" s="189"/>
      <c r="G3957" s="189"/>
      <c r="H3957" s="197" t="s">
        <v>231</v>
      </c>
      <c r="I3957" s="209" t="s">
        <v>231</v>
      </c>
    </row>
    <row r="3958" spans="1:9">
      <c r="A3958" s="195"/>
      <c r="B3958" s="195" t="s">
        <v>205</v>
      </c>
      <c r="C3958"/>
      <c r="D3958" s="197" t="s">
        <v>224</v>
      </c>
      <c r="E3958" s="197" t="s">
        <v>273</v>
      </c>
      <c r="F3958" s="197" t="s">
        <v>759</v>
      </c>
      <c r="G3958" s="197" t="s">
        <v>56</v>
      </c>
      <c r="H3958" s="197" t="s">
        <v>231</v>
      </c>
      <c r="I3958" s="209" t="s">
        <v>231</v>
      </c>
    </row>
    <row r="3959" spans="1:9">
      <c r="A3959" s="195"/>
      <c r="B3959" s="195" t="s">
        <v>206</v>
      </c>
      <c r="C3959"/>
      <c r="D3959" s="197" t="s">
        <v>224</v>
      </c>
      <c r="E3959" s="197" t="s">
        <v>273</v>
      </c>
      <c r="F3959" s="197" t="s">
        <v>759</v>
      </c>
      <c r="G3959" s="197" t="s">
        <v>56</v>
      </c>
      <c r="H3959" s="197" t="s">
        <v>211</v>
      </c>
      <c r="I3959" s="209" t="s">
        <v>211</v>
      </c>
    </row>
    <row r="3960" spans="1:9">
      <c r="A3960" s="195"/>
      <c r="B3960" s="195" t="s">
        <v>207</v>
      </c>
      <c r="C3960"/>
      <c r="D3960" s="197" t="s">
        <v>224</v>
      </c>
      <c r="E3960" s="197" t="s">
        <v>273</v>
      </c>
      <c r="F3960" s="197" t="s">
        <v>759</v>
      </c>
      <c r="G3960" s="197" t="s">
        <v>56</v>
      </c>
      <c r="H3960" s="197" t="s">
        <v>211</v>
      </c>
      <c r="I3960" s="209" t="s">
        <v>211</v>
      </c>
    </row>
    <row r="3961" spans="1:9">
      <c r="A3961" s="195"/>
      <c r="B3961" s="196" t="s">
        <v>222</v>
      </c>
      <c r="C3961"/>
      <c r="D3961" s="197" t="s">
        <v>88</v>
      </c>
      <c r="E3961" s="197" t="s">
        <v>266</v>
      </c>
      <c r="F3961" s="197" t="s">
        <v>759</v>
      </c>
      <c r="G3961" s="197"/>
      <c r="H3961" s="197"/>
      <c r="I3961" s="209"/>
    </row>
    <row r="3962" spans="1:9">
      <c r="A3962" s="195"/>
      <c r="B3962" s="195" t="s">
        <v>205</v>
      </c>
      <c r="C3962"/>
      <c r="D3962" s="197" t="s">
        <v>280</v>
      </c>
      <c r="E3962" s="197" t="s">
        <v>266</v>
      </c>
      <c r="F3962" s="197" t="s">
        <v>416</v>
      </c>
      <c r="G3962" s="197" t="s">
        <v>270</v>
      </c>
      <c r="H3962" s="197" t="s">
        <v>856</v>
      </c>
      <c r="I3962" s="209" t="s">
        <v>856</v>
      </c>
    </row>
    <row r="3963" spans="1:9">
      <c r="A3963" s="195"/>
      <c r="B3963" s="195" t="s">
        <v>206</v>
      </c>
      <c r="C3963"/>
      <c r="D3963" s="197" t="s">
        <v>215</v>
      </c>
      <c r="E3963" s="197" t="s">
        <v>266</v>
      </c>
      <c r="F3963" s="197" t="s">
        <v>954</v>
      </c>
      <c r="G3963" s="197" t="s">
        <v>270</v>
      </c>
      <c r="H3963" s="197" t="s">
        <v>856</v>
      </c>
      <c r="I3963" s="209" t="s">
        <v>856</v>
      </c>
    </row>
    <row r="3964" spans="1:9">
      <c r="A3964" s="195"/>
      <c r="B3964" s="195" t="s">
        <v>207</v>
      </c>
      <c r="C3964"/>
      <c r="D3964" s="197" t="s">
        <v>423</v>
      </c>
      <c r="E3964" s="197" t="s">
        <v>266</v>
      </c>
      <c r="F3964" s="197" t="s">
        <v>416</v>
      </c>
      <c r="G3964" s="197" t="s">
        <v>270</v>
      </c>
      <c r="H3964" s="197" t="s">
        <v>856</v>
      </c>
      <c r="I3964" s="209" t="s">
        <v>856</v>
      </c>
    </row>
    <row r="3965" spans="1:9">
      <c r="A3965" s="195"/>
      <c r="B3965" s="196" t="s">
        <v>223</v>
      </c>
      <c r="C3965"/>
      <c r="D3965" s="197" t="s">
        <v>588</v>
      </c>
      <c r="E3965" s="197" t="s">
        <v>252</v>
      </c>
      <c r="F3965" s="197" t="s">
        <v>214</v>
      </c>
      <c r="G3965" s="197" t="s">
        <v>270</v>
      </c>
      <c r="H3965" s="197" t="s">
        <v>856</v>
      </c>
      <c r="I3965" s="209" t="s">
        <v>856</v>
      </c>
    </row>
    <row r="3966" spans="1:9">
      <c r="A3966" s="195"/>
      <c r="B3966" s="195" t="s">
        <v>205</v>
      </c>
      <c r="C3966"/>
      <c r="D3966" s="197" t="s">
        <v>127</v>
      </c>
      <c r="E3966" s="197" t="s">
        <v>252</v>
      </c>
      <c r="F3966" s="197" t="s">
        <v>214</v>
      </c>
      <c r="G3966" s="197" t="s">
        <v>270</v>
      </c>
      <c r="H3966" s="197" t="s">
        <v>856</v>
      </c>
      <c r="I3966" s="209" t="s">
        <v>856</v>
      </c>
    </row>
    <row r="3967" spans="1:9">
      <c r="A3967" s="195"/>
      <c r="B3967" s="195" t="s">
        <v>206</v>
      </c>
      <c r="C3967"/>
      <c r="D3967" s="197" t="s">
        <v>62</v>
      </c>
      <c r="E3967" s="197" t="s">
        <v>252</v>
      </c>
      <c r="F3967" s="197" t="s">
        <v>214</v>
      </c>
      <c r="G3967" s="197" t="s">
        <v>270</v>
      </c>
      <c r="H3967" s="197" t="s">
        <v>856</v>
      </c>
      <c r="I3967" s="209" t="s">
        <v>856</v>
      </c>
    </row>
    <row r="3968" spans="1:9">
      <c r="A3968" s="195"/>
      <c r="B3968" s="195" t="s">
        <v>207</v>
      </c>
      <c r="C3968"/>
      <c r="D3968" s="197" t="s">
        <v>62</v>
      </c>
      <c r="E3968" s="197" t="s">
        <v>252</v>
      </c>
      <c r="F3968" s="197" t="s">
        <v>62</v>
      </c>
      <c r="G3968" s="197" t="s">
        <v>270</v>
      </c>
      <c r="H3968" s="197" t="s">
        <v>856</v>
      </c>
      <c r="I3968" s="209" t="s">
        <v>856</v>
      </c>
    </row>
    <row r="3969" spans="1:12">
      <c r="A3969" s="195"/>
      <c r="B3969" s="196" t="s">
        <v>225</v>
      </c>
      <c r="C3969"/>
      <c r="D3969" s="197" t="s">
        <v>62</v>
      </c>
      <c r="E3969" s="197" t="s">
        <v>252</v>
      </c>
      <c r="F3969" s="197" t="s">
        <v>62</v>
      </c>
      <c r="G3969" s="197" t="s">
        <v>270</v>
      </c>
      <c r="H3969" s="197" t="s">
        <v>415</v>
      </c>
      <c r="I3969" s="209" t="s">
        <v>415</v>
      </c>
    </row>
    <row r="3970" spans="1:12">
      <c r="A3970" s="195"/>
      <c r="B3970" s="195" t="s">
        <v>205</v>
      </c>
      <c r="C3970"/>
      <c r="D3970" s="197" t="s">
        <v>62</v>
      </c>
      <c r="E3970" s="197" t="s">
        <v>252</v>
      </c>
      <c r="F3970" s="197" t="s">
        <v>62</v>
      </c>
      <c r="G3970" s="197" t="s">
        <v>270</v>
      </c>
      <c r="H3970" s="209" t="s">
        <v>415</v>
      </c>
      <c r="I3970" s="209" t="s">
        <v>415</v>
      </c>
    </row>
    <row r="3971" spans="1:12">
      <c r="A3971" s="195"/>
      <c r="B3971" s="195" t="s">
        <v>206</v>
      </c>
      <c r="C3971"/>
      <c r="D3971" s="197" t="s">
        <v>62</v>
      </c>
      <c r="E3971" s="197" t="s">
        <v>252</v>
      </c>
      <c r="F3971" s="197" t="s">
        <v>62</v>
      </c>
      <c r="G3971" s="197" t="s">
        <v>270</v>
      </c>
      <c r="H3971" s="209" t="s">
        <v>415</v>
      </c>
      <c r="I3971" s="209" t="s">
        <v>415</v>
      </c>
    </row>
    <row r="3972" spans="1:12">
      <c r="A3972" s="195"/>
      <c r="B3972" s="195" t="s">
        <v>207</v>
      </c>
      <c r="C3972"/>
      <c r="D3972" s="197" t="s">
        <v>62</v>
      </c>
      <c r="E3972" s="197" t="s">
        <v>252</v>
      </c>
      <c r="F3972" s="197" t="s">
        <v>62</v>
      </c>
      <c r="G3972" s="197" t="s">
        <v>270</v>
      </c>
      <c r="H3972" s="209" t="s">
        <v>415</v>
      </c>
      <c r="I3972" s="209" t="s">
        <v>415</v>
      </c>
    </row>
    <row r="3973" spans="1:12">
      <c r="A3973" s="195"/>
      <c r="B3973" s="196" t="s">
        <v>226</v>
      </c>
      <c r="C3973"/>
      <c r="D3973" s="197"/>
      <c r="E3973" s="197"/>
      <c r="F3973" s="197"/>
      <c r="G3973" s="197" t="s">
        <v>270</v>
      </c>
      <c r="H3973" s="209"/>
      <c r="I3973" s="209"/>
    </row>
    <row r="3974" spans="1:12">
      <c r="A3974" s="195"/>
      <c r="B3974" s="195" t="s">
        <v>205</v>
      </c>
      <c r="C3974"/>
      <c r="D3974" s="197"/>
      <c r="E3974" s="197"/>
      <c r="F3974" s="197"/>
      <c r="G3974" s="197" t="s">
        <v>270</v>
      </c>
      <c r="H3974" s="209"/>
      <c r="I3974" s="209"/>
    </row>
    <row r="3975" spans="1:12">
      <c r="A3975" s="195"/>
      <c r="B3975" s="195" t="s">
        <v>206</v>
      </c>
      <c r="C3975"/>
      <c r="D3975" s="197"/>
      <c r="E3975" s="197"/>
      <c r="F3975" s="197"/>
      <c r="G3975" s="197" t="s">
        <v>270</v>
      </c>
      <c r="H3975" s="209"/>
      <c r="I3975" s="209"/>
    </row>
    <row r="3976" spans="1:12">
      <c r="A3976" s="195"/>
      <c r="B3976" s="195" t="s">
        <v>207</v>
      </c>
      <c r="C3976"/>
      <c r="D3976" s="197"/>
      <c r="E3976" s="197"/>
      <c r="F3976" s="197"/>
      <c r="G3976" s="197" t="s">
        <v>270</v>
      </c>
      <c r="H3976" s="209"/>
      <c r="I3976" s="209"/>
    </row>
    <row r="3977" spans="1:12">
      <c r="A3977" s="195"/>
      <c r="B3977" s="196" t="s">
        <v>227</v>
      </c>
      <c r="C3977"/>
      <c r="D3977" s="197"/>
      <c r="E3977" s="197"/>
      <c r="F3977" s="197"/>
      <c r="G3977" s="197"/>
      <c r="H3977" s="209"/>
      <c r="I3977" s="209"/>
      <c r="K3977"/>
    </row>
    <row r="3978" spans="1:12" ht="29.25" thickBot="1">
      <c r="A3978" s="182" t="str">
        <f>"回収シフト  第"&amp;ROUNDUP(DAY(B3981)/7,0)  &amp;"  "&amp;TEXT(B3981,"aaaa")</f>
        <v>回収シフト  第4  土曜日</v>
      </c>
      <c r="B3978" s="183"/>
      <c r="C3978" s="183"/>
      <c r="D3978" s="183"/>
      <c r="E3978" s="183"/>
      <c r="F3978" s="183"/>
      <c r="G3978" s="184"/>
      <c r="H3978" s="184"/>
      <c r="I3978" s="184"/>
      <c r="K3978" s="183"/>
      <c r="L3978" s="183"/>
    </row>
    <row r="3979" spans="1:12" ht="15.75" thickBot="1">
      <c r="A3979"/>
      <c r="B3979"/>
      <c r="C3979"/>
      <c r="D3979" s="186" t="s">
        <v>201</v>
      </c>
      <c r="E3979" s="186" t="s">
        <v>202</v>
      </c>
      <c r="F3979" s="186" t="s">
        <v>203</v>
      </c>
      <c r="G3979" s="186" t="s">
        <v>204</v>
      </c>
      <c r="H3979" s="186" t="s">
        <v>267</v>
      </c>
      <c r="I3979" s="217" t="s">
        <v>267</v>
      </c>
      <c r="K3979" s="230" t="s">
        <v>257</v>
      </c>
      <c r="L3979" s="231"/>
    </row>
    <row r="3980" spans="1:12">
      <c r="A3980" s="187"/>
      <c r="B3980" s="188">
        <v>46119</v>
      </c>
      <c r="C3980" s="187"/>
      <c r="D3980" s="189"/>
      <c r="E3980" s="189"/>
      <c r="F3980" s="189"/>
      <c r="G3980" s="189"/>
      <c r="H3980" s="189"/>
      <c r="I3980" s="218"/>
      <c r="K3980" s="232" t="s">
        <v>258</v>
      </c>
      <c r="L3980" s="190" t="str">
        <f>_xlfn.XLOOKUP($B3981,シフト抽出!$19:$19,シフト抽出!$20:$20,"該当なし",0,1)</f>
        <v>該当なし</v>
      </c>
    </row>
    <row r="3981" spans="1:12" ht="19.5" thickBot="1">
      <c r="A3981"/>
      <c r="B3981" s="191">
        <f>B3928+1</f>
        <v>46200</v>
      </c>
      <c r="C3981" s="192"/>
      <c r="D3981" s="193"/>
      <c r="E3981" s="193"/>
      <c r="F3981" s="193"/>
      <c r="G3981" s="193"/>
      <c r="H3981" s="193"/>
      <c r="I3981" s="219"/>
      <c r="K3981" s="233"/>
      <c r="L3981" s="194" t="str">
        <f>_xlfn.XLOOKUP($B3981,シフト抽出!$19:$19,シフト抽出!$21:$21,"該当なし",0,1)</f>
        <v>該当なし</v>
      </c>
    </row>
    <row r="3982" spans="1:12">
      <c r="A3982" s="195"/>
      <c r="B3982" s="196">
        <v>0.25</v>
      </c>
      <c r="C3982"/>
      <c r="D3982" s="197"/>
      <c r="E3982" s="196"/>
      <c r="F3982" s="197"/>
      <c r="G3982" s="197"/>
      <c r="H3982" s="197"/>
      <c r="I3982" s="209"/>
      <c r="K3982" s="234" t="s">
        <v>259</v>
      </c>
      <c r="L3982" s="198" t="str">
        <f>_xlfn.XLOOKUP($B3981,シフト抽出!$19:$19,シフト抽出!$23:$23,"該当なし",0,1)</f>
        <v>該当なし</v>
      </c>
    </row>
    <row r="3983" spans="1:12" ht="15.75" thickBot="1">
      <c r="A3983" s="195"/>
      <c r="B3983" s="195" t="s">
        <v>205</v>
      </c>
      <c r="C3983"/>
      <c r="D3983" s="197"/>
      <c r="E3983" s="197"/>
      <c r="F3983" s="197"/>
      <c r="G3983" s="197"/>
      <c r="H3983" s="197"/>
      <c r="I3983" s="209"/>
      <c r="K3983" s="235"/>
      <c r="L3983" s="199" t="str">
        <f>_xlfn.XLOOKUP($B3981,シフト抽出!$19:$19,シフト抽出!$24:$24,"該当なし",0,1)</f>
        <v>該当なし</v>
      </c>
    </row>
    <row r="3984" spans="1:12">
      <c r="A3984" s="195"/>
      <c r="B3984" s="195" t="s">
        <v>206</v>
      </c>
      <c r="C3984"/>
      <c r="D3984" s="197"/>
      <c r="E3984" s="197"/>
      <c r="F3984" s="197"/>
      <c r="G3984" s="197"/>
      <c r="H3984" s="197"/>
      <c r="I3984" s="209"/>
      <c r="K3984" s="224" t="s">
        <v>260</v>
      </c>
      <c r="L3984" s="200" t="str">
        <f>_xlfn.XLOOKUP($B3981,シフト抽出!$19:$19,シフト抽出!$26:$26,"該当なし",0,1)</f>
        <v>該当なし</v>
      </c>
    </row>
    <row r="3985" spans="1:12">
      <c r="A3985" s="195"/>
      <c r="B3985" s="195" t="s">
        <v>207</v>
      </c>
      <c r="C3985"/>
      <c r="D3985" s="197"/>
      <c r="E3985" s="197"/>
      <c r="F3985" s="197"/>
      <c r="G3985" s="197"/>
      <c r="H3985" s="197"/>
      <c r="I3985" s="209"/>
      <c r="K3985" s="225"/>
      <c r="L3985" s="201" t="str">
        <f>_xlfn.XLOOKUP($B3981,シフト抽出!$19:$19,シフト抽出!$27:$27,"該当なし",0,1)</f>
        <v>該当なし</v>
      </c>
    </row>
    <row r="3986" spans="1:12">
      <c r="A3986" s="195"/>
      <c r="B3986" s="202" t="s">
        <v>208</v>
      </c>
      <c r="C3986"/>
      <c r="D3986" s="197"/>
      <c r="E3986" s="197"/>
      <c r="F3986" s="197"/>
      <c r="G3986" s="197"/>
      <c r="H3986" s="197"/>
      <c r="I3986" s="209"/>
      <c r="J3986" s="203"/>
      <c r="K3986" s="225"/>
      <c r="L3986" s="201" t="str">
        <f>_xlfn.XLOOKUP($B3981,シフト抽出!$19:$19,シフト抽出!$28:$28,"該当なし",0,1)</f>
        <v>該当なし</v>
      </c>
    </row>
    <row r="3987" spans="1:12" ht="15.75" thickBot="1">
      <c r="A3987" s="195"/>
      <c r="B3987" s="195" t="s">
        <v>205</v>
      </c>
      <c r="C3987"/>
      <c r="D3987" s="197"/>
      <c r="E3987" s="197"/>
      <c r="F3987" s="197"/>
      <c r="G3987" s="197"/>
      <c r="H3987" s="197"/>
      <c r="I3987" s="209"/>
      <c r="J3987" s="203"/>
      <c r="K3987" s="226"/>
      <c r="L3987" s="204" t="str">
        <f>_xlfn.XLOOKUP($B3981,シフト抽出!$19:$19,シフト抽出!$29:$29,"該当なし",0,1)</f>
        <v>該当なし</v>
      </c>
    </row>
    <row r="3988" spans="1:12" ht="15.75" thickBot="1">
      <c r="A3988" s="195"/>
      <c r="B3988" s="195" t="s">
        <v>206</v>
      </c>
      <c r="C3988"/>
      <c r="D3988" s="197"/>
      <c r="E3988" s="197"/>
      <c r="F3988" s="197"/>
      <c r="G3988" s="197"/>
      <c r="H3988" s="197"/>
      <c r="I3988" s="209"/>
      <c r="K3988" s="205" t="s">
        <v>261</v>
      </c>
      <c r="L3988" s="205">
        <f>_xlfn.XLOOKUP($B3981,予定表!B:B,予定表!R:R,"該当なし",0,1)</f>
        <v>0</v>
      </c>
    </row>
    <row r="3989" spans="1:12">
      <c r="A3989" s="195"/>
      <c r="B3989" s="195" t="s">
        <v>207</v>
      </c>
      <c r="C3989"/>
      <c r="D3989" s="197"/>
      <c r="E3989" s="197"/>
      <c r="F3989" s="197"/>
      <c r="G3989" s="197"/>
      <c r="H3989" s="197"/>
      <c r="I3989" s="209"/>
      <c r="K3989" s="227" t="s">
        <v>262</v>
      </c>
      <c r="L3989" s="206">
        <f>_xlfn.XLOOKUP($B3981,予定表!$B:$B,予定表!E:E,"該当なし",0,1)</f>
        <v>0</v>
      </c>
    </row>
    <row r="3990" spans="1:12">
      <c r="A3990" s="195"/>
      <c r="B3990" s="196" t="s">
        <v>209</v>
      </c>
      <c r="C3990"/>
      <c r="D3990" s="197" t="s">
        <v>4</v>
      </c>
      <c r="E3990" s="197" t="s">
        <v>4</v>
      </c>
      <c r="F3990" s="197"/>
      <c r="G3990" s="197"/>
      <c r="H3990" s="197"/>
      <c r="I3990" s="209"/>
      <c r="K3990" s="228"/>
      <c r="L3990" s="207">
        <f>_xlfn.XLOOKUP($B3981,予定表!$B:$B,予定表!F:F,"該当なし",0,1)</f>
        <v>0</v>
      </c>
    </row>
    <row r="3991" spans="1:12">
      <c r="A3991" s="195"/>
      <c r="B3991" s="195" t="s">
        <v>205</v>
      </c>
      <c r="C3991"/>
      <c r="D3991" s="197" t="s">
        <v>268</v>
      </c>
      <c r="E3991" s="197" t="s">
        <v>22</v>
      </c>
      <c r="F3991" s="197"/>
      <c r="G3991" s="197"/>
      <c r="H3991" s="197"/>
      <c r="I3991" s="209"/>
      <c r="K3991" s="228"/>
      <c r="L3991" s="207">
        <f>_xlfn.XLOOKUP($B3981,予定表!$B:$B,予定表!G:G,"該当なし",0,1)</f>
        <v>0</v>
      </c>
    </row>
    <row r="3992" spans="1:12">
      <c r="A3992" s="195"/>
      <c r="B3992" s="195" t="s">
        <v>206</v>
      </c>
      <c r="C3992"/>
      <c r="D3992" s="197" t="s">
        <v>268</v>
      </c>
      <c r="E3992" s="197" t="s">
        <v>22</v>
      </c>
      <c r="F3992" s="197"/>
      <c r="G3992" s="197"/>
      <c r="H3992" s="197"/>
      <c r="I3992" s="209"/>
      <c r="K3992" s="228"/>
      <c r="L3992" s="207" t="str">
        <f>_xlfn.XLOOKUP($B3981,予定表!$B:$B,予定表!H:H,"該当なし",0,1)</f>
        <v>資さんうどん</v>
      </c>
    </row>
    <row r="3993" spans="1:12">
      <c r="A3993" s="195"/>
      <c r="B3993" s="195" t="s">
        <v>207</v>
      </c>
      <c r="C3993"/>
      <c r="D3993" s="197" t="s">
        <v>268</v>
      </c>
      <c r="E3993" s="197" t="s">
        <v>793</v>
      </c>
      <c r="F3993" s="197"/>
      <c r="G3993" s="197"/>
      <c r="H3993" s="197"/>
      <c r="I3993" s="209"/>
      <c r="K3993" s="228"/>
      <c r="L3993" s="207" t="str">
        <f>_xlfn.XLOOKUP($B3981,予定表!$B:$B,予定表!I:I,"該当なし",0,1)</f>
        <v/>
      </c>
    </row>
    <row r="3994" spans="1:12">
      <c r="A3994" s="195"/>
      <c r="B3994" s="196" t="s">
        <v>212</v>
      </c>
      <c r="C3994"/>
      <c r="D3994" s="197" t="s">
        <v>268</v>
      </c>
      <c r="E3994" s="197" t="s">
        <v>241</v>
      </c>
      <c r="F3994" s="197"/>
      <c r="G3994" s="197"/>
      <c r="H3994" s="197"/>
      <c r="I3994" s="209"/>
      <c r="K3994" s="228"/>
      <c r="L3994" s="207" t="str">
        <f>_xlfn.XLOOKUP($B3981,予定表!$B:$B,予定表!J:J,"該当なし",0,1)</f>
        <v/>
      </c>
    </row>
    <row r="3995" spans="1:12">
      <c r="A3995" s="195"/>
      <c r="B3995" s="195" t="s">
        <v>205</v>
      </c>
      <c r="C3995"/>
      <c r="D3995" s="197" t="s">
        <v>268</v>
      </c>
      <c r="E3995" s="197" t="s">
        <v>241</v>
      </c>
      <c r="F3995" s="197"/>
      <c r="G3995" s="197"/>
      <c r="H3995" s="197"/>
      <c r="I3995" s="209"/>
      <c r="K3995" s="228"/>
      <c r="L3995" s="207" t="str">
        <f>_xlfn.XLOOKUP($B3981,予定表!$B:$B,予定表!K:K,"該当なし",0,1)</f>
        <v/>
      </c>
    </row>
    <row r="3996" spans="1:12">
      <c r="A3996" s="195"/>
      <c r="B3996" s="195" t="s">
        <v>206</v>
      </c>
      <c r="C3996"/>
      <c r="D3996" s="197" t="s">
        <v>515</v>
      </c>
      <c r="E3996" s="197" t="s">
        <v>244</v>
      </c>
      <c r="F3996" s="197"/>
      <c r="G3996" s="197"/>
      <c r="H3996" s="197"/>
      <c r="I3996" s="209"/>
      <c r="K3996" s="228"/>
      <c r="L3996" s="207" t="str">
        <f>_xlfn.XLOOKUP($B3981,予定表!$B:$B,予定表!L:L,"該当なし",0,1)</f>
        <v/>
      </c>
    </row>
    <row r="3997" spans="1:12" ht="15.75" thickBot="1">
      <c r="A3997" s="195"/>
      <c r="B3997" s="195" t="s">
        <v>207</v>
      </c>
      <c r="C3997"/>
      <c r="D3997" s="197" t="s">
        <v>515</v>
      </c>
      <c r="E3997" s="197" t="s">
        <v>244</v>
      </c>
      <c r="F3997" s="197"/>
      <c r="G3997" s="197"/>
      <c r="H3997" s="197"/>
      <c r="I3997" s="209"/>
      <c r="K3997" s="229"/>
      <c r="L3997" s="204" t="str">
        <f>_xlfn.XLOOKUP($A3978,ﾘｽﾄマスタ!$U$8:$U$17,ﾘｽﾄマスタ!$V$8:$V$17,"",0)</f>
        <v/>
      </c>
    </row>
    <row r="3998" spans="1:12" ht="15.75" thickBot="1">
      <c r="A3998" s="195"/>
      <c r="B3998" s="196" t="s">
        <v>251</v>
      </c>
      <c r="C3998"/>
      <c r="D3998" s="197" t="s">
        <v>515</v>
      </c>
      <c r="E3998" s="197" t="s">
        <v>114</v>
      </c>
      <c r="F3998" s="197"/>
      <c r="G3998" s="197"/>
      <c r="H3998" s="197"/>
      <c r="I3998" s="209"/>
      <c r="K3998" s="208" t="s">
        <v>277</v>
      </c>
      <c r="L3998" s="208" t="str">
        <f>_xlfn.XLOOKUP($B3981,シフト抽出!$19:$19,シフト抽出!$30:$30,"該当なし",0,1)</f>
        <v>該当なし</v>
      </c>
    </row>
    <row r="3999" spans="1:12">
      <c r="A3999" s="195"/>
      <c r="B3999" s="195" t="s">
        <v>205</v>
      </c>
      <c r="C3999"/>
      <c r="D3999" s="197" t="s">
        <v>242</v>
      </c>
      <c r="E3999" s="197" t="s">
        <v>114</v>
      </c>
      <c r="F3999" s="197"/>
      <c r="G3999" s="197"/>
      <c r="H3999" s="197"/>
      <c r="I3999" s="209"/>
    </row>
    <row r="4000" spans="1:12">
      <c r="A4000" s="195"/>
      <c r="B4000" s="195" t="s">
        <v>206</v>
      </c>
      <c r="C4000"/>
      <c r="D4000" s="197" t="s">
        <v>242</v>
      </c>
      <c r="E4000" s="197"/>
      <c r="F4000" s="197"/>
      <c r="G4000" s="197"/>
      <c r="H4000" s="197"/>
      <c r="I4000" s="209"/>
    </row>
    <row r="4001" spans="1:9">
      <c r="A4001" s="195"/>
      <c r="B4001" s="195" t="s">
        <v>207</v>
      </c>
      <c r="C4001"/>
      <c r="D4001" s="197" t="s">
        <v>242</v>
      </c>
      <c r="E4001" s="197" t="s">
        <v>851</v>
      </c>
      <c r="F4001" s="197"/>
      <c r="G4001" s="197"/>
      <c r="H4001" s="197"/>
      <c r="I4001" s="209"/>
    </row>
    <row r="4002" spans="1:9">
      <c r="A4002" s="195"/>
      <c r="B4002" s="196" t="s">
        <v>217</v>
      </c>
      <c r="C4002"/>
      <c r="D4002" s="197" t="s">
        <v>242</v>
      </c>
      <c r="E4002" s="197" t="s">
        <v>851</v>
      </c>
      <c r="F4002" s="197"/>
      <c r="G4002" s="197"/>
      <c r="H4002" s="197"/>
      <c r="I4002" s="209"/>
    </row>
    <row r="4003" spans="1:9">
      <c r="A4003" s="195"/>
      <c r="B4003" s="195" t="s">
        <v>205</v>
      </c>
      <c r="C4003"/>
      <c r="D4003" s="197" t="s">
        <v>242</v>
      </c>
      <c r="E4003" s="197" t="s">
        <v>851</v>
      </c>
      <c r="F4003" s="197"/>
      <c r="G4003" s="197"/>
      <c r="H4003" s="197"/>
      <c r="I4003" s="209"/>
    </row>
    <row r="4004" spans="1:9">
      <c r="A4004" s="195"/>
      <c r="B4004" s="195" t="s">
        <v>206</v>
      </c>
      <c r="C4004"/>
      <c r="D4004" s="197" t="s">
        <v>242</v>
      </c>
      <c r="E4004" s="197" t="s">
        <v>851</v>
      </c>
      <c r="F4004" s="197"/>
      <c r="G4004" s="197"/>
      <c r="H4004" s="197"/>
      <c r="I4004" s="209"/>
    </row>
    <row r="4005" spans="1:9">
      <c r="A4005" s="195"/>
      <c r="B4005" s="195" t="s">
        <v>207</v>
      </c>
      <c r="C4005"/>
      <c r="D4005" s="197"/>
      <c r="E4005" s="197" t="s">
        <v>851</v>
      </c>
      <c r="F4005" s="197"/>
      <c r="G4005" s="197"/>
      <c r="H4005" s="197"/>
      <c r="I4005" s="209"/>
    </row>
    <row r="4006" spans="1:9">
      <c r="A4006" s="195"/>
      <c r="B4006" s="196" t="s">
        <v>219</v>
      </c>
      <c r="C4006"/>
      <c r="D4006" s="197"/>
      <c r="E4006" s="197" t="s">
        <v>851</v>
      </c>
      <c r="F4006" s="197"/>
      <c r="G4006" s="197"/>
      <c r="H4006" s="197"/>
      <c r="I4006" s="209"/>
    </row>
    <row r="4007" spans="1:9">
      <c r="A4007" s="195"/>
      <c r="B4007" s="195" t="s">
        <v>205</v>
      </c>
      <c r="C4007"/>
      <c r="D4007" s="197"/>
      <c r="E4007" s="197"/>
      <c r="F4007" s="197"/>
      <c r="G4007" s="197"/>
      <c r="H4007" s="197"/>
      <c r="I4007" s="209"/>
    </row>
    <row r="4008" spans="1:9">
      <c r="A4008" s="195"/>
      <c r="B4008" s="195" t="s">
        <v>206</v>
      </c>
      <c r="C4008"/>
      <c r="D4008" s="197"/>
      <c r="E4008" s="197"/>
      <c r="F4008" s="197"/>
      <c r="G4008" s="197"/>
      <c r="H4008" s="197"/>
      <c r="I4008" s="209"/>
    </row>
    <row r="4009" spans="1:9">
      <c r="A4009" s="195"/>
      <c r="B4009" s="195" t="s">
        <v>207</v>
      </c>
      <c r="C4009"/>
      <c r="D4009" s="197"/>
      <c r="E4009" s="197"/>
      <c r="F4009" s="197"/>
      <c r="G4009" s="197"/>
      <c r="H4009" s="197"/>
      <c r="I4009" s="209"/>
    </row>
    <row r="4010" spans="1:9">
      <c r="A4010" s="195"/>
      <c r="B4010" s="196" t="s">
        <v>220</v>
      </c>
      <c r="C4010"/>
      <c r="D4010" s="197" t="s">
        <v>7</v>
      </c>
      <c r="E4010" s="197" t="s">
        <v>7</v>
      </c>
      <c r="F4010" s="189"/>
      <c r="G4010" s="189"/>
      <c r="H4010" s="197"/>
      <c r="I4010" s="209"/>
    </row>
    <row r="4011" spans="1:9">
      <c r="A4011" s="195"/>
      <c r="B4011" s="195" t="s">
        <v>205</v>
      </c>
      <c r="C4011"/>
      <c r="D4011" s="197" t="s">
        <v>886</v>
      </c>
      <c r="E4011" s="197" t="s">
        <v>228</v>
      </c>
      <c r="F4011" s="197"/>
      <c r="G4011" s="197"/>
      <c r="H4011" s="197"/>
      <c r="I4011" s="209"/>
    </row>
    <row r="4012" spans="1:9">
      <c r="A4012" s="195"/>
      <c r="B4012" s="195" t="s">
        <v>206</v>
      </c>
      <c r="C4012"/>
      <c r="D4012" s="197" t="s">
        <v>886</v>
      </c>
      <c r="E4012" s="197" t="s">
        <v>228</v>
      </c>
      <c r="F4012" s="197"/>
      <c r="G4012" s="197"/>
      <c r="H4012" s="197"/>
      <c r="I4012" s="209"/>
    </row>
    <row r="4013" spans="1:9">
      <c r="A4013" s="195"/>
      <c r="B4013" s="195" t="s">
        <v>207</v>
      </c>
      <c r="C4013"/>
      <c r="D4013" s="197" t="s">
        <v>886</v>
      </c>
      <c r="E4013" s="197" t="s">
        <v>228</v>
      </c>
      <c r="F4013" s="197"/>
      <c r="G4013" s="197"/>
      <c r="H4013" s="197"/>
      <c r="I4013" s="209"/>
    </row>
    <row r="4014" spans="1:9">
      <c r="A4014" s="195"/>
      <c r="B4014" s="196" t="s">
        <v>222</v>
      </c>
      <c r="C4014"/>
      <c r="D4014" s="197" t="s">
        <v>886</v>
      </c>
      <c r="E4014" s="197" t="s">
        <v>228</v>
      </c>
      <c r="F4014" s="197"/>
      <c r="G4014" s="197"/>
      <c r="H4014" s="197"/>
      <c r="I4014" s="209"/>
    </row>
    <row r="4015" spans="1:9">
      <c r="A4015" s="195"/>
      <c r="B4015" s="195" t="s">
        <v>205</v>
      </c>
      <c r="C4015"/>
      <c r="D4015" s="197"/>
      <c r="E4015" s="197" t="s">
        <v>228</v>
      </c>
      <c r="F4015" s="197"/>
      <c r="G4015" s="197"/>
      <c r="H4015" s="197"/>
      <c r="I4015" s="209"/>
    </row>
    <row r="4016" spans="1:9">
      <c r="A4016" s="195"/>
      <c r="B4016" s="195" t="s">
        <v>206</v>
      </c>
      <c r="C4016"/>
      <c r="D4016" s="197" t="s">
        <v>270</v>
      </c>
      <c r="E4016" s="197" t="s">
        <v>228</v>
      </c>
      <c r="F4016" s="197"/>
      <c r="G4016" s="197"/>
      <c r="H4016" s="197"/>
      <c r="I4016" s="209"/>
    </row>
    <row r="4017" spans="1:12">
      <c r="A4017" s="195"/>
      <c r="B4017" s="195" t="s">
        <v>207</v>
      </c>
      <c r="C4017"/>
      <c r="D4017" s="197" t="s">
        <v>270</v>
      </c>
      <c r="E4017" s="197" t="s">
        <v>228</v>
      </c>
      <c r="F4017" s="197"/>
      <c r="G4017" s="197"/>
      <c r="H4017" s="197"/>
      <c r="I4017" s="209"/>
    </row>
    <row r="4018" spans="1:12">
      <c r="A4018" s="195"/>
      <c r="B4018" s="196" t="s">
        <v>223</v>
      </c>
      <c r="C4018"/>
      <c r="D4018" s="197" t="s">
        <v>270</v>
      </c>
      <c r="E4018" s="197" t="s">
        <v>228</v>
      </c>
      <c r="F4018" s="197"/>
      <c r="G4018" s="197"/>
      <c r="H4018" s="197"/>
      <c r="I4018" s="209"/>
    </row>
    <row r="4019" spans="1:12">
      <c r="A4019" s="195"/>
      <c r="B4019" s="195" t="s">
        <v>205</v>
      </c>
      <c r="C4019"/>
      <c r="D4019" s="197" t="s">
        <v>270</v>
      </c>
      <c r="E4019" s="197" t="s">
        <v>273</v>
      </c>
      <c r="F4019" s="197"/>
      <c r="G4019" s="197"/>
      <c r="H4019" s="197"/>
      <c r="I4019" s="209"/>
    </row>
    <row r="4020" spans="1:12">
      <c r="A4020" s="195"/>
      <c r="B4020" s="195" t="s">
        <v>206</v>
      </c>
      <c r="C4020"/>
      <c r="D4020" s="197" t="s">
        <v>270</v>
      </c>
      <c r="E4020" s="197" t="s">
        <v>273</v>
      </c>
      <c r="F4020" s="197"/>
      <c r="G4020" s="197"/>
      <c r="H4020" s="197"/>
      <c r="I4020" s="209"/>
    </row>
    <row r="4021" spans="1:12">
      <c r="A4021" s="195"/>
      <c r="B4021" s="195" t="s">
        <v>207</v>
      </c>
      <c r="C4021"/>
      <c r="D4021" s="197" t="s">
        <v>270</v>
      </c>
      <c r="E4021" s="197" t="s">
        <v>273</v>
      </c>
      <c r="F4021" s="197"/>
      <c r="G4021" s="197"/>
      <c r="H4021" s="197"/>
      <c r="I4021" s="209"/>
    </row>
    <row r="4022" spans="1:12">
      <c r="A4022" s="195"/>
      <c r="B4022" s="196" t="s">
        <v>225</v>
      </c>
      <c r="C4022"/>
      <c r="D4022" s="197" t="s">
        <v>270</v>
      </c>
      <c r="E4022" s="197" t="s">
        <v>263</v>
      </c>
      <c r="F4022" s="197"/>
      <c r="G4022" s="197"/>
      <c r="H4022" s="197"/>
      <c r="I4022" s="209"/>
    </row>
    <row r="4023" spans="1:12">
      <c r="A4023" s="195"/>
      <c r="B4023" s="195" t="s">
        <v>205</v>
      </c>
      <c r="C4023"/>
      <c r="D4023" s="197" t="s">
        <v>270</v>
      </c>
      <c r="E4023" s="197" t="s">
        <v>263</v>
      </c>
      <c r="F4023" s="197"/>
      <c r="G4023" s="197"/>
      <c r="H4023" s="209"/>
      <c r="I4023" s="209"/>
    </row>
    <row r="4024" spans="1:12">
      <c r="A4024" s="195"/>
      <c r="B4024" s="195" t="s">
        <v>206</v>
      </c>
      <c r="C4024"/>
      <c r="D4024" s="197" t="s">
        <v>270</v>
      </c>
      <c r="E4024" s="197" t="s">
        <v>263</v>
      </c>
      <c r="F4024" s="197"/>
      <c r="G4024" s="197"/>
      <c r="H4024" s="209"/>
      <c r="I4024" s="209"/>
    </row>
    <row r="4025" spans="1:12">
      <c r="A4025" s="195"/>
      <c r="B4025" s="195" t="s">
        <v>207</v>
      </c>
      <c r="C4025"/>
      <c r="D4025" s="197" t="s">
        <v>270</v>
      </c>
      <c r="E4025" s="197" t="s">
        <v>263</v>
      </c>
      <c r="F4025" s="197"/>
      <c r="G4025" s="197"/>
      <c r="H4025" s="209"/>
      <c r="I4025" s="209"/>
    </row>
    <row r="4026" spans="1:12">
      <c r="A4026" s="195"/>
      <c r="B4026" s="196" t="s">
        <v>226</v>
      </c>
      <c r="C4026"/>
      <c r="D4026" s="197" t="s">
        <v>270</v>
      </c>
      <c r="E4026" s="197"/>
      <c r="F4026" s="197"/>
      <c r="G4026" s="197"/>
      <c r="H4026" s="209"/>
      <c r="I4026" s="209"/>
    </row>
    <row r="4027" spans="1:12">
      <c r="A4027" s="195"/>
      <c r="B4027" s="195" t="s">
        <v>205</v>
      </c>
      <c r="C4027"/>
      <c r="D4027" s="197" t="s">
        <v>270</v>
      </c>
      <c r="E4027" s="197"/>
      <c r="F4027" s="197"/>
      <c r="G4027" s="197"/>
      <c r="H4027" s="209"/>
      <c r="I4027" s="209"/>
    </row>
    <row r="4028" spans="1:12">
      <c r="A4028" s="195"/>
      <c r="B4028" s="195" t="s">
        <v>206</v>
      </c>
      <c r="C4028"/>
      <c r="D4028" s="197" t="s">
        <v>270</v>
      </c>
      <c r="E4028" s="197"/>
      <c r="F4028" s="197"/>
      <c r="G4028" s="197"/>
      <c r="H4028" s="209"/>
      <c r="I4028" s="209"/>
    </row>
    <row r="4029" spans="1:12">
      <c r="A4029" s="195"/>
      <c r="B4029" s="195" t="s">
        <v>207</v>
      </c>
      <c r="C4029"/>
      <c r="D4029" s="197" t="s">
        <v>270</v>
      </c>
      <c r="E4029" s="197"/>
      <c r="F4029" s="197"/>
      <c r="G4029" s="197"/>
      <c r="H4029" s="209"/>
      <c r="I4029" s="209"/>
    </row>
    <row r="4030" spans="1:12">
      <c r="A4030" s="195"/>
      <c r="B4030" s="196" t="s">
        <v>227</v>
      </c>
      <c r="C4030"/>
      <c r="D4030" s="197"/>
      <c r="E4030" s="197"/>
      <c r="F4030" s="197"/>
      <c r="G4030" s="197"/>
      <c r="H4030" s="209"/>
      <c r="I4030" s="209"/>
      <c r="K4030"/>
    </row>
    <row r="4031" spans="1:12" ht="29.25" thickBot="1">
      <c r="A4031" s="182" t="str">
        <f>"回収シフト  第"&amp;ROUNDUP(DAY(B4034)/7,0)  &amp;"  "&amp;TEXT(B4034,"aaaa")</f>
        <v>回収シフト  第5  月曜日</v>
      </c>
      <c r="B4031" s="183"/>
      <c r="C4031" s="183"/>
      <c r="D4031" s="183"/>
      <c r="E4031" s="183"/>
      <c r="F4031" s="183"/>
      <c r="G4031" s="184"/>
      <c r="H4031" s="184"/>
      <c r="I4031" s="184"/>
      <c r="K4031" s="183"/>
      <c r="L4031" s="183"/>
    </row>
    <row r="4032" spans="1:12" ht="15.75" thickBot="1">
      <c r="A4032"/>
      <c r="B4032"/>
      <c r="C4032"/>
      <c r="D4032" s="186" t="s">
        <v>201</v>
      </c>
      <c r="E4032" s="186" t="s">
        <v>202</v>
      </c>
      <c r="F4032" s="186" t="s">
        <v>203</v>
      </c>
      <c r="G4032" s="186" t="s">
        <v>204</v>
      </c>
      <c r="H4032" s="186" t="s">
        <v>267</v>
      </c>
      <c r="I4032" s="217" t="s">
        <v>267</v>
      </c>
      <c r="K4032" s="230" t="s">
        <v>257</v>
      </c>
      <c r="L4032" s="231"/>
    </row>
    <row r="4033" spans="1:12">
      <c r="A4033" s="187"/>
      <c r="B4033" s="188">
        <v>45495</v>
      </c>
      <c r="C4033" s="187"/>
      <c r="D4033" s="189" t="s">
        <v>867</v>
      </c>
      <c r="E4033" s="189" t="s">
        <v>937</v>
      </c>
      <c r="F4033" s="189" t="s">
        <v>967</v>
      </c>
      <c r="G4033" s="189" t="s">
        <v>859</v>
      </c>
      <c r="H4033" s="189" t="s">
        <v>852</v>
      </c>
      <c r="I4033" s="218" t="s">
        <v>852</v>
      </c>
      <c r="K4033" s="232" t="s">
        <v>258</v>
      </c>
      <c r="L4033" s="190" t="str">
        <f>_xlfn.XLOOKUP($B4034,シフト抽出!$19:$19,シフト抽出!$20:$20,"該当なし",0,1)</f>
        <v>該当なし</v>
      </c>
    </row>
    <row r="4034" spans="1:12" ht="19.5" thickBot="1">
      <c r="A4034"/>
      <c r="B4034" s="191">
        <f>B3981+2</f>
        <v>46202</v>
      </c>
      <c r="C4034" s="192" t="e">
        <v>#REF!</v>
      </c>
      <c r="D4034" s="193"/>
      <c r="E4034" s="193"/>
      <c r="F4034" s="193"/>
      <c r="G4034" s="193"/>
      <c r="H4034" s="193"/>
      <c r="I4034" s="219"/>
      <c r="K4034" s="233"/>
      <c r="L4034" s="194" t="str">
        <f>_xlfn.XLOOKUP($B4034,シフト抽出!$19:$19,シフト抽出!$21:$21,"該当なし",0,1)</f>
        <v>該当なし</v>
      </c>
    </row>
    <row r="4035" spans="1:12">
      <c r="A4035" s="195"/>
      <c r="B4035" s="196">
        <v>0.25</v>
      </c>
      <c r="C4035"/>
      <c r="D4035" s="197"/>
      <c r="E4035" s="196"/>
      <c r="F4035" s="197"/>
      <c r="G4035" s="197"/>
      <c r="H4035" s="197"/>
      <c r="I4035" s="209"/>
      <c r="K4035" s="234" t="s">
        <v>259</v>
      </c>
      <c r="L4035" s="198" t="str">
        <f>_xlfn.XLOOKUP($B4034,シフト抽出!$19:$19,シフト抽出!$23:$23,"該当なし",0,1)</f>
        <v>該当なし</v>
      </c>
    </row>
    <row r="4036" spans="1:12" ht="15.75" thickBot="1">
      <c r="A4036" s="195"/>
      <c r="B4036" s="195" t="s">
        <v>205</v>
      </c>
      <c r="C4036"/>
      <c r="D4036" s="197"/>
      <c r="E4036" s="197"/>
      <c r="F4036" s="197"/>
      <c r="G4036" s="197"/>
      <c r="H4036" s="197"/>
      <c r="I4036" s="209"/>
      <c r="K4036" s="235"/>
      <c r="L4036" s="199" t="str">
        <f>_xlfn.XLOOKUP($B4034,シフト抽出!$19:$19,シフト抽出!$24:$24,"該当なし",0,1)</f>
        <v>該当なし</v>
      </c>
    </row>
    <row r="4037" spans="1:12">
      <c r="A4037" s="195"/>
      <c r="B4037" s="195" t="s">
        <v>206</v>
      </c>
      <c r="C4037"/>
      <c r="D4037" s="197"/>
      <c r="E4037" s="197"/>
      <c r="F4037" s="197"/>
      <c r="G4037" s="197"/>
      <c r="H4037" s="197"/>
      <c r="I4037" s="209"/>
      <c r="K4037" s="224" t="s">
        <v>260</v>
      </c>
      <c r="L4037" s="200" t="str">
        <f>_xlfn.XLOOKUP($B4034,シフト抽出!$19:$19,シフト抽出!$26:$26,"該当なし",0,1)</f>
        <v>該当なし</v>
      </c>
    </row>
    <row r="4038" spans="1:12">
      <c r="A4038" s="195"/>
      <c r="B4038" s="195" t="s">
        <v>207</v>
      </c>
      <c r="C4038"/>
      <c r="D4038" s="197"/>
      <c r="E4038" s="197"/>
      <c r="F4038" s="197"/>
      <c r="G4038" s="197"/>
      <c r="H4038" s="197"/>
      <c r="I4038" s="209"/>
      <c r="K4038" s="225"/>
      <c r="L4038" s="201" t="str">
        <f>_xlfn.XLOOKUP($B4034,シフト抽出!$19:$19,シフト抽出!$27:$27,"該当なし",0,1)</f>
        <v>該当なし</v>
      </c>
    </row>
    <row r="4039" spans="1:12">
      <c r="A4039" s="195"/>
      <c r="B4039" s="202" t="s">
        <v>208</v>
      </c>
      <c r="C4039"/>
      <c r="D4039" s="197"/>
      <c r="E4039" s="197"/>
      <c r="F4039" s="197"/>
      <c r="G4039" s="197"/>
      <c r="H4039" s="197"/>
      <c r="I4039" s="209"/>
      <c r="J4039" s="203"/>
      <c r="K4039" s="225"/>
      <c r="L4039" s="201" t="str">
        <f>_xlfn.XLOOKUP($B4034,シフト抽出!$19:$19,シフト抽出!$28:$28,"該当なし",0,1)</f>
        <v>該当なし</v>
      </c>
    </row>
    <row r="4040" spans="1:12" ht="15.75" thickBot="1">
      <c r="A4040" s="195"/>
      <c r="B4040" s="195" t="s">
        <v>205</v>
      </c>
      <c r="C4040"/>
      <c r="D4040" s="197"/>
      <c r="E4040" s="197"/>
      <c r="F4040" s="197"/>
      <c r="G4040" s="197"/>
      <c r="H4040" s="197"/>
      <c r="I4040" s="209"/>
      <c r="J4040" s="203"/>
      <c r="K4040" s="226"/>
      <c r="L4040" s="204" t="str">
        <f>_xlfn.XLOOKUP($B4034,シフト抽出!$19:$19,シフト抽出!$29:$29,"該当なし",0,1)</f>
        <v>該当なし</v>
      </c>
    </row>
    <row r="4041" spans="1:12" ht="15.75" thickBot="1">
      <c r="A4041" s="195"/>
      <c r="B4041" s="195" t="s">
        <v>206</v>
      </c>
      <c r="C4041"/>
      <c r="D4041" s="197"/>
      <c r="E4041" s="197"/>
      <c r="F4041" s="197"/>
      <c r="G4041" s="197"/>
      <c r="H4041" s="197"/>
      <c r="I4041" s="209"/>
      <c r="K4041" s="205" t="s">
        <v>261</v>
      </c>
      <c r="L4041" s="205">
        <f>_xlfn.XLOOKUP($B4034,予定表!B:B,予定表!R:R,"該当なし",0,1)</f>
        <v>0</v>
      </c>
    </row>
    <row r="4042" spans="1:12">
      <c r="A4042" s="195"/>
      <c r="B4042" s="195" t="s">
        <v>207</v>
      </c>
      <c r="C4042"/>
      <c r="D4042" s="197"/>
      <c r="E4042" s="197"/>
      <c r="F4042" s="197"/>
      <c r="G4042" s="197"/>
      <c r="H4042" s="197"/>
      <c r="I4042" s="209"/>
      <c r="K4042" s="227" t="s">
        <v>262</v>
      </c>
      <c r="L4042" s="206">
        <f>_xlfn.XLOOKUP($B4034,予定表!$B:$B,予定表!E:E,"該当なし",0,1)</f>
        <v>0</v>
      </c>
    </row>
    <row r="4043" spans="1:12">
      <c r="A4043" s="195"/>
      <c r="B4043" s="196" t="s">
        <v>209</v>
      </c>
      <c r="C4043"/>
      <c r="D4043" s="197" t="s">
        <v>264</v>
      </c>
      <c r="E4043" s="197" t="s">
        <v>414</v>
      </c>
      <c r="F4043" s="197" t="s">
        <v>851</v>
      </c>
      <c r="G4043" s="197" t="s">
        <v>268</v>
      </c>
      <c r="H4043" s="197" t="s">
        <v>848</v>
      </c>
      <c r="I4043" s="209" t="s">
        <v>848</v>
      </c>
      <c r="K4043" s="228"/>
      <c r="L4043" s="207">
        <f>_xlfn.XLOOKUP($B4034,予定表!$B:$B,予定表!F:F,"該当なし",0,1)</f>
        <v>0</v>
      </c>
    </row>
    <row r="4044" spans="1:12">
      <c r="A4044" s="195"/>
      <c r="B4044" s="195" t="s">
        <v>205</v>
      </c>
      <c r="C4044"/>
      <c r="D4044" s="197" t="s">
        <v>793</v>
      </c>
      <c r="E4044" s="197" t="s">
        <v>414</v>
      </c>
      <c r="F4044" s="197" t="s">
        <v>851</v>
      </c>
      <c r="G4044" s="197" t="s">
        <v>268</v>
      </c>
      <c r="H4044" s="197" t="s">
        <v>848</v>
      </c>
      <c r="I4044" s="209" t="s">
        <v>848</v>
      </c>
      <c r="K4044" s="228"/>
      <c r="L4044" s="207" t="str">
        <f>_xlfn.XLOOKUP($B4034,予定表!$B:$B,予定表!G:G,"該当なし",0,1)</f>
        <v>ディーミング</v>
      </c>
    </row>
    <row r="4045" spans="1:12">
      <c r="A4045" s="195"/>
      <c r="B4045" s="195" t="s">
        <v>206</v>
      </c>
      <c r="C4045"/>
      <c r="D4045" s="197" t="s">
        <v>793</v>
      </c>
      <c r="E4045" s="197" t="s">
        <v>414</v>
      </c>
      <c r="F4045" s="197" t="s">
        <v>851</v>
      </c>
      <c r="G4045" s="197" t="s">
        <v>268</v>
      </c>
      <c r="H4045" s="197" t="s">
        <v>848</v>
      </c>
      <c r="I4045" s="209" t="s">
        <v>848</v>
      </c>
      <c r="K4045" s="228"/>
      <c r="L4045" s="207">
        <f>_xlfn.XLOOKUP($B4034,予定表!$B:$B,予定表!H:H,"該当なし",0,1)</f>
        <v>0</v>
      </c>
    </row>
    <row r="4046" spans="1:12">
      <c r="A4046" s="195"/>
      <c r="B4046" s="195" t="s">
        <v>207</v>
      </c>
      <c r="C4046"/>
      <c r="D4046" s="197" t="s">
        <v>471</v>
      </c>
      <c r="E4046" s="197" t="s">
        <v>414</v>
      </c>
      <c r="F4046" s="197" t="s">
        <v>851</v>
      </c>
      <c r="G4046" s="197" t="s">
        <v>268</v>
      </c>
      <c r="H4046" s="197" t="s">
        <v>848</v>
      </c>
      <c r="I4046" s="209" t="s">
        <v>848</v>
      </c>
      <c r="K4046" s="228"/>
      <c r="L4046" s="207" t="str">
        <f>_xlfn.XLOOKUP($B4034,予定表!$B:$B,予定表!I:I,"該当なし",0,1)</f>
        <v/>
      </c>
    </row>
    <row r="4047" spans="1:12">
      <c r="A4047" s="195"/>
      <c r="B4047" s="196" t="s">
        <v>212</v>
      </c>
      <c r="C4047"/>
      <c r="D4047" s="197" t="s">
        <v>119</v>
      </c>
      <c r="E4047" s="197" t="s">
        <v>862</v>
      </c>
      <c r="F4047" s="197" t="s">
        <v>851</v>
      </c>
      <c r="G4047" s="197" t="s">
        <v>268</v>
      </c>
      <c r="H4047" s="197" t="s">
        <v>848</v>
      </c>
      <c r="I4047" s="209" t="s">
        <v>848</v>
      </c>
      <c r="K4047" s="228"/>
      <c r="L4047" s="207" t="str">
        <f>_xlfn.XLOOKUP($B4034,予定表!$B:$B,予定表!J:J,"該当なし",0,1)</f>
        <v/>
      </c>
    </row>
    <row r="4048" spans="1:12">
      <c r="A4048" s="195"/>
      <c r="B4048" s="195" t="s">
        <v>205</v>
      </c>
      <c r="C4048"/>
      <c r="D4048" s="197" t="s">
        <v>119</v>
      </c>
      <c r="E4048" s="197" t="s">
        <v>214</v>
      </c>
      <c r="F4048" s="197" t="s">
        <v>851</v>
      </c>
      <c r="G4048" s="197" t="s">
        <v>268</v>
      </c>
      <c r="H4048" s="197" t="s">
        <v>848</v>
      </c>
      <c r="I4048" s="209" t="s">
        <v>848</v>
      </c>
      <c r="K4048" s="228"/>
      <c r="L4048" s="207" t="str">
        <f>_xlfn.XLOOKUP($B4034,予定表!$B:$B,予定表!K:K,"該当なし",0,1)</f>
        <v/>
      </c>
    </row>
    <row r="4049" spans="1:12">
      <c r="A4049" s="195"/>
      <c r="B4049" s="195" t="s">
        <v>206</v>
      </c>
      <c r="C4049"/>
      <c r="D4049" s="197" t="s">
        <v>278</v>
      </c>
      <c r="E4049" s="197" t="s">
        <v>214</v>
      </c>
      <c r="F4049" s="197" t="s">
        <v>62</v>
      </c>
      <c r="G4049" s="197" t="s">
        <v>515</v>
      </c>
      <c r="H4049" s="197" t="s">
        <v>848</v>
      </c>
      <c r="I4049" s="209" t="s">
        <v>848</v>
      </c>
      <c r="K4049" s="228"/>
      <c r="L4049" s="207" t="str">
        <f>_xlfn.XLOOKUP($B4034,予定表!$B:$B,予定表!L:L,"該当なし",0,1)</f>
        <v/>
      </c>
    </row>
    <row r="4050" spans="1:12" ht="15.75" thickBot="1">
      <c r="A4050" s="195"/>
      <c r="B4050" s="195" t="s">
        <v>207</v>
      </c>
      <c r="C4050"/>
      <c r="D4050" s="197" t="s">
        <v>213</v>
      </c>
      <c r="E4050" s="197" t="s">
        <v>214</v>
      </c>
      <c r="F4050" s="197" t="s">
        <v>62</v>
      </c>
      <c r="G4050" s="197" t="s">
        <v>515</v>
      </c>
      <c r="H4050" s="197" t="s">
        <v>848</v>
      </c>
      <c r="I4050" s="209" t="s">
        <v>848</v>
      </c>
      <c r="K4050" s="229"/>
      <c r="L4050" s="204" t="str">
        <f>_xlfn.XLOOKUP($A4031,ﾘｽﾄマスタ!$U$8:$U$17,ﾘｽﾄマスタ!$V$8:$V$17,"",0)</f>
        <v/>
      </c>
    </row>
    <row r="4051" spans="1:12" ht="15.75" thickBot="1">
      <c r="A4051" s="195"/>
      <c r="B4051" s="196" t="s">
        <v>251</v>
      </c>
      <c r="C4051"/>
      <c r="D4051" s="197" t="s">
        <v>144</v>
      </c>
      <c r="E4051" s="197" t="s">
        <v>214</v>
      </c>
      <c r="F4051" s="197" t="s">
        <v>62</v>
      </c>
      <c r="G4051" s="197" t="s">
        <v>269</v>
      </c>
      <c r="H4051" s="197" t="s">
        <v>848</v>
      </c>
      <c r="I4051" s="209" t="s">
        <v>848</v>
      </c>
      <c r="K4051" s="208" t="s">
        <v>277</v>
      </c>
      <c r="L4051" s="208" t="str">
        <f>_xlfn.XLOOKUP($B4034,シフト抽出!$19:$19,シフト抽出!$30:$30,"該当なし",0,1)</f>
        <v>該当なし</v>
      </c>
    </row>
    <row r="4052" spans="1:12">
      <c r="A4052" s="195"/>
      <c r="B4052" s="195" t="s">
        <v>205</v>
      </c>
      <c r="C4052"/>
      <c r="D4052" s="197" t="s">
        <v>144</v>
      </c>
      <c r="E4052" s="197" t="s">
        <v>214</v>
      </c>
      <c r="F4052" s="197" t="s">
        <v>62</v>
      </c>
      <c r="G4052" s="197" t="s">
        <v>269</v>
      </c>
      <c r="H4052" s="197" t="s">
        <v>229</v>
      </c>
      <c r="I4052" s="209" t="s">
        <v>229</v>
      </c>
    </row>
    <row r="4053" spans="1:12">
      <c r="A4053" s="195"/>
      <c r="B4053" s="195" t="s">
        <v>206</v>
      </c>
      <c r="C4053"/>
      <c r="D4053" s="197" t="s">
        <v>218</v>
      </c>
      <c r="E4053" s="197" t="s">
        <v>761</v>
      </c>
      <c r="F4053" s="197" t="s">
        <v>62</v>
      </c>
      <c r="G4053" s="197" t="s">
        <v>269</v>
      </c>
      <c r="H4053" s="197" t="s">
        <v>229</v>
      </c>
      <c r="I4053" s="209" t="s">
        <v>229</v>
      </c>
    </row>
    <row r="4054" spans="1:12">
      <c r="A4054" s="195"/>
      <c r="B4054" s="195" t="s">
        <v>207</v>
      </c>
      <c r="C4054"/>
      <c r="D4054" s="197" t="s">
        <v>78</v>
      </c>
      <c r="E4054" s="197" t="s">
        <v>761</v>
      </c>
      <c r="F4054" s="197" t="s">
        <v>62</v>
      </c>
      <c r="G4054" s="197" t="s">
        <v>269</v>
      </c>
      <c r="H4054" s="197" t="s">
        <v>229</v>
      </c>
      <c r="I4054" s="209" t="s">
        <v>229</v>
      </c>
    </row>
    <row r="4055" spans="1:12">
      <c r="A4055" s="195"/>
      <c r="B4055" s="196" t="s">
        <v>217</v>
      </c>
      <c r="C4055"/>
      <c r="D4055" s="197" t="s">
        <v>78</v>
      </c>
      <c r="E4055" s="197" t="s">
        <v>761</v>
      </c>
      <c r="F4055" s="197" t="s">
        <v>51</v>
      </c>
      <c r="G4055" s="197" t="s">
        <v>446</v>
      </c>
      <c r="H4055" s="197" t="s">
        <v>230</v>
      </c>
      <c r="I4055" s="209" t="s">
        <v>230</v>
      </c>
    </row>
    <row r="4056" spans="1:12">
      <c r="A4056" s="195"/>
      <c r="B4056" s="195" t="s">
        <v>205</v>
      </c>
      <c r="C4056"/>
      <c r="D4056" s="197" t="s">
        <v>146</v>
      </c>
      <c r="E4056" s="197" t="s">
        <v>761</v>
      </c>
      <c r="F4056" s="197" t="s">
        <v>51</v>
      </c>
      <c r="G4056" s="197" t="s">
        <v>446</v>
      </c>
      <c r="H4056" s="197" t="s">
        <v>230</v>
      </c>
      <c r="I4056" s="209" t="s">
        <v>230</v>
      </c>
    </row>
    <row r="4057" spans="1:12">
      <c r="A4057" s="195"/>
      <c r="B4057" s="195" t="s">
        <v>206</v>
      </c>
      <c r="C4057"/>
      <c r="D4057" s="197" t="s">
        <v>146</v>
      </c>
      <c r="E4057" s="197" t="s">
        <v>761</v>
      </c>
      <c r="F4057" s="197" t="s">
        <v>51</v>
      </c>
      <c r="G4057" s="197" t="s">
        <v>114</v>
      </c>
      <c r="H4057" s="197" t="s">
        <v>230</v>
      </c>
      <c r="I4057" s="209" t="s">
        <v>230</v>
      </c>
    </row>
    <row r="4058" spans="1:12">
      <c r="A4058" s="195"/>
      <c r="B4058" s="195" t="s">
        <v>207</v>
      </c>
      <c r="C4058"/>
      <c r="D4058" s="197" t="s">
        <v>146</v>
      </c>
      <c r="E4058" s="197" t="s">
        <v>761</v>
      </c>
      <c r="F4058" s="197" t="s">
        <v>51</v>
      </c>
      <c r="G4058" s="197" t="s">
        <v>114</v>
      </c>
      <c r="H4058" s="197" t="s">
        <v>230</v>
      </c>
      <c r="I4058" s="209" t="s">
        <v>230</v>
      </c>
    </row>
    <row r="4059" spans="1:12">
      <c r="A4059" s="195"/>
      <c r="B4059" s="196" t="s">
        <v>219</v>
      </c>
      <c r="C4059"/>
      <c r="D4059" s="197"/>
      <c r="E4059" s="197"/>
      <c r="F4059" s="197"/>
      <c r="G4059" s="197"/>
      <c r="H4059" s="197"/>
      <c r="I4059" s="209"/>
    </row>
    <row r="4060" spans="1:12">
      <c r="A4060" s="195"/>
      <c r="B4060" s="195" t="s">
        <v>205</v>
      </c>
      <c r="C4060"/>
      <c r="D4060" s="197"/>
      <c r="E4060" s="197"/>
      <c r="F4060" s="197"/>
      <c r="G4060" s="197"/>
      <c r="H4060" s="197"/>
      <c r="I4060" s="209"/>
    </row>
    <row r="4061" spans="1:12">
      <c r="A4061" s="195"/>
      <c r="B4061" s="195" t="s">
        <v>206</v>
      </c>
      <c r="C4061"/>
      <c r="D4061" s="197"/>
      <c r="E4061" s="197"/>
      <c r="F4061" s="197"/>
      <c r="G4061" s="197"/>
      <c r="H4061" s="197"/>
      <c r="I4061" s="209"/>
    </row>
    <row r="4062" spans="1:12">
      <c r="A4062" s="195"/>
      <c r="B4062" s="195" t="s">
        <v>207</v>
      </c>
      <c r="C4062"/>
      <c r="D4062" s="197"/>
      <c r="E4062" s="197"/>
      <c r="F4062" s="197"/>
      <c r="G4062" s="197"/>
      <c r="H4062" s="197"/>
      <c r="I4062" s="209"/>
    </row>
    <row r="4063" spans="1:12">
      <c r="A4063" s="195"/>
      <c r="B4063" s="196" t="s">
        <v>220</v>
      </c>
      <c r="C4063"/>
      <c r="D4063" s="189" t="s">
        <v>923</v>
      </c>
      <c r="E4063" s="189"/>
      <c r="F4063" s="189" t="s">
        <v>850</v>
      </c>
      <c r="G4063" s="189" t="s">
        <v>864</v>
      </c>
      <c r="H4063" s="189"/>
      <c r="I4063" s="218"/>
    </row>
    <row r="4064" spans="1:12">
      <c r="A4064" s="195"/>
      <c r="B4064" s="195" t="s">
        <v>205</v>
      </c>
      <c r="C4064"/>
      <c r="D4064" s="197" t="s">
        <v>759</v>
      </c>
      <c r="E4064" s="197" t="s">
        <v>848</v>
      </c>
      <c r="F4064" s="197" t="s">
        <v>224</v>
      </c>
      <c r="G4064" s="197" t="s">
        <v>56</v>
      </c>
      <c r="H4064" s="197" t="s">
        <v>415</v>
      </c>
      <c r="I4064" s="209" t="s">
        <v>415</v>
      </c>
    </row>
    <row r="4065" spans="1:9">
      <c r="A4065" s="195"/>
      <c r="B4065" s="195" t="s">
        <v>206</v>
      </c>
      <c r="C4065"/>
      <c r="D4065" s="197" t="s">
        <v>759</v>
      </c>
      <c r="E4065" s="197" t="s">
        <v>848</v>
      </c>
      <c r="F4065" s="197" t="s">
        <v>224</v>
      </c>
      <c r="G4065" s="197" t="s">
        <v>56</v>
      </c>
      <c r="H4065" s="197" t="s">
        <v>415</v>
      </c>
      <c r="I4065" s="209" t="s">
        <v>415</v>
      </c>
    </row>
    <row r="4066" spans="1:9">
      <c r="A4066" s="195"/>
      <c r="B4066" s="195" t="s">
        <v>207</v>
      </c>
      <c r="C4066"/>
      <c r="D4066" s="197" t="s">
        <v>759</v>
      </c>
      <c r="E4066" s="197" t="s">
        <v>848</v>
      </c>
      <c r="F4066" s="197" t="s">
        <v>224</v>
      </c>
      <c r="G4066" s="197" t="s">
        <v>56</v>
      </c>
      <c r="H4066" s="197" t="s">
        <v>415</v>
      </c>
      <c r="I4066" s="209" t="s">
        <v>415</v>
      </c>
    </row>
    <row r="4067" spans="1:9">
      <c r="A4067" s="195"/>
      <c r="B4067" s="196" t="s">
        <v>222</v>
      </c>
      <c r="C4067"/>
      <c r="D4067" s="197" t="s">
        <v>759</v>
      </c>
      <c r="E4067" s="197" t="s">
        <v>273</v>
      </c>
      <c r="F4067" s="197" t="s">
        <v>865</v>
      </c>
      <c r="G4067" s="197"/>
      <c r="H4067" s="197" t="s">
        <v>415</v>
      </c>
      <c r="I4067" s="209" t="s">
        <v>415</v>
      </c>
    </row>
    <row r="4068" spans="1:9">
      <c r="A4068" s="195"/>
      <c r="B4068" s="195" t="s">
        <v>205</v>
      </c>
      <c r="C4068"/>
      <c r="D4068" s="197" t="s">
        <v>759</v>
      </c>
      <c r="E4068" s="197" t="s">
        <v>273</v>
      </c>
      <c r="F4068" s="197" t="s">
        <v>866</v>
      </c>
      <c r="G4068" s="197" t="s">
        <v>270</v>
      </c>
      <c r="H4068" s="197" t="s">
        <v>415</v>
      </c>
      <c r="I4068" s="209" t="s">
        <v>415</v>
      </c>
    </row>
    <row r="4069" spans="1:9">
      <c r="A4069" s="195"/>
      <c r="B4069" s="195" t="s">
        <v>206</v>
      </c>
      <c r="C4069"/>
      <c r="D4069" s="197" t="s">
        <v>216</v>
      </c>
      <c r="E4069" s="197" t="s">
        <v>273</v>
      </c>
      <c r="F4069" s="197" t="s">
        <v>416</v>
      </c>
      <c r="G4069" s="197" t="s">
        <v>270</v>
      </c>
      <c r="H4069" s="197" t="s">
        <v>415</v>
      </c>
      <c r="I4069" s="209" t="s">
        <v>415</v>
      </c>
    </row>
    <row r="4070" spans="1:9">
      <c r="A4070" s="195"/>
      <c r="B4070" s="195" t="s">
        <v>207</v>
      </c>
      <c r="C4070"/>
      <c r="D4070" s="197" t="s">
        <v>216</v>
      </c>
      <c r="E4070" s="197" t="s">
        <v>252</v>
      </c>
      <c r="F4070" s="197" t="s">
        <v>771</v>
      </c>
      <c r="G4070" s="197" t="s">
        <v>270</v>
      </c>
      <c r="H4070" s="197" t="s">
        <v>415</v>
      </c>
      <c r="I4070" s="209" t="s">
        <v>415</v>
      </c>
    </row>
    <row r="4071" spans="1:9">
      <c r="A4071" s="195"/>
      <c r="B4071" s="196" t="s">
        <v>223</v>
      </c>
      <c r="C4071"/>
      <c r="D4071" s="197" t="s">
        <v>216</v>
      </c>
      <c r="E4071" s="197" t="s">
        <v>252</v>
      </c>
      <c r="F4071" s="197" t="s">
        <v>416</v>
      </c>
      <c r="G4071" s="197" t="s">
        <v>270</v>
      </c>
      <c r="H4071" s="197" t="s">
        <v>415</v>
      </c>
      <c r="I4071" s="209" t="s">
        <v>415</v>
      </c>
    </row>
    <row r="4072" spans="1:9">
      <c r="A4072" s="195"/>
      <c r="B4072" s="195" t="s">
        <v>205</v>
      </c>
      <c r="C4072"/>
      <c r="D4072" s="197" t="s">
        <v>216</v>
      </c>
      <c r="E4072" s="197" t="s">
        <v>252</v>
      </c>
      <c r="F4072" s="197" t="s">
        <v>416</v>
      </c>
      <c r="G4072" s="197" t="s">
        <v>270</v>
      </c>
      <c r="H4072" s="197" t="s">
        <v>415</v>
      </c>
      <c r="I4072" s="209" t="s">
        <v>415</v>
      </c>
    </row>
    <row r="4073" spans="1:9">
      <c r="A4073" s="195"/>
      <c r="B4073" s="195" t="s">
        <v>206</v>
      </c>
      <c r="C4073"/>
      <c r="D4073" s="197" t="s">
        <v>215</v>
      </c>
      <c r="E4073" s="197" t="s">
        <v>252</v>
      </c>
      <c r="F4073" s="197" t="s">
        <v>416</v>
      </c>
      <c r="G4073" s="197" t="s">
        <v>270</v>
      </c>
      <c r="H4073" s="197" t="s">
        <v>415</v>
      </c>
      <c r="I4073" s="209" t="s">
        <v>415</v>
      </c>
    </row>
    <row r="4074" spans="1:9">
      <c r="A4074" s="195"/>
      <c r="B4074" s="195" t="s">
        <v>207</v>
      </c>
      <c r="C4074"/>
      <c r="D4074" s="197" t="s">
        <v>215</v>
      </c>
      <c r="E4074" s="197" t="s">
        <v>252</v>
      </c>
      <c r="F4074" s="197" t="s">
        <v>416</v>
      </c>
      <c r="G4074" s="197" t="s">
        <v>270</v>
      </c>
      <c r="H4074" s="197" t="s">
        <v>415</v>
      </c>
      <c r="I4074" s="209" t="s">
        <v>415</v>
      </c>
    </row>
    <row r="4075" spans="1:9">
      <c r="A4075" s="195"/>
      <c r="B4075" s="196" t="s">
        <v>225</v>
      </c>
      <c r="C4075"/>
      <c r="D4075" s="197" t="s">
        <v>280</v>
      </c>
      <c r="E4075" s="197" t="s">
        <v>252</v>
      </c>
      <c r="F4075" s="197"/>
      <c r="G4075" s="197" t="s">
        <v>270</v>
      </c>
      <c r="H4075" s="197" t="s">
        <v>415</v>
      </c>
      <c r="I4075" s="209" t="s">
        <v>415</v>
      </c>
    </row>
    <row r="4076" spans="1:9">
      <c r="A4076" s="195"/>
      <c r="B4076" s="195" t="s">
        <v>205</v>
      </c>
      <c r="C4076"/>
      <c r="D4076" s="197" t="s">
        <v>127</v>
      </c>
      <c r="E4076" s="197" t="s">
        <v>252</v>
      </c>
      <c r="F4076" s="197"/>
      <c r="G4076" s="197" t="s">
        <v>270</v>
      </c>
      <c r="H4076" s="209" t="s">
        <v>415</v>
      </c>
      <c r="I4076" s="209" t="s">
        <v>415</v>
      </c>
    </row>
    <row r="4077" spans="1:9">
      <c r="A4077" s="195"/>
      <c r="B4077" s="195" t="s">
        <v>206</v>
      </c>
      <c r="C4077"/>
      <c r="D4077" s="197"/>
      <c r="E4077" s="197" t="s">
        <v>252</v>
      </c>
      <c r="F4077" s="197"/>
      <c r="G4077" s="197" t="s">
        <v>270</v>
      </c>
      <c r="H4077" s="209" t="s">
        <v>415</v>
      </c>
      <c r="I4077" s="209" t="s">
        <v>415</v>
      </c>
    </row>
    <row r="4078" spans="1:9">
      <c r="A4078" s="195"/>
      <c r="B4078" s="195" t="s">
        <v>207</v>
      </c>
      <c r="C4078"/>
      <c r="D4078" s="197"/>
      <c r="E4078" s="197" t="s">
        <v>252</v>
      </c>
      <c r="F4078" s="197"/>
      <c r="G4078" s="197" t="s">
        <v>270</v>
      </c>
      <c r="H4078" s="209" t="s">
        <v>415</v>
      </c>
      <c r="I4078" s="209" t="s">
        <v>415</v>
      </c>
    </row>
    <row r="4079" spans="1:9">
      <c r="A4079" s="195"/>
      <c r="B4079" s="196" t="s">
        <v>226</v>
      </c>
      <c r="C4079"/>
      <c r="D4079" s="197"/>
      <c r="E4079" s="197"/>
      <c r="F4079" s="197"/>
      <c r="G4079" s="197" t="s">
        <v>270</v>
      </c>
      <c r="H4079" s="209" t="s">
        <v>415</v>
      </c>
      <c r="I4079" s="209" t="s">
        <v>415</v>
      </c>
    </row>
    <row r="4080" spans="1:9">
      <c r="A4080" s="195"/>
      <c r="B4080" s="195" t="s">
        <v>205</v>
      </c>
      <c r="C4080"/>
      <c r="D4080" s="197"/>
      <c r="E4080" s="197"/>
      <c r="F4080" s="197"/>
      <c r="G4080" s="197" t="s">
        <v>270</v>
      </c>
      <c r="H4080" s="209"/>
      <c r="I4080" s="209"/>
    </row>
    <row r="4081" spans="1:12">
      <c r="A4081" s="195"/>
      <c r="B4081" s="195" t="s">
        <v>206</v>
      </c>
      <c r="C4081"/>
      <c r="D4081" s="197"/>
      <c r="E4081" s="197"/>
      <c r="F4081" s="197"/>
      <c r="G4081" s="197" t="s">
        <v>270</v>
      </c>
      <c r="H4081" s="209"/>
      <c r="I4081" s="209"/>
    </row>
    <row r="4082" spans="1:12">
      <c r="A4082" s="195"/>
      <c r="B4082" s="195" t="s">
        <v>207</v>
      </c>
      <c r="C4082"/>
      <c r="D4082" s="197"/>
      <c r="E4082" s="197"/>
      <c r="F4082" s="197"/>
      <c r="G4082" s="197" t="s">
        <v>270</v>
      </c>
      <c r="H4082" s="209"/>
      <c r="I4082" s="209"/>
    </row>
    <row r="4083" spans="1:12">
      <c r="A4083" s="195"/>
      <c r="B4083" s="196" t="s">
        <v>227</v>
      </c>
      <c r="C4083"/>
      <c r="D4083" s="197"/>
      <c r="E4083" s="197"/>
      <c r="F4083" s="197"/>
      <c r="G4083" s="197"/>
      <c r="H4083" s="209"/>
      <c r="I4083" s="209"/>
      <c r="K4083"/>
    </row>
    <row r="4084" spans="1:12" ht="29.25" thickBot="1">
      <c r="A4084" s="182" t="str">
        <f>"回収シフト  第"&amp;ROUNDUP(DAY(B4087)/7,0)  &amp;"  "&amp;TEXT(B4087,"aaaa")</f>
        <v>回収シフト  第5  火曜日</v>
      </c>
      <c r="B4084" s="183"/>
      <c r="C4084" s="183"/>
      <c r="D4084" s="183"/>
      <c r="E4084" s="183"/>
      <c r="F4084" s="183"/>
      <c r="G4084" s="184"/>
      <c r="H4084" s="184"/>
      <c r="I4084" s="184"/>
      <c r="K4084" s="183"/>
      <c r="L4084" s="183"/>
    </row>
    <row r="4085" spans="1:12" ht="15.75" thickBot="1">
      <c r="A4085"/>
      <c r="B4085"/>
      <c r="C4085"/>
      <c r="D4085" s="186" t="s">
        <v>201</v>
      </c>
      <c r="E4085" s="186" t="s">
        <v>202</v>
      </c>
      <c r="F4085" s="186" t="s">
        <v>203</v>
      </c>
      <c r="G4085" s="186" t="s">
        <v>204</v>
      </c>
      <c r="H4085" s="186" t="s">
        <v>267</v>
      </c>
      <c r="I4085" s="217" t="s">
        <v>267</v>
      </c>
      <c r="K4085" s="230" t="s">
        <v>257</v>
      </c>
      <c r="L4085" s="231"/>
    </row>
    <row r="4086" spans="1:12">
      <c r="A4086" s="187"/>
      <c r="B4086" s="188">
        <v>46119</v>
      </c>
      <c r="C4086" s="187"/>
      <c r="D4086" s="189" t="s">
        <v>969</v>
      </c>
      <c r="E4086" s="189" t="s">
        <v>937</v>
      </c>
      <c r="F4086" s="189" t="s">
        <v>970</v>
      </c>
      <c r="G4086" s="189" t="s">
        <v>864</v>
      </c>
      <c r="H4086" s="189" t="s">
        <v>852</v>
      </c>
      <c r="I4086" s="218" t="s">
        <v>852</v>
      </c>
      <c r="K4086" s="232" t="s">
        <v>258</v>
      </c>
      <c r="L4086" s="190" t="str">
        <f>_xlfn.XLOOKUP($B4087,シフト抽出!$19:$19,シフト抽出!$20:$20,"該当なし",0,1)</f>
        <v>該当なし</v>
      </c>
    </row>
    <row r="4087" spans="1:12" ht="19.5" thickBot="1">
      <c r="A4087"/>
      <c r="B4087" s="191">
        <f>B4034+1</f>
        <v>46203</v>
      </c>
      <c r="C4087" s="192"/>
      <c r="D4087" s="193"/>
      <c r="E4087" s="193"/>
      <c r="F4087" s="193"/>
      <c r="G4087" s="193"/>
      <c r="H4087" s="193"/>
      <c r="I4087" s="219"/>
      <c r="K4087" s="233"/>
      <c r="L4087" s="194" t="str">
        <f>_xlfn.XLOOKUP($B4087,シフト抽出!$19:$19,シフト抽出!$21:$21,"該当なし",0,1)</f>
        <v>該当なし</v>
      </c>
    </row>
    <row r="4088" spans="1:12">
      <c r="A4088" s="195"/>
      <c r="B4088" s="196">
        <v>0.25</v>
      </c>
      <c r="C4088"/>
      <c r="D4088" s="197"/>
      <c r="E4088" s="196"/>
      <c r="F4088" s="197"/>
      <c r="G4088" s="197"/>
      <c r="H4088" s="197"/>
      <c r="I4088" s="209"/>
      <c r="K4088" s="234" t="s">
        <v>259</v>
      </c>
      <c r="L4088" s="198" t="str">
        <f>_xlfn.XLOOKUP($B4087,シフト抽出!$19:$19,シフト抽出!$23:$23,"該当なし",0,1)</f>
        <v>該当なし</v>
      </c>
    </row>
    <row r="4089" spans="1:12" ht="15.75" thickBot="1">
      <c r="A4089" s="195"/>
      <c r="B4089" s="195" t="s">
        <v>205</v>
      </c>
      <c r="C4089"/>
      <c r="D4089" s="197"/>
      <c r="E4089" s="197"/>
      <c r="F4089" s="197"/>
      <c r="G4089" s="197"/>
      <c r="H4089" s="197"/>
      <c r="I4089" s="209"/>
      <c r="K4089" s="235"/>
      <c r="L4089" s="199" t="str">
        <f>_xlfn.XLOOKUP($B4087,シフト抽出!$19:$19,シフト抽出!$24:$24,"該当なし",0,1)</f>
        <v>該当なし</v>
      </c>
    </row>
    <row r="4090" spans="1:12">
      <c r="A4090" s="195"/>
      <c r="B4090" s="195" t="s">
        <v>206</v>
      </c>
      <c r="C4090"/>
      <c r="D4090" s="197"/>
      <c r="E4090" s="197"/>
      <c r="F4090" s="197"/>
      <c r="G4090" s="197"/>
      <c r="H4090" s="197"/>
      <c r="I4090" s="209"/>
      <c r="K4090" s="224" t="s">
        <v>260</v>
      </c>
      <c r="L4090" s="200" t="str">
        <f>_xlfn.XLOOKUP($B4087,シフト抽出!$19:$19,シフト抽出!$26:$26,"該当なし",0,1)</f>
        <v>該当なし</v>
      </c>
    </row>
    <row r="4091" spans="1:12">
      <c r="A4091" s="195"/>
      <c r="B4091" s="195" t="s">
        <v>207</v>
      </c>
      <c r="C4091"/>
      <c r="D4091" s="197"/>
      <c r="E4091" s="197"/>
      <c r="F4091" s="197"/>
      <c r="G4091" s="197"/>
      <c r="H4091" s="197"/>
      <c r="I4091" s="209"/>
      <c r="K4091" s="225"/>
      <c r="L4091" s="201" t="str">
        <f>_xlfn.XLOOKUP($B4087,シフト抽出!$19:$19,シフト抽出!$27:$27,"該当なし",0,1)</f>
        <v>該当なし</v>
      </c>
    </row>
    <row r="4092" spans="1:12">
      <c r="A4092" s="195"/>
      <c r="B4092" s="202" t="s">
        <v>208</v>
      </c>
      <c r="C4092"/>
      <c r="D4092" s="197" t="s">
        <v>4</v>
      </c>
      <c r="E4092" s="197" t="s">
        <v>4</v>
      </c>
      <c r="F4092" s="197"/>
      <c r="G4092" s="197" t="s">
        <v>4</v>
      </c>
      <c r="H4092" s="197"/>
      <c r="I4092" s="209"/>
      <c r="J4092" s="203"/>
      <c r="K4092" s="225"/>
      <c r="L4092" s="201" t="str">
        <f>_xlfn.XLOOKUP($B4087,シフト抽出!$19:$19,シフト抽出!$28:$28,"該当なし",0,1)</f>
        <v>該当なし</v>
      </c>
    </row>
    <row r="4093" spans="1:12" ht="15.75" thickBot="1">
      <c r="A4093" s="195"/>
      <c r="B4093" s="195" t="s">
        <v>205</v>
      </c>
      <c r="C4093"/>
      <c r="D4093" s="197" t="s">
        <v>414</v>
      </c>
      <c r="E4093" s="197" t="s">
        <v>420</v>
      </c>
      <c r="F4093" s="197" t="s">
        <v>851</v>
      </c>
      <c r="G4093" s="197" t="s">
        <v>22</v>
      </c>
      <c r="H4093" s="197"/>
      <c r="I4093" s="209"/>
      <c r="J4093" s="203"/>
      <c r="K4093" s="226"/>
      <c r="L4093" s="204" t="str">
        <f>_xlfn.XLOOKUP($B4087,シフト抽出!$19:$19,シフト抽出!$29:$29,"該当なし",0,1)</f>
        <v>該当なし</v>
      </c>
    </row>
    <row r="4094" spans="1:12" ht="15.75" thickBot="1">
      <c r="A4094" s="195"/>
      <c r="B4094" s="195" t="s">
        <v>206</v>
      </c>
      <c r="C4094"/>
      <c r="D4094" s="197" t="s">
        <v>414</v>
      </c>
      <c r="E4094" s="197" t="s">
        <v>420</v>
      </c>
      <c r="F4094" s="197" t="s">
        <v>851</v>
      </c>
      <c r="G4094" s="197" t="s">
        <v>22</v>
      </c>
      <c r="H4094" s="197"/>
      <c r="I4094" s="209"/>
      <c r="K4094" s="205" t="s">
        <v>261</v>
      </c>
      <c r="L4094" s="205">
        <f>_xlfn.XLOOKUP($B4087,予定表!B:B,予定表!R:R,"該当なし",0,1)</f>
        <v>0</v>
      </c>
    </row>
    <row r="4095" spans="1:12">
      <c r="A4095" s="195"/>
      <c r="B4095" s="195" t="s">
        <v>207</v>
      </c>
      <c r="C4095"/>
      <c r="D4095" s="197" t="s">
        <v>414</v>
      </c>
      <c r="E4095" s="197" t="s">
        <v>420</v>
      </c>
      <c r="F4095" s="197" t="s">
        <v>851</v>
      </c>
      <c r="G4095" s="197" t="s">
        <v>268</v>
      </c>
      <c r="H4095" s="197"/>
      <c r="I4095" s="209"/>
      <c r="K4095" s="227" t="s">
        <v>262</v>
      </c>
      <c r="L4095" s="206">
        <f>_xlfn.XLOOKUP($B4087,予定表!$B:$B,予定表!E:E,"該当なし",0,1)</f>
        <v>0</v>
      </c>
    </row>
    <row r="4096" spans="1:12">
      <c r="A4096" s="195"/>
      <c r="B4096" s="196" t="s">
        <v>209</v>
      </c>
      <c r="C4096"/>
      <c r="D4096" s="197" t="s">
        <v>414</v>
      </c>
      <c r="E4096" s="197" t="s">
        <v>420</v>
      </c>
      <c r="F4096" s="197" t="s">
        <v>851</v>
      </c>
      <c r="G4096" s="197" t="s">
        <v>268</v>
      </c>
      <c r="H4096" s="197" t="s">
        <v>4</v>
      </c>
      <c r="I4096" s="209" t="s">
        <v>4</v>
      </c>
      <c r="K4096" s="228"/>
      <c r="L4096" s="207">
        <f>_xlfn.XLOOKUP($B4087,予定表!$B:$B,予定表!F:F,"該当なし",0,1)</f>
        <v>0</v>
      </c>
    </row>
    <row r="4097" spans="1:12">
      <c r="A4097" s="195"/>
      <c r="B4097" s="195" t="s">
        <v>205</v>
      </c>
      <c r="C4097"/>
      <c r="D4097" s="197" t="s">
        <v>414</v>
      </c>
      <c r="E4097" s="197" t="s">
        <v>420</v>
      </c>
      <c r="F4097" s="197" t="s">
        <v>851</v>
      </c>
      <c r="G4097" s="197" t="s">
        <v>268</v>
      </c>
      <c r="H4097" s="197" t="s">
        <v>60</v>
      </c>
      <c r="I4097" s="209" t="s">
        <v>60</v>
      </c>
      <c r="K4097" s="228"/>
      <c r="L4097" s="207">
        <f>_xlfn.XLOOKUP($B4087,予定表!$B:$B,予定表!G:G,"該当なし",0,1)</f>
        <v>0</v>
      </c>
    </row>
    <row r="4098" spans="1:12">
      <c r="A4098" s="195"/>
      <c r="B4098" s="195" t="s">
        <v>206</v>
      </c>
      <c r="C4098"/>
      <c r="D4098" s="197" t="s">
        <v>214</v>
      </c>
      <c r="E4098" s="197" t="s">
        <v>273</v>
      </c>
      <c r="F4098" s="197" t="s">
        <v>851</v>
      </c>
      <c r="G4098" s="197" t="s">
        <v>268</v>
      </c>
      <c r="H4098" s="197" t="s">
        <v>60</v>
      </c>
      <c r="I4098" s="209" t="s">
        <v>60</v>
      </c>
      <c r="K4098" s="228"/>
      <c r="L4098" s="207">
        <f>_xlfn.XLOOKUP($B4087,予定表!$B:$B,予定表!H:H,"該当なし",0,1)</f>
        <v>0</v>
      </c>
    </row>
    <row r="4099" spans="1:12">
      <c r="A4099" s="195"/>
      <c r="B4099" s="195" t="s">
        <v>207</v>
      </c>
      <c r="C4099"/>
      <c r="D4099" s="197" t="s">
        <v>214</v>
      </c>
      <c r="E4099" s="197" t="s">
        <v>273</v>
      </c>
      <c r="F4099" s="197" t="s">
        <v>62</v>
      </c>
      <c r="G4099" s="197" t="s">
        <v>169</v>
      </c>
      <c r="H4099" s="197" t="s">
        <v>60</v>
      </c>
      <c r="I4099" s="209" t="s">
        <v>60</v>
      </c>
      <c r="K4099" s="228"/>
      <c r="L4099" s="207" t="str">
        <f>_xlfn.XLOOKUP($B4087,予定表!$B:$B,予定表!I:I,"該当なし",0,1)</f>
        <v/>
      </c>
    </row>
    <row r="4100" spans="1:12">
      <c r="A4100" s="195"/>
      <c r="B4100" s="196" t="s">
        <v>212</v>
      </c>
      <c r="C4100"/>
      <c r="D4100" s="197" t="s">
        <v>214</v>
      </c>
      <c r="E4100" s="197" t="s">
        <v>273</v>
      </c>
      <c r="F4100" s="197" t="s">
        <v>62</v>
      </c>
      <c r="G4100" s="197" t="s">
        <v>169</v>
      </c>
      <c r="H4100" s="197"/>
      <c r="I4100" s="209"/>
      <c r="K4100" s="228"/>
      <c r="L4100" s="207" t="str">
        <f>_xlfn.XLOOKUP($B4087,予定表!$B:$B,予定表!J:J,"該当なし",0,1)</f>
        <v/>
      </c>
    </row>
    <row r="4101" spans="1:12">
      <c r="A4101" s="195"/>
      <c r="B4101" s="195" t="s">
        <v>205</v>
      </c>
      <c r="C4101"/>
      <c r="D4101" s="197" t="s">
        <v>214</v>
      </c>
      <c r="E4101" s="197" t="s">
        <v>953</v>
      </c>
      <c r="F4101" s="197" t="s">
        <v>62</v>
      </c>
      <c r="G4101" s="197" t="s">
        <v>169</v>
      </c>
      <c r="H4101" s="197" t="s">
        <v>848</v>
      </c>
      <c r="I4101" s="209" t="s">
        <v>848</v>
      </c>
      <c r="K4101" s="228"/>
      <c r="L4101" s="207" t="str">
        <f>_xlfn.XLOOKUP($B4087,予定表!$B:$B,予定表!K:K,"該当なし",0,1)</f>
        <v/>
      </c>
    </row>
    <row r="4102" spans="1:12">
      <c r="A4102" s="195"/>
      <c r="B4102" s="195" t="s">
        <v>206</v>
      </c>
      <c r="C4102"/>
      <c r="D4102" s="197" t="s">
        <v>353</v>
      </c>
      <c r="E4102" s="197" t="s">
        <v>228</v>
      </c>
      <c r="F4102" s="197" t="s">
        <v>62</v>
      </c>
      <c r="G4102" s="197" t="s">
        <v>169</v>
      </c>
      <c r="H4102" s="197" t="s">
        <v>848</v>
      </c>
      <c r="I4102" s="209" t="s">
        <v>848</v>
      </c>
      <c r="K4102" s="228"/>
      <c r="L4102" s="207" t="str">
        <f>_xlfn.XLOOKUP($B4087,予定表!$B:$B,予定表!L:L,"該当なし",0,1)</f>
        <v/>
      </c>
    </row>
    <row r="4103" spans="1:12" ht="15.75" thickBot="1">
      <c r="A4103" s="195"/>
      <c r="B4103" s="195" t="s">
        <v>207</v>
      </c>
      <c r="C4103"/>
      <c r="D4103" s="197" t="s">
        <v>353</v>
      </c>
      <c r="E4103" s="197" t="s">
        <v>228</v>
      </c>
      <c r="F4103" s="197" t="s">
        <v>62</v>
      </c>
      <c r="G4103" s="197" t="s">
        <v>169</v>
      </c>
      <c r="H4103" s="197" t="s">
        <v>848</v>
      </c>
      <c r="I4103" s="209" t="s">
        <v>848</v>
      </c>
      <c r="K4103" s="229"/>
      <c r="L4103" s="204" t="str">
        <f>_xlfn.XLOOKUP($A4084,ﾘｽﾄマスタ!$U$8:$U$17,ﾘｽﾄマスタ!$V$8:$V$17,"",0)</f>
        <v/>
      </c>
    </row>
    <row r="4104" spans="1:12" ht="15.75" thickBot="1">
      <c r="A4104" s="195"/>
      <c r="B4104" s="196" t="s">
        <v>251</v>
      </c>
      <c r="C4104"/>
      <c r="D4104" s="197" t="s">
        <v>761</v>
      </c>
      <c r="E4104" s="197" t="s">
        <v>228</v>
      </c>
      <c r="F4104" s="197" t="s">
        <v>62</v>
      </c>
      <c r="G4104" s="197" t="s">
        <v>279</v>
      </c>
      <c r="H4104" s="197" t="s">
        <v>848</v>
      </c>
      <c r="I4104" s="209" t="s">
        <v>848</v>
      </c>
      <c r="K4104" s="208" t="s">
        <v>277</v>
      </c>
      <c r="L4104" s="208" t="str">
        <f>_xlfn.XLOOKUP($B4087,シフト抽出!$19:$19,シフト抽出!$30:$30,"該当なし",0,1)</f>
        <v>該当なし</v>
      </c>
    </row>
    <row r="4105" spans="1:12">
      <c r="A4105" s="195"/>
      <c r="B4105" s="195" t="s">
        <v>205</v>
      </c>
      <c r="C4105"/>
      <c r="D4105" s="197" t="s">
        <v>761</v>
      </c>
      <c r="E4105" s="197" t="s">
        <v>228</v>
      </c>
      <c r="F4105" s="197" t="s">
        <v>62</v>
      </c>
      <c r="G4105" s="197" t="s">
        <v>279</v>
      </c>
      <c r="H4105" s="197" t="s">
        <v>848</v>
      </c>
      <c r="I4105" s="209" t="s">
        <v>848</v>
      </c>
    </row>
    <row r="4106" spans="1:12">
      <c r="A4106" s="195"/>
      <c r="B4106" s="195" t="s">
        <v>206</v>
      </c>
      <c r="C4106"/>
      <c r="D4106" s="197" t="s">
        <v>88</v>
      </c>
      <c r="E4106" s="197" t="s">
        <v>263</v>
      </c>
      <c r="F4106" s="197"/>
      <c r="G4106" s="197" t="s">
        <v>279</v>
      </c>
      <c r="H4106" s="197" t="s">
        <v>229</v>
      </c>
      <c r="I4106" s="209" t="s">
        <v>229</v>
      </c>
    </row>
    <row r="4107" spans="1:12">
      <c r="A4107" s="195"/>
      <c r="B4107" s="195" t="s">
        <v>207</v>
      </c>
      <c r="C4107"/>
      <c r="D4107" s="197" t="s">
        <v>88</v>
      </c>
      <c r="E4107" s="197" t="s">
        <v>263</v>
      </c>
      <c r="F4107" s="197" t="s">
        <v>51</v>
      </c>
      <c r="G4107" s="197" t="s">
        <v>279</v>
      </c>
      <c r="H4107" s="197" t="s">
        <v>229</v>
      </c>
      <c r="I4107" s="209" t="s">
        <v>229</v>
      </c>
    </row>
    <row r="4108" spans="1:12">
      <c r="A4108" s="195"/>
      <c r="B4108" s="196" t="s">
        <v>217</v>
      </c>
      <c r="C4108"/>
      <c r="D4108" s="197"/>
      <c r="E4108" s="197" t="s">
        <v>263</v>
      </c>
      <c r="F4108" s="197" t="s">
        <v>51</v>
      </c>
      <c r="G4108" s="197" t="s">
        <v>279</v>
      </c>
      <c r="H4108" s="197" t="s">
        <v>230</v>
      </c>
      <c r="I4108" s="209" t="s">
        <v>230</v>
      </c>
    </row>
    <row r="4109" spans="1:12">
      <c r="A4109" s="195"/>
      <c r="B4109" s="195" t="s">
        <v>205</v>
      </c>
      <c r="C4109"/>
      <c r="D4109" s="197"/>
      <c r="E4109" s="197" t="s">
        <v>263</v>
      </c>
      <c r="F4109" s="197" t="s">
        <v>51</v>
      </c>
      <c r="G4109" s="197" t="s">
        <v>279</v>
      </c>
      <c r="H4109" s="197" t="s">
        <v>230</v>
      </c>
      <c r="I4109" s="209" t="s">
        <v>230</v>
      </c>
    </row>
    <row r="4110" spans="1:12">
      <c r="A4110" s="195"/>
      <c r="B4110" s="195" t="s">
        <v>206</v>
      </c>
      <c r="C4110"/>
      <c r="D4110" s="197"/>
      <c r="E4110" s="197" t="s">
        <v>263</v>
      </c>
      <c r="F4110" s="197" t="s">
        <v>51</v>
      </c>
      <c r="G4110" s="197" t="s">
        <v>279</v>
      </c>
      <c r="H4110" s="197" t="s">
        <v>230</v>
      </c>
      <c r="I4110" s="209" t="s">
        <v>230</v>
      </c>
    </row>
    <row r="4111" spans="1:12">
      <c r="A4111" s="195"/>
      <c r="B4111" s="195" t="s">
        <v>207</v>
      </c>
      <c r="C4111"/>
      <c r="D4111" s="197"/>
      <c r="E4111" s="197"/>
      <c r="F4111" s="197"/>
      <c r="G4111" s="197"/>
      <c r="H4111" s="197" t="s">
        <v>230</v>
      </c>
      <c r="I4111" s="209" t="s">
        <v>230</v>
      </c>
    </row>
    <row r="4112" spans="1:12">
      <c r="A4112" s="195"/>
      <c r="B4112" s="196" t="s">
        <v>219</v>
      </c>
      <c r="C4112"/>
      <c r="D4112" s="197"/>
      <c r="E4112" s="197"/>
      <c r="F4112" s="197"/>
      <c r="G4112" s="197"/>
      <c r="H4112" s="197" t="s">
        <v>230</v>
      </c>
      <c r="I4112" s="209" t="s">
        <v>230</v>
      </c>
    </row>
    <row r="4113" spans="1:9">
      <c r="A4113" s="195"/>
      <c r="B4113" s="195" t="s">
        <v>205</v>
      </c>
      <c r="C4113"/>
      <c r="D4113" s="197"/>
      <c r="E4113" s="197"/>
      <c r="F4113" s="197"/>
      <c r="G4113" s="197"/>
      <c r="H4113" s="197" t="s">
        <v>230</v>
      </c>
      <c r="I4113" s="209" t="s">
        <v>230</v>
      </c>
    </row>
    <row r="4114" spans="1:9">
      <c r="A4114" s="195"/>
      <c r="B4114" s="195" t="s">
        <v>206</v>
      </c>
      <c r="C4114"/>
      <c r="D4114" s="197"/>
      <c r="E4114" s="197"/>
      <c r="F4114" s="197"/>
      <c r="G4114" s="197"/>
      <c r="H4114" s="197"/>
      <c r="I4114" s="209"/>
    </row>
    <row r="4115" spans="1:9">
      <c r="A4115" s="195"/>
      <c r="B4115" s="195" t="s">
        <v>207</v>
      </c>
      <c r="C4115"/>
      <c r="D4115" s="197"/>
      <c r="E4115" s="197"/>
      <c r="F4115" s="197"/>
      <c r="G4115" s="197"/>
      <c r="H4115" s="197"/>
      <c r="I4115" s="209"/>
    </row>
    <row r="4116" spans="1:9">
      <c r="A4116" s="195"/>
      <c r="B4116" s="196" t="s">
        <v>220</v>
      </c>
      <c r="C4116"/>
      <c r="D4116" s="189"/>
      <c r="E4116" s="197"/>
      <c r="F4116" s="197"/>
      <c r="G4116" s="197"/>
      <c r="H4116" s="197"/>
      <c r="I4116" s="209"/>
    </row>
    <row r="4117" spans="1:9">
      <c r="A4117" s="195"/>
      <c r="B4117" s="195" t="s">
        <v>205</v>
      </c>
      <c r="C4117"/>
      <c r="D4117" s="197" t="s">
        <v>114</v>
      </c>
      <c r="E4117" s="197" t="s">
        <v>233</v>
      </c>
      <c r="F4117" s="197" t="s">
        <v>605</v>
      </c>
      <c r="G4117" s="197" t="s">
        <v>56</v>
      </c>
      <c r="H4117" s="197" t="s">
        <v>390</v>
      </c>
      <c r="I4117" s="209" t="s">
        <v>390</v>
      </c>
    </row>
    <row r="4118" spans="1:9">
      <c r="A4118" s="195"/>
      <c r="B4118" s="195" t="s">
        <v>206</v>
      </c>
      <c r="C4118"/>
      <c r="D4118" s="197" t="s">
        <v>114</v>
      </c>
      <c r="E4118" s="197" t="s">
        <v>233</v>
      </c>
      <c r="F4118" s="197" t="s">
        <v>75</v>
      </c>
      <c r="G4118" s="197" t="s">
        <v>56</v>
      </c>
      <c r="H4118" s="197" t="s">
        <v>390</v>
      </c>
      <c r="I4118" s="209" t="s">
        <v>390</v>
      </c>
    </row>
    <row r="4119" spans="1:9">
      <c r="A4119" s="195"/>
      <c r="B4119" s="195" t="s">
        <v>207</v>
      </c>
      <c r="C4119"/>
      <c r="D4119" s="197" t="s">
        <v>129</v>
      </c>
      <c r="E4119" s="197" t="s">
        <v>233</v>
      </c>
      <c r="F4119" s="197" t="s">
        <v>62</v>
      </c>
      <c r="G4119" s="197" t="s">
        <v>56</v>
      </c>
      <c r="H4119" s="197"/>
      <c r="I4119" s="209"/>
    </row>
    <row r="4120" spans="1:9">
      <c r="A4120" s="195"/>
      <c r="B4120" s="196" t="s">
        <v>222</v>
      </c>
      <c r="C4120"/>
      <c r="D4120" s="197" t="s">
        <v>129</v>
      </c>
      <c r="E4120" s="197" t="s">
        <v>233</v>
      </c>
      <c r="F4120" s="197" t="s">
        <v>62</v>
      </c>
      <c r="G4120" s="197" t="s">
        <v>56</v>
      </c>
      <c r="H4120" s="197" t="s">
        <v>231</v>
      </c>
      <c r="I4120" s="209" t="s">
        <v>231</v>
      </c>
    </row>
    <row r="4121" spans="1:9">
      <c r="A4121" s="195"/>
      <c r="B4121" s="195" t="s">
        <v>205</v>
      </c>
      <c r="C4121"/>
      <c r="D4121" s="197"/>
      <c r="E4121" s="197" t="s">
        <v>252</v>
      </c>
      <c r="F4121" s="197" t="s">
        <v>62</v>
      </c>
      <c r="G4121" s="197"/>
      <c r="H4121" s="197" t="s">
        <v>232</v>
      </c>
      <c r="I4121" s="209" t="s">
        <v>232</v>
      </c>
    </row>
    <row r="4122" spans="1:9">
      <c r="A4122" s="195"/>
      <c r="B4122" s="195" t="s">
        <v>206</v>
      </c>
      <c r="C4122"/>
      <c r="D4122" s="197" t="s">
        <v>515</v>
      </c>
      <c r="E4122" s="197" t="s">
        <v>252</v>
      </c>
      <c r="F4122" s="197" t="s">
        <v>62</v>
      </c>
      <c r="G4122" s="197" t="s">
        <v>270</v>
      </c>
      <c r="H4122" s="197" t="s">
        <v>211</v>
      </c>
      <c r="I4122" s="209" t="s">
        <v>211</v>
      </c>
    </row>
    <row r="4123" spans="1:9">
      <c r="A4123" s="195"/>
      <c r="B4123" s="195" t="s">
        <v>207</v>
      </c>
      <c r="C4123"/>
      <c r="D4123" s="197" t="s">
        <v>515</v>
      </c>
      <c r="E4123" s="197" t="s">
        <v>252</v>
      </c>
      <c r="F4123" s="197" t="s">
        <v>62</v>
      </c>
      <c r="G4123" s="197" t="s">
        <v>270</v>
      </c>
      <c r="H4123" s="197" t="s">
        <v>211</v>
      </c>
      <c r="I4123" s="209" t="s">
        <v>211</v>
      </c>
    </row>
    <row r="4124" spans="1:9">
      <c r="A4124" s="195"/>
      <c r="B4124" s="196" t="s">
        <v>223</v>
      </c>
      <c r="C4124"/>
      <c r="D4124" s="197" t="s">
        <v>269</v>
      </c>
      <c r="E4124" s="197" t="s">
        <v>252</v>
      </c>
      <c r="F4124" s="197" t="s">
        <v>62</v>
      </c>
      <c r="G4124" s="197" t="s">
        <v>270</v>
      </c>
      <c r="H4124" s="197"/>
      <c r="I4124" s="209"/>
    </row>
    <row r="4125" spans="1:9">
      <c r="A4125" s="195"/>
      <c r="B4125" s="195" t="s">
        <v>205</v>
      </c>
      <c r="C4125"/>
      <c r="D4125" s="197" t="s">
        <v>269</v>
      </c>
      <c r="E4125" s="197" t="s">
        <v>252</v>
      </c>
      <c r="F4125" s="197" t="s">
        <v>62</v>
      </c>
      <c r="G4125" s="197" t="s">
        <v>270</v>
      </c>
      <c r="H4125" s="197" t="s">
        <v>856</v>
      </c>
      <c r="I4125" s="209" t="s">
        <v>856</v>
      </c>
    </row>
    <row r="4126" spans="1:9">
      <c r="A4126" s="195"/>
      <c r="B4126" s="195" t="s">
        <v>206</v>
      </c>
      <c r="C4126"/>
      <c r="D4126" s="197" t="s">
        <v>269</v>
      </c>
      <c r="E4126" s="197" t="s">
        <v>252</v>
      </c>
      <c r="F4126" s="197" t="s">
        <v>62</v>
      </c>
      <c r="G4126" s="197" t="s">
        <v>270</v>
      </c>
      <c r="H4126" s="197" t="s">
        <v>856</v>
      </c>
      <c r="I4126" s="209" t="s">
        <v>856</v>
      </c>
    </row>
    <row r="4127" spans="1:9">
      <c r="A4127" s="195"/>
      <c r="B4127" s="195" t="s">
        <v>207</v>
      </c>
      <c r="C4127"/>
      <c r="D4127" s="197" t="s">
        <v>269</v>
      </c>
      <c r="E4127" s="197" t="s">
        <v>252</v>
      </c>
      <c r="F4127" s="197" t="s">
        <v>62</v>
      </c>
      <c r="G4127" s="197" t="s">
        <v>270</v>
      </c>
      <c r="H4127" s="197" t="s">
        <v>856</v>
      </c>
      <c r="I4127" s="209" t="s">
        <v>856</v>
      </c>
    </row>
    <row r="4128" spans="1:9">
      <c r="A4128" s="195"/>
      <c r="B4128" s="196" t="s">
        <v>225</v>
      </c>
      <c r="C4128"/>
      <c r="D4128" s="197" t="s">
        <v>475</v>
      </c>
      <c r="E4128" s="197" t="s">
        <v>252</v>
      </c>
      <c r="F4128" s="197" t="s">
        <v>62</v>
      </c>
      <c r="G4128" s="197" t="s">
        <v>270</v>
      </c>
      <c r="H4128" s="197" t="s">
        <v>856</v>
      </c>
      <c r="I4128" s="209" t="s">
        <v>856</v>
      </c>
    </row>
    <row r="4129" spans="1:12">
      <c r="A4129" s="195"/>
      <c r="B4129" s="195" t="s">
        <v>205</v>
      </c>
      <c r="C4129"/>
      <c r="D4129" s="197" t="s">
        <v>361</v>
      </c>
      <c r="E4129" s="197" t="s">
        <v>252</v>
      </c>
      <c r="F4129" s="197" t="s">
        <v>62</v>
      </c>
      <c r="G4129" s="197" t="s">
        <v>270</v>
      </c>
      <c r="H4129" s="209" t="s">
        <v>856</v>
      </c>
      <c r="I4129" s="209" t="s">
        <v>856</v>
      </c>
    </row>
    <row r="4130" spans="1:12">
      <c r="A4130" s="195"/>
      <c r="B4130" s="195" t="s">
        <v>206</v>
      </c>
      <c r="C4130"/>
      <c r="D4130" s="197"/>
      <c r="E4130" s="197" t="s">
        <v>252</v>
      </c>
      <c r="F4130" s="197" t="s">
        <v>62</v>
      </c>
      <c r="G4130" s="197" t="s">
        <v>270</v>
      </c>
      <c r="H4130" s="209" t="s">
        <v>856</v>
      </c>
      <c r="I4130" s="209" t="s">
        <v>856</v>
      </c>
    </row>
    <row r="4131" spans="1:12">
      <c r="A4131" s="195"/>
      <c r="B4131" s="195" t="s">
        <v>207</v>
      </c>
      <c r="C4131"/>
      <c r="D4131" s="197"/>
      <c r="E4131" s="197"/>
      <c r="F4131" s="197"/>
      <c r="G4131" s="197"/>
      <c r="H4131" s="209"/>
      <c r="I4131" s="209"/>
    </row>
    <row r="4132" spans="1:12">
      <c r="A4132" s="195"/>
      <c r="B4132" s="196" t="s">
        <v>226</v>
      </c>
      <c r="C4132"/>
      <c r="D4132" s="197"/>
      <c r="E4132" s="197"/>
      <c r="F4132" s="197"/>
      <c r="G4132" s="197"/>
      <c r="H4132" s="209"/>
      <c r="I4132" s="209"/>
    </row>
    <row r="4133" spans="1:12">
      <c r="A4133" s="195"/>
      <c r="B4133" s="195" t="s">
        <v>205</v>
      </c>
      <c r="C4133"/>
      <c r="D4133" s="197"/>
      <c r="E4133" s="197"/>
      <c r="F4133" s="197"/>
      <c r="G4133" s="197"/>
      <c r="H4133" s="209"/>
      <c r="I4133" s="209"/>
    </row>
    <row r="4134" spans="1:12">
      <c r="A4134" s="195"/>
      <c r="B4134" s="195" t="s">
        <v>206</v>
      </c>
      <c r="C4134"/>
      <c r="D4134" s="197"/>
      <c r="E4134" s="197"/>
      <c r="F4134" s="197"/>
      <c r="G4134" s="197"/>
      <c r="H4134" s="209"/>
      <c r="I4134" s="209"/>
    </row>
    <row r="4135" spans="1:12">
      <c r="A4135" s="195"/>
      <c r="B4135" s="195" t="s">
        <v>207</v>
      </c>
      <c r="C4135"/>
      <c r="D4135" s="197"/>
      <c r="E4135" s="197"/>
      <c r="F4135" s="197"/>
      <c r="G4135" s="197"/>
      <c r="H4135" s="209"/>
      <c r="I4135" s="209"/>
    </row>
    <row r="4136" spans="1:12">
      <c r="A4136" s="195"/>
      <c r="B4136" s="196" t="s">
        <v>227</v>
      </c>
      <c r="C4136"/>
      <c r="D4136" s="197"/>
      <c r="E4136" s="197"/>
      <c r="F4136" s="197"/>
      <c r="G4136" s="197"/>
      <c r="H4136" s="209"/>
      <c r="I4136" s="209"/>
      <c r="K4136"/>
    </row>
    <row r="4137" spans="1:12" ht="29.25" thickBot="1">
      <c r="A4137" s="182" t="str">
        <f>"回収シフト  第"&amp;ROUNDUP(DAY(B4140)/7,0)  &amp;"  "&amp;TEXT(B4140,"aaaa")</f>
        <v>回収シフト  第1  水曜日</v>
      </c>
      <c r="B4137" s="183"/>
      <c r="C4137" s="183"/>
      <c r="D4137" s="183"/>
      <c r="E4137" s="183"/>
      <c r="F4137" s="183"/>
      <c r="G4137" s="184"/>
      <c r="H4137" s="184"/>
      <c r="I4137" s="184"/>
      <c r="K4137" s="183"/>
      <c r="L4137" s="183"/>
    </row>
    <row r="4138" spans="1:12" ht="15.75" thickBot="1">
      <c r="A4138"/>
      <c r="B4138"/>
      <c r="C4138"/>
      <c r="D4138" s="186" t="s">
        <v>201</v>
      </c>
      <c r="E4138" s="186" t="s">
        <v>202</v>
      </c>
      <c r="F4138" s="186" t="s">
        <v>203</v>
      </c>
      <c r="G4138" s="186" t="s">
        <v>204</v>
      </c>
      <c r="H4138" s="186" t="s">
        <v>267</v>
      </c>
      <c r="I4138" s="217" t="s">
        <v>267</v>
      </c>
      <c r="K4138" s="230" t="s">
        <v>257</v>
      </c>
      <c r="L4138" s="231"/>
    </row>
    <row r="4139" spans="1:12">
      <c r="A4139" s="187"/>
      <c r="B4139" s="188">
        <v>46119</v>
      </c>
      <c r="C4139" s="187"/>
      <c r="D4139" s="189" t="s">
        <v>969</v>
      </c>
      <c r="E4139" s="189" t="s">
        <v>937</v>
      </c>
      <c r="F4139" s="189" t="s">
        <v>970</v>
      </c>
      <c r="G4139" s="189" t="s">
        <v>971</v>
      </c>
      <c r="H4139" s="189" t="s">
        <v>972</v>
      </c>
      <c r="I4139" s="218" t="s">
        <v>852</v>
      </c>
      <c r="K4139" s="232" t="s">
        <v>258</v>
      </c>
      <c r="L4139" s="190" t="str">
        <f>_xlfn.XLOOKUP($B4140,シフト抽出!$19:$19,シフト抽出!$20:$20,"該当なし",0,1)</f>
        <v>該当なし</v>
      </c>
    </row>
    <row r="4140" spans="1:12" ht="19.5" thickBot="1">
      <c r="A4140"/>
      <c r="B4140" s="191">
        <f>B4087+1</f>
        <v>46204</v>
      </c>
      <c r="C4140" s="192" t="e">
        <v>#REF!</v>
      </c>
      <c r="D4140" s="193"/>
      <c r="E4140" s="193"/>
      <c r="F4140" s="193"/>
      <c r="G4140" s="193"/>
      <c r="H4140" s="193"/>
      <c r="I4140" s="219"/>
      <c r="K4140" s="233"/>
      <c r="L4140" s="194" t="str">
        <f>_xlfn.XLOOKUP($B4140,シフト抽出!$19:$19,シフト抽出!$21:$21,"該当なし",0,1)</f>
        <v>該当なし</v>
      </c>
    </row>
    <row r="4141" spans="1:12">
      <c r="A4141" s="195"/>
      <c r="B4141" s="196">
        <v>0.25</v>
      </c>
      <c r="C4141"/>
      <c r="D4141" s="197"/>
      <c r="E4141" s="196"/>
      <c r="F4141" s="197"/>
      <c r="G4141" s="197"/>
      <c r="H4141" s="197"/>
      <c r="I4141" s="209"/>
      <c r="K4141" s="234" t="s">
        <v>259</v>
      </c>
      <c r="L4141" s="198" t="str">
        <f>_xlfn.XLOOKUP($B4140,シフト抽出!$19:$19,シフト抽出!$23:$23,"該当なし",0,1)</f>
        <v>該当なし</v>
      </c>
    </row>
    <row r="4142" spans="1:12" ht="15.75" thickBot="1">
      <c r="A4142" s="195"/>
      <c r="B4142" s="195" t="s">
        <v>205</v>
      </c>
      <c r="C4142"/>
      <c r="D4142" s="197"/>
      <c r="E4142" s="197"/>
      <c r="F4142" s="197"/>
      <c r="G4142" s="197"/>
      <c r="H4142" s="197"/>
      <c r="I4142" s="209"/>
      <c r="K4142" s="235"/>
      <c r="L4142" s="199" t="str">
        <f>_xlfn.XLOOKUP($B4140,シフト抽出!$19:$19,シフト抽出!$24:$24,"該当なし",0,1)</f>
        <v>該当なし</v>
      </c>
    </row>
    <row r="4143" spans="1:12">
      <c r="A4143" s="195"/>
      <c r="B4143" s="195" t="s">
        <v>206</v>
      </c>
      <c r="C4143"/>
      <c r="D4143" s="197"/>
      <c r="E4143" s="197"/>
      <c r="F4143" s="197"/>
      <c r="G4143" s="197"/>
      <c r="H4143" s="197"/>
      <c r="I4143" s="209"/>
      <c r="K4143" s="224" t="s">
        <v>260</v>
      </c>
      <c r="L4143" s="200" t="str">
        <f>_xlfn.XLOOKUP($B4140,シフト抽出!$19:$19,シフト抽出!$26:$26,"該当なし",0,1)</f>
        <v>該当なし</v>
      </c>
    </row>
    <row r="4144" spans="1:12">
      <c r="A4144" s="195"/>
      <c r="B4144" s="195" t="s">
        <v>207</v>
      </c>
      <c r="C4144"/>
      <c r="D4144" s="197"/>
      <c r="E4144" s="197"/>
      <c r="F4144" s="197"/>
      <c r="G4144" s="197"/>
      <c r="H4144" s="197"/>
      <c r="I4144" s="209"/>
      <c r="K4144" s="225"/>
      <c r="L4144" s="201" t="str">
        <f>_xlfn.XLOOKUP($B4140,シフト抽出!$19:$19,シフト抽出!$27:$27,"該当なし",0,1)</f>
        <v>該当なし</v>
      </c>
    </row>
    <row r="4145" spans="1:12">
      <c r="A4145" s="195"/>
      <c r="B4145" s="202" t="s">
        <v>208</v>
      </c>
      <c r="C4145"/>
      <c r="D4145" s="197" t="s">
        <v>851</v>
      </c>
      <c r="E4145" s="197" t="s">
        <v>414</v>
      </c>
      <c r="F4145" s="197"/>
      <c r="G4145" s="197" t="s">
        <v>22</v>
      </c>
      <c r="H4145" s="197"/>
      <c r="I4145" s="209"/>
      <c r="J4145" s="203"/>
      <c r="K4145" s="225"/>
      <c r="L4145" s="201" t="str">
        <f>_xlfn.XLOOKUP($B4140,シフト抽出!$19:$19,シフト抽出!$28:$28,"該当なし",0,1)</f>
        <v>該当なし</v>
      </c>
    </row>
    <row r="4146" spans="1:12" ht="15.75" thickBot="1">
      <c r="A4146" s="195"/>
      <c r="B4146" s="195" t="s">
        <v>205</v>
      </c>
      <c r="C4146"/>
      <c r="D4146" s="197" t="s">
        <v>851</v>
      </c>
      <c r="E4146" s="197" t="s">
        <v>414</v>
      </c>
      <c r="F4146" s="197"/>
      <c r="G4146" s="197" t="s">
        <v>22</v>
      </c>
      <c r="H4146" s="197"/>
      <c r="I4146" s="209"/>
      <c r="J4146" s="203"/>
      <c r="K4146" s="226"/>
      <c r="L4146" s="204" t="str">
        <f>_xlfn.XLOOKUP($B4140,シフト抽出!$19:$19,シフト抽出!$29:$29,"該当なし",0,1)</f>
        <v>該当なし</v>
      </c>
    </row>
    <row r="4147" spans="1:12" ht="15.75" thickBot="1">
      <c r="A4147" s="195"/>
      <c r="B4147" s="195" t="s">
        <v>206</v>
      </c>
      <c r="C4147"/>
      <c r="D4147" s="197" t="s">
        <v>851</v>
      </c>
      <c r="E4147" s="197" t="s">
        <v>414</v>
      </c>
      <c r="F4147" s="197"/>
      <c r="G4147" s="197" t="s">
        <v>793</v>
      </c>
      <c r="H4147" s="197"/>
      <c r="I4147" s="209"/>
      <c r="K4147" s="205" t="s">
        <v>261</v>
      </c>
      <c r="L4147" s="205">
        <f>_xlfn.XLOOKUP($B4140,予定表!B:B,予定表!R:R,"該当なし",0,1)</f>
        <v>0</v>
      </c>
    </row>
    <row r="4148" spans="1:12">
      <c r="A4148" s="195"/>
      <c r="B4148" s="195" t="s">
        <v>207</v>
      </c>
      <c r="C4148"/>
      <c r="D4148" s="197" t="s">
        <v>851</v>
      </c>
      <c r="E4148" s="197" t="s">
        <v>414</v>
      </c>
      <c r="F4148" s="197"/>
      <c r="G4148" s="197" t="s">
        <v>793</v>
      </c>
      <c r="H4148" s="197"/>
      <c r="I4148" s="209"/>
      <c r="K4148" s="227" t="s">
        <v>262</v>
      </c>
      <c r="L4148" s="206" t="str">
        <f>_xlfn.XLOOKUP($B4140,予定表!$B:$B,予定表!E:E,"該当なし",0,1)</f>
        <v>小田急切符</v>
      </c>
    </row>
    <row r="4149" spans="1:12">
      <c r="A4149" s="195"/>
      <c r="B4149" s="196" t="s">
        <v>209</v>
      </c>
      <c r="C4149"/>
      <c r="D4149" s="197" t="s">
        <v>851</v>
      </c>
      <c r="E4149" s="197" t="s">
        <v>414</v>
      </c>
      <c r="F4149" s="197"/>
      <c r="G4149" s="197" t="s">
        <v>268</v>
      </c>
      <c r="H4149" s="197"/>
      <c r="I4149" s="209"/>
      <c r="K4149" s="228"/>
      <c r="L4149" s="207">
        <f>_xlfn.XLOOKUP($B4140,予定表!$B:$B,予定表!F:F,"該当なし",0,1)</f>
        <v>0</v>
      </c>
    </row>
    <row r="4150" spans="1:12">
      <c r="A4150" s="195"/>
      <c r="B4150" s="195" t="s">
        <v>205</v>
      </c>
      <c r="C4150"/>
      <c r="D4150" s="197" t="s">
        <v>851</v>
      </c>
      <c r="E4150" s="197" t="s">
        <v>414</v>
      </c>
      <c r="F4150" s="197"/>
      <c r="G4150" s="197" t="s">
        <v>268</v>
      </c>
      <c r="H4150" s="197"/>
      <c r="I4150" s="209"/>
      <c r="K4150" s="228"/>
      <c r="L4150" s="207" t="str">
        <f>_xlfn.XLOOKUP($B4140,予定表!$B:$B,予定表!G:G,"該当なし",0,1)</f>
        <v>ディーミング</v>
      </c>
    </row>
    <row r="4151" spans="1:12">
      <c r="A4151" s="195"/>
      <c r="B4151" s="195" t="s">
        <v>206</v>
      </c>
      <c r="C4151"/>
      <c r="D4151" s="197"/>
      <c r="E4151" s="197" t="s">
        <v>214</v>
      </c>
      <c r="F4151" s="197" t="s">
        <v>416</v>
      </c>
      <c r="G4151" s="197" t="s">
        <v>268</v>
      </c>
      <c r="H4151" s="197"/>
      <c r="I4151" s="209"/>
      <c r="K4151" s="228"/>
      <c r="L4151" s="207">
        <f>_xlfn.XLOOKUP($B4140,予定表!$B:$B,予定表!H:H,"該当なし",0,1)</f>
        <v>0</v>
      </c>
    </row>
    <row r="4152" spans="1:12">
      <c r="A4152" s="195"/>
      <c r="B4152" s="195" t="s">
        <v>207</v>
      </c>
      <c r="C4152"/>
      <c r="D4152" s="197" t="s">
        <v>264</v>
      </c>
      <c r="E4152" s="197" t="s">
        <v>214</v>
      </c>
      <c r="F4152" s="197" t="s">
        <v>416</v>
      </c>
      <c r="G4152" s="197" t="s">
        <v>268</v>
      </c>
      <c r="H4152" s="197"/>
      <c r="I4152" s="209"/>
      <c r="K4152" s="228"/>
      <c r="L4152" s="207" t="str">
        <f>_xlfn.XLOOKUP($B4140,予定表!$B:$B,予定表!I:I,"該当なし",0,1)</f>
        <v/>
      </c>
    </row>
    <row r="4153" spans="1:12">
      <c r="A4153" s="195"/>
      <c r="B4153" s="196" t="s">
        <v>212</v>
      </c>
      <c r="C4153"/>
      <c r="D4153" s="197" t="s">
        <v>397</v>
      </c>
      <c r="E4153" s="197" t="s">
        <v>214</v>
      </c>
      <c r="F4153" s="197" t="s">
        <v>416</v>
      </c>
      <c r="G4153" s="197" t="s">
        <v>268</v>
      </c>
      <c r="H4153" s="197"/>
      <c r="I4153" s="209"/>
      <c r="K4153" s="228"/>
      <c r="L4153" s="207" t="str">
        <f>_xlfn.XLOOKUP($B4140,予定表!$B:$B,予定表!J:J,"該当なし",0,1)</f>
        <v/>
      </c>
    </row>
    <row r="4154" spans="1:12">
      <c r="A4154" s="195"/>
      <c r="B4154" s="195" t="s">
        <v>205</v>
      </c>
      <c r="C4154"/>
      <c r="D4154" s="197" t="s">
        <v>280</v>
      </c>
      <c r="E4154" s="197" t="s">
        <v>214</v>
      </c>
      <c r="F4154" s="197" t="s">
        <v>877</v>
      </c>
      <c r="G4154" s="197" t="s">
        <v>268</v>
      </c>
      <c r="H4154" s="197"/>
      <c r="I4154" s="209"/>
      <c r="K4154" s="228"/>
      <c r="L4154" s="207" t="str">
        <f>_xlfn.XLOOKUP($B4140,予定表!$B:$B,予定表!K:K,"該当なし",0,1)</f>
        <v/>
      </c>
    </row>
    <row r="4155" spans="1:12">
      <c r="A4155" s="195"/>
      <c r="B4155" s="195" t="s">
        <v>206</v>
      </c>
      <c r="C4155"/>
      <c r="D4155" s="197" t="s">
        <v>127</v>
      </c>
      <c r="E4155" s="197" t="s">
        <v>214</v>
      </c>
      <c r="F4155" s="197" t="s">
        <v>416</v>
      </c>
      <c r="G4155" s="197" t="s">
        <v>268</v>
      </c>
      <c r="H4155" s="197"/>
      <c r="I4155" s="209"/>
      <c r="K4155" s="228"/>
      <c r="L4155" s="207" t="str">
        <f>_xlfn.XLOOKUP($B4140,予定表!$B:$B,予定表!L:L,"該当なし",0,1)</f>
        <v/>
      </c>
    </row>
    <row r="4156" spans="1:12" ht="15.75" thickBot="1">
      <c r="A4156" s="195"/>
      <c r="B4156" s="195" t="s">
        <v>207</v>
      </c>
      <c r="C4156"/>
      <c r="D4156" s="197" t="s">
        <v>215</v>
      </c>
      <c r="E4156" s="197" t="s">
        <v>761</v>
      </c>
      <c r="F4156" s="197" t="s">
        <v>416</v>
      </c>
      <c r="G4156" s="197" t="s">
        <v>515</v>
      </c>
      <c r="H4156" s="197"/>
      <c r="I4156" s="209"/>
      <c r="K4156" s="229"/>
      <c r="L4156" s="204" t="str">
        <f>_xlfn.XLOOKUP($A4137,ﾘｽﾄマスタ!$U$8:$U$17,ﾘｽﾄマスタ!$V$8:$V$17,"",0)</f>
        <v/>
      </c>
    </row>
    <row r="4157" spans="1:12" ht="15.75" thickBot="1">
      <c r="A4157" s="195"/>
      <c r="B4157" s="196" t="s">
        <v>251</v>
      </c>
      <c r="C4157"/>
      <c r="D4157" s="197" t="s">
        <v>416</v>
      </c>
      <c r="E4157" s="197" t="s">
        <v>761</v>
      </c>
      <c r="F4157" s="197" t="s">
        <v>416</v>
      </c>
      <c r="G4157" s="197" t="s">
        <v>515</v>
      </c>
      <c r="H4157" s="197"/>
      <c r="I4157" s="209"/>
      <c r="K4157" s="208" t="s">
        <v>277</v>
      </c>
      <c r="L4157" s="208" t="str">
        <f>_xlfn.XLOOKUP($B4140,シフト抽出!$19:$19,シフト抽出!$30:$30,"該当なし",0,1)</f>
        <v>該当なし</v>
      </c>
    </row>
    <row r="4158" spans="1:12">
      <c r="A4158" s="195"/>
      <c r="B4158" s="195" t="s">
        <v>205</v>
      </c>
      <c r="C4158"/>
      <c r="D4158" s="197" t="s">
        <v>416</v>
      </c>
      <c r="E4158" s="197" t="s">
        <v>761</v>
      </c>
      <c r="F4158" s="197" t="s">
        <v>416</v>
      </c>
      <c r="G4158" s="197" t="s">
        <v>515</v>
      </c>
      <c r="H4158" s="197"/>
      <c r="I4158" s="209"/>
    </row>
    <row r="4159" spans="1:12">
      <c r="A4159" s="195"/>
      <c r="B4159" s="195" t="s">
        <v>206</v>
      </c>
      <c r="C4159"/>
      <c r="D4159" s="197" t="s">
        <v>771</v>
      </c>
      <c r="E4159" s="197" t="s">
        <v>761</v>
      </c>
      <c r="F4159" s="197" t="s">
        <v>416</v>
      </c>
      <c r="G4159" s="197" t="s">
        <v>269</v>
      </c>
      <c r="H4159" s="197"/>
      <c r="I4159" s="209"/>
    </row>
    <row r="4160" spans="1:12">
      <c r="A4160" s="195"/>
      <c r="B4160" s="195" t="s">
        <v>207</v>
      </c>
      <c r="C4160"/>
      <c r="D4160" s="197" t="s">
        <v>416</v>
      </c>
      <c r="E4160" s="197" t="s">
        <v>224</v>
      </c>
      <c r="F4160" s="197" t="s">
        <v>416</v>
      </c>
      <c r="G4160" s="197" t="s">
        <v>269</v>
      </c>
      <c r="H4160" s="197"/>
      <c r="I4160" s="209"/>
    </row>
    <row r="4161" spans="1:9">
      <c r="A4161" s="195"/>
      <c r="B4161" s="196" t="s">
        <v>217</v>
      </c>
      <c r="C4161"/>
      <c r="D4161" s="197" t="s">
        <v>51</v>
      </c>
      <c r="E4161" s="197" t="s">
        <v>224</v>
      </c>
      <c r="F4161" s="197" t="s">
        <v>416</v>
      </c>
      <c r="G4161" s="197" t="s">
        <v>269</v>
      </c>
      <c r="H4161" s="197"/>
      <c r="I4161" s="209"/>
    </row>
    <row r="4162" spans="1:9">
      <c r="A4162" s="195"/>
      <c r="B4162" s="195" t="s">
        <v>205</v>
      </c>
      <c r="C4162"/>
      <c r="D4162" s="197" t="s">
        <v>51</v>
      </c>
      <c r="E4162" s="197" t="s">
        <v>224</v>
      </c>
      <c r="F4162" s="197" t="s">
        <v>416</v>
      </c>
      <c r="G4162" s="197" t="s">
        <v>446</v>
      </c>
      <c r="H4162" s="197"/>
      <c r="I4162" s="209"/>
    </row>
    <row r="4163" spans="1:9">
      <c r="A4163" s="195"/>
      <c r="B4163" s="195" t="s">
        <v>206</v>
      </c>
      <c r="C4163"/>
      <c r="D4163" s="197" t="s">
        <v>51</v>
      </c>
      <c r="E4163" s="197" t="s">
        <v>224</v>
      </c>
      <c r="F4163" s="197" t="s">
        <v>416</v>
      </c>
      <c r="G4163" s="197" t="s">
        <v>446</v>
      </c>
      <c r="H4163" s="197"/>
      <c r="I4163" s="209"/>
    </row>
    <row r="4164" spans="1:9">
      <c r="A4164" s="195"/>
      <c r="B4164" s="195" t="s">
        <v>207</v>
      </c>
      <c r="C4164"/>
      <c r="D4164" s="197" t="s">
        <v>51</v>
      </c>
      <c r="E4164" s="197"/>
      <c r="F4164" s="197"/>
      <c r="G4164" s="197" t="s">
        <v>114</v>
      </c>
      <c r="H4164" s="197"/>
      <c r="I4164" s="209"/>
    </row>
    <row r="4165" spans="1:9">
      <c r="A4165" s="195"/>
      <c r="B4165" s="196" t="s">
        <v>219</v>
      </c>
      <c r="C4165"/>
      <c r="D4165" s="197"/>
      <c r="E4165" s="197"/>
      <c r="F4165" s="197"/>
      <c r="G4165" s="197" t="s">
        <v>114</v>
      </c>
      <c r="H4165" s="197"/>
      <c r="I4165" s="209"/>
    </row>
    <row r="4166" spans="1:9">
      <c r="A4166" s="195"/>
      <c r="B4166" s="195" t="s">
        <v>205</v>
      </c>
      <c r="C4166"/>
      <c r="D4166" s="197"/>
      <c r="E4166" s="197"/>
      <c r="F4166" s="197"/>
      <c r="G4166" s="197" t="s">
        <v>114</v>
      </c>
      <c r="H4166" s="197"/>
      <c r="I4166" s="209"/>
    </row>
    <row r="4167" spans="1:9">
      <c r="A4167" s="195"/>
      <c r="B4167" s="195" t="s">
        <v>206</v>
      </c>
      <c r="C4167"/>
      <c r="D4167" s="197"/>
      <c r="E4167" s="197"/>
      <c r="F4167" s="197"/>
      <c r="G4167" s="197"/>
      <c r="H4167" s="197"/>
      <c r="I4167" s="209"/>
    </row>
    <row r="4168" spans="1:9">
      <c r="A4168" s="195"/>
      <c r="B4168" s="195" t="s">
        <v>207</v>
      </c>
      <c r="C4168"/>
      <c r="D4168" s="197"/>
      <c r="E4168" s="197"/>
      <c r="F4168" s="197"/>
      <c r="G4168" s="197"/>
      <c r="H4168" s="197"/>
      <c r="I4168" s="209"/>
    </row>
    <row r="4169" spans="1:9">
      <c r="A4169" s="195"/>
      <c r="B4169" s="196" t="s">
        <v>220</v>
      </c>
      <c r="C4169"/>
      <c r="D4169" s="189"/>
      <c r="E4169" s="197"/>
      <c r="F4169" s="197"/>
      <c r="G4169" s="189"/>
      <c r="H4169" s="197"/>
      <c r="I4169" s="209"/>
    </row>
    <row r="4170" spans="1:9">
      <c r="A4170" s="195"/>
      <c r="B4170" s="195" t="s">
        <v>205</v>
      </c>
      <c r="C4170"/>
      <c r="D4170" s="197" t="s">
        <v>878</v>
      </c>
      <c r="E4170" s="197" t="s">
        <v>273</v>
      </c>
      <c r="F4170" s="197" t="s">
        <v>62</v>
      </c>
      <c r="G4170" s="197" t="s">
        <v>56</v>
      </c>
      <c r="H4170" s="197" t="s">
        <v>848</v>
      </c>
      <c r="I4170" s="209" t="s">
        <v>848</v>
      </c>
    </row>
    <row r="4171" spans="1:9">
      <c r="A4171" s="195"/>
      <c r="B4171" s="195" t="s">
        <v>206</v>
      </c>
      <c r="C4171"/>
      <c r="D4171" s="197" t="s">
        <v>878</v>
      </c>
      <c r="E4171" s="197" t="s">
        <v>273</v>
      </c>
      <c r="F4171" s="197" t="s">
        <v>62</v>
      </c>
      <c r="G4171" s="197" t="s">
        <v>56</v>
      </c>
      <c r="H4171" s="197" t="s">
        <v>848</v>
      </c>
      <c r="I4171" s="209" t="s">
        <v>848</v>
      </c>
    </row>
    <row r="4172" spans="1:9">
      <c r="A4172" s="195"/>
      <c r="B4172" s="195" t="s">
        <v>207</v>
      </c>
      <c r="C4172"/>
      <c r="D4172" s="197" t="s">
        <v>878</v>
      </c>
      <c r="E4172" s="197" t="s">
        <v>273</v>
      </c>
      <c r="F4172" s="197" t="s">
        <v>62</v>
      </c>
      <c r="G4172" s="197" t="s">
        <v>56</v>
      </c>
      <c r="H4172" s="197" t="s">
        <v>848</v>
      </c>
      <c r="I4172" s="209" t="s">
        <v>848</v>
      </c>
    </row>
    <row r="4173" spans="1:9">
      <c r="A4173" s="195"/>
      <c r="B4173" s="196" t="s">
        <v>222</v>
      </c>
      <c r="C4173"/>
      <c r="D4173" s="197" t="s">
        <v>523</v>
      </c>
      <c r="E4173" s="197" t="s">
        <v>273</v>
      </c>
      <c r="F4173" s="197" t="s">
        <v>62</v>
      </c>
      <c r="G4173" s="197"/>
      <c r="H4173" s="197" t="s">
        <v>848</v>
      </c>
      <c r="I4173" s="209" t="s">
        <v>848</v>
      </c>
    </row>
    <row r="4174" spans="1:9">
      <c r="A4174" s="195"/>
      <c r="B4174" s="195" t="s">
        <v>205</v>
      </c>
      <c r="C4174"/>
      <c r="D4174" s="197" t="s">
        <v>523</v>
      </c>
      <c r="E4174" s="197" t="s">
        <v>273</v>
      </c>
      <c r="F4174" s="197" t="s">
        <v>62</v>
      </c>
      <c r="G4174" s="197" t="s">
        <v>270</v>
      </c>
      <c r="H4174" s="197" t="s">
        <v>848</v>
      </c>
      <c r="I4174" s="209" t="s">
        <v>848</v>
      </c>
    </row>
    <row r="4175" spans="1:9">
      <c r="A4175" s="195"/>
      <c r="B4175" s="195" t="s">
        <v>206</v>
      </c>
      <c r="C4175"/>
      <c r="D4175" s="197" t="s">
        <v>759</v>
      </c>
      <c r="E4175" s="197" t="s">
        <v>186</v>
      </c>
      <c r="F4175" s="197" t="s">
        <v>62</v>
      </c>
      <c r="G4175" s="197" t="s">
        <v>270</v>
      </c>
      <c r="H4175" s="197" t="s">
        <v>848</v>
      </c>
      <c r="I4175" s="209" t="s">
        <v>848</v>
      </c>
    </row>
    <row r="4176" spans="1:9">
      <c r="A4176" s="195"/>
      <c r="B4176" s="195" t="s">
        <v>207</v>
      </c>
      <c r="C4176"/>
      <c r="D4176" s="197" t="s">
        <v>759</v>
      </c>
      <c r="E4176" s="197" t="s">
        <v>186</v>
      </c>
      <c r="F4176" s="197" t="s">
        <v>62</v>
      </c>
      <c r="G4176" s="197" t="s">
        <v>270</v>
      </c>
      <c r="H4176" s="197" t="s">
        <v>229</v>
      </c>
      <c r="I4176" s="209" t="s">
        <v>229</v>
      </c>
    </row>
    <row r="4177" spans="1:12">
      <c r="A4177" s="195"/>
      <c r="B4177" s="196" t="s">
        <v>223</v>
      </c>
      <c r="C4177"/>
      <c r="D4177" s="197" t="s">
        <v>366</v>
      </c>
      <c r="E4177" s="197" t="s">
        <v>252</v>
      </c>
      <c r="F4177" s="197" t="s">
        <v>62</v>
      </c>
      <c r="G4177" s="197" t="s">
        <v>270</v>
      </c>
      <c r="H4177" s="197" t="s">
        <v>229</v>
      </c>
      <c r="I4177" s="209" t="s">
        <v>229</v>
      </c>
    </row>
    <row r="4178" spans="1:12">
      <c r="A4178" s="195"/>
      <c r="B4178" s="195" t="s">
        <v>205</v>
      </c>
      <c r="C4178"/>
      <c r="D4178" s="197" t="s">
        <v>366</v>
      </c>
      <c r="E4178" s="197" t="s">
        <v>252</v>
      </c>
      <c r="F4178" s="197" t="s">
        <v>62</v>
      </c>
      <c r="G4178" s="197" t="s">
        <v>270</v>
      </c>
      <c r="H4178" s="197" t="s">
        <v>230</v>
      </c>
      <c r="I4178" s="209" t="s">
        <v>230</v>
      </c>
    </row>
    <row r="4179" spans="1:12">
      <c r="A4179" s="195"/>
      <c r="B4179" s="195" t="s">
        <v>206</v>
      </c>
      <c r="C4179"/>
      <c r="D4179" s="197" t="s">
        <v>366</v>
      </c>
      <c r="E4179" s="197" t="s">
        <v>252</v>
      </c>
      <c r="F4179" s="197" t="s">
        <v>62</v>
      </c>
      <c r="G4179" s="197" t="s">
        <v>270</v>
      </c>
      <c r="H4179" s="197" t="s">
        <v>230</v>
      </c>
      <c r="I4179" s="209" t="s">
        <v>230</v>
      </c>
    </row>
    <row r="4180" spans="1:12">
      <c r="A4180" s="195"/>
      <c r="B4180" s="195" t="s">
        <v>207</v>
      </c>
      <c r="C4180"/>
      <c r="D4180" s="197" t="s">
        <v>216</v>
      </c>
      <c r="E4180" s="197" t="s">
        <v>252</v>
      </c>
      <c r="F4180" s="197" t="s">
        <v>62</v>
      </c>
      <c r="G4180" s="197" t="s">
        <v>270</v>
      </c>
      <c r="H4180" s="197" t="s">
        <v>230</v>
      </c>
      <c r="I4180" s="209" t="s">
        <v>230</v>
      </c>
    </row>
    <row r="4181" spans="1:12">
      <c r="A4181" s="195"/>
      <c r="B4181" s="196" t="s">
        <v>225</v>
      </c>
      <c r="C4181"/>
      <c r="D4181" s="197" t="s">
        <v>216</v>
      </c>
      <c r="E4181" s="197" t="s">
        <v>252</v>
      </c>
      <c r="F4181" s="197" t="s">
        <v>62</v>
      </c>
      <c r="G4181" s="197" t="s">
        <v>270</v>
      </c>
      <c r="H4181" s="197" t="s">
        <v>230</v>
      </c>
      <c r="I4181" s="209" t="s">
        <v>230</v>
      </c>
    </row>
    <row r="4182" spans="1:12">
      <c r="A4182" s="195"/>
      <c r="B4182" s="195" t="s">
        <v>205</v>
      </c>
      <c r="C4182"/>
      <c r="D4182" s="197" t="s">
        <v>216</v>
      </c>
      <c r="E4182" s="197" t="s">
        <v>252</v>
      </c>
      <c r="F4182" s="197" t="s">
        <v>62</v>
      </c>
      <c r="G4182" s="197" t="s">
        <v>270</v>
      </c>
      <c r="H4182" s="197" t="s">
        <v>230</v>
      </c>
      <c r="I4182" s="209" t="s">
        <v>230</v>
      </c>
    </row>
    <row r="4183" spans="1:12">
      <c r="A4183" s="195"/>
      <c r="B4183" s="195" t="s">
        <v>206</v>
      </c>
      <c r="C4183"/>
      <c r="D4183" s="197" t="s">
        <v>216</v>
      </c>
      <c r="E4183" s="197" t="s">
        <v>252</v>
      </c>
      <c r="F4183" s="197" t="s">
        <v>62</v>
      </c>
      <c r="G4183" s="197" t="s">
        <v>270</v>
      </c>
      <c r="H4183" s="197" t="s">
        <v>230</v>
      </c>
      <c r="I4183" s="209" t="s">
        <v>230</v>
      </c>
    </row>
    <row r="4184" spans="1:12">
      <c r="A4184" s="195"/>
      <c r="B4184" s="195" t="s">
        <v>207</v>
      </c>
      <c r="C4184"/>
      <c r="D4184" s="197"/>
      <c r="E4184" s="197"/>
      <c r="F4184" s="197"/>
      <c r="G4184" s="197"/>
      <c r="H4184" s="209"/>
      <c r="I4184" s="209"/>
    </row>
    <row r="4185" spans="1:12">
      <c r="A4185" s="195"/>
      <c r="B4185" s="196" t="s">
        <v>226</v>
      </c>
      <c r="C4185"/>
      <c r="D4185" s="197"/>
      <c r="E4185" s="197"/>
      <c r="F4185" s="197"/>
      <c r="G4185" s="197"/>
      <c r="H4185" s="209"/>
      <c r="I4185" s="209"/>
    </row>
    <row r="4186" spans="1:12">
      <c r="A4186" s="195"/>
      <c r="B4186" s="195" t="s">
        <v>205</v>
      </c>
      <c r="C4186"/>
      <c r="D4186" s="197"/>
      <c r="E4186" s="197"/>
      <c r="F4186" s="197"/>
      <c r="G4186" s="197"/>
      <c r="H4186" s="209"/>
      <c r="I4186" s="209"/>
    </row>
    <row r="4187" spans="1:12">
      <c r="A4187" s="195"/>
      <c r="B4187" s="195" t="s">
        <v>206</v>
      </c>
      <c r="C4187"/>
      <c r="D4187" s="197"/>
      <c r="E4187" s="197"/>
      <c r="F4187" s="197"/>
      <c r="G4187" s="197"/>
      <c r="H4187" s="209"/>
      <c r="I4187" s="209"/>
    </row>
    <row r="4188" spans="1:12">
      <c r="A4188" s="195"/>
      <c r="B4188" s="195" t="s">
        <v>207</v>
      </c>
      <c r="C4188"/>
      <c r="D4188" s="197"/>
      <c r="E4188" s="197"/>
      <c r="F4188" s="197"/>
      <c r="G4188" s="197"/>
      <c r="H4188" s="209"/>
      <c r="I4188" s="209"/>
    </row>
    <row r="4189" spans="1:12">
      <c r="A4189" s="195"/>
      <c r="B4189" s="196" t="s">
        <v>227</v>
      </c>
      <c r="C4189"/>
      <c r="D4189" s="197"/>
      <c r="E4189" s="197"/>
      <c r="F4189" s="197"/>
      <c r="G4189" s="197"/>
      <c r="H4189" s="209"/>
      <c r="I4189" s="209"/>
      <c r="K4189"/>
    </row>
    <row r="4190" spans="1:12" ht="29.25" thickBot="1">
      <c r="A4190" s="182" t="str">
        <f>"回収シフト  第"&amp;ROUNDUP(DAY(B4193)/7,0)  &amp;"  "&amp;TEXT(B4193,"aaaa")</f>
        <v>回収シフト  第1  木曜日</v>
      </c>
      <c r="B4190" s="183"/>
      <c r="C4190" s="183"/>
      <c r="D4190" s="183"/>
      <c r="E4190" s="183"/>
      <c r="F4190" s="183"/>
      <c r="G4190" s="184"/>
      <c r="H4190" s="184"/>
      <c r="I4190" s="184"/>
      <c r="K4190" s="183"/>
      <c r="L4190" s="183"/>
    </row>
    <row r="4191" spans="1:12" ht="15.75" thickBot="1">
      <c r="A4191"/>
      <c r="B4191"/>
      <c r="C4191"/>
      <c r="D4191" s="186" t="s">
        <v>201</v>
      </c>
      <c r="E4191" s="186" t="s">
        <v>202</v>
      </c>
      <c r="F4191" s="186" t="s">
        <v>203</v>
      </c>
      <c r="G4191" s="186" t="s">
        <v>204</v>
      </c>
      <c r="H4191" s="186" t="s">
        <v>267</v>
      </c>
      <c r="I4191" s="217" t="s">
        <v>267</v>
      </c>
      <c r="K4191" s="230" t="s">
        <v>257</v>
      </c>
      <c r="L4191" s="231"/>
    </row>
    <row r="4192" spans="1:12">
      <c r="A4192" s="187"/>
      <c r="B4192" s="188">
        <v>46119</v>
      </c>
      <c r="C4192" s="187"/>
      <c r="D4192" s="189" t="s">
        <v>874</v>
      </c>
      <c r="E4192" s="189" t="s">
        <v>937</v>
      </c>
      <c r="F4192" s="189" t="s">
        <v>850</v>
      </c>
      <c r="G4192" s="189" t="s">
        <v>864</v>
      </c>
      <c r="H4192" s="189" t="s">
        <v>852</v>
      </c>
      <c r="I4192" s="218" t="s">
        <v>852</v>
      </c>
      <c r="K4192" s="232" t="s">
        <v>258</v>
      </c>
      <c r="L4192" s="190" t="str">
        <f>_xlfn.XLOOKUP($B4193,シフト抽出!$19:$19,シフト抽出!$20:$20,"該当なし",0,1)</f>
        <v>該当なし</v>
      </c>
    </row>
    <row r="4193" spans="1:12" ht="19.5" thickBot="1">
      <c r="A4193"/>
      <c r="B4193" s="191">
        <f>B4140+1</f>
        <v>46205</v>
      </c>
      <c r="C4193" s="192"/>
      <c r="D4193" s="193"/>
      <c r="E4193" s="193"/>
      <c r="F4193" s="193"/>
      <c r="G4193" s="193"/>
      <c r="H4193" s="193"/>
      <c r="I4193" s="219"/>
      <c r="K4193" s="233"/>
      <c r="L4193" s="194" t="str">
        <f>_xlfn.XLOOKUP($B4193,シフト抽出!$19:$19,シフト抽出!$21:$21,"該当なし",0,1)</f>
        <v>該当なし</v>
      </c>
    </row>
    <row r="4194" spans="1:12">
      <c r="A4194" s="195"/>
      <c r="B4194" s="196">
        <v>0.25</v>
      </c>
      <c r="C4194"/>
      <c r="D4194" s="197"/>
      <c r="E4194" s="196"/>
      <c r="F4194" s="197"/>
      <c r="G4194" s="197"/>
      <c r="H4194" s="197"/>
      <c r="I4194" s="209"/>
      <c r="K4194" s="234" t="s">
        <v>259</v>
      </c>
      <c r="L4194" s="198" t="str">
        <f>_xlfn.XLOOKUP($B4193,シフト抽出!$19:$19,シフト抽出!$23:$23,"該当なし",0,1)</f>
        <v>該当なし</v>
      </c>
    </row>
    <row r="4195" spans="1:12" ht="15.75" thickBot="1">
      <c r="A4195" s="195"/>
      <c r="B4195" s="195" t="s">
        <v>205</v>
      </c>
      <c r="C4195"/>
      <c r="D4195" s="197"/>
      <c r="E4195" s="197"/>
      <c r="F4195" s="197"/>
      <c r="G4195" s="197"/>
      <c r="H4195" s="197"/>
      <c r="I4195" s="209"/>
      <c r="K4195" s="235"/>
      <c r="L4195" s="199" t="str">
        <f>_xlfn.XLOOKUP($B4193,シフト抽出!$19:$19,シフト抽出!$24:$24,"該当なし",0,1)</f>
        <v>該当なし</v>
      </c>
    </row>
    <row r="4196" spans="1:12">
      <c r="A4196" s="195"/>
      <c r="B4196" s="195" t="s">
        <v>206</v>
      </c>
      <c r="C4196"/>
      <c r="D4196" s="197"/>
      <c r="E4196" s="197"/>
      <c r="F4196" s="197"/>
      <c r="G4196" s="197"/>
      <c r="H4196" s="197"/>
      <c r="I4196" s="209"/>
      <c r="K4196" s="224" t="s">
        <v>260</v>
      </c>
      <c r="L4196" s="200" t="str">
        <f>_xlfn.XLOOKUP($B4193,シフト抽出!$19:$19,シフト抽出!$26:$26,"該当なし",0,1)</f>
        <v>該当なし</v>
      </c>
    </row>
    <row r="4197" spans="1:12">
      <c r="A4197" s="195"/>
      <c r="B4197" s="195" t="s">
        <v>207</v>
      </c>
      <c r="C4197"/>
      <c r="D4197" s="197"/>
      <c r="E4197" s="197"/>
      <c r="F4197" s="197"/>
      <c r="G4197" s="197"/>
      <c r="H4197" s="197"/>
      <c r="I4197" s="209"/>
      <c r="K4197" s="225"/>
      <c r="L4197" s="201" t="str">
        <f>_xlfn.XLOOKUP($B4193,シフト抽出!$19:$19,シフト抽出!$27:$27,"該当なし",0,1)</f>
        <v>該当なし</v>
      </c>
    </row>
    <row r="4198" spans="1:12">
      <c r="A4198" s="195"/>
      <c r="B4198" s="202" t="s">
        <v>208</v>
      </c>
      <c r="C4198"/>
      <c r="D4198" s="197" t="s">
        <v>4</v>
      </c>
      <c r="E4198" s="197" t="s">
        <v>4</v>
      </c>
      <c r="F4198" s="197" t="s">
        <v>4</v>
      </c>
      <c r="G4198" s="197" t="s">
        <v>4</v>
      </c>
      <c r="H4198" s="197"/>
      <c r="I4198" s="209"/>
      <c r="J4198" s="203"/>
      <c r="K4198" s="225"/>
      <c r="L4198" s="201" t="str">
        <f>_xlfn.XLOOKUP($B4193,シフト抽出!$19:$19,シフト抽出!$28:$28,"該当なし",0,1)</f>
        <v>該当なし</v>
      </c>
    </row>
    <row r="4199" spans="1:12" ht="15.75" thickBot="1">
      <c r="A4199" s="195"/>
      <c r="B4199" s="195" t="s">
        <v>205</v>
      </c>
      <c r="C4199"/>
      <c r="D4199" s="197" t="s">
        <v>851</v>
      </c>
      <c r="E4199" s="197" t="s">
        <v>421</v>
      </c>
      <c r="F4199" s="197" t="s">
        <v>414</v>
      </c>
      <c r="G4199" s="197" t="s">
        <v>22</v>
      </c>
      <c r="H4199" s="197"/>
      <c r="I4199" s="209"/>
      <c r="J4199" s="203"/>
      <c r="K4199" s="226"/>
      <c r="L4199" s="204" t="str">
        <f>_xlfn.XLOOKUP($B4193,シフト抽出!$19:$19,シフト抽出!$29:$29,"該当なし",0,1)</f>
        <v>該当なし</v>
      </c>
    </row>
    <row r="4200" spans="1:12" ht="15.75" thickBot="1">
      <c r="A4200" s="195"/>
      <c r="B4200" s="195" t="s">
        <v>206</v>
      </c>
      <c r="C4200"/>
      <c r="D4200" s="197" t="s">
        <v>851</v>
      </c>
      <c r="E4200" s="197" t="s">
        <v>421</v>
      </c>
      <c r="F4200" s="197" t="s">
        <v>414</v>
      </c>
      <c r="G4200" s="197" t="s">
        <v>22</v>
      </c>
      <c r="H4200" s="197"/>
      <c r="I4200" s="209"/>
      <c r="K4200" s="205" t="s">
        <v>261</v>
      </c>
      <c r="L4200" s="205">
        <f>_xlfn.XLOOKUP($B4193,予定表!B:B,予定表!R:R,"該当なし",0,1)</f>
        <v>0</v>
      </c>
    </row>
    <row r="4201" spans="1:12">
      <c r="A4201" s="195"/>
      <c r="B4201" s="195" t="s">
        <v>207</v>
      </c>
      <c r="C4201"/>
      <c r="D4201" s="197" t="s">
        <v>851</v>
      </c>
      <c r="E4201" s="197" t="s">
        <v>421</v>
      </c>
      <c r="F4201" s="197" t="s">
        <v>414</v>
      </c>
      <c r="G4201" s="197" t="s">
        <v>22</v>
      </c>
      <c r="H4201" s="197"/>
      <c r="I4201" s="209"/>
      <c r="K4201" s="227" t="s">
        <v>262</v>
      </c>
      <c r="L4201" s="206">
        <f>_xlfn.XLOOKUP($B4193,予定表!$B:$B,予定表!E:E,"該当なし",0,1)</f>
        <v>0</v>
      </c>
    </row>
    <row r="4202" spans="1:12">
      <c r="A4202" s="195"/>
      <c r="B4202" s="196" t="s">
        <v>209</v>
      </c>
      <c r="C4202"/>
      <c r="D4202" s="197" t="s">
        <v>851</v>
      </c>
      <c r="E4202" s="197" t="s">
        <v>421</v>
      </c>
      <c r="F4202" s="197" t="s">
        <v>414</v>
      </c>
      <c r="G4202" s="197" t="s">
        <v>268</v>
      </c>
      <c r="H4202" s="197" t="s">
        <v>4</v>
      </c>
      <c r="I4202" s="209" t="s">
        <v>4</v>
      </c>
      <c r="K4202" s="228"/>
      <c r="L4202" s="207">
        <f>_xlfn.XLOOKUP($B4193,予定表!$B:$B,予定表!F:F,"該当なし",0,1)</f>
        <v>0</v>
      </c>
    </row>
    <row r="4203" spans="1:12">
      <c r="A4203" s="195"/>
      <c r="B4203" s="195" t="s">
        <v>205</v>
      </c>
      <c r="C4203"/>
      <c r="D4203" s="197" t="s">
        <v>851</v>
      </c>
      <c r="E4203" s="197" t="s">
        <v>421</v>
      </c>
      <c r="F4203" s="197" t="s">
        <v>414</v>
      </c>
      <c r="G4203" s="197" t="s">
        <v>268</v>
      </c>
      <c r="H4203" s="197" t="s">
        <v>60</v>
      </c>
      <c r="I4203" s="209" t="s">
        <v>60</v>
      </c>
      <c r="K4203" s="228"/>
      <c r="L4203" s="207">
        <f>_xlfn.XLOOKUP($B4193,予定表!$B:$B,予定表!G:G,"該当なし",0,1)</f>
        <v>0</v>
      </c>
    </row>
    <row r="4204" spans="1:12">
      <c r="A4204" s="195"/>
      <c r="B4204" s="195" t="s">
        <v>206</v>
      </c>
      <c r="C4204"/>
      <c r="D4204" s="197"/>
      <c r="E4204" s="197" t="s">
        <v>273</v>
      </c>
      <c r="F4204" s="197" t="s">
        <v>214</v>
      </c>
      <c r="G4204" s="197" t="s">
        <v>268</v>
      </c>
      <c r="H4204" s="197" t="s">
        <v>60</v>
      </c>
      <c r="I4204" s="209" t="s">
        <v>60</v>
      </c>
      <c r="K4204" s="228"/>
      <c r="L4204" s="207">
        <f>_xlfn.XLOOKUP($B4193,予定表!$B:$B,予定表!H:H,"該当なし",0,1)</f>
        <v>0</v>
      </c>
    </row>
    <row r="4205" spans="1:12">
      <c r="A4205" s="195"/>
      <c r="B4205" s="195" t="s">
        <v>207</v>
      </c>
      <c r="C4205"/>
      <c r="D4205" s="197" t="s">
        <v>228</v>
      </c>
      <c r="E4205" s="197" t="s">
        <v>273</v>
      </c>
      <c r="F4205" s="197" t="s">
        <v>214</v>
      </c>
      <c r="G4205" s="197" t="s">
        <v>268</v>
      </c>
      <c r="H4205" s="197" t="s">
        <v>60</v>
      </c>
      <c r="I4205" s="209" t="s">
        <v>60</v>
      </c>
      <c r="K4205" s="228"/>
      <c r="L4205" s="207" t="str">
        <f>_xlfn.XLOOKUP($B4193,予定表!$B:$B,予定表!I:I,"該当なし",0,1)</f>
        <v/>
      </c>
    </row>
    <row r="4206" spans="1:12">
      <c r="A4206" s="195"/>
      <c r="B4206" s="196" t="s">
        <v>212</v>
      </c>
      <c r="C4206"/>
      <c r="D4206" s="197" t="s">
        <v>228</v>
      </c>
      <c r="E4206" s="197" t="s">
        <v>930</v>
      </c>
      <c r="F4206" s="197" t="s">
        <v>214</v>
      </c>
      <c r="G4206" s="197" t="s">
        <v>268</v>
      </c>
      <c r="H4206" s="197"/>
      <c r="I4206" s="209"/>
      <c r="K4206" s="228"/>
      <c r="L4206" s="207" t="str">
        <f>_xlfn.XLOOKUP($B4193,予定表!$B:$B,予定表!J:J,"該当なし",0,1)</f>
        <v/>
      </c>
    </row>
    <row r="4207" spans="1:12">
      <c r="A4207" s="195"/>
      <c r="B4207" s="195" t="s">
        <v>205</v>
      </c>
      <c r="C4207"/>
      <c r="D4207" s="197" t="s">
        <v>228</v>
      </c>
      <c r="E4207" s="197" t="s">
        <v>252</v>
      </c>
      <c r="F4207" s="197" t="s">
        <v>214</v>
      </c>
      <c r="G4207" s="197" t="s">
        <v>268</v>
      </c>
      <c r="H4207" s="197" t="s">
        <v>230</v>
      </c>
      <c r="I4207" s="209" t="s">
        <v>230</v>
      </c>
      <c r="K4207" s="228"/>
      <c r="L4207" s="207" t="str">
        <f>_xlfn.XLOOKUP($B4193,予定表!$B:$B,予定表!K:K,"該当なし",0,1)</f>
        <v/>
      </c>
    </row>
    <row r="4208" spans="1:12">
      <c r="A4208" s="195"/>
      <c r="B4208" s="195" t="s">
        <v>206</v>
      </c>
      <c r="C4208"/>
      <c r="D4208" s="197" t="s">
        <v>228</v>
      </c>
      <c r="E4208" s="197" t="s">
        <v>252</v>
      </c>
      <c r="F4208" s="197" t="s">
        <v>214</v>
      </c>
      <c r="G4208" s="197" t="s">
        <v>268</v>
      </c>
      <c r="H4208" s="197" t="s">
        <v>230</v>
      </c>
      <c r="I4208" s="209" t="s">
        <v>230</v>
      </c>
      <c r="K4208" s="228"/>
      <c r="L4208" s="207" t="str">
        <f>_xlfn.XLOOKUP($B4193,予定表!$B:$B,予定表!L:L,"該当なし",0,1)</f>
        <v/>
      </c>
    </row>
    <row r="4209" spans="1:12" ht="15.75" thickBot="1">
      <c r="A4209" s="195"/>
      <c r="B4209" s="195" t="s">
        <v>207</v>
      </c>
      <c r="C4209"/>
      <c r="D4209" s="197" t="s">
        <v>228</v>
      </c>
      <c r="E4209" s="197" t="s">
        <v>252</v>
      </c>
      <c r="F4209" s="197" t="s">
        <v>761</v>
      </c>
      <c r="G4209" s="197" t="s">
        <v>268</v>
      </c>
      <c r="H4209" s="197" t="s">
        <v>230</v>
      </c>
      <c r="I4209" s="209" t="s">
        <v>230</v>
      </c>
      <c r="K4209" s="229"/>
      <c r="L4209" s="204" t="str">
        <f>_xlfn.XLOOKUP($A4190,ﾘｽﾄマスタ!$U$8:$U$17,ﾘｽﾄマスタ!$V$8:$V$17,"",0)</f>
        <v/>
      </c>
    </row>
    <row r="4210" spans="1:12" ht="15.75" thickBot="1">
      <c r="A4210" s="195"/>
      <c r="B4210" s="196" t="s">
        <v>251</v>
      </c>
      <c r="C4210"/>
      <c r="D4210" s="197" t="s">
        <v>228</v>
      </c>
      <c r="E4210" s="197" t="s">
        <v>252</v>
      </c>
      <c r="F4210" s="197" t="s">
        <v>761</v>
      </c>
      <c r="G4210" s="197" t="s">
        <v>268</v>
      </c>
      <c r="H4210" s="197" t="s">
        <v>229</v>
      </c>
      <c r="I4210" s="209" t="s">
        <v>229</v>
      </c>
      <c r="K4210" s="208" t="s">
        <v>277</v>
      </c>
      <c r="L4210" s="208" t="str">
        <f>_xlfn.XLOOKUP($B4193,シフト抽出!$19:$19,シフト抽出!$30:$30,"該当なし",0,1)</f>
        <v>該当なし</v>
      </c>
    </row>
    <row r="4211" spans="1:12">
      <c r="A4211" s="195"/>
      <c r="B4211" s="195" t="s">
        <v>205</v>
      </c>
      <c r="C4211"/>
      <c r="D4211" s="197" t="s">
        <v>228</v>
      </c>
      <c r="E4211" s="197" t="s">
        <v>252</v>
      </c>
      <c r="F4211" s="197" t="s">
        <v>761</v>
      </c>
      <c r="G4211" s="197" t="s">
        <v>169</v>
      </c>
      <c r="H4211" s="197" t="s">
        <v>229</v>
      </c>
      <c r="I4211" s="209" t="s">
        <v>229</v>
      </c>
    </row>
    <row r="4212" spans="1:12">
      <c r="A4212" s="195"/>
      <c r="B4212" s="195" t="s">
        <v>206</v>
      </c>
      <c r="C4212"/>
      <c r="D4212" s="197" t="s">
        <v>228</v>
      </c>
      <c r="E4212" s="197" t="s">
        <v>263</v>
      </c>
      <c r="F4212" s="197"/>
      <c r="G4212" s="197" t="s">
        <v>169</v>
      </c>
      <c r="H4212" s="197" t="s">
        <v>848</v>
      </c>
      <c r="I4212" s="209" t="s">
        <v>848</v>
      </c>
    </row>
    <row r="4213" spans="1:12">
      <c r="A4213" s="195"/>
      <c r="B4213" s="195" t="s">
        <v>207</v>
      </c>
      <c r="C4213"/>
      <c r="D4213" s="197" t="s">
        <v>228</v>
      </c>
      <c r="E4213" s="197" t="s">
        <v>263</v>
      </c>
      <c r="F4213" s="197" t="s">
        <v>51</v>
      </c>
      <c r="G4213" s="197" t="s">
        <v>169</v>
      </c>
      <c r="H4213" s="197" t="s">
        <v>848</v>
      </c>
      <c r="I4213" s="209" t="s">
        <v>848</v>
      </c>
    </row>
    <row r="4214" spans="1:12">
      <c r="A4214" s="195"/>
      <c r="B4214" s="196" t="s">
        <v>217</v>
      </c>
      <c r="C4214"/>
      <c r="D4214" s="197" t="s">
        <v>228</v>
      </c>
      <c r="E4214" s="197" t="s">
        <v>263</v>
      </c>
      <c r="F4214" s="197" t="s">
        <v>51</v>
      </c>
      <c r="G4214" s="197" t="s">
        <v>169</v>
      </c>
      <c r="H4214" s="197" t="s">
        <v>848</v>
      </c>
      <c r="I4214" s="209" t="s">
        <v>848</v>
      </c>
    </row>
    <row r="4215" spans="1:12">
      <c r="A4215" s="195"/>
      <c r="B4215" s="195" t="s">
        <v>205</v>
      </c>
      <c r="C4215"/>
      <c r="D4215" s="197" t="s">
        <v>228</v>
      </c>
      <c r="E4215" s="197" t="s">
        <v>848</v>
      </c>
      <c r="F4215" s="197" t="s">
        <v>51</v>
      </c>
      <c r="G4215" s="197" t="s">
        <v>169</v>
      </c>
      <c r="H4215" s="197" t="s">
        <v>848</v>
      </c>
      <c r="I4215" s="209" t="s">
        <v>848</v>
      </c>
    </row>
    <row r="4216" spans="1:12">
      <c r="A4216" s="195"/>
      <c r="B4216" s="195" t="s">
        <v>206</v>
      </c>
      <c r="C4216"/>
      <c r="D4216" s="197" t="s">
        <v>228</v>
      </c>
      <c r="E4216" s="197" t="s">
        <v>848</v>
      </c>
      <c r="F4216" s="197" t="s">
        <v>51</v>
      </c>
      <c r="G4216" s="197" t="s">
        <v>278</v>
      </c>
      <c r="H4216" s="197" t="s">
        <v>848</v>
      </c>
      <c r="I4216" s="209" t="s">
        <v>848</v>
      </c>
    </row>
    <row r="4217" spans="1:12">
      <c r="A4217" s="195"/>
      <c r="B4217" s="195" t="s">
        <v>207</v>
      </c>
      <c r="C4217"/>
      <c r="D4217" s="197" t="s">
        <v>228</v>
      </c>
      <c r="E4217" s="197" t="s">
        <v>848</v>
      </c>
      <c r="F4217" s="197" t="s">
        <v>51</v>
      </c>
      <c r="G4217" s="197" t="s">
        <v>278</v>
      </c>
      <c r="H4217" s="197" t="s">
        <v>848</v>
      </c>
      <c r="I4217" s="209" t="s">
        <v>848</v>
      </c>
    </row>
    <row r="4218" spans="1:12">
      <c r="A4218" s="195"/>
      <c r="B4218" s="196" t="s">
        <v>219</v>
      </c>
      <c r="C4218"/>
      <c r="D4218" s="197"/>
      <c r="E4218" s="197" t="s">
        <v>848</v>
      </c>
      <c r="F4218" s="197"/>
      <c r="G4218" s="197"/>
      <c r="H4218" s="197"/>
      <c r="I4218" s="209"/>
    </row>
    <row r="4219" spans="1:12">
      <c r="A4219" s="195"/>
      <c r="B4219" s="195" t="s">
        <v>205</v>
      </c>
      <c r="C4219"/>
      <c r="D4219" s="197"/>
      <c r="E4219" s="197" t="s">
        <v>848</v>
      </c>
      <c r="F4219" s="197"/>
      <c r="G4219" s="197"/>
      <c r="H4219" s="197"/>
      <c r="I4219" s="209"/>
      <c r="L4219" s="185" t="s">
        <v>414</v>
      </c>
    </row>
    <row r="4220" spans="1:12">
      <c r="A4220" s="195"/>
      <c r="B4220" s="195" t="s">
        <v>206</v>
      </c>
      <c r="C4220"/>
      <c r="D4220" s="197"/>
      <c r="E4220" s="197"/>
      <c r="F4220" s="197"/>
      <c r="G4220" s="197"/>
      <c r="H4220" s="197"/>
      <c r="I4220" s="209"/>
      <c r="L4220" s="185" t="s">
        <v>414</v>
      </c>
    </row>
    <row r="4221" spans="1:12">
      <c r="A4221" s="195"/>
      <c r="B4221" s="195" t="s">
        <v>207</v>
      </c>
      <c r="C4221"/>
      <c r="D4221" s="197"/>
      <c r="E4221" s="197"/>
      <c r="F4221" s="197"/>
      <c r="G4221" s="197"/>
      <c r="H4221" s="197"/>
      <c r="I4221" s="209"/>
      <c r="L4221" s="185" t="s">
        <v>414</v>
      </c>
    </row>
    <row r="4222" spans="1:12">
      <c r="A4222" s="195"/>
      <c r="B4222" s="196" t="s">
        <v>220</v>
      </c>
      <c r="C4222"/>
      <c r="D4222" s="197"/>
      <c r="E4222" s="197"/>
      <c r="F4222" s="197"/>
      <c r="G4222" s="197"/>
      <c r="H4222" s="197"/>
      <c r="I4222" s="209"/>
      <c r="L4222" s="185" t="s">
        <v>214</v>
      </c>
    </row>
    <row r="4223" spans="1:12">
      <c r="A4223" s="195"/>
      <c r="B4223" s="195" t="s">
        <v>205</v>
      </c>
      <c r="C4223"/>
      <c r="D4223" s="197" t="s">
        <v>114</v>
      </c>
      <c r="E4223" s="197" t="s">
        <v>95</v>
      </c>
      <c r="F4223" s="197" t="s">
        <v>252</v>
      </c>
      <c r="G4223" s="197" t="s">
        <v>56</v>
      </c>
      <c r="H4223" s="197" t="s">
        <v>415</v>
      </c>
      <c r="I4223" s="209" t="s">
        <v>415</v>
      </c>
      <c r="L4223" s="185" t="s">
        <v>214</v>
      </c>
    </row>
    <row r="4224" spans="1:12">
      <c r="A4224" s="195"/>
      <c r="B4224" s="195" t="s">
        <v>206</v>
      </c>
      <c r="C4224"/>
      <c r="D4224" s="197" t="s">
        <v>129</v>
      </c>
      <c r="E4224" s="197" t="s">
        <v>95</v>
      </c>
      <c r="F4224" s="197" t="s">
        <v>252</v>
      </c>
      <c r="G4224" s="197" t="s">
        <v>56</v>
      </c>
      <c r="H4224" s="197" t="s">
        <v>415</v>
      </c>
      <c r="I4224" s="209" t="s">
        <v>415</v>
      </c>
      <c r="L4224" s="185" t="s">
        <v>214</v>
      </c>
    </row>
    <row r="4225" spans="1:12">
      <c r="A4225" s="195"/>
      <c r="B4225" s="195" t="s">
        <v>207</v>
      </c>
      <c r="C4225"/>
      <c r="D4225" s="197" t="s">
        <v>129</v>
      </c>
      <c r="E4225" s="197" t="s">
        <v>95</v>
      </c>
      <c r="F4225" s="197" t="s">
        <v>252</v>
      </c>
      <c r="G4225" s="197" t="s">
        <v>56</v>
      </c>
      <c r="H4225" s="197" t="s">
        <v>415</v>
      </c>
      <c r="I4225" s="209" t="s">
        <v>415</v>
      </c>
      <c r="L4225" s="185" t="s">
        <v>761</v>
      </c>
    </row>
    <row r="4226" spans="1:12">
      <c r="A4226" s="195"/>
      <c r="B4226" s="196" t="s">
        <v>222</v>
      </c>
      <c r="C4226"/>
      <c r="D4226" s="197" t="s">
        <v>129</v>
      </c>
      <c r="E4226" s="197" t="s">
        <v>95</v>
      </c>
      <c r="F4226" s="197" t="s">
        <v>252</v>
      </c>
      <c r="G4226" s="197" t="s">
        <v>56</v>
      </c>
      <c r="H4226" s="197" t="s">
        <v>415</v>
      </c>
      <c r="I4226" s="209" t="s">
        <v>415</v>
      </c>
      <c r="L4226" s="185" t="s">
        <v>761</v>
      </c>
    </row>
    <row r="4227" spans="1:12">
      <c r="A4227" s="195"/>
      <c r="B4227" s="195" t="s">
        <v>205</v>
      </c>
      <c r="C4227"/>
      <c r="D4227" s="197" t="s">
        <v>129</v>
      </c>
      <c r="E4227" s="197" t="s">
        <v>95</v>
      </c>
      <c r="F4227" s="197" t="s">
        <v>252</v>
      </c>
      <c r="G4227" s="197"/>
      <c r="H4227" s="197" t="s">
        <v>415</v>
      </c>
      <c r="I4227" s="209" t="s">
        <v>415</v>
      </c>
      <c r="L4227" s="185" t="s">
        <v>761</v>
      </c>
    </row>
    <row r="4228" spans="1:12">
      <c r="A4228" s="195"/>
      <c r="B4228" s="195" t="s">
        <v>206</v>
      </c>
      <c r="C4228"/>
      <c r="D4228" s="197"/>
      <c r="E4228" s="197" t="s">
        <v>95</v>
      </c>
      <c r="F4228" s="197" t="s">
        <v>252</v>
      </c>
      <c r="G4228" s="197" t="s">
        <v>270</v>
      </c>
      <c r="H4228" s="197" t="s">
        <v>415</v>
      </c>
      <c r="I4228" s="209" t="s">
        <v>415</v>
      </c>
      <c r="L4228" s="185" t="s">
        <v>51</v>
      </c>
    </row>
    <row r="4229" spans="1:12">
      <c r="A4229" s="195"/>
      <c r="B4229" s="195" t="s">
        <v>207</v>
      </c>
      <c r="C4229"/>
      <c r="D4229" s="197" t="s">
        <v>515</v>
      </c>
      <c r="E4229" s="197" t="s">
        <v>95</v>
      </c>
      <c r="F4229" s="197" t="s">
        <v>252</v>
      </c>
      <c r="G4229" s="197" t="s">
        <v>270</v>
      </c>
      <c r="H4229" s="197" t="s">
        <v>415</v>
      </c>
      <c r="I4229" s="209" t="s">
        <v>415</v>
      </c>
      <c r="L4229" s="185" t="s">
        <v>51</v>
      </c>
    </row>
    <row r="4230" spans="1:12">
      <c r="A4230" s="195"/>
      <c r="B4230" s="196" t="s">
        <v>223</v>
      </c>
      <c r="C4230"/>
      <c r="D4230" s="197" t="s">
        <v>515</v>
      </c>
      <c r="E4230" s="197" t="s">
        <v>95</v>
      </c>
      <c r="F4230" s="197" t="s">
        <v>252</v>
      </c>
      <c r="G4230" s="197" t="s">
        <v>270</v>
      </c>
      <c r="H4230" s="197" t="s">
        <v>415</v>
      </c>
      <c r="I4230" s="209" t="s">
        <v>415</v>
      </c>
      <c r="L4230" s="185" t="s">
        <v>51</v>
      </c>
    </row>
    <row r="4231" spans="1:12">
      <c r="A4231" s="195"/>
      <c r="B4231" s="195" t="s">
        <v>205</v>
      </c>
      <c r="C4231"/>
      <c r="D4231" s="197" t="s">
        <v>515</v>
      </c>
      <c r="E4231" s="197" t="s">
        <v>95</v>
      </c>
      <c r="F4231" s="197" t="s">
        <v>252</v>
      </c>
      <c r="G4231" s="197" t="s">
        <v>270</v>
      </c>
      <c r="H4231" s="197" t="s">
        <v>415</v>
      </c>
      <c r="I4231" s="209" t="s">
        <v>415</v>
      </c>
      <c r="L4231" s="185" t="s">
        <v>51</v>
      </c>
    </row>
    <row r="4232" spans="1:12">
      <c r="A4232" s="195"/>
      <c r="B4232" s="195" t="s">
        <v>206</v>
      </c>
      <c r="C4232"/>
      <c r="D4232" s="197" t="s">
        <v>269</v>
      </c>
      <c r="E4232" s="197" t="s">
        <v>95</v>
      </c>
      <c r="F4232" s="197" t="s">
        <v>252</v>
      </c>
      <c r="G4232" s="197" t="s">
        <v>270</v>
      </c>
      <c r="H4232" s="197" t="s">
        <v>415</v>
      </c>
      <c r="I4232" s="209" t="s">
        <v>415</v>
      </c>
    </row>
    <row r="4233" spans="1:12">
      <c r="A4233" s="195"/>
      <c r="B4233" s="195" t="s">
        <v>207</v>
      </c>
      <c r="C4233"/>
      <c r="D4233" s="197" t="s">
        <v>269</v>
      </c>
      <c r="E4233" s="197" t="s">
        <v>395</v>
      </c>
      <c r="F4233" s="197" t="s">
        <v>252</v>
      </c>
      <c r="G4233" s="197" t="s">
        <v>270</v>
      </c>
      <c r="H4233" s="197" t="s">
        <v>415</v>
      </c>
      <c r="I4233" s="209" t="s">
        <v>415</v>
      </c>
    </row>
    <row r="4234" spans="1:12">
      <c r="A4234" s="195"/>
      <c r="B4234" s="196" t="s">
        <v>225</v>
      </c>
      <c r="C4234"/>
      <c r="D4234" s="197" t="s">
        <v>362</v>
      </c>
      <c r="E4234" s="197" t="s">
        <v>395</v>
      </c>
      <c r="F4234" s="197" t="s">
        <v>252</v>
      </c>
      <c r="G4234" s="197" t="s">
        <v>270</v>
      </c>
      <c r="H4234" s="197" t="s">
        <v>415</v>
      </c>
      <c r="I4234" s="209" t="s">
        <v>415</v>
      </c>
    </row>
    <row r="4235" spans="1:12">
      <c r="A4235" s="195"/>
      <c r="B4235" s="195" t="s">
        <v>205</v>
      </c>
      <c r="C4235"/>
      <c r="D4235" s="197" t="s">
        <v>237</v>
      </c>
      <c r="E4235" s="197" t="s">
        <v>395</v>
      </c>
      <c r="F4235" s="197" t="s">
        <v>252</v>
      </c>
      <c r="G4235" s="197" t="s">
        <v>270</v>
      </c>
      <c r="H4235" s="197" t="s">
        <v>415</v>
      </c>
      <c r="I4235" s="209" t="s">
        <v>415</v>
      </c>
    </row>
    <row r="4236" spans="1:12">
      <c r="A4236" s="195"/>
      <c r="B4236" s="195" t="s">
        <v>206</v>
      </c>
      <c r="C4236"/>
      <c r="D4236" s="197" t="s">
        <v>236</v>
      </c>
      <c r="E4236" s="197"/>
      <c r="F4236" s="197"/>
      <c r="G4236" s="197" t="s">
        <v>270</v>
      </c>
      <c r="H4236" s="197" t="s">
        <v>415</v>
      </c>
      <c r="I4236" s="209" t="s">
        <v>415</v>
      </c>
    </row>
    <row r="4237" spans="1:12">
      <c r="A4237" s="195"/>
      <c r="B4237" s="195" t="s">
        <v>207</v>
      </c>
      <c r="C4237"/>
      <c r="D4237" s="197" t="s">
        <v>193</v>
      </c>
      <c r="E4237" s="197"/>
      <c r="F4237" s="197"/>
      <c r="G4237" s="197" t="s">
        <v>270</v>
      </c>
      <c r="H4237" s="197" t="s">
        <v>415</v>
      </c>
      <c r="I4237" s="209" t="s">
        <v>415</v>
      </c>
    </row>
    <row r="4238" spans="1:12">
      <c r="A4238" s="195"/>
      <c r="B4238" s="196" t="s">
        <v>226</v>
      </c>
      <c r="C4238"/>
      <c r="D4238" s="197"/>
      <c r="E4238" s="197"/>
      <c r="F4238" s="197"/>
      <c r="G4238" s="197"/>
      <c r="H4238" s="209"/>
      <c r="I4238" s="209"/>
    </row>
    <row r="4239" spans="1:12">
      <c r="A4239" s="195"/>
      <c r="B4239" s="195" t="s">
        <v>205</v>
      </c>
      <c r="C4239"/>
      <c r="D4239" s="197"/>
      <c r="E4239" s="197"/>
      <c r="F4239" s="197"/>
      <c r="G4239" s="197"/>
      <c r="H4239" s="209"/>
      <c r="I4239" s="209"/>
    </row>
    <row r="4240" spans="1:12">
      <c r="A4240" s="195"/>
      <c r="B4240" s="195" t="s">
        <v>206</v>
      </c>
      <c r="C4240"/>
      <c r="D4240" s="197"/>
      <c r="E4240" s="197"/>
      <c r="F4240" s="197"/>
      <c r="G4240" s="197"/>
      <c r="H4240" s="209"/>
      <c r="I4240" s="209"/>
    </row>
    <row r="4241" spans="1:12">
      <c r="A4241" s="195"/>
      <c r="B4241" s="195" t="s">
        <v>207</v>
      </c>
      <c r="C4241"/>
      <c r="D4241" s="197"/>
      <c r="E4241" s="197"/>
      <c r="F4241" s="197"/>
      <c r="G4241" s="197"/>
      <c r="H4241" s="209"/>
      <c r="I4241" s="209"/>
    </row>
    <row r="4242" spans="1:12">
      <c r="A4242" s="195"/>
      <c r="B4242" s="196" t="s">
        <v>227</v>
      </c>
      <c r="C4242"/>
      <c r="D4242" s="197"/>
      <c r="E4242" s="197"/>
      <c r="F4242" s="197"/>
      <c r="G4242" s="197"/>
      <c r="H4242" s="209"/>
      <c r="I4242" s="209"/>
      <c r="K4242"/>
    </row>
    <row r="4243" spans="1:12" ht="29.25" thickBot="1">
      <c r="A4243" s="182" t="str">
        <f>"回収シフト  第"&amp;ROUNDUP(DAY(B4246)/7,0)  &amp;"  "&amp;TEXT(B4246,"aaaa")</f>
        <v>回収シフト  第1  金曜日</v>
      </c>
      <c r="B4243" s="183"/>
      <c r="C4243" s="183"/>
      <c r="D4243" s="183"/>
      <c r="E4243" s="183"/>
      <c r="F4243" s="183"/>
      <c r="G4243" s="184"/>
      <c r="H4243" s="184"/>
      <c r="I4243" s="184"/>
      <c r="K4243" s="183"/>
      <c r="L4243" s="183"/>
    </row>
    <row r="4244" spans="1:12" ht="15.75" thickBot="1">
      <c r="A4244"/>
      <c r="B4244"/>
      <c r="C4244"/>
      <c r="D4244" s="186" t="s">
        <v>201</v>
      </c>
      <c r="E4244" s="186" t="s">
        <v>202</v>
      </c>
      <c r="F4244" s="186" t="s">
        <v>203</v>
      </c>
      <c r="G4244" s="186" t="s">
        <v>204</v>
      </c>
      <c r="H4244" s="186" t="s">
        <v>267</v>
      </c>
      <c r="I4244" s="217" t="s">
        <v>267</v>
      </c>
      <c r="K4244" s="230" t="s">
        <v>257</v>
      </c>
      <c r="L4244" s="231"/>
    </row>
    <row r="4245" spans="1:12">
      <c r="A4245" s="187"/>
      <c r="B4245" s="188">
        <v>46119</v>
      </c>
      <c r="C4245" s="187"/>
      <c r="D4245" s="189" t="s">
        <v>923</v>
      </c>
      <c r="E4245" s="189" t="s">
        <v>858</v>
      </c>
      <c r="F4245" s="189" t="s">
        <v>276</v>
      </c>
      <c r="G4245" s="189" t="s">
        <v>728</v>
      </c>
      <c r="H4245" s="189" t="s">
        <v>852</v>
      </c>
      <c r="I4245" s="218" t="s">
        <v>852</v>
      </c>
      <c r="K4245" s="232" t="s">
        <v>258</v>
      </c>
      <c r="L4245" s="190" t="str">
        <f>_xlfn.XLOOKUP($B4246,シフト抽出!$19:$19,シフト抽出!$20:$20,"該当なし",0,1)</f>
        <v>該当なし</v>
      </c>
    </row>
    <row r="4246" spans="1:12" ht="19.5" thickBot="1">
      <c r="A4246"/>
      <c r="B4246" s="191">
        <f>B4193+1</f>
        <v>46206</v>
      </c>
      <c r="C4246" s="192"/>
      <c r="D4246" s="193"/>
      <c r="E4246" s="193"/>
      <c r="F4246" s="193"/>
      <c r="G4246" s="193"/>
      <c r="H4246" s="193"/>
      <c r="I4246" s="219"/>
      <c r="K4246" s="233"/>
      <c r="L4246" s="194" t="str">
        <f>_xlfn.XLOOKUP($B4246,シフト抽出!$19:$19,シフト抽出!$21:$21,"該当なし",0,1)</f>
        <v>該当なし</v>
      </c>
    </row>
    <row r="4247" spans="1:12">
      <c r="A4247" s="195"/>
      <c r="B4247" s="196">
        <v>0.25</v>
      </c>
      <c r="C4247"/>
      <c r="D4247" s="197"/>
      <c r="E4247" s="196"/>
      <c r="F4247" s="197"/>
      <c r="G4247" s="197"/>
      <c r="H4247" s="197"/>
      <c r="I4247" s="209"/>
      <c r="K4247" s="234" t="s">
        <v>259</v>
      </c>
      <c r="L4247" s="198" t="str">
        <f>_xlfn.XLOOKUP($B4246,シフト抽出!$19:$19,シフト抽出!$23:$23,"該当なし",0,1)</f>
        <v>該当なし</v>
      </c>
    </row>
    <row r="4248" spans="1:12" ht="15.75" thickBot="1">
      <c r="A4248" s="195"/>
      <c r="B4248" s="195" t="s">
        <v>205</v>
      </c>
      <c r="C4248"/>
      <c r="D4248" s="197"/>
      <c r="E4248" s="197"/>
      <c r="F4248" s="197"/>
      <c r="G4248" s="197"/>
      <c r="H4248" s="197"/>
      <c r="I4248" s="209"/>
      <c r="K4248" s="235"/>
      <c r="L4248" s="199" t="str">
        <f>_xlfn.XLOOKUP($B4246,シフト抽出!$19:$19,シフト抽出!$24:$24,"該当なし",0,1)</f>
        <v>該当なし</v>
      </c>
    </row>
    <row r="4249" spans="1:12">
      <c r="A4249" s="195"/>
      <c r="B4249" s="195" t="s">
        <v>206</v>
      </c>
      <c r="C4249"/>
      <c r="D4249" s="197"/>
      <c r="E4249" s="197" t="s">
        <v>109</v>
      </c>
      <c r="F4249" s="197"/>
      <c r="G4249" s="197"/>
      <c r="H4249" s="197"/>
      <c r="I4249" s="209"/>
      <c r="K4249" s="224" t="s">
        <v>260</v>
      </c>
      <c r="L4249" s="200" t="str">
        <f>_xlfn.XLOOKUP($B4246,シフト抽出!$19:$19,シフト抽出!$26:$26,"該当なし",0,1)</f>
        <v>該当なし</v>
      </c>
    </row>
    <row r="4250" spans="1:12">
      <c r="A4250" s="195"/>
      <c r="B4250" s="195" t="s">
        <v>207</v>
      </c>
      <c r="C4250"/>
      <c r="D4250" s="197"/>
      <c r="E4250" s="197"/>
      <c r="F4250" s="197"/>
      <c r="G4250" s="197"/>
      <c r="H4250" s="197"/>
      <c r="I4250" s="209"/>
      <c r="K4250" s="225"/>
      <c r="L4250" s="201" t="str">
        <f>_xlfn.XLOOKUP($B4246,シフト抽出!$19:$19,シフト抽出!$27:$27,"該当なし",0,1)</f>
        <v>該当なし</v>
      </c>
    </row>
    <row r="4251" spans="1:12">
      <c r="A4251" s="195"/>
      <c r="B4251" s="202" t="s">
        <v>208</v>
      </c>
      <c r="C4251"/>
      <c r="D4251" s="197" t="s">
        <v>851</v>
      </c>
      <c r="E4251" s="197" t="s">
        <v>420</v>
      </c>
      <c r="F4251" s="197" t="s">
        <v>238</v>
      </c>
      <c r="G4251" s="197" t="s">
        <v>22</v>
      </c>
      <c r="H4251" s="197"/>
      <c r="I4251" s="209"/>
      <c r="J4251" s="203"/>
      <c r="K4251" s="225"/>
      <c r="L4251" s="201" t="str">
        <f>_xlfn.XLOOKUP($B4246,シフト抽出!$19:$19,シフト抽出!$28:$28,"該当なし",0,1)</f>
        <v>該当なし</v>
      </c>
    </row>
    <row r="4252" spans="1:12" ht="15.75" thickBot="1">
      <c r="A4252" s="195"/>
      <c r="B4252" s="195" t="s">
        <v>205</v>
      </c>
      <c r="C4252"/>
      <c r="D4252" s="197" t="s">
        <v>851</v>
      </c>
      <c r="E4252" s="197" t="s">
        <v>420</v>
      </c>
      <c r="F4252" s="197" t="s">
        <v>238</v>
      </c>
      <c r="G4252" s="197" t="s">
        <v>22</v>
      </c>
      <c r="H4252" s="197"/>
      <c r="I4252" s="209"/>
      <c r="J4252" s="203"/>
      <c r="K4252" s="226"/>
      <c r="L4252" s="204" t="str">
        <f>_xlfn.XLOOKUP($B4246,シフト抽出!$19:$19,シフト抽出!$29:$29,"該当なし",0,1)</f>
        <v>該当なし</v>
      </c>
    </row>
    <row r="4253" spans="1:12" ht="15.75" thickBot="1">
      <c r="A4253" s="195"/>
      <c r="B4253" s="195" t="s">
        <v>206</v>
      </c>
      <c r="C4253"/>
      <c r="D4253" s="197" t="s">
        <v>851</v>
      </c>
      <c r="E4253" s="197" t="s">
        <v>420</v>
      </c>
      <c r="F4253" s="197" t="s">
        <v>238</v>
      </c>
      <c r="G4253" s="197" t="s">
        <v>793</v>
      </c>
      <c r="H4253" s="197"/>
      <c r="I4253" s="209"/>
      <c r="K4253" s="205" t="s">
        <v>261</v>
      </c>
      <c r="L4253" s="205">
        <f>_xlfn.XLOOKUP($B4246,予定表!B:B,予定表!R:R,"該当なし",0,1)</f>
        <v>0</v>
      </c>
    </row>
    <row r="4254" spans="1:12">
      <c r="A4254" s="195"/>
      <c r="B4254" s="195" t="s">
        <v>207</v>
      </c>
      <c r="C4254"/>
      <c r="D4254" s="197" t="s">
        <v>851</v>
      </c>
      <c r="E4254" s="197" t="s">
        <v>420</v>
      </c>
      <c r="F4254" s="197" t="s">
        <v>238</v>
      </c>
      <c r="G4254" s="197" t="s">
        <v>793</v>
      </c>
      <c r="H4254" s="197"/>
      <c r="I4254" s="209"/>
      <c r="K4254" s="227" t="s">
        <v>262</v>
      </c>
      <c r="L4254" s="206">
        <f>_xlfn.XLOOKUP($B4246,予定表!$B:$B,予定表!E:E,"該当なし",0,1)</f>
        <v>0</v>
      </c>
    </row>
    <row r="4255" spans="1:12">
      <c r="A4255" s="195"/>
      <c r="B4255" s="196" t="s">
        <v>209</v>
      </c>
      <c r="C4255"/>
      <c r="D4255" s="197" t="s">
        <v>851</v>
      </c>
      <c r="E4255" s="197" t="s">
        <v>420</v>
      </c>
      <c r="F4255" s="197"/>
      <c r="G4255" s="197" t="s">
        <v>268</v>
      </c>
      <c r="H4255" s="197" t="s">
        <v>4</v>
      </c>
      <c r="I4255" s="209" t="s">
        <v>4</v>
      </c>
      <c r="K4255" s="228"/>
      <c r="L4255" s="207" t="str">
        <f>_xlfn.XLOOKUP($B4246,予定表!$B:$B,予定表!F:F,"該当なし",0,1)</f>
        <v>IWD(㈱大勝)</v>
      </c>
    </row>
    <row r="4256" spans="1:12">
      <c r="A4256" s="195"/>
      <c r="B4256" s="195" t="s">
        <v>205</v>
      </c>
      <c r="C4256"/>
      <c r="D4256" s="197" t="s">
        <v>851</v>
      </c>
      <c r="E4256" s="197" t="s">
        <v>420</v>
      </c>
      <c r="F4256" s="197" t="s">
        <v>264</v>
      </c>
      <c r="G4256" s="197" t="s">
        <v>268</v>
      </c>
      <c r="H4256" s="197" t="s">
        <v>60</v>
      </c>
      <c r="I4256" s="209" t="s">
        <v>60</v>
      </c>
      <c r="K4256" s="228"/>
      <c r="L4256" s="207" t="str">
        <f>_xlfn.XLOOKUP($B4246,予定表!$B:$B,予定表!G:G,"該当なし",0,1)</f>
        <v>ディーミング</v>
      </c>
    </row>
    <row r="4257" spans="1:12">
      <c r="A4257" s="195"/>
      <c r="B4257" s="195" t="s">
        <v>206</v>
      </c>
      <c r="C4257"/>
      <c r="D4257" s="197"/>
      <c r="E4257" s="197" t="s">
        <v>414</v>
      </c>
      <c r="F4257" s="197" t="s">
        <v>264</v>
      </c>
      <c r="G4257" s="197" t="s">
        <v>268</v>
      </c>
      <c r="H4257" s="197" t="s">
        <v>60</v>
      </c>
      <c r="I4257" s="209" t="s">
        <v>60</v>
      </c>
      <c r="K4257" s="228"/>
      <c r="L4257" s="207">
        <f>_xlfn.XLOOKUP($B4246,予定表!$B:$B,予定表!H:H,"該当なし",0,1)</f>
        <v>0</v>
      </c>
    </row>
    <row r="4258" spans="1:12">
      <c r="A4258" s="195"/>
      <c r="B4258" s="195" t="s">
        <v>207</v>
      </c>
      <c r="C4258"/>
      <c r="D4258" s="197" t="s">
        <v>214</v>
      </c>
      <c r="E4258" s="197" t="s">
        <v>414</v>
      </c>
      <c r="F4258" s="197" t="s">
        <v>239</v>
      </c>
      <c r="G4258" s="197" t="s">
        <v>268</v>
      </c>
      <c r="H4258" s="197" t="s">
        <v>60</v>
      </c>
      <c r="I4258" s="209" t="s">
        <v>60</v>
      </c>
      <c r="K4258" s="228"/>
      <c r="L4258" s="207" t="str">
        <f>_xlfn.XLOOKUP($B4246,予定表!$B:$B,予定表!I:I,"該当なし",0,1)</f>
        <v/>
      </c>
    </row>
    <row r="4259" spans="1:12">
      <c r="A4259" s="195"/>
      <c r="B4259" s="196" t="s">
        <v>212</v>
      </c>
      <c r="C4259"/>
      <c r="D4259" s="197" t="s">
        <v>214</v>
      </c>
      <c r="E4259" s="197" t="s">
        <v>414</v>
      </c>
      <c r="F4259" s="197" t="s">
        <v>239</v>
      </c>
      <c r="G4259" s="197" t="s">
        <v>268</v>
      </c>
      <c r="H4259" s="197"/>
      <c r="I4259" s="209"/>
      <c r="K4259" s="228"/>
      <c r="L4259" s="207" t="str">
        <f>_xlfn.XLOOKUP($B4246,予定表!$B:$B,予定表!J:J,"該当なし",0,1)</f>
        <v/>
      </c>
    </row>
    <row r="4260" spans="1:12">
      <c r="A4260" s="195"/>
      <c r="B4260" s="195" t="s">
        <v>205</v>
      </c>
      <c r="C4260"/>
      <c r="D4260" s="197" t="s">
        <v>214</v>
      </c>
      <c r="E4260" s="197" t="s">
        <v>414</v>
      </c>
      <c r="F4260" s="197" t="s">
        <v>240</v>
      </c>
      <c r="G4260" s="197" t="s">
        <v>268</v>
      </c>
      <c r="H4260" s="197" t="s">
        <v>848</v>
      </c>
      <c r="I4260" s="209" t="s">
        <v>848</v>
      </c>
      <c r="K4260" s="228"/>
      <c r="L4260" s="207" t="str">
        <f>_xlfn.XLOOKUP($B4246,予定表!$B:$B,予定表!K:K,"該当なし",0,1)</f>
        <v/>
      </c>
    </row>
    <row r="4261" spans="1:12">
      <c r="A4261" s="195"/>
      <c r="B4261" s="195" t="s">
        <v>206</v>
      </c>
      <c r="C4261"/>
      <c r="D4261" s="197" t="s">
        <v>214</v>
      </c>
      <c r="E4261" s="197" t="s">
        <v>854</v>
      </c>
      <c r="F4261" s="197" t="s">
        <v>240</v>
      </c>
      <c r="G4261" s="197" t="s">
        <v>268</v>
      </c>
      <c r="H4261" s="197" t="s">
        <v>848</v>
      </c>
      <c r="I4261" s="209" t="s">
        <v>848</v>
      </c>
      <c r="K4261" s="228"/>
      <c r="L4261" s="207" t="str">
        <f>_xlfn.XLOOKUP($B4246,予定表!$B:$B,予定表!L:L,"該当なし",0,1)</f>
        <v/>
      </c>
    </row>
    <row r="4262" spans="1:12" ht="15.75" thickBot="1">
      <c r="A4262" s="195"/>
      <c r="B4262" s="195" t="s">
        <v>207</v>
      </c>
      <c r="C4262"/>
      <c r="D4262" s="197" t="s">
        <v>353</v>
      </c>
      <c r="E4262" s="197" t="s">
        <v>854</v>
      </c>
      <c r="F4262" s="197" t="s">
        <v>62</v>
      </c>
      <c r="G4262" s="197" t="s">
        <v>515</v>
      </c>
      <c r="H4262" s="197" t="s">
        <v>848</v>
      </c>
      <c r="I4262" s="209" t="s">
        <v>848</v>
      </c>
      <c r="K4262" s="229"/>
      <c r="L4262" s="204" t="str">
        <f>_xlfn.XLOOKUP($A4243,ﾘｽﾄマスタ!$U$8:$U$17,ﾘｽﾄマスタ!$V$8:$V$17,"",0)</f>
        <v/>
      </c>
    </row>
    <row r="4263" spans="1:12" ht="15.75" thickBot="1">
      <c r="A4263" s="195"/>
      <c r="B4263" s="196" t="s">
        <v>251</v>
      </c>
      <c r="C4263"/>
      <c r="D4263" s="197" t="s">
        <v>353</v>
      </c>
      <c r="E4263" s="197" t="s">
        <v>854</v>
      </c>
      <c r="F4263" s="197" t="s">
        <v>62</v>
      </c>
      <c r="G4263" s="197" t="s">
        <v>515</v>
      </c>
      <c r="H4263" s="197" t="s">
        <v>848</v>
      </c>
      <c r="I4263" s="209" t="s">
        <v>848</v>
      </c>
      <c r="K4263" s="208" t="s">
        <v>277</v>
      </c>
      <c r="L4263" s="208" t="str">
        <f>_xlfn.XLOOKUP($B4246,シフト抽出!$19:$19,シフト抽出!$30:$30,"該当なし",0,1)</f>
        <v>該当なし</v>
      </c>
    </row>
    <row r="4264" spans="1:12">
      <c r="A4264" s="195"/>
      <c r="B4264" s="195" t="s">
        <v>205</v>
      </c>
      <c r="C4264"/>
      <c r="D4264" s="197" t="s">
        <v>353</v>
      </c>
      <c r="E4264" s="197" t="s">
        <v>854</v>
      </c>
      <c r="F4264" s="197" t="s">
        <v>62</v>
      </c>
      <c r="G4264" s="197" t="s">
        <v>269</v>
      </c>
      <c r="H4264" s="197" t="s">
        <v>848</v>
      </c>
      <c r="I4264" s="209" t="s">
        <v>848</v>
      </c>
    </row>
    <row r="4265" spans="1:12">
      <c r="A4265" s="195"/>
      <c r="B4265" s="195" t="s">
        <v>206</v>
      </c>
      <c r="C4265"/>
      <c r="D4265" s="197" t="s">
        <v>353</v>
      </c>
      <c r="E4265" s="197" t="s">
        <v>216</v>
      </c>
      <c r="F4265" s="197" t="s">
        <v>51</v>
      </c>
      <c r="G4265" s="197" t="s">
        <v>269</v>
      </c>
      <c r="H4265" s="197" t="s">
        <v>848</v>
      </c>
      <c r="I4265" s="209" t="s">
        <v>848</v>
      </c>
    </row>
    <row r="4266" spans="1:12">
      <c r="A4266" s="195"/>
      <c r="B4266" s="195" t="s">
        <v>207</v>
      </c>
      <c r="C4266"/>
      <c r="D4266" s="197" t="s">
        <v>761</v>
      </c>
      <c r="E4266" s="197" t="s">
        <v>216</v>
      </c>
      <c r="F4266" s="197" t="s">
        <v>51</v>
      </c>
      <c r="G4266" s="197" t="s">
        <v>269</v>
      </c>
      <c r="H4266" s="197" t="s">
        <v>848</v>
      </c>
      <c r="I4266" s="209" t="s">
        <v>848</v>
      </c>
    </row>
    <row r="4267" spans="1:12">
      <c r="A4267" s="195"/>
      <c r="B4267" s="196" t="s">
        <v>217</v>
      </c>
      <c r="C4267"/>
      <c r="D4267" s="197" t="s">
        <v>761</v>
      </c>
      <c r="E4267" s="197" t="s">
        <v>216</v>
      </c>
      <c r="F4267" s="197" t="s">
        <v>51</v>
      </c>
      <c r="G4267" s="197" t="s">
        <v>446</v>
      </c>
      <c r="H4267" s="197" t="s">
        <v>848</v>
      </c>
      <c r="I4267" s="209" t="s">
        <v>848</v>
      </c>
    </row>
    <row r="4268" spans="1:12">
      <c r="A4268" s="195"/>
      <c r="B4268" s="195" t="s">
        <v>205</v>
      </c>
      <c r="C4268"/>
      <c r="D4268" s="197" t="s">
        <v>761</v>
      </c>
      <c r="E4268" s="197" t="s">
        <v>216</v>
      </c>
      <c r="F4268" s="197" t="s">
        <v>51</v>
      </c>
      <c r="G4268" s="197" t="s">
        <v>446</v>
      </c>
      <c r="H4268" s="197" t="s">
        <v>848</v>
      </c>
      <c r="I4268" s="209" t="s">
        <v>848</v>
      </c>
    </row>
    <row r="4269" spans="1:12">
      <c r="A4269" s="195"/>
      <c r="B4269" s="195" t="s">
        <v>206</v>
      </c>
      <c r="C4269"/>
      <c r="D4269" s="197" t="s">
        <v>761</v>
      </c>
      <c r="E4269" s="197" t="s">
        <v>216</v>
      </c>
      <c r="F4269" s="197"/>
      <c r="G4269" s="197" t="s">
        <v>446</v>
      </c>
      <c r="H4269" s="197" t="s">
        <v>848</v>
      </c>
      <c r="I4269" s="209" t="s">
        <v>848</v>
      </c>
    </row>
    <row r="4270" spans="1:12">
      <c r="A4270" s="195"/>
      <c r="B4270" s="195" t="s">
        <v>207</v>
      </c>
      <c r="C4270"/>
      <c r="D4270" s="197"/>
      <c r="E4270" s="197" t="s">
        <v>216</v>
      </c>
      <c r="F4270" s="197"/>
      <c r="G4270" s="197" t="s">
        <v>114</v>
      </c>
      <c r="H4270" s="197"/>
      <c r="I4270" s="209"/>
    </row>
    <row r="4271" spans="1:12">
      <c r="A4271" s="195"/>
      <c r="B4271" s="196" t="s">
        <v>219</v>
      </c>
      <c r="C4271"/>
      <c r="D4271" s="197"/>
      <c r="E4271" s="197" t="s">
        <v>216</v>
      </c>
      <c r="F4271" s="197"/>
      <c r="G4271" s="197" t="s">
        <v>114</v>
      </c>
      <c r="H4271" s="197"/>
      <c r="I4271" s="209"/>
    </row>
    <row r="4272" spans="1:12">
      <c r="A4272" s="195"/>
      <c r="B4272" s="195" t="s">
        <v>205</v>
      </c>
      <c r="C4272"/>
      <c r="D4272" s="197"/>
      <c r="E4272" s="197" t="s">
        <v>216</v>
      </c>
      <c r="F4272" s="197"/>
      <c r="G4272" s="197"/>
      <c r="H4272" s="197"/>
      <c r="I4272" s="209"/>
    </row>
    <row r="4273" spans="1:9">
      <c r="A4273" s="195"/>
      <c r="B4273" s="195" t="s">
        <v>206</v>
      </c>
      <c r="C4273"/>
      <c r="D4273" s="197"/>
      <c r="E4273" s="197"/>
      <c r="F4273" s="197"/>
      <c r="G4273" s="197"/>
      <c r="H4273" s="197" t="s">
        <v>415</v>
      </c>
      <c r="I4273" s="209" t="s">
        <v>415</v>
      </c>
    </row>
    <row r="4274" spans="1:9">
      <c r="A4274" s="195"/>
      <c r="B4274" s="195" t="s">
        <v>207</v>
      </c>
      <c r="C4274"/>
      <c r="D4274" s="197"/>
      <c r="E4274" s="197"/>
      <c r="F4274" s="197"/>
      <c r="G4274" s="197"/>
      <c r="H4274" s="197" t="s">
        <v>415</v>
      </c>
      <c r="I4274" s="209" t="s">
        <v>415</v>
      </c>
    </row>
    <row r="4275" spans="1:9">
      <c r="A4275" s="195"/>
      <c r="B4275" s="196" t="s">
        <v>220</v>
      </c>
      <c r="C4275"/>
      <c r="D4275" s="197"/>
      <c r="E4275" s="197"/>
      <c r="F4275" s="197"/>
      <c r="G4275" s="197"/>
      <c r="H4275" s="197" t="s">
        <v>231</v>
      </c>
      <c r="I4275" s="209" t="s">
        <v>231</v>
      </c>
    </row>
    <row r="4276" spans="1:9">
      <c r="A4276" s="195"/>
      <c r="B4276" s="195" t="s">
        <v>205</v>
      </c>
      <c r="C4276"/>
      <c r="D4276" s="197" t="s">
        <v>224</v>
      </c>
      <c r="E4276" s="197" t="s">
        <v>273</v>
      </c>
      <c r="F4276" s="197" t="s">
        <v>416</v>
      </c>
      <c r="G4276" s="197" t="s">
        <v>56</v>
      </c>
      <c r="H4276" s="197" t="s">
        <v>231</v>
      </c>
      <c r="I4276" s="209" t="s">
        <v>231</v>
      </c>
    </row>
    <row r="4277" spans="1:9">
      <c r="A4277" s="195"/>
      <c r="B4277" s="195" t="s">
        <v>206</v>
      </c>
      <c r="C4277"/>
      <c r="D4277" s="197" t="s">
        <v>224</v>
      </c>
      <c r="E4277" s="197" t="s">
        <v>273</v>
      </c>
      <c r="F4277" s="197" t="s">
        <v>954</v>
      </c>
      <c r="G4277" s="197" t="s">
        <v>56</v>
      </c>
      <c r="H4277" s="197" t="s">
        <v>211</v>
      </c>
      <c r="I4277" s="209" t="s">
        <v>211</v>
      </c>
    </row>
    <row r="4278" spans="1:9">
      <c r="A4278" s="195"/>
      <c r="B4278" s="195" t="s">
        <v>207</v>
      </c>
      <c r="C4278"/>
      <c r="D4278" s="197" t="s">
        <v>224</v>
      </c>
      <c r="E4278" s="197" t="s">
        <v>273</v>
      </c>
      <c r="F4278" s="197" t="s">
        <v>416</v>
      </c>
      <c r="G4278" s="197" t="s">
        <v>56</v>
      </c>
      <c r="H4278" s="197" t="s">
        <v>211</v>
      </c>
      <c r="I4278" s="209" t="s">
        <v>211</v>
      </c>
    </row>
    <row r="4279" spans="1:9">
      <c r="A4279" s="195"/>
      <c r="B4279" s="196" t="s">
        <v>222</v>
      </c>
      <c r="C4279"/>
      <c r="D4279" s="197" t="s">
        <v>88</v>
      </c>
      <c r="E4279" s="197" t="s">
        <v>266</v>
      </c>
      <c r="F4279" s="197" t="s">
        <v>416</v>
      </c>
      <c r="G4279" s="197"/>
      <c r="H4279" s="197"/>
      <c r="I4279" s="209"/>
    </row>
    <row r="4280" spans="1:9">
      <c r="A4280" s="195"/>
      <c r="B4280" s="195" t="s">
        <v>205</v>
      </c>
      <c r="C4280"/>
      <c r="D4280" s="197" t="s">
        <v>280</v>
      </c>
      <c r="E4280" s="197" t="s">
        <v>266</v>
      </c>
      <c r="F4280" s="197" t="s">
        <v>759</v>
      </c>
      <c r="G4280" s="197" t="s">
        <v>270</v>
      </c>
      <c r="H4280" s="197" t="s">
        <v>856</v>
      </c>
      <c r="I4280" s="209" t="s">
        <v>856</v>
      </c>
    </row>
    <row r="4281" spans="1:9">
      <c r="A4281" s="195"/>
      <c r="B4281" s="195" t="s">
        <v>206</v>
      </c>
      <c r="C4281"/>
      <c r="D4281" s="197" t="s">
        <v>280</v>
      </c>
      <c r="E4281" s="197" t="s">
        <v>266</v>
      </c>
      <c r="F4281" s="197" t="s">
        <v>759</v>
      </c>
      <c r="G4281" s="197" t="s">
        <v>270</v>
      </c>
      <c r="H4281" s="197" t="s">
        <v>856</v>
      </c>
      <c r="I4281" s="209" t="s">
        <v>856</v>
      </c>
    </row>
    <row r="4282" spans="1:9">
      <c r="A4282" s="195"/>
      <c r="B4282" s="195" t="s">
        <v>207</v>
      </c>
      <c r="C4282"/>
      <c r="D4282" s="197" t="s">
        <v>215</v>
      </c>
      <c r="E4282" s="197" t="s">
        <v>266</v>
      </c>
      <c r="F4282" s="197" t="s">
        <v>759</v>
      </c>
      <c r="G4282" s="197" t="s">
        <v>270</v>
      </c>
      <c r="H4282" s="197" t="s">
        <v>856</v>
      </c>
      <c r="I4282" s="209" t="s">
        <v>856</v>
      </c>
    </row>
    <row r="4283" spans="1:9">
      <c r="A4283" s="195"/>
      <c r="B4283" s="196" t="s">
        <v>223</v>
      </c>
      <c r="C4283"/>
      <c r="D4283" s="197" t="s">
        <v>423</v>
      </c>
      <c r="E4283" s="197" t="s">
        <v>252</v>
      </c>
      <c r="F4283" s="197" t="s">
        <v>759</v>
      </c>
      <c r="G4283" s="197" t="s">
        <v>270</v>
      </c>
      <c r="H4283" s="197" t="s">
        <v>856</v>
      </c>
      <c r="I4283" s="209" t="s">
        <v>856</v>
      </c>
    </row>
    <row r="4284" spans="1:9">
      <c r="A4284" s="195"/>
      <c r="B4284" s="195" t="s">
        <v>205</v>
      </c>
      <c r="C4284"/>
      <c r="D4284" s="197" t="s">
        <v>588</v>
      </c>
      <c r="E4284" s="197" t="s">
        <v>252</v>
      </c>
      <c r="F4284" s="197" t="s">
        <v>759</v>
      </c>
      <c r="G4284" s="197" t="s">
        <v>270</v>
      </c>
      <c r="H4284" s="197" t="s">
        <v>856</v>
      </c>
      <c r="I4284" s="209" t="s">
        <v>856</v>
      </c>
    </row>
    <row r="4285" spans="1:9">
      <c r="A4285" s="195"/>
      <c r="B4285" s="195" t="s">
        <v>206</v>
      </c>
      <c r="C4285"/>
      <c r="D4285" s="197" t="s">
        <v>127</v>
      </c>
      <c r="E4285" s="197" t="s">
        <v>252</v>
      </c>
      <c r="F4285" s="197"/>
      <c r="G4285" s="197" t="s">
        <v>270</v>
      </c>
      <c r="H4285" s="197" t="s">
        <v>856</v>
      </c>
      <c r="I4285" s="209" t="s">
        <v>856</v>
      </c>
    </row>
    <row r="4286" spans="1:9">
      <c r="A4286" s="195"/>
      <c r="B4286" s="195" t="s">
        <v>207</v>
      </c>
      <c r="C4286"/>
      <c r="D4286" s="197"/>
      <c r="E4286" s="197" t="s">
        <v>252</v>
      </c>
      <c r="F4286" s="197"/>
      <c r="G4286" s="197" t="s">
        <v>270</v>
      </c>
      <c r="H4286" s="197" t="s">
        <v>856</v>
      </c>
      <c r="I4286" s="209" t="s">
        <v>856</v>
      </c>
    </row>
    <row r="4287" spans="1:9">
      <c r="A4287" s="195"/>
      <c r="B4287" s="196" t="s">
        <v>225</v>
      </c>
      <c r="C4287"/>
      <c r="D4287" s="197"/>
      <c r="E4287" s="197" t="s">
        <v>252</v>
      </c>
      <c r="F4287" s="197"/>
      <c r="G4287" s="197" t="s">
        <v>270</v>
      </c>
      <c r="H4287" s="197" t="s">
        <v>415</v>
      </c>
      <c r="I4287" s="209" t="s">
        <v>415</v>
      </c>
    </row>
    <row r="4288" spans="1:9">
      <c r="A4288" s="195"/>
      <c r="B4288" s="195" t="s">
        <v>205</v>
      </c>
      <c r="C4288"/>
      <c r="D4288" s="197"/>
      <c r="E4288" s="197" t="s">
        <v>252</v>
      </c>
      <c r="F4288" s="197"/>
      <c r="G4288" s="197" t="s">
        <v>270</v>
      </c>
      <c r="H4288" s="209" t="s">
        <v>415</v>
      </c>
      <c r="I4288" s="209" t="s">
        <v>415</v>
      </c>
    </row>
    <row r="4289" spans="1:12">
      <c r="A4289" s="195"/>
      <c r="B4289" s="195" t="s">
        <v>206</v>
      </c>
      <c r="C4289"/>
      <c r="D4289" s="197"/>
      <c r="E4289" s="197" t="s">
        <v>252</v>
      </c>
      <c r="F4289" s="197"/>
      <c r="G4289" s="197" t="s">
        <v>270</v>
      </c>
      <c r="H4289" s="209" t="s">
        <v>415</v>
      </c>
      <c r="I4289" s="209" t="s">
        <v>415</v>
      </c>
    </row>
    <row r="4290" spans="1:12">
      <c r="A4290" s="195"/>
      <c r="B4290" s="195" t="s">
        <v>207</v>
      </c>
      <c r="C4290"/>
      <c r="D4290" s="197"/>
      <c r="E4290" s="197" t="s">
        <v>252</v>
      </c>
      <c r="F4290" s="197"/>
      <c r="G4290" s="197" t="s">
        <v>270</v>
      </c>
      <c r="H4290" s="209" t="s">
        <v>415</v>
      </c>
      <c r="I4290" s="209" t="s">
        <v>415</v>
      </c>
    </row>
    <row r="4291" spans="1:12">
      <c r="A4291" s="195"/>
      <c r="B4291" s="196" t="s">
        <v>226</v>
      </c>
      <c r="C4291"/>
      <c r="D4291" s="197"/>
      <c r="E4291" s="197"/>
      <c r="F4291" s="197"/>
      <c r="G4291" s="197" t="s">
        <v>270</v>
      </c>
      <c r="H4291" s="209"/>
      <c r="I4291" s="209"/>
    </row>
    <row r="4292" spans="1:12">
      <c r="A4292" s="195"/>
      <c r="B4292" s="195" t="s">
        <v>205</v>
      </c>
      <c r="C4292"/>
      <c r="D4292" s="197"/>
      <c r="E4292" s="197"/>
      <c r="F4292" s="197"/>
      <c r="G4292" s="197" t="s">
        <v>270</v>
      </c>
      <c r="H4292" s="209"/>
      <c r="I4292" s="209"/>
    </row>
    <row r="4293" spans="1:12">
      <c r="A4293" s="195"/>
      <c r="B4293" s="195" t="s">
        <v>206</v>
      </c>
      <c r="C4293"/>
      <c r="D4293" s="197"/>
      <c r="E4293" s="197"/>
      <c r="F4293" s="197"/>
      <c r="G4293" s="197" t="s">
        <v>270</v>
      </c>
      <c r="H4293" s="209"/>
      <c r="I4293" s="209"/>
    </row>
    <row r="4294" spans="1:12">
      <c r="A4294" s="195"/>
      <c r="B4294" s="195" t="s">
        <v>207</v>
      </c>
      <c r="C4294"/>
      <c r="D4294" s="197"/>
      <c r="E4294" s="197"/>
      <c r="F4294" s="197"/>
      <c r="G4294" s="197" t="s">
        <v>270</v>
      </c>
      <c r="H4294" s="209"/>
      <c r="I4294" s="209"/>
    </row>
    <row r="4295" spans="1:12">
      <c r="A4295" s="195"/>
      <c r="B4295" s="196" t="s">
        <v>227</v>
      </c>
      <c r="C4295"/>
      <c r="D4295" s="197"/>
      <c r="E4295" s="197"/>
      <c r="F4295" s="197"/>
      <c r="G4295" s="197"/>
      <c r="H4295" s="209"/>
      <c r="I4295" s="209"/>
      <c r="K4295"/>
    </row>
    <row r="4296" spans="1:12" ht="29.25" thickBot="1">
      <c r="A4296" s="182" t="str">
        <f>"回収シフト  第"&amp;ROUNDUP(DAY(B4299)/7,0)  &amp;"  "&amp;TEXT(B4299,"aaaa")</f>
        <v>回収シフト  第1  土曜日</v>
      </c>
      <c r="B4296" s="183"/>
      <c r="C4296" s="183"/>
      <c r="D4296" s="183"/>
      <c r="E4296" s="183"/>
      <c r="F4296" s="183"/>
      <c r="G4296" s="184"/>
      <c r="H4296" s="184"/>
      <c r="I4296" s="184"/>
      <c r="K4296" s="183"/>
      <c r="L4296" s="183"/>
    </row>
    <row r="4297" spans="1:12" ht="15.75" thickBot="1">
      <c r="A4297"/>
      <c r="B4297"/>
      <c r="C4297"/>
      <c r="D4297" s="186" t="s">
        <v>201</v>
      </c>
      <c r="E4297" s="186" t="s">
        <v>202</v>
      </c>
      <c r="F4297" s="186" t="s">
        <v>203</v>
      </c>
      <c r="G4297" s="186" t="s">
        <v>204</v>
      </c>
      <c r="H4297" s="186" t="s">
        <v>267</v>
      </c>
      <c r="I4297" s="217" t="s">
        <v>267</v>
      </c>
      <c r="K4297" s="230" t="s">
        <v>257</v>
      </c>
      <c r="L4297" s="231"/>
    </row>
    <row r="4298" spans="1:12">
      <c r="A4298" s="187"/>
      <c r="B4298" s="188">
        <v>46119</v>
      </c>
      <c r="C4298" s="187"/>
      <c r="D4298" s="189"/>
      <c r="E4298" s="189"/>
      <c r="F4298" s="189"/>
      <c r="G4298" s="189"/>
      <c r="H4298" s="189"/>
      <c r="I4298" s="218"/>
      <c r="K4298" s="232" t="s">
        <v>258</v>
      </c>
      <c r="L4298" s="190" t="str">
        <f>_xlfn.XLOOKUP($B4299,シフト抽出!$19:$19,シフト抽出!$20:$20,"該当なし",0,1)</f>
        <v>該当なし</v>
      </c>
    </row>
    <row r="4299" spans="1:12" ht="19.5" thickBot="1">
      <c r="A4299"/>
      <c r="B4299" s="191">
        <f>B4246+1</f>
        <v>46207</v>
      </c>
      <c r="C4299" s="192"/>
      <c r="D4299" s="193"/>
      <c r="E4299" s="193"/>
      <c r="F4299" s="193"/>
      <c r="G4299" s="193"/>
      <c r="H4299" s="193"/>
      <c r="I4299" s="219"/>
      <c r="K4299" s="233"/>
      <c r="L4299" s="194" t="str">
        <f>_xlfn.XLOOKUP($B4299,シフト抽出!$19:$19,シフト抽出!$21:$21,"該当なし",0,1)</f>
        <v>該当なし</v>
      </c>
    </row>
    <row r="4300" spans="1:12">
      <c r="A4300" s="195"/>
      <c r="B4300" s="196">
        <v>0.25</v>
      </c>
      <c r="C4300"/>
      <c r="D4300" s="197"/>
      <c r="E4300" s="196"/>
      <c r="F4300" s="197"/>
      <c r="G4300" s="197"/>
      <c r="H4300" s="197"/>
      <c r="I4300" s="209"/>
      <c r="K4300" s="234" t="s">
        <v>259</v>
      </c>
      <c r="L4300" s="198" t="str">
        <f>_xlfn.XLOOKUP($B4299,シフト抽出!$19:$19,シフト抽出!$23:$23,"該当なし",0,1)</f>
        <v>該当なし</v>
      </c>
    </row>
    <row r="4301" spans="1:12" ht="15.75" thickBot="1">
      <c r="A4301" s="195"/>
      <c r="B4301" s="195" t="s">
        <v>205</v>
      </c>
      <c r="C4301"/>
      <c r="D4301" s="197"/>
      <c r="E4301" s="197"/>
      <c r="F4301" s="197"/>
      <c r="G4301" s="197"/>
      <c r="H4301" s="197"/>
      <c r="I4301" s="209"/>
      <c r="K4301" s="235"/>
      <c r="L4301" s="199" t="str">
        <f>_xlfn.XLOOKUP($B4299,シフト抽出!$19:$19,シフト抽出!$24:$24,"該当なし",0,1)</f>
        <v>該当なし</v>
      </c>
    </row>
    <row r="4302" spans="1:12">
      <c r="A4302" s="195"/>
      <c r="B4302" s="195" t="s">
        <v>206</v>
      </c>
      <c r="C4302"/>
      <c r="D4302" s="197"/>
      <c r="E4302" s="197"/>
      <c r="F4302" s="197"/>
      <c r="G4302" s="197"/>
      <c r="H4302" s="197"/>
      <c r="I4302" s="209"/>
      <c r="K4302" s="224" t="s">
        <v>260</v>
      </c>
      <c r="L4302" s="200" t="str">
        <f>_xlfn.XLOOKUP($B4299,シフト抽出!$19:$19,シフト抽出!$26:$26,"該当なし",0,1)</f>
        <v>該当なし</v>
      </c>
    </row>
    <row r="4303" spans="1:12">
      <c r="A4303" s="195"/>
      <c r="B4303" s="195" t="s">
        <v>207</v>
      </c>
      <c r="C4303"/>
      <c r="D4303" s="197"/>
      <c r="E4303" s="197"/>
      <c r="F4303" s="197"/>
      <c r="G4303" s="197"/>
      <c r="H4303" s="197"/>
      <c r="I4303" s="209"/>
      <c r="K4303" s="225"/>
      <c r="L4303" s="201" t="str">
        <f>_xlfn.XLOOKUP($B4299,シフト抽出!$19:$19,シフト抽出!$27:$27,"該当なし",0,1)</f>
        <v>該当なし</v>
      </c>
    </row>
    <row r="4304" spans="1:12">
      <c r="A4304" s="195"/>
      <c r="B4304" s="202" t="s">
        <v>208</v>
      </c>
      <c r="C4304"/>
      <c r="F4304" s="197"/>
      <c r="G4304" s="197"/>
      <c r="H4304" s="197"/>
      <c r="I4304" s="209"/>
      <c r="J4304" s="203"/>
      <c r="K4304" s="225"/>
      <c r="L4304" s="201" t="str">
        <f>_xlfn.XLOOKUP($B4299,シフト抽出!$19:$19,シフト抽出!$28:$28,"該当なし",0,1)</f>
        <v>該当なし</v>
      </c>
    </row>
    <row r="4305" spans="1:12" ht="15.75" thickBot="1">
      <c r="A4305" s="195"/>
      <c r="B4305" s="195" t="s">
        <v>205</v>
      </c>
      <c r="C4305"/>
      <c r="F4305" s="197"/>
      <c r="G4305" s="197"/>
      <c r="H4305" s="197"/>
      <c r="I4305" s="209"/>
      <c r="J4305" s="203"/>
      <c r="K4305" s="226"/>
      <c r="L4305" s="204" t="str">
        <f>_xlfn.XLOOKUP($B4299,シフト抽出!$19:$19,シフト抽出!$29:$29,"該当なし",0,1)</f>
        <v>該当なし</v>
      </c>
    </row>
    <row r="4306" spans="1:12" ht="15.75" thickBot="1">
      <c r="A4306" s="195"/>
      <c r="B4306" s="195" t="s">
        <v>206</v>
      </c>
      <c r="C4306"/>
      <c r="F4306" s="197"/>
      <c r="G4306" s="197"/>
      <c r="H4306" s="197"/>
      <c r="I4306" s="209"/>
      <c r="K4306" s="205" t="s">
        <v>261</v>
      </c>
      <c r="L4306" s="205">
        <f>_xlfn.XLOOKUP($B4299,予定表!B:B,予定表!R:R,"該当なし",0,1)</f>
        <v>0</v>
      </c>
    </row>
    <row r="4307" spans="1:12">
      <c r="A4307" s="195"/>
      <c r="B4307" s="195" t="s">
        <v>207</v>
      </c>
      <c r="C4307"/>
      <c r="F4307" s="197"/>
      <c r="G4307" s="197"/>
      <c r="H4307" s="197"/>
      <c r="I4307" s="209"/>
      <c r="K4307" s="227" t="s">
        <v>262</v>
      </c>
      <c r="L4307" s="206">
        <f>_xlfn.XLOOKUP($B4299,予定表!$B:$B,予定表!E:E,"該当なし",0,1)</f>
        <v>0</v>
      </c>
    </row>
    <row r="4308" spans="1:12">
      <c r="A4308" s="195"/>
      <c r="B4308" s="196" t="s">
        <v>209</v>
      </c>
      <c r="C4308"/>
      <c r="D4308" s="197" t="s">
        <v>268</v>
      </c>
      <c r="E4308" s="197" t="s">
        <v>22</v>
      </c>
      <c r="F4308" s="197" t="s">
        <v>242</v>
      </c>
      <c r="G4308" s="197"/>
      <c r="H4308" s="197"/>
      <c r="I4308" s="209"/>
      <c r="K4308" s="228"/>
      <c r="L4308" s="207">
        <f>_xlfn.XLOOKUP($B4299,予定表!$B:$B,予定表!F:F,"該当なし",0,1)</f>
        <v>0</v>
      </c>
    </row>
    <row r="4309" spans="1:12">
      <c r="A4309" s="195"/>
      <c r="B4309" s="195" t="s">
        <v>205</v>
      </c>
      <c r="C4309"/>
      <c r="D4309" s="197" t="s">
        <v>268</v>
      </c>
      <c r="E4309" s="197" t="s">
        <v>22</v>
      </c>
      <c r="F4309" s="197" t="s">
        <v>242</v>
      </c>
      <c r="G4309" s="197"/>
      <c r="H4309" s="197"/>
      <c r="I4309" s="209"/>
      <c r="K4309" s="228"/>
      <c r="L4309" s="207">
        <f>_xlfn.XLOOKUP($B4299,予定表!$B:$B,予定表!G:G,"該当なし",0,1)</f>
        <v>0</v>
      </c>
    </row>
    <row r="4310" spans="1:12">
      <c r="A4310" s="195"/>
      <c r="B4310" s="195" t="s">
        <v>206</v>
      </c>
      <c r="C4310"/>
      <c r="D4310" s="197" t="s">
        <v>268</v>
      </c>
      <c r="E4310" s="197" t="s">
        <v>793</v>
      </c>
      <c r="F4310" s="197" t="s">
        <v>242</v>
      </c>
      <c r="G4310" s="197"/>
      <c r="H4310" s="197"/>
      <c r="I4310" s="209"/>
      <c r="K4310" s="228"/>
      <c r="L4310" s="207">
        <f>_xlfn.XLOOKUP($B4299,予定表!$B:$B,予定表!H:H,"該当なし",0,1)</f>
        <v>0</v>
      </c>
    </row>
    <row r="4311" spans="1:12">
      <c r="A4311" s="195"/>
      <c r="B4311" s="195" t="s">
        <v>207</v>
      </c>
      <c r="C4311"/>
      <c r="D4311" s="197" t="s">
        <v>268</v>
      </c>
      <c r="E4311" s="197" t="s">
        <v>793</v>
      </c>
      <c r="F4311" s="197" t="s">
        <v>242</v>
      </c>
      <c r="G4311" s="197"/>
      <c r="H4311" s="197"/>
      <c r="I4311" s="209"/>
      <c r="K4311" s="228"/>
      <c r="L4311" s="207">
        <f>_xlfn.XLOOKUP($B4299,予定表!$B:$B,予定表!I:I,"該当なし",0,1)</f>
        <v>0</v>
      </c>
    </row>
    <row r="4312" spans="1:12">
      <c r="A4312" s="195"/>
      <c r="B4312" s="196" t="s">
        <v>212</v>
      </c>
      <c r="C4312"/>
      <c r="D4312" s="197" t="s">
        <v>268</v>
      </c>
      <c r="E4312" s="197" t="s">
        <v>241</v>
      </c>
      <c r="F4312" s="197" t="s">
        <v>242</v>
      </c>
      <c r="G4312" s="197"/>
      <c r="H4312" s="197"/>
      <c r="I4312" s="209"/>
      <c r="K4312" s="228"/>
      <c r="L4312" s="207">
        <f>_xlfn.XLOOKUP($B4299,予定表!$B:$B,予定表!J:J,"該当なし",0,1)</f>
        <v>0</v>
      </c>
    </row>
    <row r="4313" spans="1:12">
      <c r="A4313" s="195"/>
      <c r="B4313" s="195" t="s">
        <v>205</v>
      </c>
      <c r="C4313"/>
      <c r="D4313" s="197" t="s">
        <v>268</v>
      </c>
      <c r="E4313" s="197" t="s">
        <v>241</v>
      </c>
      <c r="F4313" s="197" t="s">
        <v>242</v>
      </c>
      <c r="G4313" s="197"/>
      <c r="H4313" s="197"/>
      <c r="I4313" s="209"/>
      <c r="K4313" s="228"/>
      <c r="L4313" s="207">
        <f>_xlfn.XLOOKUP($B4299,予定表!$B:$B,予定表!K:K,"該当なし",0,1)</f>
        <v>0</v>
      </c>
    </row>
    <row r="4314" spans="1:12">
      <c r="A4314" s="195"/>
      <c r="B4314" s="195" t="s">
        <v>206</v>
      </c>
      <c r="C4314"/>
      <c r="D4314" s="197" t="s">
        <v>268</v>
      </c>
      <c r="E4314" s="197" t="s">
        <v>241</v>
      </c>
      <c r="F4314" s="197" t="s">
        <v>242</v>
      </c>
      <c r="G4314" s="197"/>
      <c r="H4314" s="197"/>
      <c r="I4314" s="209"/>
      <c r="K4314" s="228"/>
      <c r="L4314" s="207">
        <f>_xlfn.XLOOKUP($B4299,予定表!$B:$B,予定表!L:L,"該当なし",0,1)</f>
        <v>0</v>
      </c>
    </row>
    <row r="4315" spans="1:12" ht="15.75" thickBot="1">
      <c r="A4315" s="195"/>
      <c r="B4315" s="195" t="s">
        <v>207</v>
      </c>
      <c r="C4315"/>
      <c r="D4315" s="197" t="s">
        <v>268</v>
      </c>
      <c r="E4315" s="197"/>
      <c r="F4315" s="197"/>
      <c r="G4315" s="197"/>
      <c r="H4315" s="197"/>
      <c r="I4315" s="209"/>
      <c r="K4315" s="229"/>
      <c r="L4315" s="204" t="str">
        <f>_xlfn.XLOOKUP($A4296,ﾘｽﾄマスタ!$U$8:$U$17,ﾘｽﾄマスタ!$V$8:$V$17,"",0)</f>
        <v/>
      </c>
    </row>
    <row r="4316" spans="1:12" ht="15.75" thickBot="1">
      <c r="A4316" s="195"/>
      <c r="B4316" s="196" t="s">
        <v>251</v>
      </c>
      <c r="C4316"/>
      <c r="D4316" s="197" t="s">
        <v>268</v>
      </c>
      <c r="E4316" s="197" t="s">
        <v>244</v>
      </c>
      <c r="F4316" s="197"/>
      <c r="G4316" s="197"/>
      <c r="H4316" s="197"/>
      <c r="I4316" s="209"/>
      <c r="K4316" s="208" t="s">
        <v>277</v>
      </c>
      <c r="L4316" s="208" t="str">
        <f>_xlfn.XLOOKUP($B4299,シフト抽出!$19:$19,シフト抽出!$30:$30,"該当なし",0,1)</f>
        <v>該当なし</v>
      </c>
    </row>
    <row r="4317" spans="1:12">
      <c r="A4317" s="195"/>
      <c r="B4317" s="195" t="s">
        <v>205</v>
      </c>
      <c r="C4317"/>
      <c r="D4317" s="197" t="s">
        <v>515</v>
      </c>
      <c r="E4317" s="197" t="s">
        <v>244</v>
      </c>
      <c r="F4317" s="197"/>
      <c r="G4317" s="197"/>
      <c r="H4317" s="197"/>
      <c r="I4317" s="209"/>
    </row>
    <row r="4318" spans="1:12">
      <c r="A4318" s="195"/>
      <c r="B4318" s="195" t="s">
        <v>206</v>
      </c>
      <c r="C4318"/>
      <c r="D4318" s="197" t="s">
        <v>515</v>
      </c>
      <c r="E4318" s="197" t="s">
        <v>851</v>
      </c>
      <c r="F4318" s="197"/>
      <c r="G4318" s="197"/>
      <c r="H4318" s="197"/>
      <c r="I4318" s="209"/>
    </row>
    <row r="4319" spans="1:12">
      <c r="A4319" s="195"/>
      <c r="B4319" s="195" t="s">
        <v>207</v>
      </c>
      <c r="C4319"/>
      <c r="D4319" s="197" t="s">
        <v>114</v>
      </c>
      <c r="E4319" s="197" t="s">
        <v>851</v>
      </c>
      <c r="F4319" s="197"/>
      <c r="G4319" s="197"/>
      <c r="H4319" s="197"/>
      <c r="I4319" s="209"/>
    </row>
    <row r="4320" spans="1:12">
      <c r="A4320" s="195"/>
      <c r="B4320" s="196" t="s">
        <v>217</v>
      </c>
      <c r="C4320"/>
      <c r="D4320" s="197" t="s">
        <v>114</v>
      </c>
      <c r="E4320" s="197" t="s">
        <v>851</v>
      </c>
      <c r="F4320" s="197"/>
      <c r="G4320" s="197"/>
      <c r="H4320" s="197"/>
      <c r="I4320" s="209"/>
    </row>
    <row r="4321" spans="1:9">
      <c r="A4321" s="195"/>
      <c r="B4321" s="195" t="s">
        <v>205</v>
      </c>
      <c r="C4321"/>
      <c r="D4321" s="197" t="s">
        <v>114</v>
      </c>
      <c r="E4321" s="197" t="s">
        <v>851</v>
      </c>
      <c r="F4321" s="197"/>
      <c r="G4321" s="197"/>
      <c r="H4321" s="197"/>
      <c r="I4321" s="209"/>
    </row>
    <row r="4322" spans="1:9">
      <c r="A4322" s="195"/>
      <c r="B4322" s="195" t="s">
        <v>206</v>
      </c>
      <c r="C4322"/>
      <c r="D4322" s="197"/>
      <c r="E4322" s="197" t="s">
        <v>851</v>
      </c>
      <c r="F4322" s="197"/>
      <c r="G4322" s="197"/>
      <c r="H4322" s="197"/>
      <c r="I4322" s="209"/>
    </row>
    <row r="4323" spans="1:9">
      <c r="A4323" s="195"/>
      <c r="B4323" s="195" t="s">
        <v>207</v>
      </c>
      <c r="C4323"/>
      <c r="D4323" s="197"/>
      <c r="E4323" s="197" t="s">
        <v>851</v>
      </c>
      <c r="F4323" s="197"/>
      <c r="G4323" s="197"/>
      <c r="H4323" s="197"/>
      <c r="I4323" s="209"/>
    </row>
    <row r="4324" spans="1:9">
      <c r="A4324" s="195"/>
      <c r="B4324" s="196" t="s">
        <v>219</v>
      </c>
      <c r="C4324"/>
      <c r="D4324" s="197"/>
      <c r="E4324" s="197" t="s">
        <v>851</v>
      </c>
      <c r="F4324" s="197"/>
      <c r="G4324" s="197"/>
      <c r="H4324" s="197"/>
      <c r="I4324" s="209"/>
    </row>
    <row r="4325" spans="1:9">
      <c r="A4325" s="195"/>
      <c r="B4325" s="195" t="s">
        <v>205</v>
      </c>
      <c r="C4325"/>
      <c r="D4325" s="197"/>
      <c r="E4325" s="197" t="s">
        <v>851</v>
      </c>
      <c r="F4325" s="197"/>
      <c r="G4325" s="197"/>
      <c r="H4325" s="197"/>
      <c r="I4325" s="209"/>
    </row>
    <row r="4326" spans="1:9">
      <c r="A4326" s="195"/>
      <c r="B4326" s="195" t="s">
        <v>206</v>
      </c>
      <c r="C4326"/>
      <c r="D4326" s="197"/>
      <c r="E4326" s="197" t="s">
        <v>851</v>
      </c>
      <c r="F4326" s="197"/>
      <c r="G4326" s="197"/>
      <c r="H4326" s="197"/>
      <c r="I4326" s="209"/>
    </row>
    <row r="4327" spans="1:9">
      <c r="A4327" s="195"/>
      <c r="B4327" s="195" t="s">
        <v>207</v>
      </c>
      <c r="C4327"/>
      <c r="D4327" s="197"/>
      <c r="E4327" s="197"/>
      <c r="F4327" s="197"/>
      <c r="G4327" s="197"/>
      <c r="H4327" s="197"/>
      <c r="I4327" s="209"/>
    </row>
    <row r="4328" spans="1:9">
      <c r="A4328" s="195"/>
      <c r="B4328" s="196" t="s">
        <v>220</v>
      </c>
      <c r="C4328"/>
      <c r="D4328" s="197" t="s">
        <v>7</v>
      </c>
      <c r="E4328" s="197" t="s">
        <v>7</v>
      </c>
      <c r="F4328" s="197"/>
      <c r="G4328" s="197"/>
      <c r="H4328" s="197"/>
      <c r="I4328" s="209"/>
    </row>
    <row r="4329" spans="1:9">
      <c r="A4329" s="195"/>
      <c r="B4329" s="195" t="s">
        <v>205</v>
      </c>
      <c r="C4329"/>
      <c r="D4329" s="197" t="s">
        <v>886</v>
      </c>
      <c r="E4329" s="197" t="s">
        <v>228</v>
      </c>
      <c r="F4329" s="197"/>
      <c r="G4329" s="197"/>
      <c r="H4329" s="197"/>
      <c r="I4329" s="209"/>
    </row>
    <row r="4330" spans="1:9">
      <c r="A4330" s="195"/>
      <c r="B4330" s="195" t="s">
        <v>206</v>
      </c>
      <c r="C4330"/>
      <c r="D4330" s="197" t="s">
        <v>886</v>
      </c>
      <c r="E4330" s="197" t="s">
        <v>228</v>
      </c>
      <c r="F4330" s="197"/>
      <c r="G4330" s="197"/>
      <c r="H4330" s="197"/>
      <c r="I4330" s="209"/>
    </row>
    <row r="4331" spans="1:9">
      <c r="A4331" s="195"/>
      <c r="B4331" s="195" t="s">
        <v>207</v>
      </c>
      <c r="C4331"/>
      <c r="D4331" s="197" t="s">
        <v>886</v>
      </c>
      <c r="E4331" s="197" t="s">
        <v>228</v>
      </c>
      <c r="F4331" s="197"/>
      <c r="G4331" s="197"/>
      <c r="H4331" s="197"/>
      <c r="I4331" s="209"/>
    </row>
    <row r="4332" spans="1:9">
      <c r="A4332" s="195"/>
      <c r="B4332" s="196" t="s">
        <v>222</v>
      </c>
      <c r="C4332"/>
      <c r="D4332" s="197" t="s">
        <v>886</v>
      </c>
      <c r="E4332" s="197" t="s">
        <v>228</v>
      </c>
      <c r="F4332" s="197"/>
      <c r="G4332" s="197"/>
      <c r="H4332" s="197"/>
      <c r="I4332" s="209"/>
    </row>
    <row r="4333" spans="1:9">
      <c r="A4333" s="195"/>
      <c r="B4333" s="195" t="s">
        <v>205</v>
      </c>
      <c r="C4333"/>
      <c r="D4333" s="197"/>
      <c r="E4333" s="197" t="s">
        <v>228</v>
      </c>
      <c r="F4333" s="197"/>
      <c r="G4333" s="197"/>
      <c r="H4333" s="197"/>
      <c r="I4333" s="209"/>
    </row>
    <row r="4334" spans="1:9">
      <c r="A4334" s="195"/>
      <c r="B4334" s="195" t="s">
        <v>206</v>
      </c>
      <c r="C4334"/>
      <c r="D4334" s="197" t="s">
        <v>270</v>
      </c>
      <c r="E4334" s="197" t="s">
        <v>228</v>
      </c>
      <c r="F4334" s="197"/>
      <c r="G4334" s="197"/>
      <c r="H4334" s="197"/>
      <c r="I4334" s="209"/>
    </row>
    <row r="4335" spans="1:9">
      <c r="A4335" s="195"/>
      <c r="B4335" s="195" t="s">
        <v>207</v>
      </c>
      <c r="C4335"/>
      <c r="D4335" s="197" t="s">
        <v>270</v>
      </c>
      <c r="E4335" s="197" t="s">
        <v>228</v>
      </c>
      <c r="F4335" s="197"/>
      <c r="G4335" s="197"/>
      <c r="H4335" s="197"/>
      <c r="I4335" s="209"/>
    </row>
    <row r="4336" spans="1:9">
      <c r="A4336" s="195"/>
      <c r="B4336" s="196" t="s">
        <v>223</v>
      </c>
      <c r="C4336"/>
      <c r="D4336" s="197" t="s">
        <v>270</v>
      </c>
      <c r="E4336" s="197" t="s">
        <v>228</v>
      </c>
      <c r="F4336" s="197"/>
      <c r="G4336" s="197"/>
      <c r="H4336" s="197"/>
      <c r="I4336" s="209"/>
    </row>
    <row r="4337" spans="1:12">
      <c r="A4337" s="195"/>
      <c r="B4337" s="195" t="s">
        <v>205</v>
      </c>
      <c r="C4337"/>
      <c r="D4337" s="197" t="s">
        <v>270</v>
      </c>
      <c r="E4337" s="197" t="s">
        <v>273</v>
      </c>
      <c r="F4337" s="197"/>
      <c r="G4337" s="197"/>
      <c r="H4337" s="197"/>
      <c r="I4337" s="209"/>
    </row>
    <row r="4338" spans="1:12">
      <c r="A4338" s="195"/>
      <c r="B4338" s="195" t="s">
        <v>206</v>
      </c>
      <c r="C4338"/>
      <c r="D4338" s="197" t="s">
        <v>270</v>
      </c>
      <c r="E4338" s="197" t="s">
        <v>273</v>
      </c>
      <c r="F4338" s="197"/>
      <c r="G4338" s="197"/>
      <c r="H4338" s="197"/>
      <c r="I4338" s="209"/>
    </row>
    <row r="4339" spans="1:12">
      <c r="A4339" s="195"/>
      <c r="B4339" s="195" t="s">
        <v>207</v>
      </c>
      <c r="C4339"/>
      <c r="D4339" s="197" t="s">
        <v>270</v>
      </c>
      <c r="E4339" s="197" t="s">
        <v>273</v>
      </c>
      <c r="F4339" s="197"/>
      <c r="G4339" s="197"/>
      <c r="H4339" s="197"/>
      <c r="I4339" s="209"/>
    </row>
    <row r="4340" spans="1:12">
      <c r="A4340" s="195"/>
      <c r="B4340" s="196" t="s">
        <v>225</v>
      </c>
      <c r="C4340"/>
      <c r="D4340" s="197" t="s">
        <v>270</v>
      </c>
      <c r="E4340" s="197" t="s">
        <v>263</v>
      </c>
      <c r="F4340" s="197"/>
      <c r="G4340" s="197"/>
      <c r="H4340" s="197"/>
      <c r="I4340" s="209"/>
    </row>
    <row r="4341" spans="1:12">
      <c r="A4341" s="195"/>
      <c r="B4341" s="195" t="s">
        <v>205</v>
      </c>
      <c r="C4341"/>
      <c r="D4341" s="197" t="s">
        <v>270</v>
      </c>
      <c r="E4341" s="197" t="s">
        <v>263</v>
      </c>
      <c r="F4341" s="197"/>
      <c r="G4341" s="197"/>
      <c r="H4341" s="209"/>
      <c r="I4341" s="209"/>
    </row>
    <row r="4342" spans="1:12">
      <c r="A4342" s="195"/>
      <c r="B4342" s="195" t="s">
        <v>206</v>
      </c>
      <c r="C4342"/>
      <c r="D4342" s="197" t="s">
        <v>270</v>
      </c>
      <c r="E4342" s="197" t="s">
        <v>263</v>
      </c>
      <c r="F4342" s="197"/>
      <c r="G4342" s="197"/>
      <c r="H4342" s="209"/>
      <c r="I4342" s="209"/>
    </row>
    <row r="4343" spans="1:12">
      <c r="A4343" s="195"/>
      <c r="B4343" s="195" t="s">
        <v>207</v>
      </c>
      <c r="C4343"/>
      <c r="D4343" s="197" t="s">
        <v>270</v>
      </c>
      <c r="E4343" s="197" t="s">
        <v>263</v>
      </c>
      <c r="F4343" s="197"/>
      <c r="G4343" s="197"/>
      <c r="H4343" s="209"/>
      <c r="I4343" s="209"/>
    </row>
    <row r="4344" spans="1:12">
      <c r="A4344" s="195"/>
      <c r="B4344" s="196" t="s">
        <v>226</v>
      </c>
      <c r="C4344"/>
      <c r="D4344" s="197"/>
      <c r="E4344" s="197"/>
      <c r="F4344" s="197"/>
      <c r="G4344" s="197"/>
      <c r="H4344" s="209"/>
      <c r="I4344" s="209"/>
    </row>
    <row r="4345" spans="1:12">
      <c r="A4345" s="195"/>
      <c r="B4345" s="195" t="s">
        <v>205</v>
      </c>
      <c r="C4345"/>
      <c r="D4345" s="197"/>
      <c r="E4345" s="197"/>
      <c r="F4345" s="197"/>
      <c r="G4345" s="197"/>
      <c r="H4345" s="209"/>
      <c r="I4345" s="209"/>
    </row>
    <row r="4346" spans="1:12">
      <c r="A4346" s="195"/>
      <c r="B4346" s="195" t="s">
        <v>206</v>
      </c>
      <c r="C4346"/>
      <c r="D4346" s="197"/>
      <c r="E4346" s="197"/>
      <c r="F4346" s="197"/>
      <c r="G4346" s="197"/>
      <c r="H4346" s="209"/>
      <c r="I4346" s="209"/>
    </row>
    <row r="4347" spans="1:12">
      <c r="A4347" s="195"/>
      <c r="B4347" s="195" t="s">
        <v>207</v>
      </c>
      <c r="C4347"/>
      <c r="D4347" s="197"/>
      <c r="E4347" s="197"/>
      <c r="F4347" s="197"/>
      <c r="G4347" s="197"/>
      <c r="H4347" s="209"/>
      <c r="I4347" s="209"/>
    </row>
    <row r="4348" spans="1:12">
      <c r="A4348" s="195"/>
      <c r="B4348" s="196" t="s">
        <v>227</v>
      </c>
      <c r="C4348"/>
      <c r="D4348" s="197"/>
      <c r="E4348" s="197"/>
      <c r="F4348" s="197"/>
      <c r="G4348" s="197"/>
      <c r="H4348" s="209"/>
      <c r="I4348" s="209"/>
      <c r="K4348"/>
    </row>
    <row r="4349" spans="1:12" ht="29.25" thickBot="1">
      <c r="A4349" s="182" t="str">
        <f>"回収シフト  第"&amp;ROUNDUP(DAY(B4352)/7,0)  &amp;"  "&amp;TEXT(B4352,"aaaa")</f>
        <v>回収シフト  第1  月曜日</v>
      </c>
      <c r="B4349" s="183"/>
      <c r="C4349" s="183"/>
      <c r="D4349" s="183"/>
      <c r="E4349" s="183"/>
      <c r="F4349" s="183"/>
      <c r="G4349" s="184"/>
      <c r="H4349" s="184"/>
      <c r="I4349" s="184"/>
      <c r="K4349" s="183"/>
      <c r="L4349" s="183"/>
    </row>
    <row r="4350" spans="1:12" ht="15.75" thickBot="1">
      <c r="A4350"/>
      <c r="B4350"/>
      <c r="C4350"/>
      <c r="D4350" s="186" t="s">
        <v>201</v>
      </c>
      <c r="E4350" s="186" t="s">
        <v>202</v>
      </c>
      <c r="F4350" s="186" t="s">
        <v>203</v>
      </c>
      <c r="G4350" s="186" t="s">
        <v>204</v>
      </c>
      <c r="H4350" s="186" t="s">
        <v>267</v>
      </c>
      <c r="I4350" s="217" t="s">
        <v>267</v>
      </c>
      <c r="K4350" s="230" t="s">
        <v>257</v>
      </c>
      <c r="L4350" s="231"/>
    </row>
    <row r="4351" spans="1:12">
      <c r="A4351" s="187"/>
      <c r="B4351" s="188">
        <v>45495</v>
      </c>
      <c r="C4351" s="187"/>
      <c r="D4351" s="189" t="s">
        <v>276</v>
      </c>
      <c r="E4351" s="189" t="s">
        <v>858</v>
      </c>
      <c r="F4351" s="189" t="s">
        <v>857</v>
      </c>
      <c r="G4351" s="189" t="s">
        <v>874</v>
      </c>
      <c r="H4351" s="189" t="s">
        <v>852</v>
      </c>
      <c r="I4351" s="218" t="s">
        <v>852</v>
      </c>
      <c r="K4351" s="232" t="s">
        <v>258</v>
      </c>
      <c r="L4351" s="190" t="str">
        <f>_xlfn.XLOOKUP($B4352,シフト抽出!$19:$19,シフト抽出!$20:$20,"該当なし",0,1)</f>
        <v>該当なし</v>
      </c>
    </row>
    <row r="4352" spans="1:12" ht="19.5" thickBot="1">
      <c r="A4352"/>
      <c r="B4352" s="191">
        <f>B4299+2</f>
        <v>46209</v>
      </c>
      <c r="C4352" s="192" t="e">
        <v>#REF!</v>
      </c>
      <c r="D4352" s="193"/>
      <c r="E4352" s="193"/>
      <c r="F4352" s="193"/>
      <c r="G4352" s="193"/>
      <c r="H4352" s="193"/>
      <c r="I4352" s="219"/>
      <c r="K4352" s="233"/>
      <c r="L4352" s="194" t="str">
        <f>_xlfn.XLOOKUP($B4352,シフト抽出!$19:$19,シフト抽出!$21:$21,"該当なし",0,1)</f>
        <v>該当なし</v>
      </c>
    </row>
    <row r="4353" spans="1:12">
      <c r="A4353" s="195"/>
      <c r="B4353" s="196">
        <v>0.25</v>
      </c>
      <c r="C4353"/>
      <c r="D4353" s="197"/>
      <c r="E4353" s="196"/>
      <c r="F4353" s="197"/>
      <c r="G4353" s="197"/>
      <c r="H4353" s="197"/>
      <c r="I4353" s="209"/>
      <c r="K4353" s="234" t="s">
        <v>259</v>
      </c>
      <c r="L4353" s="198" t="str">
        <f>_xlfn.XLOOKUP($B4352,シフト抽出!$19:$19,シフト抽出!$23:$23,"該当なし",0,1)</f>
        <v>該当なし</v>
      </c>
    </row>
    <row r="4354" spans="1:12" ht="15.75" thickBot="1">
      <c r="A4354" s="195"/>
      <c r="B4354" s="195" t="s">
        <v>205</v>
      </c>
      <c r="C4354"/>
      <c r="D4354" s="197"/>
      <c r="E4354" s="197"/>
      <c r="F4354" s="197"/>
      <c r="G4354" s="197"/>
      <c r="H4354" s="197"/>
      <c r="I4354" s="209"/>
      <c r="K4354" s="235"/>
      <c r="L4354" s="199" t="str">
        <f>_xlfn.XLOOKUP($B4352,シフト抽出!$19:$19,シフト抽出!$24:$24,"該当なし",0,1)</f>
        <v>該当なし</v>
      </c>
    </row>
    <row r="4355" spans="1:12">
      <c r="A4355" s="195"/>
      <c r="B4355" s="195" t="s">
        <v>206</v>
      </c>
      <c r="C4355"/>
      <c r="D4355" s="197"/>
      <c r="E4355" s="197" t="s">
        <v>860</v>
      </c>
      <c r="F4355" s="197"/>
      <c r="G4355" s="197"/>
      <c r="H4355" s="197"/>
      <c r="I4355" s="209"/>
      <c r="K4355" s="224" t="s">
        <v>260</v>
      </c>
      <c r="L4355" s="200" t="str">
        <f>_xlfn.XLOOKUP($B4352,シフト抽出!$19:$19,シフト抽出!$26:$26,"該当なし",0,1)</f>
        <v>該当なし</v>
      </c>
    </row>
    <row r="4356" spans="1:12">
      <c r="A4356" s="195"/>
      <c r="B4356" s="195" t="s">
        <v>207</v>
      </c>
      <c r="C4356"/>
      <c r="D4356" s="197"/>
      <c r="E4356" s="197"/>
      <c r="F4356" s="197"/>
      <c r="G4356" s="197"/>
      <c r="H4356" s="197"/>
      <c r="I4356" s="209"/>
      <c r="K4356" s="225"/>
      <c r="L4356" s="201" t="str">
        <f>_xlfn.XLOOKUP($B4352,シフト抽出!$19:$19,シフト抽出!$27:$27,"該当なし",0,1)</f>
        <v>該当なし</v>
      </c>
    </row>
    <row r="4357" spans="1:12">
      <c r="A4357" s="195"/>
      <c r="B4357" s="202" t="s">
        <v>208</v>
      </c>
      <c r="C4357"/>
      <c r="D4357" s="197"/>
      <c r="E4357" s="197" t="s">
        <v>414</v>
      </c>
      <c r="F4357" s="197"/>
      <c r="G4357" s="197" t="s">
        <v>793</v>
      </c>
      <c r="H4357" s="197"/>
      <c r="I4357" s="209"/>
      <c r="J4357" s="203"/>
      <c r="K4357" s="225"/>
      <c r="L4357" s="201" t="str">
        <f>_xlfn.XLOOKUP($B4352,シフト抽出!$19:$19,シフト抽出!$28:$28,"該当なし",0,1)</f>
        <v>該当なし</v>
      </c>
    </row>
    <row r="4358" spans="1:12" ht="15.75" thickBot="1">
      <c r="A4358" s="195"/>
      <c r="B4358" s="195" t="s">
        <v>205</v>
      </c>
      <c r="C4358"/>
      <c r="D4358" s="197"/>
      <c r="E4358" s="197" t="s">
        <v>414</v>
      </c>
      <c r="F4358" s="197"/>
      <c r="G4358" s="197" t="s">
        <v>793</v>
      </c>
      <c r="H4358" s="197"/>
      <c r="I4358" s="209"/>
      <c r="J4358" s="203"/>
      <c r="K4358" s="226"/>
      <c r="L4358" s="204" t="str">
        <f>_xlfn.XLOOKUP($B4352,シフト抽出!$19:$19,シフト抽出!$29:$29,"該当なし",0,1)</f>
        <v>該当なし</v>
      </c>
    </row>
    <row r="4359" spans="1:12" ht="15.75" thickBot="1">
      <c r="A4359" s="195"/>
      <c r="B4359" s="195" t="s">
        <v>206</v>
      </c>
      <c r="C4359"/>
      <c r="D4359" s="197"/>
      <c r="E4359" s="197" t="s">
        <v>414</v>
      </c>
      <c r="F4359" s="197"/>
      <c r="G4359" s="197" t="s">
        <v>119</v>
      </c>
      <c r="H4359" s="197"/>
      <c r="I4359" s="209"/>
      <c r="K4359" s="205" t="s">
        <v>261</v>
      </c>
      <c r="L4359" s="205">
        <f>_xlfn.XLOOKUP($B4352,予定表!B:B,予定表!R:R,"該当なし",0,1)</f>
        <v>0</v>
      </c>
    </row>
    <row r="4360" spans="1:12">
      <c r="A4360" s="195"/>
      <c r="B4360" s="195" t="s">
        <v>207</v>
      </c>
      <c r="C4360"/>
      <c r="D4360" s="197"/>
      <c r="E4360" s="197" t="s">
        <v>414</v>
      </c>
      <c r="F4360" s="197"/>
      <c r="G4360" s="197" t="s">
        <v>119</v>
      </c>
      <c r="H4360" s="197"/>
      <c r="I4360" s="209"/>
      <c r="K4360" s="227" t="s">
        <v>262</v>
      </c>
      <c r="L4360" s="206">
        <f>_xlfn.XLOOKUP($B4352,予定表!$B:$B,予定表!E:E,"該当なし",0,1)</f>
        <v>0</v>
      </c>
    </row>
    <row r="4361" spans="1:12">
      <c r="A4361" s="195"/>
      <c r="B4361" s="196" t="s">
        <v>209</v>
      </c>
      <c r="C4361"/>
      <c r="D4361" s="197" t="s">
        <v>264</v>
      </c>
      <c r="E4361" s="197" t="s">
        <v>414</v>
      </c>
      <c r="F4361" s="197" t="s">
        <v>851</v>
      </c>
      <c r="G4361" s="197" t="s">
        <v>268</v>
      </c>
      <c r="H4361" s="197" t="s">
        <v>848</v>
      </c>
      <c r="I4361" s="209" t="s">
        <v>848</v>
      </c>
      <c r="K4361" s="228"/>
      <c r="L4361" s="207">
        <f>_xlfn.XLOOKUP($B4352,予定表!$B:$B,予定表!F:F,"該当なし",0,1)</f>
        <v>0</v>
      </c>
    </row>
    <row r="4362" spans="1:12">
      <c r="A4362" s="195"/>
      <c r="B4362" s="195" t="s">
        <v>205</v>
      </c>
      <c r="C4362"/>
      <c r="D4362" s="197" t="s">
        <v>119</v>
      </c>
      <c r="E4362" s="197" t="s">
        <v>414</v>
      </c>
      <c r="F4362" s="197" t="s">
        <v>851</v>
      </c>
      <c r="G4362" s="197" t="s">
        <v>268</v>
      </c>
      <c r="H4362" s="197" t="s">
        <v>848</v>
      </c>
      <c r="I4362" s="209" t="s">
        <v>848</v>
      </c>
      <c r="K4362" s="228"/>
      <c r="L4362" s="207" t="str">
        <f>_xlfn.XLOOKUP($B4352,予定表!$B:$B,予定表!G:G,"該当なし",0,1)</f>
        <v>ディーミング</v>
      </c>
    </row>
    <row r="4363" spans="1:12">
      <c r="A4363" s="195"/>
      <c r="B4363" s="195" t="s">
        <v>206</v>
      </c>
      <c r="C4363"/>
      <c r="D4363" s="197" t="s">
        <v>119</v>
      </c>
      <c r="E4363" s="197" t="s">
        <v>414</v>
      </c>
      <c r="F4363" s="197" t="s">
        <v>851</v>
      </c>
      <c r="G4363" s="197" t="s">
        <v>515</v>
      </c>
      <c r="H4363" s="197" t="s">
        <v>848</v>
      </c>
      <c r="I4363" s="209" t="s">
        <v>848</v>
      </c>
      <c r="K4363" s="228"/>
      <c r="L4363" s="207">
        <f>_xlfn.XLOOKUP($B4352,予定表!$B:$B,予定表!H:H,"該当なし",0,1)</f>
        <v>0</v>
      </c>
    </row>
    <row r="4364" spans="1:12">
      <c r="A4364" s="195"/>
      <c r="B4364" s="195" t="s">
        <v>207</v>
      </c>
      <c r="C4364"/>
      <c r="D4364" s="197" t="s">
        <v>278</v>
      </c>
      <c r="E4364" s="197" t="s">
        <v>862</v>
      </c>
      <c r="F4364" s="197" t="s">
        <v>851</v>
      </c>
      <c r="G4364" s="197" t="s">
        <v>515</v>
      </c>
      <c r="H4364" s="197" t="s">
        <v>848</v>
      </c>
      <c r="I4364" s="209" t="s">
        <v>848</v>
      </c>
      <c r="K4364" s="228"/>
      <c r="L4364" s="207">
        <f>_xlfn.XLOOKUP($B4352,予定表!$B:$B,予定表!I:I,"該当なし",0,1)</f>
        <v>0</v>
      </c>
    </row>
    <row r="4365" spans="1:12">
      <c r="A4365" s="195"/>
      <c r="B4365" s="196" t="s">
        <v>212</v>
      </c>
      <c r="C4365"/>
      <c r="D4365" s="197" t="s">
        <v>213</v>
      </c>
      <c r="E4365" s="197" t="s">
        <v>862</v>
      </c>
      <c r="F4365" s="197" t="s">
        <v>851</v>
      </c>
      <c r="G4365" s="197" t="s">
        <v>269</v>
      </c>
      <c r="H4365" s="197" t="s">
        <v>848</v>
      </c>
      <c r="I4365" s="209" t="s">
        <v>848</v>
      </c>
      <c r="K4365" s="228"/>
      <c r="L4365" s="207">
        <f>_xlfn.XLOOKUP($B4352,予定表!$B:$B,予定表!J:J,"該当なし",0,1)</f>
        <v>0</v>
      </c>
    </row>
    <row r="4366" spans="1:12">
      <c r="A4366" s="195"/>
      <c r="B4366" s="195" t="s">
        <v>205</v>
      </c>
      <c r="C4366"/>
      <c r="D4366" s="197" t="s">
        <v>144</v>
      </c>
      <c r="E4366" s="197" t="s">
        <v>214</v>
      </c>
      <c r="F4366" s="197" t="s">
        <v>851</v>
      </c>
      <c r="G4366" s="197" t="s">
        <v>269</v>
      </c>
      <c r="H4366" s="197" t="s">
        <v>848</v>
      </c>
      <c r="I4366" s="209" t="s">
        <v>848</v>
      </c>
      <c r="K4366" s="228"/>
      <c r="L4366" s="207">
        <f>_xlfn.XLOOKUP($B4352,予定表!$B:$B,予定表!K:K,"該当なし",0,1)</f>
        <v>0</v>
      </c>
    </row>
    <row r="4367" spans="1:12">
      <c r="A4367" s="195"/>
      <c r="B4367" s="195" t="s">
        <v>206</v>
      </c>
      <c r="C4367"/>
      <c r="D4367" s="197" t="s">
        <v>144</v>
      </c>
      <c r="E4367" s="197" t="s">
        <v>214</v>
      </c>
      <c r="F4367" s="197"/>
      <c r="G4367" s="197" t="s">
        <v>269</v>
      </c>
      <c r="H4367" s="197" t="s">
        <v>848</v>
      </c>
      <c r="I4367" s="209" t="s">
        <v>848</v>
      </c>
      <c r="K4367" s="228"/>
      <c r="L4367" s="207">
        <f>_xlfn.XLOOKUP($B4352,予定表!$B:$B,予定表!L:L,"該当なし",0,1)</f>
        <v>0</v>
      </c>
    </row>
    <row r="4368" spans="1:12" ht="15.75" thickBot="1">
      <c r="A4368" s="195"/>
      <c r="B4368" s="195" t="s">
        <v>207</v>
      </c>
      <c r="C4368"/>
      <c r="D4368" s="197" t="s">
        <v>218</v>
      </c>
      <c r="E4368" s="197" t="s">
        <v>214</v>
      </c>
      <c r="F4368" s="197"/>
      <c r="G4368" s="197" t="s">
        <v>269</v>
      </c>
      <c r="H4368" s="197" t="s">
        <v>848</v>
      </c>
      <c r="I4368" s="209" t="s">
        <v>848</v>
      </c>
      <c r="K4368" s="229"/>
      <c r="L4368" s="204" t="str">
        <f>_xlfn.XLOOKUP($A4349,ﾘｽﾄマスタ!$U$8:$U$17,ﾘｽﾄマスタ!$V$8:$V$17,"",0)</f>
        <v>㈱ｱｸﾃｨｵ・春うららか</v>
      </c>
    </row>
    <row r="4369" spans="1:12" ht="15.75" thickBot="1">
      <c r="A4369" s="195"/>
      <c r="B4369" s="196" t="s">
        <v>251</v>
      </c>
      <c r="C4369"/>
      <c r="D4369" s="197" t="s">
        <v>78</v>
      </c>
      <c r="E4369" s="197" t="s">
        <v>214</v>
      </c>
      <c r="F4369" s="197"/>
      <c r="G4369" s="197" t="s">
        <v>446</v>
      </c>
      <c r="H4369" s="197" t="s">
        <v>848</v>
      </c>
      <c r="I4369" s="209" t="s">
        <v>848</v>
      </c>
      <c r="K4369" s="208" t="s">
        <v>277</v>
      </c>
      <c r="L4369" s="208" t="str">
        <f>_xlfn.XLOOKUP($B4352,シフト抽出!$19:$19,シフト抽出!$30:$30,"該当なし",0,1)</f>
        <v>該当なし</v>
      </c>
    </row>
    <row r="4370" spans="1:12">
      <c r="A4370" s="195"/>
      <c r="B4370" s="195" t="s">
        <v>205</v>
      </c>
      <c r="C4370"/>
      <c r="D4370" s="197" t="s">
        <v>78</v>
      </c>
      <c r="E4370" s="197" t="s">
        <v>761</v>
      </c>
      <c r="F4370" s="197"/>
      <c r="G4370" s="197" t="s">
        <v>446</v>
      </c>
      <c r="H4370" s="197" t="s">
        <v>229</v>
      </c>
      <c r="I4370" s="209" t="s">
        <v>229</v>
      </c>
    </row>
    <row r="4371" spans="1:12">
      <c r="A4371" s="195"/>
      <c r="B4371" s="195" t="s">
        <v>206</v>
      </c>
      <c r="C4371"/>
      <c r="D4371" s="197" t="s">
        <v>146</v>
      </c>
      <c r="E4371" s="197" t="s">
        <v>761</v>
      </c>
      <c r="F4371" s="197"/>
      <c r="G4371" s="197" t="s">
        <v>114</v>
      </c>
      <c r="H4371" s="197" t="s">
        <v>229</v>
      </c>
      <c r="I4371" s="209" t="s">
        <v>229</v>
      </c>
    </row>
    <row r="4372" spans="1:12">
      <c r="A4372" s="195"/>
      <c r="B4372" s="195" t="s">
        <v>207</v>
      </c>
      <c r="C4372"/>
      <c r="D4372" s="197" t="s">
        <v>146</v>
      </c>
      <c r="E4372" s="197" t="s">
        <v>761</v>
      </c>
      <c r="F4372" s="197"/>
      <c r="G4372" s="197" t="s">
        <v>114</v>
      </c>
      <c r="H4372" s="197" t="s">
        <v>229</v>
      </c>
      <c r="I4372" s="209" t="s">
        <v>229</v>
      </c>
    </row>
    <row r="4373" spans="1:12">
      <c r="A4373" s="195"/>
      <c r="B4373" s="196" t="s">
        <v>217</v>
      </c>
      <c r="C4373"/>
      <c r="D4373" s="197" t="s">
        <v>264</v>
      </c>
      <c r="E4373" s="197" t="s">
        <v>416</v>
      </c>
      <c r="F4373" s="197"/>
      <c r="G4373" s="197" t="s">
        <v>51</v>
      </c>
      <c r="H4373" s="197" t="s">
        <v>230</v>
      </c>
      <c r="I4373" s="209" t="s">
        <v>230</v>
      </c>
    </row>
    <row r="4374" spans="1:12">
      <c r="A4374" s="195"/>
      <c r="B4374" s="195" t="s">
        <v>205</v>
      </c>
      <c r="C4374"/>
      <c r="D4374" s="197" t="s">
        <v>224</v>
      </c>
      <c r="E4374" s="197" t="s">
        <v>771</v>
      </c>
      <c r="F4374" s="197"/>
      <c r="G4374" s="197" t="s">
        <v>51</v>
      </c>
      <c r="H4374" s="197" t="s">
        <v>230</v>
      </c>
      <c r="I4374" s="209" t="s">
        <v>230</v>
      </c>
    </row>
    <row r="4375" spans="1:12">
      <c r="A4375" s="195"/>
      <c r="B4375" s="195" t="s">
        <v>206</v>
      </c>
      <c r="C4375"/>
      <c r="D4375" s="197" t="s">
        <v>224</v>
      </c>
      <c r="E4375" s="197" t="s">
        <v>416</v>
      </c>
      <c r="F4375" s="197"/>
      <c r="G4375" s="197" t="s">
        <v>51</v>
      </c>
      <c r="H4375" s="197" t="s">
        <v>230</v>
      </c>
      <c r="I4375" s="209" t="s">
        <v>230</v>
      </c>
    </row>
    <row r="4376" spans="1:12">
      <c r="A4376" s="195"/>
      <c r="B4376" s="195" t="s">
        <v>207</v>
      </c>
      <c r="C4376"/>
      <c r="D4376" s="197" t="s">
        <v>224</v>
      </c>
      <c r="E4376" s="197" t="s">
        <v>416</v>
      </c>
      <c r="F4376" s="197"/>
      <c r="G4376" s="197"/>
      <c r="H4376" s="197" t="s">
        <v>230</v>
      </c>
      <c r="I4376" s="209" t="s">
        <v>230</v>
      </c>
    </row>
    <row r="4377" spans="1:12">
      <c r="A4377" s="195"/>
      <c r="B4377" s="196" t="s">
        <v>219</v>
      </c>
      <c r="C4377"/>
      <c r="D4377" s="197" t="s">
        <v>865</v>
      </c>
      <c r="E4377" s="197" t="s">
        <v>416</v>
      </c>
      <c r="F4377" s="197"/>
      <c r="G4377" s="197"/>
      <c r="H4377" s="197" t="s">
        <v>230</v>
      </c>
      <c r="I4377" s="209" t="s">
        <v>230</v>
      </c>
    </row>
    <row r="4378" spans="1:12">
      <c r="A4378" s="195"/>
      <c r="B4378" s="195" t="s">
        <v>205</v>
      </c>
      <c r="C4378"/>
      <c r="D4378" s="197" t="s">
        <v>866</v>
      </c>
      <c r="E4378" s="197"/>
      <c r="F4378" s="197"/>
      <c r="G4378" s="197"/>
      <c r="H4378" s="197" t="s">
        <v>230</v>
      </c>
      <c r="I4378" s="209" t="s">
        <v>230</v>
      </c>
    </row>
    <row r="4379" spans="1:12">
      <c r="A4379" s="195"/>
      <c r="B4379" s="195" t="s">
        <v>206</v>
      </c>
      <c r="C4379"/>
      <c r="D4379" s="197"/>
      <c r="E4379" s="197"/>
      <c r="F4379" s="197"/>
      <c r="G4379" s="197"/>
      <c r="H4379" s="197"/>
      <c r="I4379" s="209"/>
    </row>
    <row r="4380" spans="1:12">
      <c r="A4380" s="195"/>
      <c r="B4380" s="195" t="s">
        <v>207</v>
      </c>
      <c r="C4380"/>
      <c r="D4380" s="197"/>
      <c r="E4380" s="197"/>
      <c r="F4380" s="197"/>
      <c r="G4380" s="197"/>
      <c r="H4380" s="197"/>
      <c r="I4380" s="209"/>
    </row>
    <row r="4381" spans="1:12">
      <c r="A4381" s="195"/>
      <c r="B4381" s="196" t="s">
        <v>220</v>
      </c>
      <c r="C4381"/>
      <c r="D4381" s="189" t="s">
        <v>923</v>
      </c>
      <c r="E4381" s="189"/>
      <c r="F4381" s="189"/>
      <c r="G4381" s="189" t="s">
        <v>867</v>
      </c>
      <c r="H4381" s="189"/>
      <c r="I4381" s="218"/>
    </row>
    <row r="4382" spans="1:12">
      <c r="A4382" s="195"/>
      <c r="B4382" s="195" t="s">
        <v>205</v>
      </c>
      <c r="C4382"/>
      <c r="D4382" s="197" t="s">
        <v>759</v>
      </c>
      <c r="E4382" s="197" t="s">
        <v>848</v>
      </c>
      <c r="F4382" s="189"/>
      <c r="G4382" s="197" t="s">
        <v>56</v>
      </c>
      <c r="H4382" s="197" t="s">
        <v>415</v>
      </c>
      <c r="I4382" s="209" t="s">
        <v>415</v>
      </c>
    </row>
    <row r="4383" spans="1:12">
      <c r="A4383" s="195"/>
      <c r="B4383" s="195" t="s">
        <v>206</v>
      </c>
      <c r="C4383"/>
      <c r="D4383" s="197" t="s">
        <v>759</v>
      </c>
      <c r="E4383" s="197" t="s">
        <v>848</v>
      </c>
      <c r="F4383" s="189"/>
      <c r="G4383" s="197" t="s">
        <v>56</v>
      </c>
      <c r="H4383" s="197" t="s">
        <v>415</v>
      </c>
      <c r="I4383" s="209" t="s">
        <v>415</v>
      </c>
    </row>
    <row r="4384" spans="1:12">
      <c r="A4384" s="195"/>
      <c r="B4384" s="195" t="s">
        <v>207</v>
      </c>
      <c r="C4384"/>
      <c r="D4384" s="197" t="s">
        <v>759</v>
      </c>
      <c r="E4384" s="197" t="s">
        <v>848</v>
      </c>
      <c r="F4384" s="189"/>
      <c r="G4384" s="197" t="s">
        <v>56</v>
      </c>
      <c r="H4384" s="197" t="s">
        <v>415</v>
      </c>
      <c r="I4384" s="209" t="s">
        <v>415</v>
      </c>
    </row>
    <row r="4385" spans="1:9">
      <c r="A4385" s="195"/>
      <c r="B4385" s="196" t="s">
        <v>222</v>
      </c>
      <c r="C4385"/>
      <c r="D4385" s="197" t="s">
        <v>759</v>
      </c>
      <c r="E4385" s="197" t="s">
        <v>273</v>
      </c>
      <c r="F4385" s="189"/>
      <c r="G4385" s="197"/>
      <c r="H4385" s="197" t="s">
        <v>221</v>
      </c>
      <c r="I4385" s="209" t="s">
        <v>221</v>
      </c>
    </row>
    <row r="4386" spans="1:9">
      <c r="A4386" s="195"/>
      <c r="B4386" s="195" t="s">
        <v>205</v>
      </c>
      <c r="C4386"/>
      <c r="D4386" s="197" t="s">
        <v>759</v>
      </c>
      <c r="E4386" s="197" t="s">
        <v>273</v>
      </c>
      <c r="F4386" s="189"/>
      <c r="G4386" s="197" t="s">
        <v>270</v>
      </c>
      <c r="H4386" s="197" t="s">
        <v>221</v>
      </c>
      <c r="I4386" s="209" t="s">
        <v>221</v>
      </c>
    </row>
    <row r="4387" spans="1:9">
      <c r="A4387" s="195"/>
      <c r="B4387" s="195" t="s">
        <v>206</v>
      </c>
      <c r="C4387"/>
      <c r="D4387" s="197" t="s">
        <v>216</v>
      </c>
      <c r="E4387" s="197" t="s">
        <v>273</v>
      </c>
      <c r="F4387" s="189"/>
      <c r="G4387" s="197" t="s">
        <v>270</v>
      </c>
      <c r="H4387" s="197" t="s">
        <v>221</v>
      </c>
      <c r="I4387" s="209" t="s">
        <v>221</v>
      </c>
    </row>
    <row r="4388" spans="1:9">
      <c r="A4388" s="195"/>
      <c r="B4388" s="195" t="s">
        <v>207</v>
      </c>
      <c r="C4388"/>
      <c r="D4388" s="197" t="s">
        <v>216</v>
      </c>
      <c r="E4388" s="197" t="s">
        <v>252</v>
      </c>
      <c r="F4388" s="189"/>
      <c r="G4388" s="197" t="s">
        <v>270</v>
      </c>
      <c r="H4388" s="197" t="s">
        <v>221</v>
      </c>
      <c r="I4388" s="209" t="s">
        <v>221</v>
      </c>
    </row>
    <row r="4389" spans="1:9">
      <c r="A4389" s="195"/>
      <c r="B4389" s="196" t="s">
        <v>223</v>
      </c>
      <c r="C4389"/>
      <c r="D4389" s="197" t="s">
        <v>216</v>
      </c>
      <c r="E4389" s="197" t="s">
        <v>252</v>
      </c>
      <c r="F4389" s="189"/>
      <c r="G4389" s="197" t="s">
        <v>270</v>
      </c>
      <c r="H4389" s="197" t="s">
        <v>415</v>
      </c>
      <c r="I4389" s="209" t="s">
        <v>415</v>
      </c>
    </row>
    <row r="4390" spans="1:9">
      <c r="A4390" s="195"/>
      <c r="B4390" s="195" t="s">
        <v>205</v>
      </c>
      <c r="C4390"/>
      <c r="D4390" s="197" t="s">
        <v>216</v>
      </c>
      <c r="E4390" s="197" t="s">
        <v>252</v>
      </c>
      <c r="F4390" s="189"/>
      <c r="G4390" s="197" t="s">
        <v>270</v>
      </c>
      <c r="H4390" s="197" t="s">
        <v>415</v>
      </c>
      <c r="I4390" s="209" t="s">
        <v>415</v>
      </c>
    </row>
    <row r="4391" spans="1:9">
      <c r="A4391" s="195"/>
      <c r="B4391" s="195" t="s">
        <v>206</v>
      </c>
      <c r="C4391"/>
      <c r="D4391" s="197" t="s">
        <v>216</v>
      </c>
      <c r="E4391" s="197" t="s">
        <v>252</v>
      </c>
      <c r="F4391" s="189"/>
      <c r="G4391" s="197" t="s">
        <v>270</v>
      </c>
      <c r="H4391" s="197" t="s">
        <v>415</v>
      </c>
      <c r="I4391" s="209" t="s">
        <v>415</v>
      </c>
    </row>
    <row r="4392" spans="1:9">
      <c r="A4392" s="195"/>
      <c r="B4392" s="195" t="s">
        <v>207</v>
      </c>
      <c r="C4392"/>
      <c r="D4392" s="197" t="s">
        <v>215</v>
      </c>
      <c r="E4392" s="197" t="s">
        <v>252</v>
      </c>
      <c r="F4392" s="189"/>
      <c r="G4392" s="197" t="s">
        <v>270</v>
      </c>
      <c r="H4392" s="197" t="s">
        <v>415</v>
      </c>
      <c r="I4392" s="209" t="s">
        <v>415</v>
      </c>
    </row>
    <row r="4393" spans="1:9">
      <c r="A4393" s="195"/>
      <c r="B4393" s="196" t="s">
        <v>225</v>
      </c>
      <c r="C4393"/>
      <c r="D4393" s="197" t="s">
        <v>280</v>
      </c>
      <c r="E4393" s="197" t="s">
        <v>252</v>
      </c>
      <c r="F4393" s="197"/>
      <c r="G4393" s="197" t="s">
        <v>270</v>
      </c>
      <c r="H4393" s="197" t="s">
        <v>415</v>
      </c>
      <c r="I4393" s="209" t="s">
        <v>415</v>
      </c>
    </row>
    <row r="4394" spans="1:9">
      <c r="A4394" s="195"/>
      <c r="B4394" s="195" t="s">
        <v>205</v>
      </c>
      <c r="C4394"/>
      <c r="D4394" s="197" t="s">
        <v>127</v>
      </c>
      <c r="E4394" s="197" t="s">
        <v>252</v>
      </c>
      <c r="F4394" s="197"/>
      <c r="G4394" s="197" t="s">
        <v>270</v>
      </c>
      <c r="H4394" s="209" t="s">
        <v>415</v>
      </c>
      <c r="I4394" s="209" t="s">
        <v>415</v>
      </c>
    </row>
    <row r="4395" spans="1:9">
      <c r="A4395" s="195"/>
      <c r="B4395" s="195" t="s">
        <v>206</v>
      </c>
      <c r="C4395"/>
      <c r="D4395" s="197"/>
      <c r="E4395" s="197" t="s">
        <v>252</v>
      </c>
      <c r="F4395" s="197"/>
      <c r="G4395" s="197" t="s">
        <v>270</v>
      </c>
      <c r="H4395" s="209" t="s">
        <v>415</v>
      </c>
      <c r="I4395" s="209" t="s">
        <v>415</v>
      </c>
    </row>
    <row r="4396" spans="1:9">
      <c r="A4396" s="195"/>
      <c r="B4396" s="195" t="s">
        <v>207</v>
      </c>
      <c r="C4396"/>
      <c r="D4396" s="197"/>
      <c r="E4396" s="197" t="s">
        <v>252</v>
      </c>
      <c r="F4396" s="197"/>
      <c r="G4396" s="197" t="s">
        <v>270</v>
      </c>
      <c r="H4396" s="209" t="s">
        <v>415</v>
      </c>
      <c r="I4396" s="209" t="s">
        <v>415</v>
      </c>
    </row>
    <row r="4397" spans="1:9">
      <c r="A4397" s="195"/>
      <c r="B4397" s="196" t="s">
        <v>226</v>
      </c>
      <c r="C4397"/>
      <c r="D4397" s="197"/>
      <c r="E4397" s="197"/>
      <c r="F4397" s="197"/>
      <c r="G4397" s="197" t="s">
        <v>270</v>
      </c>
      <c r="H4397" s="209" t="s">
        <v>415</v>
      </c>
      <c r="I4397" s="209" t="s">
        <v>415</v>
      </c>
    </row>
    <row r="4398" spans="1:9">
      <c r="A4398" s="195"/>
      <c r="B4398" s="195" t="s">
        <v>205</v>
      </c>
      <c r="C4398"/>
      <c r="D4398" s="197"/>
      <c r="E4398" s="197"/>
      <c r="F4398" s="197"/>
      <c r="G4398" s="197" t="s">
        <v>270</v>
      </c>
      <c r="H4398" s="209"/>
      <c r="I4398" s="209"/>
    </row>
    <row r="4399" spans="1:9">
      <c r="A4399" s="195"/>
      <c r="B4399" s="195" t="s">
        <v>206</v>
      </c>
      <c r="C4399"/>
      <c r="D4399" s="197"/>
      <c r="E4399" s="197"/>
      <c r="F4399" s="197"/>
      <c r="G4399" s="197" t="s">
        <v>270</v>
      </c>
      <c r="H4399" s="209"/>
      <c r="I4399" s="209"/>
    </row>
    <row r="4400" spans="1:9">
      <c r="A4400" s="195"/>
      <c r="B4400" s="195" t="s">
        <v>207</v>
      </c>
      <c r="C4400"/>
      <c r="D4400" s="197"/>
      <c r="E4400" s="197"/>
      <c r="F4400" s="197"/>
      <c r="G4400" s="197" t="s">
        <v>270</v>
      </c>
      <c r="H4400" s="209"/>
      <c r="I4400" s="209"/>
    </row>
    <row r="4401" spans="1:12">
      <c r="A4401" s="195"/>
      <c r="B4401" s="196" t="s">
        <v>227</v>
      </c>
      <c r="C4401"/>
      <c r="D4401" s="197"/>
      <c r="E4401" s="197"/>
      <c r="F4401" s="197"/>
      <c r="G4401" s="197"/>
      <c r="H4401" s="209"/>
      <c r="I4401" s="209"/>
      <c r="K4401"/>
    </row>
    <row r="4402" spans="1:12" ht="29.25" thickBot="1">
      <c r="A4402" s="182" t="str">
        <f>"回収シフト  第"&amp;ROUNDUP(DAY(B4405)/7,0)  &amp;"  "&amp;TEXT(B4405,"aaaa")</f>
        <v>回収シフト  第1  火曜日</v>
      </c>
      <c r="B4402" s="183"/>
      <c r="C4402" s="183"/>
      <c r="D4402" s="183"/>
      <c r="E4402" s="183"/>
      <c r="F4402" s="183"/>
      <c r="G4402" s="184"/>
      <c r="H4402" s="184"/>
      <c r="I4402" s="184"/>
      <c r="K4402" s="183"/>
      <c r="L4402" s="183"/>
    </row>
    <row r="4403" spans="1:12" ht="15.75" thickBot="1">
      <c r="A4403"/>
      <c r="B4403"/>
      <c r="C4403"/>
      <c r="D4403" s="186" t="s">
        <v>201</v>
      </c>
      <c r="E4403" s="186" t="s">
        <v>202</v>
      </c>
      <c r="F4403" s="186" t="s">
        <v>203</v>
      </c>
      <c r="G4403" s="186" t="s">
        <v>204</v>
      </c>
      <c r="H4403" s="186" t="s">
        <v>267</v>
      </c>
      <c r="I4403" s="217" t="s">
        <v>267</v>
      </c>
      <c r="K4403" s="230" t="s">
        <v>257</v>
      </c>
      <c r="L4403" s="231"/>
    </row>
    <row r="4404" spans="1:12">
      <c r="A4404" s="187"/>
      <c r="B4404" s="188">
        <v>46119</v>
      </c>
      <c r="C4404" s="187"/>
      <c r="D4404" s="189" t="s">
        <v>923</v>
      </c>
      <c r="E4404" s="189" t="s">
        <v>858</v>
      </c>
      <c r="F4404" s="189" t="s">
        <v>891</v>
      </c>
      <c r="G4404" s="189" t="s">
        <v>728</v>
      </c>
      <c r="H4404" s="189" t="s">
        <v>852</v>
      </c>
      <c r="I4404" s="218" t="s">
        <v>852</v>
      </c>
      <c r="K4404" s="232" t="s">
        <v>258</v>
      </c>
      <c r="L4404" s="190" t="str">
        <f>_xlfn.XLOOKUP($B4405,シフト抽出!$19:$19,シフト抽出!$20:$20,"該当なし",0,1)</f>
        <v>該当なし</v>
      </c>
    </row>
    <row r="4405" spans="1:12" ht="19.5" thickBot="1">
      <c r="A4405"/>
      <c r="B4405" s="191">
        <f>B4352+1</f>
        <v>46210</v>
      </c>
      <c r="C4405" s="192"/>
      <c r="D4405" s="193"/>
      <c r="E4405" s="193"/>
      <c r="F4405" s="193"/>
      <c r="G4405" s="193"/>
      <c r="H4405" s="193"/>
      <c r="I4405" s="219"/>
      <c r="K4405" s="233"/>
      <c r="L4405" s="194" t="str">
        <f>_xlfn.XLOOKUP($B4405,シフト抽出!$19:$19,シフト抽出!$21:$21,"該当なし",0,1)</f>
        <v>該当なし</v>
      </c>
    </row>
    <row r="4406" spans="1:12">
      <c r="A4406" s="195"/>
      <c r="B4406" s="196">
        <v>0.25</v>
      </c>
      <c r="C4406"/>
      <c r="D4406" s="197"/>
      <c r="E4406" s="196"/>
      <c r="F4406" s="197"/>
      <c r="G4406" s="197"/>
      <c r="H4406" s="197"/>
      <c r="I4406" s="209"/>
      <c r="K4406" s="234" t="s">
        <v>259</v>
      </c>
      <c r="L4406" s="198" t="str">
        <f>_xlfn.XLOOKUP($B4405,シフト抽出!$19:$19,シフト抽出!$23:$23,"該当なし",0,1)</f>
        <v>該当なし</v>
      </c>
    </row>
    <row r="4407" spans="1:12" ht="15.75" thickBot="1">
      <c r="A4407" s="195"/>
      <c r="B4407" s="195" t="s">
        <v>205</v>
      </c>
      <c r="C4407"/>
      <c r="D4407" s="197"/>
      <c r="E4407" s="197"/>
      <c r="F4407" s="197"/>
      <c r="G4407" s="197"/>
      <c r="H4407" s="197"/>
      <c r="I4407" s="209"/>
      <c r="K4407" s="235"/>
      <c r="L4407" s="199" t="str">
        <f>_xlfn.XLOOKUP($B4405,シフト抽出!$19:$19,シフト抽出!$24:$24,"該当なし",0,1)</f>
        <v>該当なし</v>
      </c>
    </row>
    <row r="4408" spans="1:12">
      <c r="A4408" s="195"/>
      <c r="B4408" s="195" t="s">
        <v>206</v>
      </c>
      <c r="C4408"/>
      <c r="D4408" s="197"/>
      <c r="E4408" s="197"/>
      <c r="F4408" s="197"/>
      <c r="G4408" s="197"/>
      <c r="H4408" s="197"/>
      <c r="I4408" s="209"/>
      <c r="K4408" s="224" t="s">
        <v>260</v>
      </c>
      <c r="L4408" s="200" t="str">
        <f>_xlfn.XLOOKUP($B4405,シフト抽出!$19:$19,シフト抽出!$26:$26,"該当なし",0,1)</f>
        <v>該当なし</v>
      </c>
    </row>
    <row r="4409" spans="1:12">
      <c r="A4409" s="195"/>
      <c r="B4409" s="195" t="s">
        <v>207</v>
      </c>
      <c r="C4409"/>
      <c r="D4409" s="197"/>
      <c r="E4409" s="197"/>
      <c r="F4409" s="197"/>
      <c r="G4409" s="197"/>
      <c r="H4409" s="197"/>
      <c r="I4409" s="209"/>
      <c r="K4409" s="225"/>
      <c r="L4409" s="201" t="str">
        <f>_xlfn.XLOOKUP($B4405,シフト抽出!$19:$19,シフト抽出!$27:$27,"該当なし",0,1)</f>
        <v>該当なし</v>
      </c>
    </row>
    <row r="4410" spans="1:12">
      <c r="A4410" s="195"/>
      <c r="B4410" s="202" t="s">
        <v>208</v>
      </c>
      <c r="C4410"/>
      <c r="D4410" s="197" t="s">
        <v>4</v>
      </c>
      <c r="E4410" s="197" t="s">
        <v>4</v>
      </c>
      <c r="F4410" s="197"/>
      <c r="G4410" s="197" t="s">
        <v>4</v>
      </c>
      <c r="H4410" s="197"/>
      <c r="I4410" s="209"/>
      <c r="J4410" s="203"/>
      <c r="K4410" s="225"/>
      <c r="L4410" s="201" t="str">
        <f>_xlfn.XLOOKUP($B4405,シフト抽出!$19:$19,シフト抽出!$28:$28,"該当なし",0,1)</f>
        <v>該当なし</v>
      </c>
    </row>
    <row r="4411" spans="1:12" ht="15.75" thickBot="1">
      <c r="A4411" s="195"/>
      <c r="B4411" s="195" t="s">
        <v>205</v>
      </c>
      <c r="C4411"/>
      <c r="D4411" s="197" t="s">
        <v>414</v>
      </c>
      <c r="E4411" s="197" t="s">
        <v>420</v>
      </c>
      <c r="F4411" s="197" t="s">
        <v>851</v>
      </c>
      <c r="G4411" s="197" t="s">
        <v>22</v>
      </c>
      <c r="H4411" s="197"/>
      <c r="I4411" s="209"/>
      <c r="J4411" s="203"/>
      <c r="K4411" s="226"/>
      <c r="L4411" s="204" t="str">
        <f>_xlfn.XLOOKUP($B4405,シフト抽出!$19:$19,シフト抽出!$29:$29,"該当なし",0,1)</f>
        <v>該当なし</v>
      </c>
    </row>
    <row r="4412" spans="1:12" ht="15.75" thickBot="1">
      <c r="A4412" s="195"/>
      <c r="B4412" s="195" t="s">
        <v>206</v>
      </c>
      <c r="C4412"/>
      <c r="D4412" s="197" t="s">
        <v>414</v>
      </c>
      <c r="E4412" s="197" t="s">
        <v>420</v>
      </c>
      <c r="F4412" s="197" t="s">
        <v>851</v>
      </c>
      <c r="G4412" s="197" t="s">
        <v>22</v>
      </c>
      <c r="H4412" s="197"/>
      <c r="I4412" s="209"/>
      <c r="K4412" s="205" t="s">
        <v>261</v>
      </c>
      <c r="L4412" s="205">
        <f>_xlfn.XLOOKUP($B4405,予定表!B:B,予定表!R:R,"該当なし",0,1)</f>
        <v>0</v>
      </c>
    </row>
    <row r="4413" spans="1:12">
      <c r="A4413" s="195"/>
      <c r="B4413" s="195" t="s">
        <v>207</v>
      </c>
      <c r="C4413"/>
      <c r="D4413" s="197" t="s">
        <v>414</v>
      </c>
      <c r="E4413" s="197" t="s">
        <v>420</v>
      </c>
      <c r="F4413" s="197" t="s">
        <v>851</v>
      </c>
      <c r="G4413" s="197" t="s">
        <v>268</v>
      </c>
      <c r="H4413" s="197"/>
      <c r="I4413" s="209"/>
      <c r="K4413" s="227" t="s">
        <v>262</v>
      </c>
      <c r="L4413" s="206">
        <f>_xlfn.XLOOKUP($B4405,予定表!$B:$B,予定表!E:E,"該当なし",0,1)</f>
        <v>0</v>
      </c>
    </row>
    <row r="4414" spans="1:12">
      <c r="A4414" s="195"/>
      <c r="B4414" s="196" t="s">
        <v>209</v>
      </c>
      <c r="C4414"/>
      <c r="D4414" s="197" t="s">
        <v>414</v>
      </c>
      <c r="E4414" s="197" t="s">
        <v>420</v>
      </c>
      <c r="F4414" s="197" t="s">
        <v>851</v>
      </c>
      <c r="G4414" s="197" t="s">
        <v>268</v>
      </c>
      <c r="H4414" s="197" t="s">
        <v>4</v>
      </c>
      <c r="I4414" s="209" t="s">
        <v>4</v>
      </c>
      <c r="K4414" s="228"/>
      <c r="L4414" s="207">
        <f>_xlfn.XLOOKUP($B4405,予定表!$B:$B,予定表!F:F,"該当なし",0,1)</f>
        <v>0</v>
      </c>
    </row>
    <row r="4415" spans="1:12">
      <c r="A4415" s="195"/>
      <c r="B4415" s="195" t="s">
        <v>205</v>
      </c>
      <c r="C4415"/>
      <c r="D4415" s="197" t="s">
        <v>414</v>
      </c>
      <c r="E4415" s="197" t="s">
        <v>420</v>
      </c>
      <c r="F4415" s="197" t="s">
        <v>851</v>
      </c>
      <c r="G4415" s="197" t="s">
        <v>268</v>
      </c>
      <c r="H4415" s="197" t="s">
        <v>60</v>
      </c>
      <c r="I4415" s="209" t="s">
        <v>60</v>
      </c>
      <c r="K4415" s="228"/>
      <c r="L4415" s="207">
        <f>_xlfn.XLOOKUP($B4405,予定表!$B:$B,予定表!G:G,"該当なし",0,1)</f>
        <v>0</v>
      </c>
    </row>
    <row r="4416" spans="1:12">
      <c r="A4416" s="195"/>
      <c r="B4416" s="195" t="s">
        <v>206</v>
      </c>
      <c r="C4416"/>
      <c r="D4416" s="197" t="s">
        <v>214</v>
      </c>
      <c r="E4416" s="197" t="s">
        <v>273</v>
      </c>
      <c r="F4416" s="197" t="s">
        <v>851</v>
      </c>
      <c r="G4416" s="197" t="s">
        <v>268</v>
      </c>
      <c r="H4416" s="197" t="s">
        <v>60</v>
      </c>
      <c r="I4416" s="209" t="s">
        <v>60</v>
      </c>
      <c r="K4416" s="228"/>
      <c r="L4416" s="207">
        <f>_xlfn.XLOOKUP($B4405,予定表!$B:$B,予定表!H:H,"該当なし",0,1)</f>
        <v>0</v>
      </c>
    </row>
    <row r="4417" spans="1:12">
      <c r="A4417" s="195"/>
      <c r="B4417" s="195" t="s">
        <v>207</v>
      </c>
      <c r="C4417"/>
      <c r="D4417" s="197" t="s">
        <v>214</v>
      </c>
      <c r="E4417" s="197" t="s">
        <v>273</v>
      </c>
      <c r="F4417" s="197" t="s">
        <v>851</v>
      </c>
      <c r="G4417" s="197" t="s">
        <v>169</v>
      </c>
      <c r="H4417" s="197" t="s">
        <v>60</v>
      </c>
      <c r="I4417" s="209" t="s">
        <v>60</v>
      </c>
      <c r="K4417" s="228"/>
      <c r="L4417" s="207">
        <f>_xlfn.XLOOKUP($B4405,予定表!$B:$B,予定表!I:I,"該当なし",0,1)</f>
        <v>0</v>
      </c>
    </row>
    <row r="4418" spans="1:12">
      <c r="A4418" s="195"/>
      <c r="B4418" s="196" t="s">
        <v>212</v>
      </c>
      <c r="C4418"/>
      <c r="D4418" s="197" t="s">
        <v>214</v>
      </c>
      <c r="E4418" s="197" t="s">
        <v>273</v>
      </c>
      <c r="F4418" s="197"/>
      <c r="G4418" s="197" t="s">
        <v>169</v>
      </c>
      <c r="H4418" s="197"/>
      <c r="I4418" s="209"/>
      <c r="K4418" s="228"/>
      <c r="L4418" s="207">
        <f>_xlfn.XLOOKUP($B4405,予定表!$B:$B,予定表!J:J,"該当なし",0,1)</f>
        <v>0</v>
      </c>
    </row>
    <row r="4419" spans="1:12">
      <c r="A4419" s="195"/>
      <c r="B4419" s="195" t="s">
        <v>205</v>
      </c>
      <c r="C4419"/>
      <c r="D4419" s="197" t="s">
        <v>214</v>
      </c>
      <c r="E4419" s="197" t="s">
        <v>953</v>
      </c>
      <c r="F4419" s="197" t="s">
        <v>414</v>
      </c>
      <c r="G4419" s="197" t="s">
        <v>169</v>
      </c>
      <c r="H4419" s="197" t="s">
        <v>848</v>
      </c>
      <c r="I4419" s="209" t="s">
        <v>848</v>
      </c>
      <c r="K4419" s="228"/>
      <c r="L4419" s="207">
        <f>_xlfn.XLOOKUP($B4405,予定表!$B:$B,予定表!K:K,"該当なし",0,1)</f>
        <v>0</v>
      </c>
    </row>
    <row r="4420" spans="1:12">
      <c r="A4420" s="195"/>
      <c r="B4420" s="195" t="s">
        <v>206</v>
      </c>
      <c r="C4420"/>
      <c r="D4420" s="197" t="s">
        <v>353</v>
      </c>
      <c r="E4420" s="197" t="s">
        <v>228</v>
      </c>
      <c r="F4420" s="197" t="s">
        <v>893</v>
      </c>
      <c r="G4420" s="197" t="s">
        <v>169</v>
      </c>
      <c r="H4420" s="197" t="s">
        <v>848</v>
      </c>
      <c r="I4420" s="209" t="s">
        <v>848</v>
      </c>
      <c r="K4420" s="228"/>
      <c r="L4420" s="207">
        <f>_xlfn.XLOOKUP($B4405,予定表!$B:$B,予定表!L:L,"該当なし",0,1)</f>
        <v>0</v>
      </c>
    </row>
    <row r="4421" spans="1:12" ht="15.75" thickBot="1">
      <c r="A4421" s="195"/>
      <c r="B4421" s="195" t="s">
        <v>207</v>
      </c>
      <c r="C4421"/>
      <c r="D4421" s="197" t="s">
        <v>353</v>
      </c>
      <c r="E4421" s="197" t="s">
        <v>228</v>
      </c>
      <c r="F4421" s="197" t="s">
        <v>414</v>
      </c>
      <c r="G4421" s="197" t="s">
        <v>169</v>
      </c>
      <c r="H4421" s="197" t="s">
        <v>848</v>
      </c>
      <c r="I4421" s="209" t="s">
        <v>848</v>
      </c>
      <c r="K4421" s="229"/>
      <c r="L4421" s="204" t="str">
        <f>_xlfn.XLOOKUP($A4402,ﾘｽﾄマスタ!$U$8:$U$17,ﾘｽﾄマスタ!$V$8:$V$17,"",0)</f>
        <v xml:space="preserve"> ﾃﾞｼﾞﾌﾟﾛ(偶数月)</v>
      </c>
    </row>
    <row r="4422" spans="1:12" ht="15.75" thickBot="1">
      <c r="A4422" s="195"/>
      <c r="B4422" s="196" t="s">
        <v>251</v>
      </c>
      <c r="C4422"/>
      <c r="D4422" s="197" t="s">
        <v>761</v>
      </c>
      <c r="E4422" s="197" t="s">
        <v>228</v>
      </c>
      <c r="F4422" s="197" t="s">
        <v>414</v>
      </c>
      <c r="G4422" s="197" t="s">
        <v>279</v>
      </c>
      <c r="H4422" s="197" t="s">
        <v>848</v>
      </c>
      <c r="I4422" s="209" t="s">
        <v>848</v>
      </c>
      <c r="K4422" s="208" t="s">
        <v>277</v>
      </c>
      <c r="L4422" s="208" t="str">
        <f>_xlfn.XLOOKUP($B4405,シフト抽出!$19:$19,シフト抽出!$30:$30,"該当なし",0,1)</f>
        <v>該当なし</v>
      </c>
    </row>
    <row r="4423" spans="1:12">
      <c r="A4423" s="195"/>
      <c r="B4423" s="195" t="s">
        <v>205</v>
      </c>
      <c r="C4423"/>
      <c r="D4423" s="197" t="s">
        <v>761</v>
      </c>
      <c r="E4423" s="197" t="s">
        <v>228</v>
      </c>
      <c r="F4423" s="197" t="s">
        <v>414</v>
      </c>
      <c r="G4423" s="197" t="s">
        <v>279</v>
      </c>
      <c r="H4423" s="197" t="s">
        <v>848</v>
      </c>
      <c r="I4423" s="209" t="s">
        <v>848</v>
      </c>
    </row>
    <row r="4424" spans="1:12">
      <c r="A4424" s="195"/>
      <c r="B4424" s="195" t="s">
        <v>206</v>
      </c>
      <c r="C4424"/>
      <c r="D4424" s="197" t="s">
        <v>88</v>
      </c>
      <c r="E4424" s="197" t="s">
        <v>263</v>
      </c>
      <c r="F4424" s="197" t="s">
        <v>414</v>
      </c>
      <c r="G4424" s="197" t="s">
        <v>279</v>
      </c>
      <c r="H4424" s="197" t="s">
        <v>229</v>
      </c>
      <c r="I4424" s="209" t="s">
        <v>229</v>
      </c>
    </row>
    <row r="4425" spans="1:12">
      <c r="A4425" s="195"/>
      <c r="B4425" s="195" t="s">
        <v>207</v>
      </c>
      <c r="C4425"/>
      <c r="D4425" s="197" t="s">
        <v>88</v>
      </c>
      <c r="E4425" s="197" t="s">
        <v>263</v>
      </c>
      <c r="F4425" s="197" t="s">
        <v>414</v>
      </c>
      <c r="G4425" s="197" t="s">
        <v>279</v>
      </c>
      <c r="H4425" s="197" t="s">
        <v>229</v>
      </c>
      <c r="I4425" s="209" t="s">
        <v>229</v>
      </c>
    </row>
    <row r="4426" spans="1:12">
      <c r="A4426" s="195"/>
      <c r="B4426" s="196" t="s">
        <v>217</v>
      </c>
      <c r="C4426"/>
      <c r="D4426" s="197" t="s">
        <v>51</v>
      </c>
      <c r="E4426" s="197" t="s">
        <v>263</v>
      </c>
      <c r="F4426" s="197" t="s">
        <v>414</v>
      </c>
      <c r="G4426" s="197" t="s">
        <v>279</v>
      </c>
      <c r="H4426" s="197" t="s">
        <v>230</v>
      </c>
      <c r="I4426" s="209" t="s">
        <v>230</v>
      </c>
    </row>
    <row r="4427" spans="1:12">
      <c r="A4427" s="195"/>
      <c r="B4427" s="195" t="s">
        <v>205</v>
      </c>
      <c r="C4427"/>
      <c r="D4427" s="197" t="s">
        <v>51</v>
      </c>
      <c r="E4427" s="197" t="s">
        <v>263</v>
      </c>
      <c r="F4427" s="197" t="s">
        <v>414</v>
      </c>
      <c r="G4427" s="197" t="s">
        <v>279</v>
      </c>
      <c r="H4427" s="197" t="s">
        <v>230</v>
      </c>
      <c r="I4427" s="209" t="s">
        <v>230</v>
      </c>
    </row>
    <row r="4428" spans="1:12">
      <c r="A4428" s="195"/>
      <c r="B4428" s="195" t="s">
        <v>206</v>
      </c>
      <c r="C4428"/>
      <c r="D4428" s="197" t="s">
        <v>51</v>
      </c>
      <c r="E4428" s="197" t="s">
        <v>263</v>
      </c>
      <c r="F4428" s="197" t="s">
        <v>414</v>
      </c>
      <c r="G4428" s="197" t="s">
        <v>279</v>
      </c>
      <c r="H4428" s="197" t="s">
        <v>230</v>
      </c>
      <c r="I4428" s="209" t="s">
        <v>230</v>
      </c>
    </row>
    <row r="4429" spans="1:12">
      <c r="A4429" s="195"/>
      <c r="B4429" s="195" t="s">
        <v>207</v>
      </c>
      <c r="C4429"/>
      <c r="D4429" s="197" t="s">
        <v>51</v>
      </c>
      <c r="E4429" s="197" t="s">
        <v>263</v>
      </c>
      <c r="F4429" s="197" t="s">
        <v>414</v>
      </c>
      <c r="G4429" s="197" t="s">
        <v>279</v>
      </c>
      <c r="H4429" s="197" t="s">
        <v>230</v>
      </c>
      <c r="I4429" s="209" t="s">
        <v>230</v>
      </c>
    </row>
    <row r="4430" spans="1:12">
      <c r="A4430" s="195"/>
      <c r="B4430" s="196" t="s">
        <v>219</v>
      </c>
      <c r="C4430"/>
      <c r="D4430" s="197"/>
      <c r="E4430" s="197"/>
      <c r="F4430" s="197"/>
      <c r="G4430" s="197"/>
      <c r="H4430" s="197" t="s">
        <v>230</v>
      </c>
      <c r="I4430" s="209" t="s">
        <v>230</v>
      </c>
    </row>
    <row r="4431" spans="1:12">
      <c r="A4431" s="195"/>
      <c r="B4431" s="195" t="s">
        <v>205</v>
      </c>
      <c r="C4431"/>
      <c r="D4431" s="197"/>
      <c r="E4431" s="197"/>
      <c r="F4431" s="197"/>
      <c r="G4431" s="197"/>
      <c r="H4431" s="197" t="s">
        <v>230</v>
      </c>
      <c r="I4431" s="209" t="s">
        <v>230</v>
      </c>
    </row>
    <row r="4432" spans="1:12">
      <c r="A4432" s="195"/>
      <c r="B4432" s="195" t="s">
        <v>206</v>
      </c>
      <c r="C4432"/>
      <c r="D4432" s="197"/>
      <c r="E4432" s="197"/>
      <c r="F4432" s="197"/>
      <c r="G4432" s="197"/>
      <c r="H4432" s="197"/>
      <c r="I4432" s="209"/>
    </row>
    <row r="4433" spans="1:9">
      <c r="A4433" s="195"/>
      <c r="B4433" s="195" t="s">
        <v>207</v>
      </c>
      <c r="C4433"/>
      <c r="D4433" s="197"/>
      <c r="E4433" s="197"/>
      <c r="F4433" s="197"/>
      <c r="G4433" s="197"/>
      <c r="H4433" s="197"/>
      <c r="I4433" s="209"/>
    </row>
    <row r="4434" spans="1:9">
      <c r="A4434" s="195"/>
      <c r="B4434" s="196" t="s">
        <v>220</v>
      </c>
      <c r="C4434"/>
      <c r="D4434" s="189"/>
      <c r="E4434" s="197"/>
      <c r="F4434" s="197"/>
      <c r="G4434" s="197"/>
      <c r="H4434" s="197"/>
      <c r="I4434" s="209"/>
    </row>
    <row r="4435" spans="1:9">
      <c r="A4435" s="195"/>
      <c r="B4435" s="195" t="s">
        <v>205</v>
      </c>
      <c r="C4435"/>
      <c r="D4435" s="197" t="s">
        <v>114</v>
      </c>
      <c r="E4435" s="197" t="s">
        <v>233</v>
      </c>
      <c r="F4435" s="197" t="s">
        <v>56</v>
      </c>
      <c r="G4435" s="197" t="s">
        <v>793</v>
      </c>
      <c r="H4435" s="197" t="s">
        <v>390</v>
      </c>
      <c r="I4435" s="209" t="s">
        <v>390</v>
      </c>
    </row>
    <row r="4436" spans="1:9">
      <c r="A4436" s="195"/>
      <c r="B4436" s="195" t="s">
        <v>206</v>
      </c>
      <c r="C4436"/>
      <c r="D4436" s="197" t="s">
        <v>114</v>
      </c>
      <c r="E4436" s="197" t="s">
        <v>233</v>
      </c>
      <c r="F4436" s="197" t="s">
        <v>56</v>
      </c>
      <c r="G4436" s="197" t="s">
        <v>973</v>
      </c>
      <c r="H4436" s="197" t="s">
        <v>390</v>
      </c>
      <c r="I4436" s="209" t="s">
        <v>390</v>
      </c>
    </row>
    <row r="4437" spans="1:9">
      <c r="A4437" s="195"/>
      <c r="B4437" s="195" t="s">
        <v>207</v>
      </c>
      <c r="C4437"/>
      <c r="D4437" s="197" t="s">
        <v>129</v>
      </c>
      <c r="E4437" s="197" t="s">
        <v>233</v>
      </c>
      <c r="F4437" s="197" t="s">
        <v>56</v>
      </c>
      <c r="G4437" s="197" t="s">
        <v>793</v>
      </c>
      <c r="H4437" s="197"/>
      <c r="I4437" s="209"/>
    </row>
    <row r="4438" spans="1:9">
      <c r="A4438" s="195"/>
      <c r="B4438" s="196" t="s">
        <v>222</v>
      </c>
      <c r="C4438"/>
      <c r="D4438" s="197" t="s">
        <v>129</v>
      </c>
      <c r="E4438" s="197" t="s">
        <v>252</v>
      </c>
      <c r="F4438" s="197" t="s">
        <v>56</v>
      </c>
      <c r="G4438" s="197" t="s">
        <v>270</v>
      </c>
      <c r="H4438" s="197" t="s">
        <v>231</v>
      </c>
      <c r="I4438" s="209" t="s">
        <v>231</v>
      </c>
    </row>
    <row r="4439" spans="1:9">
      <c r="A4439" s="195"/>
      <c r="B4439" s="195" t="s">
        <v>205</v>
      </c>
      <c r="C4439"/>
      <c r="D4439" s="197" t="s">
        <v>129</v>
      </c>
      <c r="E4439" s="197" t="s">
        <v>252</v>
      </c>
      <c r="F4439" s="197" t="s">
        <v>62</v>
      </c>
      <c r="G4439" s="197" t="s">
        <v>270</v>
      </c>
      <c r="H4439" s="197" t="s">
        <v>232</v>
      </c>
      <c r="I4439" s="209" t="s">
        <v>232</v>
      </c>
    </row>
    <row r="4440" spans="1:9">
      <c r="A4440" s="195"/>
      <c r="B4440" s="195" t="s">
        <v>206</v>
      </c>
      <c r="C4440"/>
      <c r="D4440" s="197"/>
      <c r="E4440" s="197" t="s">
        <v>252</v>
      </c>
      <c r="F4440" s="197" t="s">
        <v>62</v>
      </c>
      <c r="G4440" s="197" t="s">
        <v>270</v>
      </c>
      <c r="H4440" s="197" t="s">
        <v>211</v>
      </c>
      <c r="I4440" s="209" t="s">
        <v>211</v>
      </c>
    </row>
    <row r="4441" spans="1:9">
      <c r="A4441" s="195"/>
      <c r="B4441" s="195" t="s">
        <v>207</v>
      </c>
      <c r="C4441"/>
      <c r="D4441" s="197" t="s">
        <v>515</v>
      </c>
      <c r="E4441" s="197" t="s">
        <v>252</v>
      </c>
      <c r="F4441" s="197" t="s">
        <v>62</v>
      </c>
      <c r="G4441" s="197" t="s">
        <v>270</v>
      </c>
      <c r="H4441" s="197" t="s">
        <v>211</v>
      </c>
      <c r="I4441" s="209" t="s">
        <v>211</v>
      </c>
    </row>
    <row r="4442" spans="1:9">
      <c r="A4442" s="195"/>
      <c r="B4442" s="196" t="s">
        <v>223</v>
      </c>
      <c r="C4442"/>
      <c r="D4442" s="197" t="s">
        <v>515</v>
      </c>
      <c r="E4442" s="197" t="s">
        <v>252</v>
      </c>
      <c r="F4442" s="197" t="s">
        <v>62</v>
      </c>
      <c r="G4442" s="197" t="s">
        <v>270</v>
      </c>
      <c r="H4442" s="197"/>
      <c r="I4442" s="209"/>
    </row>
    <row r="4443" spans="1:9">
      <c r="A4443" s="195"/>
      <c r="B4443" s="195" t="s">
        <v>205</v>
      </c>
      <c r="C4443"/>
      <c r="D4443" s="197" t="s">
        <v>269</v>
      </c>
      <c r="E4443" s="197" t="s">
        <v>252</v>
      </c>
      <c r="F4443" s="197" t="s">
        <v>62</v>
      </c>
      <c r="G4443" s="197" t="s">
        <v>270</v>
      </c>
      <c r="H4443" s="197" t="s">
        <v>856</v>
      </c>
      <c r="I4443" s="209" t="s">
        <v>856</v>
      </c>
    </row>
    <row r="4444" spans="1:9">
      <c r="A4444" s="195"/>
      <c r="B4444" s="195" t="s">
        <v>206</v>
      </c>
      <c r="C4444"/>
      <c r="D4444" s="197" t="s">
        <v>269</v>
      </c>
      <c r="E4444" s="197" t="s">
        <v>252</v>
      </c>
      <c r="F4444" s="197" t="s">
        <v>62</v>
      </c>
      <c r="G4444" s="197" t="s">
        <v>270</v>
      </c>
      <c r="H4444" s="197" t="s">
        <v>856</v>
      </c>
      <c r="I4444" s="209" t="s">
        <v>856</v>
      </c>
    </row>
    <row r="4445" spans="1:9">
      <c r="A4445" s="195"/>
      <c r="B4445" s="195" t="s">
        <v>207</v>
      </c>
      <c r="C4445"/>
      <c r="D4445" s="197" t="s">
        <v>269</v>
      </c>
      <c r="E4445" s="197" t="s">
        <v>252</v>
      </c>
      <c r="F4445" s="197" t="s">
        <v>62</v>
      </c>
      <c r="G4445" s="197" t="s">
        <v>270</v>
      </c>
      <c r="H4445" s="197" t="s">
        <v>856</v>
      </c>
      <c r="I4445" s="209" t="s">
        <v>856</v>
      </c>
    </row>
    <row r="4446" spans="1:9">
      <c r="A4446" s="195"/>
      <c r="B4446" s="196" t="s">
        <v>225</v>
      </c>
      <c r="C4446"/>
      <c r="D4446" s="197" t="s">
        <v>269</v>
      </c>
      <c r="E4446" s="197" t="s">
        <v>252</v>
      </c>
      <c r="F4446" s="197" t="s">
        <v>62</v>
      </c>
      <c r="G4446" s="197" t="s">
        <v>270</v>
      </c>
      <c r="H4446" s="197" t="s">
        <v>856</v>
      </c>
      <c r="I4446" s="209" t="s">
        <v>856</v>
      </c>
    </row>
    <row r="4447" spans="1:9">
      <c r="A4447" s="195"/>
      <c r="B4447" s="195" t="s">
        <v>205</v>
      </c>
      <c r="C4447"/>
      <c r="D4447" s="197" t="s">
        <v>475</v>
      </c>
      <c r="E4447" s="197" t="s">
        <v>252</v>
      </c>
      <c r="F4447" s="197" t="s">
        <v>62</v>
      </c>
      <c r="G4447" s="197" t="s">
        <v>270</v>
      </c>
      <c r="H4447" s="209" t="s">
        <v>856</v>
      </c>
      <c r="I4447" s="209" t="s">
        <v>856</v>
      </c>
    </row>
    <row r="4448" spans="1:9">
      <c r="A4448" s="195"/>
      <c r="B4448" s="195" t="s">
        <v>206</v>
      </c>
      <c r="C4448"/>
      <c r="D4448" s="197" t="s">
        <v>361</v>
      </c>
      <c r="E4448" s="197" t="s">
        <v>252</v>
      </c>
      <c r="F4448" s="197" t="s">
        <v>62</v>
      </c>
      <c r="G4448" s="197" t="s">
        <v>270</v>
      </c>
      <c r="H4448" s="209" t="s">
        <v>856</v>
      </c>
      <c r="I4448" s="209" t="s">
        <v>856</v>
      </c>
    </row>
    <row r="4449" spans="1:12">
      <c r="A4449" s="195"/>
      <c r="B4449" s="195" t="s">
        <v>207</v>
      </c>
      <c r="C4449"/>
      <c r="D4449" s="197"/>
      <c r="E4449" s="197"/>
      <c r="F4449" s="197"/>
      <c r="G4449" s="197"/>
      <c r="H4449" s="209"/>
      <c r="I4449" s="209"/>
    </row>
    <row r="4450" spans="1:12">
      <c r="A4450" s="195"/>
      <c r="B4450" s="196" t="s">
        <v>226</v>
      </c>
      <c r="C4450"/>
      <c r="D4450" s="197"/>
      <c r="E4450" s="197"/>
      <c r="F4450" s="197"/>
      <c r="G4450" s="197"/>
      <c r="H4450" s="209"/>
      <c r="I4450" s="209"/>
    </row>
    <row r="4451" spans="1:12">
      <c r="A4451" s="195"/>
      <c r="B4451" s="195" t="s">
        <v>205</v>
      </c>
      <c r="C4451"/>
      <c r="D4451" s="197"/>
      <c r="E4451" s="197"/>
      <c r="F4451" s="197"/>
      <c r="G4451" s="197"/>
      <c r="H4451" s="209"/>
      <c r="I4451" s="209"/>
    </row>
    <row r="4452" spans="1:12">
      <c r="A4452" s="195"/>
      <c r="B4452" s="195" t="s">
        <v>206</v>
      </c>
      <c r="C4452"/>
      <c r="D4452" s="197"/>
      <c r="E4452" s="197"/>
      <c r="F4452" s="197"/>
      <c r="G4452" s="197"/>
      <c r="H4452" s="209"/>
      <c r="I4452" s="209"/>
    </row>
    <row r="4453" spans="1:12">
      <c r="A4453" s="195"/>
      <c r="B4453" s="195" t="s">
        <v>207</v>
      </c>
      <c r="C4453"/>
      <c r="D4453" s="197"/>
      <c r="E4453" s="197"/>
      <c r="F4453" s="197"/>
      <c r="G4453" s="197"/>
      <c r="H4453" s="209"/>
      <c r="I4453" s="209"/>
    </row>
    <row r="4454" spans="1:12">
      <c r="A4454" s="195"/>
      <c r="B4454" s="196" t="s">
        <v>227</v>
      </c>
      <c r="C4454"/>
      <c r="D4454" s="197"/>
      <c r="E4454" s="197"/>
      <c r="F4454" s="197"/>
      <c r="G4454" s="197"/>
      <c r="H4454" s="209"/>
      <c r="I4454" s="209"/>
      <c r="K4454"/>
    </row>
    <row r="4455" spans="1:12" ht="29.25" thickBot="1">
      <c r="A4455" s="182" t="str">
        <f>"回収シフト  第"&amp;ROUNDUP(DAY(B4458)/7,0)  &amp;"  "&amp;TEXT(B4458,"aaaa")</f>
        <v>回収シフト  第2  水曜日</v>
      </c>
      <c r="B4455" s="183"/>
      <c r="C4455" s="183"/>
      <c r="D4455" s="183"/>
      <c r="E4455" s="183"/>
      <c r="F4455" s="183"/>
      <c r="G4455" s="184"/>
      <c r="H4455" s="184"/>
      <c r="I4455" s="184"/>
      <c r="K4455" s="183"/>
      <c r="L4455" s="183"/>
    </row>
    <row r="4456" spans="1:12" ht="15.75" thickBot="1">
      <c r="A4456"/>
      <c r="B4456"/>
      <c r="C4456"/>
      <c r="D4456" s="186" t="s">
        <v>201</v>
      </c>
      <c r="E4456" s="186" t="s">
        <v>202</v>
      </c>
      <c r="F4456" s="186" t="s">
        <v>203</v>
      </c>
      <c r="G4456" s="186" t="s">
        <v>204</v>
      </c>
      <c r="H4456" s="186" t="s">
        <v>267</v>
      </c>
      <c r="I4456" s="217" t="s">
        <v>267</v>
      </c>
      <c r="K4456" s="230" t="s">
        <v>257</v>
      </c>
      <c r="L4456" s="231"/>
    </row>
    <row r="4457" spans="1:12">
      <c r="A4457" s="187"/>
      <c r="B4457" s="188">
        <v>46119</v>
      </c>
      <c r="C4457" s="187"/>
      <c r="D4457" s="189" t="s">
        <v>923</v>
      </c>
      <c r="E4457" s="189" t="s">
        <v>849</v>
      </c>
      <c r="F4457" s="189" t="s">
        <v>276</v>
      </c>
      <c r="G4457" s="189" t="s">
        <v>890</v>
      </c>
      <c r="H4457" s="189" t="s">
        <v>852</v>
      </c>
      <c r="I4457" s="218" t="s">
        <v>852</v>
      </c>
      <c r="K4457" s="232" t="s">
        <v>258</v>
      </c>
      <c r="L4457" s="190" t="str">
        <f>_xlfn.XLOOKUP($B4458,シフト抽出!$19:$19,シフト抽出!$20:$20,"該当なし",0,1)</f>
        <v>該当なし</v>
      </c>
    </row>
    <row r="4458" spans="1:12" ht="19.5" thickBot="1">
      <c r="A4458"/>
      <c r="B4458" s="191">
        <f>B4405+1</f>
        <v>46211</v>
      </c>
      <c r="C4458" s="192" t="e">
        <v>#REF!</v>
      </c>
      <c r="D4458" s="193"/>
      <c r="E4458" s="193"/>
      <c r="F4458" s="193"/>
      <c r="G4458" s="193"/>
      <c r="H4458" s="193"/>
      <c r="I4458" s="219"/>
      <c r="K4458" s="233"/>
      <c r="L4458" s="194" t="str">
        <f>_xlfn.XLOOKUP($B4458,シフト抽出!$19:$19,シフト抽出!$21:$21,"該当なし",0,1)</f>
        <v>該当なし</v>
      </c>
    </row>
    <row r="4459" spans="1:12">
      <c r="A4459" s="195"/>
      <c r="B4459" s="196">
        <v>0.25</v>
      </c>
      <c r="C4459"/>
      <c r="D4459" s="197"/>
      <c r="E4459" s="196"/>
      <c r="F4459" s="197"/>
      <c r="G4459" s="197"/>
      <c r="H4459" s="197"/>
      <c r="I4459" s="209"/>
      <c r="K4459" s="234" t="s">
        <v>259</v>
      </c>
      <c r="L4459" s="198" t="str">
        <f>_xlfn.XLOOKUP($B4458,シフト抽出!$19:$19,シフト抽出!$23:$23,"該当なし",0,1)</f>
        <v>該当なし</v>
      </c>
    </row>
    <row r="4460" spans="1:12" ht="15.75" thickBot="1">
      <c r="A4460" s="195"/>
      <c r="B4460" s="195" t="s">
        <v>205</v>
      </c>
      <c r="C4460"/>
      <c r="D4460" s="197"/>
      <c r="E4460" s="197"/>
      <c r="F4460" s="197"/>
      <c r="G4460" s="197"/>
      <c r="H4460" s="197"/>
      <c r="I4460" s="209"/>
      <c r="K4460" s="235"/>
      <c r="L4460" s="199" t="str">
        <f>_xlfn.XLOOKUP($B4458,シフト抽出!$19:$19,シフト抽出!$24:$24,"該当なし",0,1)</f>
        <v>該当なし</v>
      </c>
    </row>
    <row r="4461" spans="1:12">
      <c r="A4461" s="195"/>
      <c r="B4461" s="195" t="s">
        <v>206</v>
      </c>
      <c r="C4461"/>
      <c r="D4461" s="197"/>
      <c r="E4461" s="197" t="s">
        <v>107</v>
      </c>
      <c r="F4461" s="197"/>
      <c r="G4461" s="197"/>
      <c r="H4461" s="197"/>
      <c r="I4461" s="209"/>
      <c r="K4461" s="224" t="s">
        <v>260</v>
      </c>
      <c r="L4461" s="200" t="str">
        <f>_xlfn.XLOOKUP($B4458,シフト抽出!$19:$19,シフト抽出!$26:$26,"該当なし",0,1)</f>
        <v>該当なし</v>
      </c>
    </row>
    <row r="4462" spans="1:12">
      <c r="A4462" s="195"/>
      <c r="B4462" s="195" t="s">
        <v>207</v>
      </c>
      <c r="C4462"/>
      <c r="D4462" s="197"/>
      <c r="E4462" s="197"/>
      <c r="F4462" s="197"/>
      <c r="G4462" s="197"/>
      <c r="H4462" s="197"/>
      <c r="I4462" s="209"/>
      <c r="K4462" s="225"/>
      <c r="L4462" s="201" t="str">
        <f>_xlfn.XLOOKUP($B4458,シフト抽出!$19:$19,シフト抽出!$27:$27,"該当なし",0,1)</f>
        <v>該当なし</v>
      </c>
    </row>
    <row r="4463" spans="1:12">
      <c r="A4463" s="195"/>
      <c r="B4463" s="202" t="s">
        <v>208</v>
      </c>
      <c r="C4463"/>
      <c r="D4463" s="197" t="s">
        <v>414</v>
      </c>
      <c r="E4463" s="197" t="s">
        <v>106</v>
      </c>
      <c r="F4463" s="197" t="s">
        <v>851</v>
      </c>
      <c r="G4463" s="197" t="s">
        <v>22</v>
      </c>
      <c r="H4463" s="197" t="s">
        <v>106</v>
      </c>
      <c r="I4463" s="209" t="s">
        <v>106</v>
      </c>
      <c r="J4463" s="203"/>
      <c r="K4463" s="225"/>
      <c r="L4463" s="201" t="str">
        <f>_xlfn.XLOOKUP($B4458,シフト抽出!$19:$19,シフト抽出!$28:$28,"該当なし",0,1)</f>
        <v>該当なし</v>
      </c>
    </row>
    <row r="4464" spans="1:12" ht="15.75" thickBot="1">
      <c r="A4464" s="195"/>
      <c r="B4464" s="195" t="s">
        <v>205</v>
      </c>
      <c r="C4464"/>
      <c r="D4464" s="197" t="s">
        <v>414</v>
      </c>
      <c r="E4464" s="197" t="s">
        <v>106</v>
      </c>
      <c r="F4464" s="197" t="s">
        <v>851</v>
      </c>
      <c r="G4464" s="197" t="s">
        <v>22</v>
      </c>
      <c r="H4464" s="197" t="s">
        <v>106</v>
      </c>
      <c r="I4464" s="209" t="s">
        <v>106</v>
      </c>
      <c r="J4464" s="203"/>
      <c r="K4464" s="226"/>
      <c r="L4464" s="204" t="str">
        <f>_xlfn.XLOOKUP($B4458,シフト抽出!$19:$19,シフト抽出!$29:$29,"該当なし",0,1)</f>
        <v>該当なし</v>
      </c>
    </row>
    <row r="4465" spans="1:12" ht="15.75" thickBot="1">
      <c r="A4465" s="195"/>
      <c r="B4465" s="195" t="s">
        <v>206</v>
      </c>
      <c r="C4465"/>
      <c r="D4465" s="197" t="s">
        <v>414</v>
      </c>
      <c r="E4465" s="197" t="s">
        <v>106</v>
      </c>
      <c r="F4465" s="197" t="s">
        <v>851</v>
      </c>
      <c r="G4465" s="197" t="s">
        <v>788</v>
      </c>
      <c r="H4465" s="197" t="s">
        <v>106</v>
      </c>
      <c r="I4465" s="209" t="s">
        <v>106</v>
      </c>
      <c r="K4465" s="205" t="s">
        <v>261</v>
      </c>
      <c r="L4465" s="205">
        <f>_xlfn.XLOOKUP($B4458,予定表!B:B,予定表!R:R,"該当なし",0,1)</f>
        <v>0</v>
      </c>
    </row>
    <row r="4466" spans="1:12">
      <c r="A4466" s="195"/>
      <c r="B4466" s="195" t="s">
        <v>207</v>
      </c>
      <c r="C4466"/>
      <c r="D4466" s="197" t="s">
        <v>414</v>
      </c>
      <c r="E4466" s="197" t="s">
        <v>106</v>
      </c>
      <c r="F4466" s="197" t="s">
        <v>851</v>
      </c>
      <c r="G4466" s="197" t="s">
        <v>788</v>
      </c>
      <c r="H4466" s="197" t="s">
        <v>106</v>
      </c>
      <c r="I4466" s="209" t="s">
        <v>106</v>
      </c>
      <c r="K4466" s="227" t="s">
        <v>262</v>
      </c>
      <c r="L4466" s="206">
        <f>_xlfn.XLOOKUP($B4458,予定表!$B:$B,予定表!E:E,"該当なし",0,1)</f>
        <v>0</v>
      </c>
    </row>
    <row r="4467" spans="1:12">
      <c r="A4467" s="195"/>
      <c r="B4467" s="196" t="s">
        <v>209</v>
      </c>
      <c r="C4467"/>
      <c r="D4467" s="197" t="s">
        <v>414</v>
      </c>
      <c r="E4467" s="197" t="s">
        <v>106</v>
      </c>
      <c r="F4467" s="197" t="s">
        <v>851</v>
      </c>
      <c r="G4467" s="197" t="s">
        <v>268</v>
      </c>
      <c r="H4467" s="197" t="s">
        <v>106</v>
      </c>
      <c r="I4467" s="209" t="s">
        <v>106</v>
      </c>
      <c r="K4467" s="228"/>
      <c r="L4467" s="207">
        <f>_xlfn.XLOOKUP($B4458,予定表!$B:$B,予定表!F:F,"該当なし",0,1)</f>
        <v>0</v>
      </c>
    </row>
    <row r="4468" spans="1:12">
      <c r="A4468" s="195"/>
      <c r="B4468" s="195" t="s">
        <v>205</v>
      </c>
      <c r="C4468"/>
      <c r="D4468" s="197" t="s">
        <v>414</v>
      </c>
      <c r="E4468" s="197" t="s">
        <v>106</v>
      </c>
      <c r="F4468" s="197" t="s">
        <v>851</v>
      </c>
      <c r="G4468" s="197" t="s">
        <v>268</v>
      </c>
      <c r="H4468" s="197" t="s">
        <v>106</v>
      </c>
      <c r="I4468" s="209" t="s">
        <v>106</v>
      </c>
      <c r="K4468" s="228"/>
      <c r="L4468" s="207" t="str">
        <f>_xlfn.XLOOKUP($B4458,予定表!$B:$B,予定表!G:G,"該当なし",0,1)</f>
        <v>ディーミング</v>
      </c>
    </row>
    <row r="4469" spans="1:12">
      <c r="A4469" s="195"/>
      <c r="B4469" s="195" t="s">
        <v>206</v>
      </c>
      <c r="C4469"/>
      <c r="D4469" s="197" t="s">
        <v>214</v>
      </c>
      <c r="E4469" s="197" t="s">
        <v>106</v>
      </c>
      <c r="F4469" s="197"/>
      <c r="G4469" s="197" t="s">
        <v>268</v>
      </c>
      <c r="H4469" s="197" t="s">
        <v>106</v>
      </c>
      <c r="I4469" s="209" t="s">
        <v>106</v>
      </c>
      <c r="K4469" s="228"/>
      <c r="L4469" s="207">
        <f>_xlfn.XLOOKUP($B4458,予定表!$B:$B,予定表!H:H,"該当なし",0,1)</f>
        <v>0</v>
      </c>
    </row>
    <row r="4470" spans="1:12">
      <c r="A4470" s="195"/>
      <c r="B4470" s="195" t="s">
        <v>207</v>
      </c>
      <c r="C4470"/>
      <c r="D4470" s="197" t="s">
        <v>214</v>
      </c>
      <c r="E4470" s="197" t="s">
        <v>106</v>
      </c>
      <c r="F4470" s="197" t="s">
        <v>264</v>
      </c>
      <c r="G4470" s="197" t="s">
        <v>268</v>
      </c>
      <c r="H4470" s="197" t="s">
        <v>106</v>
      </c>
      <c r="I4470" s="209" t="s">
        <v>106</v>
      </c>
      <c r="K4470" s="228"/>
      <c r="L4470" s="207">
        <f>_xlfn.XLOOKUP($B4458,予定表!$B:$B,予定表!I:I,"該当なし",0,1)</f>
        <v>0</v>
      </c>
    </row>
    <row r="4471" spans="1:12">
      <c r="A4471" s="195"/>
      <c r="B4471" s="196" t="s">
        <v>212</v>
      </c>
      <c r="C4471"/>
      <c r="D4471" s="197" t="s">
        <v>214</v>
      </c>
      <c r="E4471" s="197" t="s">
        <v>106</v>
      </c>
      <c r="F4471" s="197" t="s">
        <v>280</v>
      </c>
      <c r="G4471" s="197" t="s">
        <v>268</v>
      </c>
      <c r="H4471" s="197" t="s">
        <v>106</v>
      </c>
      <c r="I4471" s="209" t="s">
        <v>106</v>
      </c>
      <c r="K4471" s="228"/>
      <c r="L4471" s="207">
        <f>_xlfn.XLOOKUP($B4458,予定表!$B:$B,予定表!J:J,"該当なし",0,1)</f>
        <v>0</v>
      </c>
    </row>
    <row r="4472" spans="1:12">
      <c r="A4472" s="195"/>
      <c r="B4472" s="195" t="s">
        <v>205</v>
      </c>
      <c r="C4472"/>
      <c r="D4472" s="197" t="s">
        <v>214</v>
      </c>
      <c r="E4472" s="197" t="s">
        <v>106</v>
      </c>
      <c r="F4472" s="197" t="s">
        <v>215</v>
      </c>
      <c r="G4472" s="197" t="s">
        <v>268</v>
      </c>
      <c r="H4472" s="197" t="s">
        <v>106</v>
      </c>
      <c r="I4472" s="209" t="s">
        <v>106</v>
      </c>
      <c r="K4472" s="228"/>
      <c r="L4472" s="207">
        <f>_xlfn.XLOOKUP($B4458,予定表!$B:$B,予定表!K:K,"該当なし",0,1)</f>
        <v>0</v>
      </c>
    </row>
    <row r="4473" spans="1:12">
      <c r="A4473" s="195"/>
      <c r="B4473" s="195" t="s">
        <v>206</v>
      </c>
      <c r="C4473"/>
      <c r="D4473" s="197" t="s">
        <v>761</v>
      </c>
      <c r="E4473" s="197" t="s">
        <v>106</v>
      </c>
      <c r="F4473" s="197" t="s">
        <v>127</v>
      </c>
      <c r="G4473" s="197" t="s">
        <v>515</v>
      </c>
      <c r="H4473" s="197" t="s">
        <v>106</v>
      </c>
      <c r="I4473" s="209" t="s">
        <v>106</v>
      </c>
      <c r="K4473" s="228"/>
      <c r="L4473" s="207">
        <f>_xlfn.XLOOKUP($B4458,予定表!$B:$B,予定表!L:L,"該当なし",0,1)</f>
        <v>0</v>
      </c>
    </row>
    <row r="4474" spans="1:12" ht="15.75" thickBot="1">
      <c r="A4474" s="195"/>
      <c r="B4474" s="195" t="s">
        <v>207</v>
      </c>
      <c r="C4474"/>
      <c r="D4474" s="197" t="s">
        <v>761</v>
      </c>
      <c r="E4474" s="197" t="s">
        <v>106</v>
      </c>
      <c r="F4474" s="197" t="s">
        <v>397</v>
      </c>
      <c r="G4474" s="197" t="s">
        <v>515</v>
      </c>
      <c r="H4474" s="197" t="s">
        <v>106</v>
      </c>
      <c r="I4474" s="209" t="s">
        <v>106</v>
      </c>
      <c r="K4474" s="229"/>
      <c r="L4474" s="204" t="str">
        <f>_xlfn.XLOOKUP($A4455,ﾘｽﾄマスタ!$U$8:$U$17,ﾘｽﾄマスタ!$V$8:$V$17,"",0)</f>
        <v>裕源・自衛隊</v>
      </c>
    </row>
    <row r="4475" spans="1:12" ht="15.75" thickBot="1">
      <c r="A4475" s="195"/>
      <c r="B4475" s="196" t="s">
        <v>251</v>
      </c>
      <c r="C4475"/>
      <c r="D4475" s="197" t="s">
        <v>761</v>
      </c>
      <c r="E4475" s="197" t="s">
        <v>106</v>
      </c>
      <c r="F4475" s="197"/>
      <c r="G4475" s="197" t="s">
        <v>269</v>
      </c>
      <c r="H4475" s="197" t="s">
        <v>106</v>
      </c>
      <c r="I4475" s="209" t="s">
        <v>106</v>
      </c>
      <c r="K4475" s="208" t="s">
        <v>277</v>
      </c>
      <c r="L4475" s="208" t="str">
        <f>_xlfn.XLOOKUP($B4458,シフト抽出!$19:$19,シフト抽出!$30:$30,"該当なし",0,1)</f>
        <v>該当なし</v>
      </c>
    </row>
    <row r="4476" spans="1:12">
      <c r="A4476" s="195"/>
      <c r="B4476" s="195" t="s">
        <v>205</v>
      </c>
      <c r="C4476"/>
      <c r="D4476" s="197" t="s">
        <v>416</v>
      </c>
      <c r="E4476" s="197" t="s">
        <v>106</v>
      </c>
      <c r="F4476" s="197"/>
      <c r="G4476" s="197" t="s">
        <v>269</v>
      </c>
      <c r="H4476" s="197" t="s">
        <v>106</v>
      </c>
      <c r="I4476" s="209" t="s">
        <v>106</v>
      </c>
    </row>
    <row r="4477" spans="1:12">
      <c r="A4477" s="195"/>
      <c r="B4477" s="195" t="s">
        <v>206</v>
      </c>
      <c r="C4477"/>
      <c r="D4477" s="197" t="s">
        <v>771</v>
      </c>
      <c r="E4477" s="197" t="s">
        <v>106</v>
      </c>
      <c r="F4477" s="197"/>
      <c r="G4477" s="197" t="s">
        <v>269</v>
      </c>
      <c r="H4477" s="197" t="s">
        <v>106</v>
      </c>
      <c r="I4477" s="209" t="s">
        <v>106</v>
      </c>
    </row>
    <row r="4478" spans="1:12">
      <c r="A4478" s="195"/>
      <c r="B4478" s="195" t="s">
        <v>207</v>
      </c>
      <c r="C4478"/>
      <c r="D4478" s="197" t="s">
        <v>416</v>
      </c>
      <c r="E4478" s="197" t="s">
        <v>106</v>
      </c>
      <c r="F4478" s="197"/>
      <c r="G4478" s="197" t="s">
        <v>446</v>
      </c>
      <c r="H4478" s="197" t="s">
        <v>106</v>
      </c>
      <c r="I4478" s="209" t="s">
        <v>106</v>
      </c>
    </row>
    <row r="4479" spans="1:12">
      <c r="A4479" s="195"/>
      <c r="B4479" s="196" t="s">
        <v>217</v>
      </c>
      <c r="C4479"/>
      <c r="D4479" s="197" t="s">
        <v>224</v>
      </c>
      <c r="E4479" s="197" t="s">
        <v>106</v>
      </c>
      <c r="F4479" s="197" t="s">
        <v>51</v>
      </c>
      <c r="G4479" s="197" t="s">
        <v>114</v>
      </c>
      <c r="H4479" s="197" t="s">
        <v>106</v>
      </c>
      <c r="I4479" s="209" t="s">
        <v>106</v>
      </c>
    </row>
    <row r="4480" spans="1:12">
      <c r="A4480" s="195"/>
      <c r="B4480" s="195" t="s">
        <v>205</v>
      </c>
      <c r="C4480"/>
      <c r="D4480" s="197" t="s">
        <v>224</v>
      </c>
      <c r="E4480" s="197" t="s">
        <v>106</v>
      </c>
      <c r="F4480" s="197" t="s">
        <v>51</v>
      </c>
      <c r="G4480" s="197" t="s">
        <v>114</v>
      </c>
      <c r="H4480" s="197" t="s">
        <v>106</v>
      </c>
      <c r="I4480" s="209" t="s">
        <v>106</v>
      </c>
    </row>
    <row r="4481" spans="1:9">
      <c r="A4481" s="195"/>
      <c r="B4481" s="195" t="s">
        <v>206</v>
      </c>
      <c r="C4481"/>
      <c r="D4481" s="197" t="s">
        <v>224</v>
      </c>
      <c r="E4481" s="197" t="s">
        <v>106</v>
      </c>
      <c r="F4481" s="197" t="s">
        <v>51</v>
      </c>
      <c r="G4481" s="197" t="s">
        <v>114</v>
      </c>
      <c r="H4481" s="197" t="s">
        <v>106</v>
      </c>
      <c r="I4481" s="209" t="s">
        <v>106</v>
      </c>
    </row>
    <row r="4482" spans="1:9">
      <c r="A4482" s="195"/>
      <c r="B4482" s="195" t="s">
        <v>207</v>
      </c>
      <c r="C4482"/>
      <c r="D4482" s="197" t="s">
        <v>224</v>
      </c>
      <c r="E4482" s="197" t="s">
        <v>106</v>
      </c>
      <c r="F4482" s="197" t="s">
        <v>51</v>
      </c>
      <c r="G4482" s="197" t="s">
        <v>114</v>
      </c>
      <c r="H4482" s="197" t="s">
        <v>106</v>
      </c>
      <c r="I4482" s="209" t="s">
        <v>106</v>
      </c>
    </row>
    <row r="4483" spans="1:9">
      <c r="A4483" s="195"/>
      <c r="B4483" s="196" t="s">
        <v>219</v>
      </c>
      <c r="C4483"/>
      <c r="D4483" s="197"/>
      <c r="E4483" s="197"/>
      <c r="F4483" s="197"/>
      <c r="G4483" s="197"/>
      <c r="H4483" s="197"/>
      <c r="I4483" s="209"/>
    </row>
    <row r="4484" spans="1:9">
      <c r="A4484" s="195"/>
      <c r="B4484" s="195" t="s">
        <v>205</v>
      </c>
      <c r="C4484"/>
      <c r="D4484" s="197"/>
      <c r="E4484" s="197"/>
      <c r="F4484" s="197"/>
      <c r="G4484" s="197"/>
      <c r="H4484" s="197"/>
      <c r="I4484" s="209"/>
    </row>
    <row r="4485" spans="1:9">
      <c r="A4485" s="195"/>
      <c r="B4485" s="195" t="s">
        <v>206</v>
      </c>
      <c r="C4485"/>
      <c r="D4485" s="197"/>
      <c r="E4485" s="197"/>
      <c r="F4485" s="197"/>
      <c r="G4485" s="197"/>
      <c r="H4485" s="197"/>
      <c r="I4485" s="209"/>
    </row>
    <row r="4486" spans="1:9">
      <c r="A4486" s="195"/>
      <c r="B4486" s="195" t="s">
        <v>207</v>
      </c>
      <c r="C4486"/>
      <c r="D4486" s="197"/>
      <c r="E4486" s="197"/>
      <c r="F4486" s="197"/>
      <c r="G4486" s="197"/>
      <c r="H4486" s="197"/>
      <c r="I4486" s="209"/>
    </row>
    <row r="4487" spans="1:9">
      <c r="A4487" s="195"/>
      <c r="B4487" s="196" t="s">
        <v>220</v>
      </c>
      <c r="C4487"/>
      <c r="D4487" s="189" t="s">
        <v>937</v>
      </c>
      <c r="E4487" s="189" t="s">
        <v>969</v>
      </c>
      <c r="F4487" s="197"/>
      <c r="G4487" s="189" t="s">
        <v>890</v>
      </c>
      <c r="H4487" s="197"/>
      <c r="I4487" s="209"/>
    </row>
    <row r="4488" spans="1:9">
      <c r="A4488" s="195"/>
      <c r="B4488" s="195" t="s">
        <v>205</v>
      </c>
      <c r="C4488"/>
      <c r="D4488" s="197" t="s">
        <v>759</v>
      </c>
      <c r="E4488" s="197" t="s">
        <v>273</v>
      </c>
      <c r="F4488" s="197" t="s">
        <v>603</v>
      </c>
      <c r="G4488" s="197" t="s">
        <v>56</v>
      </c>
      <c r="H4488" s="197" t="s">
        <v>848</v>
      </c>
      <c r="I4488" s="209" t="s">
        <v>848</v>
      </c>
    </row>
    <row r="4489" spans="1:9">
      <c r="A4489" s="195"/>
      <c r="B4489" s="195" t="s">
        <v>206</v>
      </c>
      <c r="C4489"/>
      <c r="D4489" s="197" t="s">
        <v>759</v>
      </c>
      <c r="E4489" s="197" t="s">
        <v>273</v>
      </c>
      <c r="F4489" s="197" t="s">
        <v>603</v>
      </c>
      <c r="G4489" s="197" t="s">
        <v>56</v>
      </c>
      <c r="H4489" s="197" t="s">
        <v>848</v>
      </c>
      <c r="I4489" s="209" t="s">
        <v>848</v>
      </c>
    </row>
    <row r="4490" spans="1:9">
      <c r="A4490" s="195"/>
      <c r="B4490" s="195" t="s">
        <v>207</v>
      </c>
      <c r="C4490"/>
      <c r="D4490" s="197" t="s">
        <v>759</v>
      </c>
      <c r="E4490" s="197" t="s">
        <v>273</v>
      </c>
      <c r="F4490" s="197" t="s">
        <v>603</v>
      </c>
      <c r="G4490" s="197" t="s">
        <v>56</v>
      </c>
      <c r="H4490" s="197" t="s">
        <v>848</v>
      </c>
      <c r="I4490" s="209" t="s">
        <v>848</v>
      </c>
    </row>
    <row r="4491" spans="1:9">
      <c r="A4491" s="195"/>
      <c r="B4491" s="196" t="s">
        <v>222</v>
      </c>
      <c r="C4491"/>
      <c r="D4491" s="197" t="s">
        <v>759</v>
      </c>
      <c r="E4491" s="197" t="s">
        <v>273</v>
      </c>
      <c r="F4491" s="197" t="s">
        <v>603</v>
      </c>
      <c r="G4491" s="197" t="s">
        <v>4</v>
      </c>
      <c r="H4491" s="197" t="s">
        <v>848</v>
      </c>
      <c r="I4491" s="209" t="s">
        <v>848</v>
      </c>
    </row>
    <row r="4492" spans="1:9">
      <c r="A4492" s="195"/>
      <c r="B4492" s="195" t="s">
        <v>205</v>
      </c>
      <c r="C4492"/>
      <c r="D4492" s="197" t="s">
        <v>216</v>
      </c>
      <c r="E4492" s="197" t="s">
        <v>186</v>
      </c>
      <c r="F4492" s="197" t="s">
        <v>603</v>
      </c>
      <c r="G4492" s="197" t="s">
        <v>270</v>
      </c>
      <c r="H4492" s="197" t="s">
        <v>848</v>
      </c>
      <c r="I4492" s="209" t="s">
        <v>848</v>
      </c>
    </row>
    <row r="4493" spans="1:9">
      <c r="A4493" s="195"/>
      <c r="B4493" s="195" t="s">
        <v>206</v>
      </c>
      <c r="C4493"/>
      <c r="D4493" s="197" t="s">
        <v>216</v>
      </c>
      <c r="E4493" s="197" t="s">
        <v>186</v>
      </c>
      <c r="F4493" s="197" t="s">
        <v>603</v>
      </c>
      <c r="G4493" s="197" t="s">
        <v>270</v>
      </c>
      <c r="H4493" s="197" t="s">
        <v>229</v>
      </c>
      <c r="I4493" s="209" t="s">
        <v>229</v>
      </c>
    </row>
    <row r="4494" spans="1:9">
      <c r="A4494" s="195"/>
      <c r="B4494" s="195" t="s">
        <v>207</v>
      </c>
      <c r="C4494"/>
      <c r="D4494" s="197" t="s">
        <v>216</v>
      </c>
      <c r="E4494" s="197" t="s">
        <v>252</v>
      </c>
      <c r="F4494" s="197" t="s">
        <v>603</v>
      </c>
      <c r="G4494" s="197" t="s">
        <v>270</v>
      </c>
      <c r="H4494" s="197" t="s">
        <v>229</v>
      </c>
      <c r="I4494" s="209" t="s">
        <v>229</v>
      </c>
    </row>
    <row r="4495" spans="1:9">
      <c r="A4495" s="195"/>
      <c r="B4495" s="196" t="s">
        <v>223</v>
      </c>
      <c r="C4495"/>
      <c r="D4495" s="197" t="s">
        <v>216</v>
      </c>
      <c r="E4495" s="197" t="s">
        <v>252</v>
      </c>
      <c r="F4495" s="197" t="s">
        <v>603</v>
      </c>
      <c r="G4495" s="197" t="s">
        <v>270</v>
      </c>
      <c r="H4495" s="197" t="s">
        <v>230</v>
      </c>
      <c r="I4495" s="209" t="s">
        <v>230</v>
      </c>
    </row>
    <row r="4496" spans="1:9">
      <c r="A4496" s="195"/>
      <c r="B4496" s="195" t="s">
        <v>205</v>
      </c>
      <c r="C4496"/>
      <c r="D4496" s="197" t="s">
        <v>216</v>
      </c>
      <c r="E4496" s="197" t="s">
        <v>252</v>
      </c>
      <c r="F4496" s="197" t="s">
        <v>603</v>
      </c>
      <c r="G4496" s="197" t="s">
        <v>270</v>
      </c>
      <c r="H4496" s="197" t="s">
        <v>230</v>
      </c>
      <c r="I4496" s="209" t="s">
        <v>230</v>
      </c>
    </row>
    <row r="4497" spans="1:12">
      <c r="A4497" s="195"/>
      <c r="B4497" s="195" t="s">
        <v>206</v>
      </c>
      <c r="C4497"/>
      <c r="D4497" s="197" t="s">
        <v>523</v>
      </c>
      <c r="E4497" s="197" t="s">
        <v>252</v>
      </c>
      <c r="F4497" s="197" t="s">
        <v>603</v>
      </c>
      <c r="G4497" s="197" t="s">
        <v>270</v>
      </c>
      <c r="H4497" s="197" t="s">
        <v>230</v>
      </c>
      <c r="I4497" s="209" t="s">
        <v>230</v>
      </c>
    </row>
    <row r="4498" spans="1:12">
      <c r="A4498" s="195"/>
      <c r="B4498" s="195" t="s">
        <v>207</v>
      </c>
      <c r="C4498"/>
      <c r="D4498" s="197" t="s">
        <v>523</v>
      </c>
      <c r="E4498" s="197" t="s">
        <v>252</v>
      </c>
      <c r="F4498" s="197" t="s">
        <v>603</v>
      </c>
      <c r="G4498" s="197" t="s">
        <v>270</v>
      </c>
      <c r="H4498" s="197" t="s">
        <v>230</v>
      </c>
      <c r="I4498" s="209" t="s">
        <v>230</v>
      </c>
    </row>
    <row r="4499" spans="1:12">
      <c r="A4499" s="195"/>
      <c r="B4499" s="196" t="s">
        <v>225</v>
      </c>
      <c r="C4499"/>
      <c r="D4499" s="197"/>
      <c r="E4499" s="197" t="s">
        <v>252</v>
      </c>
      <c r="F4499" s="197"/>
      <c r="G4499" s="197" t="s">
        <v>270</v>
      </c>
      <c r="H4499" s="197" t="s">
        <v>230</v>
      </c>
      <c r="I4499" s="209" t="s">
        <v>230</v>
      </c>
    </row>
    <row r="4500" spans="1:12">
      <c r="A4500" s="195"/>
      <c r="B4500" s="195" t="s">
        <v>205</v>
      </c>
      <c r="C4500"/>
      <c r="D4500" s="197"/>
      <c r="E4500" s="197" t="s">
        <v>252</v>
      </c>
      <c r="F4500" s="197"/>
      <c r="G4500" s="197" t="s">
        <v>270</v>
      </c>
      <c r="H4500" s="209" t="s">
        <v>415</v>
      </c>
      <c r="I4500" s="209" t="s">
        <v>415</v>
      </c>
    </row>
    <row r="4501" spans="1:12">
      <c r="A4501" s="195"/>
      <c r="B4501" s="195" t="s">
        <v>206</v>
      </c>
      <c r="C4501"/>
      <c r="D4501" s="197"/>
      <c r="E4501" s="197" t="s">
        <v>252</v>
      </c>
      <c r="F4501" s="197"/>
      <c r="G4501" s="197" t="s">
        <v>270</v>
      </c>
      <c r="H4501" s="209" t="s">
        <v>415</v>
      </c>
      <c r="I4501" s="209" t="s">
        <v>415</v>
      </c>
    </row>
    <row r="4502" spans="1:12">
      <c r="A4502" s="195"/>
      <c r="B4502" s="195" t="s">
        <v>207</v>
      </c>
      <c r="C4502"/>
      <c r="D4502" s="197"/>
      <c r="E4502" s="197" t="s">
        <v>252</v>
      </c>
      <c r="F4502" s="197"/>
      <c r="G4502" s="197" t="s">
        <v>270</v>
      </c>
      <c r="H4502" s="209" t="s">
        <v>415</v>
      </c>
      <c r="I4502" s="209" t="s">
        <v>415</v>
      </c>
    </row>
    <row r="4503" spans="1:12">
      <c r="A4503" s="195"/>
      <c r="B4503" s="196" t="s">
        <v>226</v>
      </c>
      <c r="C4503"/>
      <c r="D4503" s="197"/>
      <c r="E4503" s="197"/>
      <c r="F4503" s="197"/>
      <c r="G4503" s="197" t="s">
        <v>270</v>
      </c>
      <c r="H4503" s="209"/>
      <c r="I4503" s="209"/>
    </row>
    <row r="4504" spans="1:12">
      <c r="A4504" s="195"/>
      <c r="B4504" s="195" t="s">
        <v>205</v>
      </c>
      <c r="C4504"/>
      <c r="D4504" s="197"/>
      <c r="E4504" s="197"/>
      <c r="F4504" s="197"/>
      <c r="G4504" s="197"/>
      <c r="H4504" s="209"/>
      <c r="I4504" s="209"/>
    </row>
    <row r="4505" spans="1:12">
      <c r="A4505" s="195"/>
      <c r="B4505" s="195" t="s">
        <v>206</v>
      </c>
      <c r="C4505"/>
      <c r="D4505" s="197"/>
      <c r="E4505" s="197"/>
      <c r="F4505" s="197"/>
      <c r="G4505" s="197"/>
      <c r="H4505" s="209"/>
      <c r="I4505" s="209"/>
    </row>
    <row r="4506" spans="1:12">
      <c r="A4506" s="195"/>
      <c r="B4506" s="195" t="s">
        <v>207</v>
      </c>
      <c r="C4506"/>
      <c r="D4506" s="197"/>
      <c r="E4506" s="197"/>
      <c r="F4506" s="197"/>
      <c r="G4506" s="197"/>
      <c r="H4506" s="209"/>
      <c r="I4506" s="209"/>
    </row>
    <row r="4507" spans="1:12">
      <c r="A4507" s="195"/>
      <c r="B4507" s="196" t="s">
        <v>227</v>
      </c>
      <c r="C4507"/>
      <c r="D4507" s="197"/>
      <c r="E4507" s="197"/>
      <c r="F4507" s="197"/>
      <c r="G4507" s="197"/>
      <c r="H4507" s="209"/>
      <c r="I4507" s="209"/>
      <c r="K4507"/>
    </row>
    <row r="4508" spans="1:12" ht="29.25" thickBot="1">
      <c r="A4508" s="182" t="str">
        <f>"回収シフト  第"&amp;ROUNDUP(DAY(B4511)/7,0)  &amp;"  "&amp;TEXT(B4511,"aaaa")</f>
        <v>回収シフト  第2  木曜日</v>
      </c>
      <c r="B4508" s="183"/>
      <c r="C4508" s="183"/>
      <c r="D4508" s="183"/>
      <c r="E4508" s="183"/>
      <c r="F4508" s="183"/>
      <c r="G4508" s="184"/>
      <c r="H4508" s="184"/>
      <c r="I4508" s="184"/>
      <c r="K4508" s="183"/>
      <c r="L4508" s="183"/>
    </row>
    <row r="4509" spans="1:12" ht="15.75" thickBot="1">
      <c r="A4509"/>
      <c r="B4509"/>
      <c r="C4509"/>
      <c r="D4509" s="186" t="s">
        <v>201</v>
      </c>
      <c r="E4509" s="186" t="s">
        <v>202</v>
      </c>
      <c r="F4509" s="186" t="s">
        <v>203</v>
      </c>
      <c r="G4509" s="186" t="s">
        <v>204</v>
      </c>
      <c r="H4509" s="186" t="s">
        <v>267</v>
      </c>
      <c r="I4509" s="217" t="s">
        <v>267</v>
      </c>
      <c r="K4509" s="230" t="s">
        <v>257</v>
      </c>
      <c r="L4509" s="231"/>
    </row>
    <row r="4510" spans="1:12">
      <c r="A4510" s="187"/>
      <c r="B4510" s="188">
        <v>46119</v>
      </c>
      <c r="C4510" s="187"/>
      <c r="D4510" s="189" t="s">
        <v>923</v>
      </c>
      <c r="E4510" s="189" t="s">
        <v>858</v>
      </c>
      <c r="F4510" s="189" t="s">
        <v>891</v>
      </c>
      <c r="G4510" s="189" t="s">
        <v>728</v>
      </c>
      <c r="H4510" s="189" t="s">
        <v>852</v>
      </c>
      <c r="I4510" s="218" t="s">
        <v>852</v>
      </c>
      <c r="K4510" s="232" t="s">
        <v>258</v>
      </c>
      <c r="L4510" s="190" t="str">
        <f>_xlfn.XLOOKUP($B4511,シフト抽出!$19:$19,シフト抽出!$20:$20,"該当なし",0,1)</f>
        <v>該当なし</v>
      </c>
    </row>
    <row r="4511" spans="1:12" ht="19.5" thickBot="1">
      <c r="A4511"/>
      <c r="B4511" s="191">
        <f>B4458+1</f>
        <v>46212</v>
      </c>
      <c r="C4511" s="192"/>
      <c r="D4511" s="193"/>
      <c r="E4511" s="193"/>
      <c r="F4511" s="193"/>
      <c r="G4511" s="193"/>
      <c r="H4511" s="193"/>
      <c r="I4511" s="219"/>
      <c r="K4511" s="233"/>
      <c r="L4511" s="194" t="str">
        <f>_xlfn.XLOOKUP($B4511,シフト抽出!$19:$19,シフト抽出!$21:$21,"該当なし",0,1)</f>
        <v>該当なし</v>
      </c>
    </row>
    <row r="4512" spans="1:12">
      <c r="A4512" s="195"/>
      <c r="B4512" s="196">
        <v>0.25</v>
      </c>
      <c r="C4512"/>
      <c r="D4512" s="197"/>
      <c r="E4512" s="196"/>
      <c r="F4512" s="197"/>
      <c r="G4512" s="197"/>
      <c r="H4512" s="197"/>
      <c r="I4512" s="209"/>
      <c r="K4512" s="234" t="s">
        <v>259</v>
      </c>
      <c r="L4512" s="198" t="str">
        <f>_xlfn.XLOOKUP($B4511,シフト抽出!$19:$19,シフト抽出!$23:$23,"該当なし",0,1)</f>
        <v>該当なし</v>
      </c>
    </row>
    <row r="4513" spans="1:12" ht="15.75" thickBot="1">
      <c r="A4513" s="195"/>
      <c r="B4513" s="195" t="s">
        <v>205</v>
      </c>
      <c r="C4513"/>
      <c r="D4513" s="197"/>
      <c r="E4513" s="197"/>
      <c r="F4513" s="197"/>
      <c r="G4513" s="197"/>
      <c r="H4513" s="197"/>
      <c r="I4513" s="209"/>
      <c r="K4513" s="235"/>
      <c r="L4513" s="199" t="str">
        <f>_xlfn.XLOOKUP($B4511,シフト抽出!$19:$19,シフト抽出!$24:$24,"該当なし",0,1)</f>
        <v>該当なし</v>
      </c>
    </row>
    <row r="4514" spans="1:12">
      <c r="A4514" s="195"/>
      <c r="B4514" s="195" t="s">
        <v>206</v>
      </c>
      <c r="C4514"/>
      <c r="D4514" s="197"/>
      <c r="E4514" s="197"/>
      <c r="F4514" s="197"/>
      <c r="G4514" s="197"/>
      <c r="H4514" s="197"/>
      <c r="I4514" s="209"/>
      <c r="K4514" s="224" t="s">
        <v>260</v>
      </c>
      <c r="L4514" s="200" t="str">
        <f>_xlfn.XLOOKUP($B4511,シフト抽出!$19:$19,シフト抽出!$26:$26,"該当なし",0,1)</f>
        <v>該当なし</v>
      </c>
    </row>
    <row r="4515" spans="1:12">
      <c r="A4515" s="195"/>
      <c r="B4515" s="195" t="s">
        <v>207</v>
      </c>
      <c r="C4515"/>
      <c r="D4515" s="197"/>
      <c r="E4515" s="197"/>
      <c r="F4515" s="197"/>
      <c r="G4515" s="197"/>
      <c r="H4515" s="197"/>
      <c r="I4515" s="209"/>
      <c r="K4515" s="225"/>
      <c r="L4515" s="201" t="str">
        <f>_xlfn.XLOOKUP($B4511,シフト抽出!$19:$19,シフト抽出!$27:$27,"該当なし",0,1)</f>
        <v>該当なし</v>
      </c>
    </row>
    <row r="4516" spans="1:12">
      <c r="A4516" s="195"/>
      <c r="B4516" s="202" t="s">
        <v>208</v>
      </c>
      <c r="C4516"/>
      <c r="D4516" s="197" t="s">
        <v>4</v>
      </c>
      <c r="E4516" s="197" t="s">
        <v>4</v>
      </c>
      <c r="F4516" s="197" t="s">
        <v>4</v>
      </c>
      <c r="G4516" s="197" t="s">
        <v>4</v>
      </c>
      <c r="H4516" s="197"/>
      <c r="I4516" s="209"/>
      <c r="J4516" s="203"/>
      <c r="K4516" s="225"/>
      <c r="L4516" s="201" t="str">
        <f>_xlfn.XLOOKUP($B4511,シフト抽出!$19:$19,シフト抽出!$28:$28,"該当なし",0,1)</f>
        <v>該当なし</v>
      </c>
    </row>
    <row r="4517" spans="1:12" ht="15.75" thickBot="1">
      <c r="A4517" s="195"/>
      <c r="B4517" s="195" t="s">
        <v>205</v>
      </c>
      <c r="C4517"/>
      <c r="D4517" s="197" t="s">
        <v>414</v>
      </c>
      <c r="E4517" s="197" t="s">
        <v>421</v>
      </c>
      <c r="F4517" s="197" t="s">
        <v>851</v>
      </c>
      <c r="G4517" s="197" t="s">
        <v>22</v>
      </c>
      <c r="H4517" s="197"/>
      <c r="I4517" s="209"/>
      <c r="J4517" s="203"/>
      <c r="K4517" s="226"/>
      <c r="L4517" s="204" t="str">
        <f>_xlfn.XLOOKUP($B4511,シフト抽出!$19:$19,シフト抽出!$29:$29,"該当なし",0,1)</f>
        <v>該当なし</v>
      </c>
    </row>
    <row r="4518" spans="1:12" ht="15.75" thickBot="1">
      <c r="A4518" s="195"/>
      <c r="B4518" s="195" t="s">
        <v>206</v>
      </c>
      <c r="C4518"/>
      <c r="D4518" s="197" t="s">
        <v>414</v>
      </c>
      <c r="E4518" s="197" t="s">
        <v>421</v>
      </c>
      <c r="F4518" s="197" t="s">
        <v>851</v>
      </c>
      <c r="G4518" s="197" t="s">
        <v>22</v>
      </c>
      <c r="H4518" s="197"/>
      <c r="I4518" s="209"/>
      <c r="K4518" s="205" t="s">
        <v>261</v>
      </c>
      <c r="L4518" s="205">
        <f>_xlfn.XLOOKUP($B4511,予定表!B:B,予定表!R:R,"該当なし",0,1)</f>
        <v>0</v>
      </c>
    </row>
    <row r="4519" spans="1:12">
      <c r="A4519" s="195"/>
      <c r="B4519" s="195" t="s">
        <v>207</v>
      </c>
      <c r="C4519"/>
      <c r="D4519" s="197" t="s">
        <v>414</v>
      </c>
      <c r="E4519" s="197" t="s">
        <v>421</v>
      </c>
      <c r="F4519" s="197" t="s">
        <v>851</v>
      </c>
      <c r="G4519" s="197" t="s">
        <v>22</v>
      </c>
      <c r="H4519" s="197"/>
      <c r="I4519" s="209"/>
      <c r="K4519" s="227" t="s">
        <v>262</v>
      </c>
      <c r="L4519" s="206" t="str">
        <f>_xlfn.XLOOKUP($B4511,予定表!$B:$B,予定表!E:E,"該当なし",0,1)</f>
        <v>厚木市環境センター</v>
      </c>
    </row>
    <row r="4520" spans="1:12">
      <c r="A4520" s="195"/>
      <c r="B4520" s="196" t="s">
        <v>209</v>
      </c>
      <c r="C4520"/>
      <c r="D4520" s="197" t="s">
        <v>414</v>
      </c>
      <c r="E4520" s="197" t="s">
        <v>421</v>
      </c>
      <c r="F4520" s="197" t="s">
        <v>851</v>
      </c>
      <c r="G4520" s="197" t="s">
        <v>268</v>
      </c>
      <c r="H4520" s="197" t="s">
        <v>4</v>
      </c>
      <c r="I4520" s="209" t="s">
        <v>4</v>
      </c>
      <c r="K4520" s="228"/>
      <c r="L4520" s="207">
        <f>_xlfn.XLOOKUP($B4511,予定表!$B:$B,予定表!F:F,"該当なし",0,1)</f>
        <v>0</v>
      </c>
    </row>
    <row r="4521" spans="1:12">
      <c r="A4521" s="195"/>
      <c r="B4521" s="195" t="s">
        <v>205</v>
      </c>
      <c r="C4521"/>
      <c r="D4521" s="197" t="s">
        <v>414</v>
      </c>
      <c r="E4521" s="197" t="s">
        <v>421</v>
      </c>
      <c r="F4521" s="197" t="s">
        <v>851</v>
      </c>
      <c r="G4521" s="197" t="s">
        <v>268</v>
      </c>
      <c r="H4521" s="197" t="s">
        <v>60</v>
      </c>
      <c r="I4521" s="209" t="s">
        <v>60</v>
      </c>
      <c r="K4521" s="228"/>
      <c r="L4521" s="207">
        <f>_xlfn.XLOOKUP($B4511,予定表!$B:$B,予定表!G:G,"該当なし",0,1)</f>
        <v>0</v>
      </c>
    </row>
    <row r="4522" spans="1:12">
      <c r="A4522" s="195"/>
      <c r="B4522" s="195" t="s">
        <v>206</v>
      </c>
      <c r="C4522"/>
      <c r="D4522" s="197" t="s">
        <v>214</v>
      </c>
      <c r="E4522" s="197" t="s">
        <v>934</v>
      </c>
      <c r="F4522" s="197" t="s">
        <v>851</v>
      </c>
      <c r="G4522" s="197" t="s">
        <v>268</v>
      </c>
      <c r="H4522" s="197" t="s">
        <v>60</v>
      </c>
      <c r="I4522" s="209" t="s">
        <v>60</v>
      </c>
      <c r="K4522" s="228"/>
      <c r="L4522" s="207">
        <f>_xlfn.XLOOKUP($B4511,予定表!$B:$B,予定表!H:H,"該当なし",0,1)</f>
        <v>0</v>
      </c>
    </row>
    <row r="4523" spans="1:12">
      <c r="A4523" s="195"/>
      <c r="B4523" s="195" t="s">
        <v>207</v>
      </c>
      <c r="C4523"/>
      <c r="D4523" s="197" t="s">
        <v>214</v>
      </c>
      <c r="E4523" s="197" t="s">
        <v>273</v>
      </c>
      <c r="F4523" s="197"/>
      <c r="G4523" s="197" t="s">
        <v>268</v>
      </c>
      <c r="H4523" s="197" t="s">
        <v>60</v>
      </c>
      <c r="I4523" s="209" t="s">
        <v>60</v>
      </c>
      <c r="K4523" s="228"/>
      <c r="L4523" s="207">
        <f>_xlfn.XLOOKUP($B4511,予定表!$B:$B,予定表!I:I,"該当なし",0,1)</f>
        <v>0</v>
      </c>
    </row>
    <row r="4524" spans="1:12">
      <c r="A4524" s="195"/>
      <c r="B4524" s="196" t="s">
        <v>212</v>
      </c>
      <c r="C4524"/>
      <c r="D4524" s="197" t="s">
        <v>214</v>
      </c>
      <c r="E4524" s="197" t="s">
        <v>273</v>
      </c>
      <c r="F4524" s="197" t="s">
        <v>7</v>
      </c>
      <c r="G4524" s="197" t="s">
        <v>268</v>
      </c>
      <c r="H4524" s="197"/>
      <c r="I4524" s="209"/>
      <c r="K4524" s="228"/>
      <c r="L4524" s="207">
        <f>_xlfn.XLOOKUP($B4511,予定表!$B:$B,予定表!J:J,"該当なし",0,1)</f>
        <v>0</v>
      </c>
    </row>
    <row r="4525" spans="1:12">
      <c r="A4525" s="195"/>
      <c r="B4525" s="195" t="s">
        <v>205</v>
      </c>
      <c r="C4525"/>
      <c r="D4525" s="197" t="s">
        <v>761</v>
      </c>
      <c r="E4525" s="197" t="s">
        <v>228</v>
      </c>
      <c r="F4525" s="197" t="s">
        <v>510</v>
      </c>
      <c r="G4525" s="197" t="s">
        <v>268</v>
      </c>
      <c r="H4525" s="197" t="s">
        <v>510</v>
      </c>
      <c r="I4525" s="209" t="s">
        <v>510</v>
      </c>
      <c r="K4525" s="228"/>
      <c r="L4525" s="207">
        <f>_xlfn.XLOOKUP($B4511,予定表!$B:$B,予定表!K:K,"該当なし",0,1)</f>
        <v>0</v>
      </c>
    </row>
    <row r="4526" spans="1:12">
      <c r="A4526" s="195"/>
      <c r="B4526" s="195" t="s">
        <v>206</v>
      </c>
      <c r="C4526"/>
      <c r="D4526" s="197" t="s">
        <v>761</v>
      </c>
      <c r="E4526" s="197" t="s">
        <v>228</v>
      </c>
      <c r="F4526" s="197" t="s">
        <v>510</v>
      </c>
      <c r="G4526" s="197" t="s">
        <v>169</v>
      </c>
      <c r="H4526" s="197" t="s">
        <v>510</v>
      </c>
      <c r="I4526" s="209" t="s">
        <v>510</v>
      </c>
      <c r="K4526" s="228"/>
      <c r="L4526" s="207">
        <f>_xlfn.XLOOKUP($B4511,予定表!$B:$B,予定表!L:L,"該当なし",0,1)</f>
        <v>0</v>
      </c>
    </row>
    <row r="4527" spans="1:12" ht="15.75" thickBot="1">
      <c r="A4527" s="195"/>
      <c r="B4527" s="195" t="s">
        <v>207</v>
      </c>
      <c r="C4527"/>
      <c r="D4527" s="197" t="s">
        <v>761</v>
      </c>
      <c r="E4527" s="197" t="s">
        <v>959</v>
      </c>
      <c r="F4527" s="197" t="s">
        <v>510</v>
      </c>
      <c r="G4527" s="197" t="s">
        <v>169</v>
      </c>
      <c r="H4527" s="197" t="s">
        <v>510</v>
      </c>
      <c r="I4527" s="209" t="s">
        <v>510</v>
      </c>
      <c r="K4527" s="229"/>
      <c r="L4527" s="204" t="str">
        <f>_xlfn.XLOOKUP($A4508,ﾘｽﾄマスタ!$U$8:$U$17,ﾘｽﾄマスタ!$V$8:$V$17,"",0)</f>
        <v>BS+1ヵ所</v>
      </c>
    </row>
    <row r="4528" spans="1:12" ht="15.75" thickBot="1">
      <c r="A4528" s="195"/>
      <c r="B4528" s="196" t="s">
        <v>251</v>
      </c>
      <c r="C4528"/>
      <c r="D4528" s="197" t="s">
        <v>7</v>
      </c>
      <c r="E4528" s="197" t="s">
        <v>228</v>
      </c>
      <c r="F4528" s="197" t="s">
        <v>510</v>
      </c>
      <c r="G4528" s="197" t="s">
        <v>169</v>
      </c>
      <c r="H4528" s="197" t="s">
        <v>510</v>
      </c>
      <c r="I4528" s="209" t="s">
        <v>510</v>
      </c>
      <c r="K4528" s="208" t="s">
        <v>277</v>
      </c>
      <c r="L4528" s="208" t="str">
        <f>_xlfn.XLOOKUP($B4511,シフト抽出!$19:$19,シフト抽出!$30:$30,"該当なし",0,1)</f>
        <v>該当なし</v>
      </c>
    </row>
    <row r="4529" spans="1:9">
      <c r="A4529" s="195"/>
      <c r="B4529" s="195" t="s">
        <v>205</v>
      </c>
      <c r="C4529"/>
      <c r="D4529" s="197" t="s">
        <v>129</v>
      </c>
      <c r="E4529" s="197" t="s">
        <v>228</v>
      </c>
      <c r="F4529" s="197" t="s">
        <v>510</v>
      </c>
      <c r="G4529" s="197" t="s">
        <v>169</v>
      </c>
      <c r="H4529" s="197" t="s">
        <v>510</v>
      </c>
      <c r="I4529" s="209" t="s">
        <v>510</v>
      </c>
    </row>
    <row r="4530" spans="1:9">
      <c r="A4530" s="195"/>
      <c r="B4530" s="195" t="s">
        <v>206</v>
      </c>
      <c r="C4530"/>
      <c r="D4530" s="197" t="s">
        <v>129</v>
      </c>
      <c r="E4530" s="197" t="s">
        <v>263</v>
      </c>
      <c r="F4530" s="197" t="s">
        <v>510</v>
      </c>
      <c r="G4530" s="197" t="s">
        <v>169</v>
      </c>
      <c r="H4530" s="197" t="s">
        <v>510</v>
      </c>
      <c r="I4530" s="209" t="s">
        <v>510</v>
      </c>
    </row>
    <row r="4531" spans="1:9">
      <c r="A4531" s="195"/>
      <c r="B4531" s="195" t="s">
        <v>207</v>
      </c>
      <c r="C4531"/>
      <c r="D4531" s="197" t="s">
        <v>129</v>
      </c>
      <c r="E4531" s="197" t="s">
        <v>263</v>
      </c>
      <c r="F4531" s="197" t="s">
        <v>510</v>
      </c>
      <c r="G4531" s="197" t="s">
        <v>75</v>
      </c>
      <c r="H4531" s="197" t="s">
        <v>510</v>
      </c>
      <c r="I4531" s="209" t="s">
        <v>510</v>
      </c>
    </row>
    <row r="4532" spans="1:9">
      <c r="A4532" s="195"/>
      <c r="B4532" s="196" t="s">
        <v>217</v>
      </c>
      <c r="C4532"/>
      <c r="D4532" s="197" t="s">
        <v>129</v>
      </c>
      <c r="E4532" s="197" t="s">
        <v>263</v>
      </c>
      <c r="F4532" s="197" t="s">
        <v>510</v>
      </c>
      <c r="G4532" s="197" t="s">
        <v>169</v>
      </c>
      <c r="H4532" s="197" t="s">
        <v>510</v>
      </c>
      <c r="I4532" s="209" t="s">
        <v>510</v>
      </c>
    </row>
    <row r="4533" spans="1:9">
      <c r="A4533" s="195"/>
      <c r="B4533" s="195" t="s">
        <v>205</v>
      </c>
      <c r="C4533"/>
      <c r="D4533" s="197" t="s">
        <v>51</v>
      </c>
      <c r="E4533" s="197" t="s">
        <v>848</v>
      </c>
      <c r="F4533" s="197" t="s">
        <v>510</v>
      </c>
      <c r="G4533" s="197" t="s">
        <v>169</v>
      </c>
      <c r="H4533" s="197" t="s">
        <v>510</v>
      </c>
      <c r="I4533" s="209" t="s">
        <v>510</v>
      </c>
    </row>
    <row r="4534" spans="1:9">
      <c r="A4534" s="195"/>
      <c r="B4534" s="195" t="s">
        <v>206</v>
      </c>
      <c r="C4534"/>
      <c r="D4534" s="197" t="s">
        <v>51</v>
      </c>
      <c r="E4534" s="197" t="s">
        <v>848</v>
      </c>
      <c r="F4534" s="197" t="s">
        <v>510</v>
      </c>
      <c r="G4534" s="197" t="s">
        <v>278</v>
      </c>
      <c r="H4534" s="197" t="s">
        <v>510</v>
      </c>
      <c r="I4534" s="209" t="s">
        <v>510</v>
      </c>
    </row>
    <row r="4535" spans="1:9">
      <c r="A4535" s="195"/>
      <c r="B4535" s="195" t="s">
        <v>207</v>
      </c>
      <c r="C4535"/>
      <c r="D4535" s="197" t="s">
        <v>51</v>
      </c>
      <c r="E4535" s="197" t="s">
        <v>848</v>
      </c>
      <c r="F4535" s="197" t="s">
        <v>510</v>
      </c>
      <c r="G4535" s="197" t="s">
        <v>278</v>
      </c>
      <c r="H4535" s="197" t="s">
        <v>510</v>
      </c>
      <c r="I4535" s="209" t="s">
        <v>510</v>
      </c>
    </row>
    <row r="4536" spans="1:9">
      <c r="A4536" s="195"/>
      <c r="B4536" s="196" t="s">
        <v>219</v>
      </c>
      <c r="C4536" s="197"/>
      <c r="D4536" s="197"/>
      <c r="E4536" s="197"/>
      <c r="F4536" s="197"/>
      <c r="G4536" s="197"/>
      <c r="H4536" s="197"/>
      <c r="I4536" s="209"/>
    </row>
    <row r="4537" spans="1:9">
      <c r="A4537" s="195"/>
      <c r="B4537" s="195" t="s">
        <v>205</v>
      </c>
      <c r="C4537"/>
      <c r="D4537" s="197"/>
      <c r="E4537" s="197"/>
      <c r="F4537" s="197"/>
      <c r="G4537" s="197"/>
      <c r="H4537" s="197"/>
      <c r="I4537" s="209"/>
    </row>
    <row r="4538" spans="1:9">
      <c r="A4538" s="195"/>
      <c r="B4538" s="195" t="s">
        <v>206</v>
      </c>
      <c r="C4538"/>
      <c r="D4538" s="197"/>
      <c r="E4538" s="197"/>
      <c r="F4538" s="197"/>
      <c r="G4538" s="197"/>
      <c r="H4538" s="197"/>
      <c r="I4538" s="209"/>
    </row>
    <row r="4539" spans="1:9">
      <c r="A4539" s="195"/>
      <c r="B4539" s="195" t="s">
        <v>207</v>
      </c>
      <c r="C4539"/>
      <c r="D4539" s="197"/>
      <c r="E4539" s="197"/>
      <c r="F4539" s="197"/>
      <c r="G4539" s="197"/>
      <c r="H4539" s="197"/>
      <c r="I4539" s="209"/>
    </row>
    <row r="4540" spans="1:9">
      <c r="A4540" s="195"/>
      <c r="B4540" s="196" t="s">
        <v>220</v>
      </c>
      <c r="C4540"/>
      <c r="D4540" s="189" t="s">
        <v>978</v>
      </c>
      <c r="E4540" s="189" t="s">
        <v>937</v>
      </c>
      <c r="F4540" s="189" t="s">
        <v>926</v>
      </c>
      <c r="G4540" s="197"/>
      <c r="H4540" s="197"/>
      <c r="I4540" s="209"/>
    </row>
    <row r="4541" spans="1:9">
      <c r="A4541" s="195"/>
      <c r="B4541" s="195" t="s">
        <v>205</v>
      </c>
      <c r="C4541"/>
      <c r="D4541" s="197" t="s">
        <v>114</v>
      </c>
      <c r="E4541" s="197" t="s">
        <v>95</v>
      </c>
      <c r="F4541" s="197" t="s">
        <v>56</v>
      </c>
      <c r="G4541" s="197"/>
      <c r="H4541" s="197" t="s">
        <v>230</v>
      </c>
      <c r="I4541" s="209" t="s">
        <v>230</v>
      </c>
    </row>
    <row r="4542" spans="1:9">
      <c r="A4542" s="195"/>
      <c r="B4542" s="195" t="s">
        <v>206</v>
      </c>
      <c r="C4542"/>
      <c r="D4542" s="197" t="s">
        <v>114</v>
      </c>
      <c r="E4542" s="197" t="s">
        <v>95</v>
      </c>
      <c r="F4542" s="197" t="s">
        <v>56</v>
      </c>
      <c r="G4542" s="197"/>
      <c r="H4542" s="197" t="s">
        <v>230</v>
      </c>
      <c r="I4542" s="209" t="s">
        <v>230</v>
      </c>
    </row>
    <row r="4543" spans="1:9">
      <c r="A4543" s="195"/>
      <c r="B4543" s="195" t="s">
        <v>207</v>
      </c>
      <c r="C4543"/>
      <c r="D4543" s="197" t="s">
        <v>515</v>
      </c>
      <c r="E4543" s="197" t="s">
        <v>95</v>
      </c>
      <c r="F4543" s="197" t="s">
        <v>56</v>
      </c>
      <c r="G4543" s="197"/>
      <c r="H4543" s="197" t="s">
        <v>230</v>
      </c>
      <c r="I4543" s="209" t="s">
        <v>230</v>
      </c>
    </row>
    <row r="4544" spans="1:9">
      <c r="A4544" s="195"/>
      <c r="B4544" s="196" t="s">
        <v>222</v>
      </c>
      <c r="C4544"/>
      <c r="D4544" s="197" t="s">
        <v>515</v>
      </c>
      <c r="E4544" s="197" t="s">
        <v>95</v>
      </c>
      <c r="F4544" s="197" t="s">
        <v>56</v>
      </c>
      <c r="G4544" s="197"/>
      <c r="H4544" s="197" t="s">
        <v>229</v>
      </c>
      <c r="I4544" s="209" t="s">
        <v>229</v>
      </c>
    </row>
    <row r="4545" spans="1:11">
      <c r="A4545" s="195"/>
      <c r="B4545" s="195" t="s">
        <v>205</v>
      </c>
      <c r="C4545"/>
      <c r="D4545" s="197" t="s">
        <v>515</v>
      </c>
      <c r="E4545" s="197" t="s">
        <v>95</v>
      </c>
      <c r="F4545" s="197"/>
      <c r="G4545" s="197"/>
      <c r="H4545" s="197" t="s">
        <v>229</v>
      </c>
      <c r="I4545" s="209" t="s">
        <v>229</v>
      </c>
    </row>
    <row r="4546" spans="1:11">
      <c r="A4546" s="195"/>
      <c r="B4546" s="195" t="s">
        <v>206</v>
      </c>
      <c r="C4546"/>
      <c r="D4546" s="197" t="s">
        <v>269</v>
      </c>
      <c r="E4546" s="197" t="s">
        <v>95</v>
      </c>
      <c r="F4546" s="197" t="s">
        <v>270</v>
      </c>
      <c r="G4546" s="197"/>
      <c r="H4546" s="197" t="s">
        <v>848</v>
      </c>
      <c r="I4546" s="209" t="s">
        <v>848</v>
      </c>
    </row>
    <row r="4547" spans="1:11">
      <c r="A4547" s="195"/>
      <c r="B4547" s="195" t="s">
        <v>207</v>
      </c>
      <c r="C4547"/>
      <c r="D4547" s="197" t="s">
        <v>269</v>
      </c>
      <c r="E4547" s="197" t="s">
        <v>95</v>
      </c>
      <c r="F4547" s="197" t="s">
        <v>270</v>
      </c>
      <c r="G4547" s="197"/>
      <c r="H4547" s="197" t="s">
        <v>848</v>
      </c>
      <c r="I4547" s="209" t="s">
        <v>848</v>
      </c>
    </row>
    <row r="4548" spans="1:11">
      <c r="A4548" s="195"/>
      <c r="B4548" s="196" t="s">
        <v>223</v>
      </c>
      <c r="C4548"/>
      <c r="D4548" s="197" t="s">
        <v>362</v>
      </c>
      <c r="E4548" s="197" t="s">
        <v>252</v>
      </c>
      <c r="F4548" s="197" t="s">
        <v>270</v>
      </c>
      <c r="G4548" s="197"/>
      <c r="H4548" s="197" t="s">
        <v>848</v>
      </c>
      <c r="I4548" s="209" t="s">
        <v>848</v>
      </c>
    </row>
    <row r="4549" spans="1:11">
      <c r="A4549" s="195"/>
      <c r="B4549" s="195" t="s">
        <v>205</v>
      </c>
      <c r="C4549"/>
      <c r="D4549" s="197" t="s">
        <v>237</v>
      </c>
      <c r="E4549" s="197" t="s">
        <v>252</v>
      </c>
      <c r="F4549" s="197" t="s">
        <v>270</v>
      </c>
      <c r="G4549" s="197"/>
      <c r="H4549" s="197" t="s">
        <v>848</v>
      </c>
      <c r="I4549" s="209" t="s">
        <v>848</v>
      </c>
    </row>
    <row r="4550" spans="1:11">
      <c r="A4550" s="195"/>
      <c r="B4550" s="195" t="s">
        <v>206</v>
      </c>
      <c r="C4550"/>
      <c r="D4550" s="197" t="s">
        <v>236</v>
      </c>
      <c r="E4550" s="197" t="s">
        <v>252</v>
      </c>
      <c r="F4550" s="197" t="s">
        <v>270</v>
      </c>
      <c r="G4550" s="197"/>
      <c r="H4550" s="197" t="s">
        <v>848</v>
      </c>
      <c r="I4550" s="209" t="s">
        <v>848</v>
      </c>
    </row>
    <row r="4551" spans="1:11">
      <c r="A4551" s="195"/>
      <c r="B4551" s="195" t="s">
        <v>207</v>
      </c>
      <c r="C4551"/>
      <c r="D4551" s="197" t="s">
        <v>193</v>
      </c>
      <c r="E4551" s="197" t="s">
        <v>252</v>
      </c>
      <c r="F4551" s="197" t="s">
        <v>270</v>
      </c>
      <c r="G4551" s="197"/>
      <c r="H4551" s="197" t="s">
        <v>848</v>
      </c>
      <c r="I4551" s="209" t="s">
        <v>848</v>
      </c>
    </row>
    <row r="4552" spans="1:11">
      <c r="A4552" s="195"/>
      <c r="B4552" s="196" t="s">
        <v>225</v>
      </c>
      <c r="C4552"/>
      <c r="D4552" s="197"/>
      <c r="E4552" s="197" t="s">
        <v>252</v>
      </c>
      <c r="F4552" s="197" t="s">
        <v>270</v>
      </c>
      <c r="G4552" s="197"/>
      <c r="H4552" s="197" t="s">
        <v>415</v>
      </c>
      <c r="I4552" s="209" t="s">
        <v>415</v>
      </c>
    </row>
    <row r="4553" spans="1:11">
      <c r="A4553" s="195"/>
      <c r="B4553" s="195" t="s">
        <v>205</v>
      </c>
      <c r="C4553"/>
      <c r="D4553" s="197"/>
      <c r="E4553" s="197" t="s">
        <v>395</v>
      </c>
      <c r="F4553" s="197" t="s">
        <v>270</v>
      </c>
      <c r="G4553" s="197"/>
      <c r="H4553" s="197" t="s">
        <v>415</v>
      </c>
      <c r="I4553" s="209" t="s">
        <v>415</v>
      </c>
    </row>
    <row r="4554" spans="1:11">
      <c r="A4554" s="195"/>
      <c r="B4554" s="195" t="s">
        <v>206</v>
      </c>
      <c r="C4554"/>
      <c r="D4554" s="197"/>
      <c r="E4554" s="197"/>
      <c r="F4554" s="197" t="s">
        <v>270</v>
      </c>
      <c r="G4554" s="197"/>
      <c r="H4554" s="197" t="s">
        <v>415</v>
      </c>
      <c r="I4554" s="209" t="s">
        <v>415</v>
      </c>
    </row>
    <row r="4555" spans="1:11">
      <c r="A4555" s="195"/>
      <c r="B4555" s="195" t="s">
        <v>207</v>
      </c>
      <c r="C4555"/>
      <c r="D4555" s="197"/>
      <c r="E4555" s="197"/>
      <c r="F4555" s="197" t="s">
        <v>270</v>
      </c>
      <c r="G4555" s="197"/>
      <c r="H4555" s="197" t="s">
        <v>415</v>
      </c>
      <c r="I4555" s="209" t="s">
        <v>415</v>
      </c>
    </row>
    <row r="4556" spans="1:11">
      <c r="A4556" s="195"/>
      <c r="B4556" s="196" t="s">
        <v>226</v>
      </c>
      <c r="C4556"/>
      <c r="D4556" s="197"/>
      <c r="E4556" s="197"/>
      <c r="F4556" s="197"/>
      <c r="G4556" s="197"/>
      <c r="H4556" s="209"/>
      <c r="I4556" s="209"/>
    </row>
    <row r="4557" spans="1:11">
      <c r="A4557" s="195"/>
      <c r="B4557" s="195" t="s">
        <v>205</v>
      </c>
      <c r="C4557"/>
      <c r="D4557" s="197"/>
      <c r="E4557" s="197"/>
      <c r="F4557" s="197"/>
      <c r="G4557" s="197"/>
      <c r="H4557" s="209"/>
      <c r="I4557" s="209"/>
    </row>
    <row r="4558" spans="1:11">
      <c r="A4558" s="195"/>
      <c r="B4558" s="195" t="s">
        <v>206</v>
      </c>
      <c r="C4558"/>
      <c r="D4558" s="197"/>
      <c r="E4558" s="197"/>
      <c r="F4558" s="197"/>
      <c r="G4558" s="197"/>
      <c r="H4558" s="209"/>
      <c r="I4558" s="209"/>
    </row>
    <row r="4559" spans="1:11">
      <c r="A4559" s="195"/>
      <c r="B4559" s="195" t="s">
        <v>207</v>
      </c>
      <c r="C4559"/>
      <c r="D4559" s="197"/>
      <c r="E4559" s="197"/>
      <c r="F4559" s="197"/>
      <c r="G4559" s="197"/>
      <c r="H4559" s="209"/>
      <c r="I4559" s="209"/>
    </row>
    <row r="4560" spans="1:11">
      <c r="A4560" s="195"/>
      <c r="B4560" s="196" t="s">
        <v>227</v>
      </c>
      <c r="C4560"/>
      <c r="D4560" s="197"/>
      <c r="E4560" s="197"/>
      <c r="F4560" s="197"/>
      <c r="G4560" s="197"/>
      <c r="H4560" s="209"/>
      <c r="I4560" s="209"/>
      <c r="K4560"/>
    </row>
    <row r="4561" spans="1:12" ht="29.25" thickBot="1">
      <c r="A4561" s="182" t="str">
        <f>"回収シフト  第"&amp;ROUNDUP(DAY(B4564)/7,0)  &amp;"  "&amp;TEXT(B4564,"aaaa")</f>
        <v>回収シフト  第2  金曜日</v>
      </c>
      <c r="B4561" s="183"/>
      <c r="C4561" s="183"/>
      <c r="D4561" s="183"/>
      <c r="E4561" s="183"/>
      <c r="F4561" s="183"/>
      <c r="G4561" s="184"/>
      <c r="H4561" s="184"/>
      <c r="I4561" s="184"/>
      <c r="K4561" s="183"/>
      <c r="L4561" s="183"/>
    </row>
    <row r="4562" spans="1:12" ht="15.75" thickBot="1">
      <c r="A4562"/>
      <c r="B4562"/>
      <c r="C4562"/>
      <c r="D4562" s="186" t="s">
        <v>201</v>
      </c>
      <c r="E4562" s="186" t="s">
        <v>202</v>
      </c>
      <c r="F4562" s="186" t="s">
        <v>203</v>
      </c>
      <c r="G4562" s="186" t="s">
        <v>204</v>
      </c>
      <c r="H4562" s="186" t="s">
        <v>267</v>
      </c>
      <c r="I4562" s="217" t="s">
        <v>267</v>
      </c>
      <c r="K4562" s="230" t="s">
        <v>257</v>
      </c>
      <c r="L4562" s="231"/>
    </row>
    <row r="4563" spans="1:12">
      <c r="A4563" s="187"/>
      <c r="B4563" s="188">
        <v>46119</v>
      </c>
      <c r="C4563" s="187"/>
      <c r="D4563" s="189" t="s">
        <v>926</v>
      </c>
      <c r="E4563" s="189" t="s">
        <v>937</v>
      </c>
      <c r="F4563" s="189" t="s">
        <v>69</v>
      </c>
      <c r="G4563" s="189" t="s">
        <v>867</v>
      </c>
      <c r="H4563" s="189" t="s">
        <v>972</v>
      </c>
      <c r="I4563" s="218" t="s">
        <v>852</v>
      </c>
      <c r="K4563" s="232" t="s">
        <v>258</v>
      </c>
      <c r="L4563" s="190" t="str">
        <f>_xlfn.XLOOKUP($B4564,シフト抽出!$19:$19,シフト抽出!$20:$20,"該当なし",0,1)</f>
        <v>該当なし</v>
      </c>
    </row>
    <row r="4564" spans="1:12" ht="19.5" thickBot="1">
      <c r="A4564"/>
      <c r="B4564" s="191">
        <f>B4511+1</f>
        <v>46213</v>
      </c>
      <c r="C4564" s="192"/>
      <c r="D4564" s="193"/>
      <c r="E4564" s="193"/>
      <c r="F4564" s="193"/>
      <c r="G4564" s="193"/>
      <c r="H4564" s="193"/>
      <c r="I4564" s="219"/>
      <c r="K4564" s="233"/>
      <c r="L4564" s="194" t="str">
        <f>_xlfn.XLOOKUP($B4564,シフト抽出!$19:$19,シフト抽出!$21:$21,"該当なし",0,1)</f>
        <v>該当なし</v>
      </c>
    </row>
    <row r="4565" spans="1:12">
      <c r="A4565" s="195"/>
      <c r="B4565" s="196">
        <v>0.25</v>
      </c>
      <c r="C4565"/>
      <c r="D4565" s="197"/>
      <c r="E4565" s="196"/>
      <c r="F4565" s="197"/>
      <c r="G4565" s="197"/>
      <c r="H4565" s="197"/>
      <c r="I4565" s="209"/>
      <c r="K4565" s="234" t="s">
        <v>259</v>
      </c>
      <c r="L4565" s="198" t="str">
        <f>_xlfn.XLOOKUP($B4564,シフト抽出!$19:$19,シフト抽出!$23:$23,"該当なし",0,1)</f>
        <v>該当なし</v>
      </c>
    </row>
    <row r="4566" spans="1:12" ht="15.75" thickBot="1">
      <c r="A4566" s="195"/>
      <c r="B4566" s="195" t="s">
        <v>205</v>
      </c>
      <c r="C4566"/>
      <c r="D4566" s="197"/>
      <c r="E4566" s="197" t="s">
        <v>4</v>
      </c>
      <c r="F4566" s="197"/>
      <c r="G4566" s="197"/>
      <c r="H4566" s="197"/>
      <c r="I4566" s="209"/>
      <c r="K4566" s="235"/>
      <c r="L4566" s="199" t="str">
        <f>_xlfn.XLOOKUP($B4564,シフト抽出!$19:$19,シフト抽出!$24:$24,"該当なし",0,1)</f>
        <v>該当なし</v>
      </c>
    </row>
    <row r="4567" spans="1:12">
      <c r="A4567" s="195"/>
      <c r="B4567" s="195" t="s">
        <v>206</v>
      </c>
      <c r="C4567"/>
      <c r="D4567" s="197" t="s">
        <v>851</v>
      </c>
      <c r="E4567" s="197" t="s">
        <v>273</v>
      </c>
      <c r="F4567" s="197"/>
      <c r="G4567" s="197"/>
      <c r="H4567" s="197" t="s">
        <v>238</v>
      </c>
      <c r="I4567" s="197" t="s">
        <v>238</v>
      </c>
      <c r="J4567" s="197" t="s">
        <v>238</v>
      </c>
      <c r="K4567" s="224" t="s">
        <v>260</v>
      </c>
      <c r="L4567" s="200" t="str">
        <f>_xlfn.XLOOKUP($B4564,シフト抽出!$19:$19,シフト抽出!$26:$26,"該当なし",0,1)</f>
        <v>該当なし</v>
      </c>
    </row>
    <row r="4568" spans="1:12">
      <c r="A4568" s="195"/>
      <c r="B4568" s="195" t="s">
        <v>207</v>
      </c>
      <c r="C4568"/>
      <c r="D4568" s="197" t="s">
        <v>851</v>
      </c>
      <c r="E4568" s="197" t="s">
        <v>273</v>
      </c>
      <c r="F4568" s="197"/>
      <c r="G4568" s="197"/>
      <c r="H4568" s="197" t="s">
        <v>238</v>
      </c>
      <c r="I4568" s="197" t="s">
        <v>238</v>
      </c>
      <c r="J4568" s="197" t="s">
        <v>238</v>
      </c>
      <c r="K4568" s="225"/>
      <c r="L4568" s="201" t="str">
        <f>_xlfn.XLOOKUP($B4564,シフト抽出!$19:$19,シフト抽出!$27:$27,"該当なし",0,1)</f>
        <v>該当なし</v>
      </c>
    </row>
    <row r="4569" spans="1:12">
      <c r="A4569" s="195"/>
      <c r="B4569" s="202" t="s">
        <v>208</v>
      </c>
      <c r="C4569"/>
      <c r="D4569" s="197" t="s">
        <v>851</v>
      </c>
      <c r="E4569" s="197" t="s">
        <v>420</v>
      </c>
      <c r="F4569" s="197" t="s">
        <v>89</v>
      </c>
      <c r="G4569" s="197" t="s">
        <v>22</v>
      </c>
      <c r="H4569" s="197" t="s">
        <v>238</v>
      </c>
      <c r="I4569" s="197" t="s">
        <v>238</v>
      </c>
      <c r="J4569" s="197" t="s">
        <v>238</v>
      </c>
      <c r="K4569" s="225"/>
      <c r="L4569" s="201" t="str">
        <f>_xlfn.XLOOKUP($B4564,シフト抽出!$19:$19,シフト抽出!$28:$28,"該当なし",0,1)</f>
        <v>該当なし</v>
      </c>
    </row>
    <row r="4570" spans="1:12" ht="15.75" thickBot="1">
      <c r="A4570" s="195"/>
      <c r="B4570" s="195" t="s">
        <v>205</v>
      </c>
      <c r="C4570"/>
      <c r="D4570" s="197" t="s">
        <v>851</v>
      </c>
      <c r="E4570" s="197" t="s">
        <v>420</v>
      </c>
      <c r="F4570" s="197" t="s">
        <v>89</v>
      </c>
      <c r="G4570" s="197" t="s">
        <v>22</v>
      </c>
      <c r="H4570" s="197" t="s">
        <v>238</v>
      </c>
      <c r="I4570" s="197" t="s">
        <v>238</v>
      </c>
      <c r="J4570" s="197" t="s">
        <v>238</v>
      </c>
      <c r="K4570" s="226"/>
      <c r="L4570" s="204" t="str">
        <f>_xlfn.XLOOKUP($B4564,シフト抽出!$19:$19,シフト抽出!$29:$29,"該当なし",0,1)</f>
        <v>該当なし</v>
      </c>
    </row>
    <row r="4571" spans="1:12" ht="15.75" thickBot="1">
      <c r="A4571" s="195"/>
      <c r="B4571" s="195" t="s">
        <v>206</v>
      </c>
      <c r="C4571"/>
      <c r="D4571" s="197" t="s">
        <v>851</v>
      </c>
      <c r="E4571" s="197" t="s">
        <v>420</v>
      </c>
      <c r="F4571" s="197" t="s">
        <v>89</v>
      </c>
      <c r="G4571" s="197" t="s">
        <v>788</v>
      </c>
      <c r="H4571" s="197" t="s">
        <v>238</v>
      </c>
      <c r="I4571" s="209" t="s">
        <v>238</v>
      </c>
      <c r="K4571" s="205" t="s">
        <v>261</v>
      </c>
      <c r="L4571" s="205">
        <f>_xlfn.XLOOKUP($B4564,予定表!B:B,予定表!R:R,"該当なし",0,1)</f>
        <v>0</v>
      </c>
    </row>
    <row r="4572" spans="1:12">
      <c r="A4572" s="195"/>
      <c r="B4572" s="195" t="s">
        <v>207</v>
      </c>
      <c r="C4572"/>
      <c r="D4572" s="197" t="s">
        <v>851</v>
      </c>
      <c r="E4572" s="197" t="s">
        <v>420</v>
      </c>
      <c r="F4572" s="197" t="s">
        <v>89</v>
      </c>
      <c r="G4572" s="197" t="s">
        <v>788</v>
      </c>
      <c r="H4572" s="189" t="s">
        <v>972</v>
      </c>
      <c r="I4572" s="218" t="s">
        <v>852</v>
      </c>
      <c r="K4572" s="227" t="s">
        <v>262</v>
      </c>
      <c r="L4572" s="206" t="str">
        <f>_xlfn.XLOOKUP($B4564,予定表!$B:$B,予定表!E:E,"該当なし",0,1)</f>
        <v>ジャクソン</v>
      </c>
    </row>
    <row r="4573" spans="1:12">
      <c r="A4573" s="195"/>
      <c r="B4573" s="196" t="s">
        <v>209</v>
      </c>
      <c r="C4573"/>
      <c r="D4573" s="197" t="s">
        <v>851</v>
      </c>
      <c r="E4573" s="197" t="s">
        <v>414</v>
      </c>
      <c r="F4573" s="197" t="s">
        <v>89</v>
      </c>
      <c r="G4573" s="197" t="s">
        <v>268</v>
      </c>
      <c r="H4573" s="197" t="s">
        <v>60</v>
      </c>
      <c r="I4573" s="209" t="s">
        <v>60</v>
      </c>
      <c r="K4573" s="228"/>
      <c r="L4573" s="207" t="str">
        <f>_xlfn.XLOOKUP($B4564,予定表!$B:$B,予定表!F:F,"該当なし",0,1)</f>
        <v>IWD(㈱大勝)</v>
      </c>
    </row>
    <row r="4574" spans="1:12">
      <c r="A4574" s="195"/>
      <c r="B4574" s="195" t="s">
        <v>205</v>
      </c>
      <c r="C4574"/>
      <c r="D4574" s="197" t="s">
        <v>851</v>
      </c>
      <c r="E4574" s="197" t="s">
        <v>414</v>
      </c>
      <c r="F4574" s="197" t="s">
        <v>89</v>
      </c>
      <c r="G4574" s="197" t="s">
        <v>268</v>
      </c>
      <c r="H4574" s="197" t="s">
        <v>60</v>
      </c>
      <c r="I4574" s="209" t="s">
        <v>60</v>
      </c>
      <c r="K4574" s="228"/>
      <c r="L4574" s="207" t="str">
        <f>_xlfn.XLOOKUP($B4564,予定表!$B:$B,予定表!G:G,"該当なし",0,1)</f>
        <v>ディーミング</v>
      </c>
    </row>
    <row r="4575" spans="1:12">
      <c r="A4575" s="195"/>
      <c r="B4575" s="195" t="s">
        <v>206</v>
      </c>
      <c r="C4575"/>
      <c r="D4575" s="197"/>
      <c r="E4575" s="197" t="s">
        <v>414</v>
      </c>
      <c r="F4575" s="197" t="s">
        <v>89</v>
      </c>
      <c r="G4575" s="197" t="s">
        <v>268</v>
      </c>
      <c r="H4575" s="197" t="s">
        <v>60</v>
      </c>
      <c r="I4575" s="209" t="s">
        <v>60</v>
      </c>
      <c r="K4575" s="228"/>
      <c r="L4575" s="207" t="str">
        <f>_xlfn.XLOOKUP($B4564,予定表!$B:$B,予定表!H:H,"該当なし",0,1)</f>
        <v>IWD(南海辰村建設)</v>
      </c>
    </row>
    <row r="4576" spans="1:12">
      <c r="A4576" s="195"/>
      <c r="B4576" s="195" t="s">
        <v>207</v>
      </c>
      <c r="C4576"/>
      <c r="D4576" s="197" t="s">
        <v>264</v>
      </c>
      <c r="E4576" s="197" t="s">
        <v>854</v>
      </c>
      <c r="F4576" s="197" t="s">
        <v>89</v>
      </c>
      <c r="G4576" s="197" t="s">
        <v>268</v>
      </c>
      <c r="H4576" s="197" t="s">
        <v>60</v>
      </c>
      <c r="I4576" s="209" t="s">
        <v>60</v>
      </c>
      <c r="K4576" s="228"/>
      <c r="L4576" s="207">
        <f>_xlfn.XLOOKUP($B4564,予定表!$B:$B,予定表!I:I,"該当なし",0,1)</f>
        <v>0</v>
      </c>
    </row>
    <row r="4577" spans="1:12">
      <c r="A4577" s="195"/>
      <c r="B4577" s="196" t="s">
        <v>212</v>
      </c>
      <c r="C4577"/>
      <c r="D4577" s="197" t="s">
        <v>239</v>
      </c>
      <c r="E4577" s="197" t="s">
        <v>854</v>
      </c>
      <c r="F4577" s="197" t="s">
        <v>89</v>
      </c>
      <c r="G4577" s="197" t="s">
        <v>268</v>
      </c>
      <c r="H4577" s="197"/>
      <c r="I4577" s="209"/>
      <c r="K4577" s="228"/>
      <c r="L4577" s="207">
        <f>_xlfn.XLOOKUP($B4564,予定表!$B:$B,予定表!J:J,"該当なし",0,1)</f>
        <v>0</v>
      </c>
    </row>
    <row r="4578" spans="1:12">
      <c r="A4578" s="195"/>
      <c r="B4578" s="195" t="s">
        <v>205</v>
      </c>
      <c r="C4578"/>
      <c r="D4578" s="197" t="s">
        <v>425</v>
      </c>
      <c r="E4578" s="197" t="s">
        <v>854</v>
      </c>
      <c r="F4578" s="197" t="s">
        <v>89</v>
      </c>
      <c r="G4578" s="197" t="s">
        <v>268</v>
      </c>
      <c r="H4578" s="197" t="s">
        <v>848</v>
      </c>
      <c r="I4578" s="209" t="s">
        <v>848</v>
      </c>
      <c r="K4578" s="228"/>
      <c r="L4578" s="207">
        <f>_xlfn.XLOOKUP($B4564,予定表!$B:$B,予定表!K:K,"該当なし",0,1)</f>
        <v>0</v>
      </c>
    </row>
    <row r="4579" spans="1:12">
      <c r="A4579" s="195"/>
      <c r="B4579" s="195" t="s">
        <v>206</v>
      </c>
      <c r="C4579"/>
      <c r="D4579" s="197" t="s">
        <v>240</v>
      </c>
      <c r="E4579" s="197" t="s">
        <v>854</v>
      </c>
      <c r="F4579" s="197" t="s">
        <v>89</v>
      </c>
      <c r="G4579" s="197" t="s">
        <v>515</v>
      </c>
      <c r="H4579" s="197" t="s">
        <v>848</v>
      </c>
      <c r="I4579" s="209" t="s">
        <v>848</v>
      </c>
      <c r="K4579" s="228"/>
      <c r="L4579" s="207">
        <f>_xlfn.XLOOKUP($B4564,予定表!$B:$B,予定表!L:L,"該当なし",0,1)</f>
        <v>0</v>
      </c>
    </row>
    <row r="4580" spans="1:12" ht="15.75" thickBot="1">
      <c r="A4580" s="195"/>
      <c r="B4580" s="195" t="s">
        <v>207</v>
      </c>
      <c r="C4580"/>
      <c r="D4580" s="197" t="s">
        <v>240</v>
      </c>
      <c r="E4580" s="197" t="s">
        <v>216</v>
      </c>
      <c r="F4580" s="197" t="s">
        <v>89</v>
      </c>
      <c r="G4580" s="197" t="s">
        <v>515</v>
      </c>
      <c r="H4580" s="197" t="s">
        <v>848</v>
      </c>
      <c r="I4580" s="209" t="s">
        <v>848</v>
      </c>
      <c r="K4580" s="229"/>
      <c r="L4580" s="204" t="str">
        <f>_xlfn.XLOOKUP($A4561,ﾘｽﾄマスタ!$U$8:$U$17,ﾘｽﾄマスタ!$V$8:$V$17,"",0)</f>
        <v/>
      </c>
    </row>
    <row r="4581" spans="1:12" ht="15.75" thickBot="1">
      <c r="A4581" s="195"/>
      <c r="B4581" s="196" t="s">
        <v>251</v>
      </c>
      <c r="C4581"/>
      <c r="D4581" s="197" t="s">
        <v>353</v>
      </c>
      <c r="E4581" s="197" t="s">
        <v>216</v>
      </c>
      <c r="F4581" s="197" t="s">
        <v>89</v>
      </c>
      <c r="G4581" s="197" t="s">
        <v>515</v>
      </c>
      <c r="H4581" s="197" t="s">
        <v>848</v>
      </c>
      <c r="I4581" s="209" t="s">
        <v>848</v>
      </c>
      <c r="K4581" s="208" t="s">
        <v>277</v>
      </c>
      <c r="L4581" s="208" t="str">
        <f>_xlfn.XLOOKUP($B4564,シフト抽出!$19:$19,シフト抽出!$30:$30,"該当なし",0,1)</f>
        <v>該当なし</v>
      </c>
    </row>
    <row r="4582" spans="1:12">
      <c r="A4582" s="195"/>
      <c r="B4582" s="195" t="s">
        <v>205</v>
      </c>
      <c r="C4582"/>
      <c r="D4582" s="197" t="s">
        <v>353</v>
      </c>
      <c r="E4582" s="197" t="s">
        <v>216</v>
      </c>
      <c r="F4582" s="197" t="s">
        <v>89</v>
      </c>
      <c r="G4582" s="197" t="s">
        <v>269</v>
      </c>
      <c r="H4582" s="197" t="s">
        <v>848</v>
      </c>
      <c r="I4582" s="209" t="s">
        <v>848</v>
      </c>
    </row>
    <row r="4583" spans="1:12">
      <c r="A4583" s="195"/>
      <c r="B4583" s="195" t="s">
        <v>206</v>
      </c>
      <c r="C4583"/>
      <c r="D4583" s="197" t="s">
        <v>353</v>
      </c>
      <c r="E4583" s="197" t="s">
        <v>216</v>
      </c>
      <c r="F4583" s="197" t="s">
        <v>89</v>
      </c>
      <c r="G4583" s="197" t="s">
        <v>269</v>
      </c>
      <c r="H4583" s="197" t="s">
        <v>848</v>
      </c>
      <c r="I4583" s="209" t="s">
        <v>848</v>
      </c>
    </row>
    <row r="4584" spans="1:12">
      <c r="A4584" s="195"/>
      <c r="B4584" s="195" t="s">
        <v>207</v>
      </c>
      <c r="C4584"/>
      <c r="D4584" s="197" t="s">
        <v>761</v>
      </c>
      <c r="E4584" s="197" t="s">
        <v>214</v>
      </c>
      <c r="F4584" s="197" t="s">
        <v>89</v>
      </c>
      <c r="G4584" s="197" t="s">
        <v>446</v>
      </c>
      <c r="H4584" s="197" t="s">
        <v>848</v>
      </c>
      <c r="I4584" s="209" t="s">
        <v>848</v>
      </c>
    </row>
    <row r="4585" spans="1:12">
      <c r="A4585" s="195"/>
      <c r="B4585" s="196" t="s">
        <v>217</v>
      </c>
      <c r="C4585"/>
      <c r="D4585" s="197" t="s">
        <v>761</v>
      </c>
      <c r="E4585" s="197" t="s">
        <v>214</v>
      </c>
      <c r="F4585" s="197" t="s">
        <v>89</v>
      </c>
      <c r="G4585" s="197" t="s">
        <v>446</v>
      </c>
      <c r="H4585" s="197" t="s">
        <v>848</v>
      </c>
      <c r="I4585" s="209" t="s">
        <v>848</v>
      </c>
    </row>
    <row r="4586" spans="1:12">
      <c r="A4586" s="195"/>
      <c r="B4586" s="195" t="s">
        <v>205</v>
      </c>
      <c r="C4586"/>
      <c r="D4586" s="189" t="s">
        <v>868</v>
      </c>
      <c r="E4586" s="197" t="s">
        <v>214</v>
      </c>
      <c r="F4586" s="197" t="s">
        <v>89</v>
      </c>
      <c r="G4586" s="197" t="s">
        <v>114</v>
      </c>
      <c r="H4586" s="197" t="s">
        <v>848</v>
      </c>
      <c r="I4586" s="209" t="s">
        <v>848</v>
      </c>
    </row>
    <row r="4587" spans="1:12">
      <c r="A4587" s="195"/>
      <c r="B4587" s="195" t="s">
        <v>206</v>
      </c>
      <c r="C4587"/>
      <c r="D4587" s="197" t="s">
        <v>416</v>
      </c>
      <c r="E4587" s="197" t="s">
        <v>214</v>
      </c>
      <c r="F4587" s="197" t="s">
        <v>89</v>
      </c>
      <c r="G4587" s="197" t="s">
        <v>114</v>
      </c>
      <c r="H4587" s="197" t="s">
        <v>848</v>
      </c>
      <c r="I4587" s="209" t="s">
        <v>848</v>
      </c>
    </row>
    <row r="4588" spans="1:12">
      <c r="A4588" s="195"/>
      <c r="B4588" s="195" t="s">
        <v>207</v>
      </c>
      <c r="C4588"/>
      <c r="D4588" s="197" t="s">
        <v>771</v>
      </c>
      <c r="E4588" s="197"/>
      <c r="F4588" s="197" t="s">
        <v>89</v>
      </c>
      <c r="G4588" s="197" t="s">
        <v>51</v>
      </c>
      <c r="H4588" s="197"/>
      <c r="I4588" s="209"/>
    </row>
    <row r="4589" spans="1:12">
      <c r="A4589" s="195"/>
      <c r="B4589" s="196" t="s">
        <v>219</v>
      </c>
      <c r="C4589"/>
      <c r="D4589" s="197" t="s">
        <v>416</v>
      </c>
      <c r="E4589" s="197"/>
      <c r="F4589" s="197" t="s">
        <v>89</v>
      </c>
      <c r="G4589" s="197" t="s">
        <v>51</v>
      </c>
      <c r="H4589" s="197"/>
      <c r="I4589" s="209"/>
    </row>
    <row r="4590" spans="1:12">
      <c r="A4590" s="195"/>
      <c r="B4590" s="195" t="s">
        <v>205</v>
      </c>
      <c r="C4590"/>
      <c r="D4590" s="197" t="s">
        <v>416</v>
      </c>
      <c r="E4590" s="197"/>
      <c r="F4590" s="197" t="s">
        <v>89</v>
      </c>
      <c r="G4590" s="197" t="s">
        <v>51</v>
      </c>
      <c r="H4590" s="197"/>
      <c r="I4590" s="209"/>
    </row>
    <row r="4591" spans="1:12">
      <c r="A4591" s="195"/>
      <c r="B4591" s="195" t="s">
        <v>206</v>
      </c>
      <c r="C4591"/>
      <c r="D4591" s="197" t="s">
        <v>224</v>
      </c>
      <c r="E4591" s="197"/>
      <c r="F4591" s="197" t="s">
        <v>89</v>
      </c>
      <c r="G4591" s="197"/>
      <c r="H4591" s="197"/>
      <c r="I4591" s="209"/>
    </row>
    <row r="4592" spans="1:12">
      <c r="A4592" s="195"/>
      <c r="B4592" s="195" t="s">
        <v>207</v>
      </c>
      <c r="C4592"/>
      <c r="D4592" s="197" t="s">
        <v>224</v>
      </c>
      <c r="E4592" s="197"/>
      <c r="F4592" s="197" t="s">
        <v>89</v>
      </c>
      <c r="G4592" s="197"/>
      <c r="H4592" s="197" t="s">
        <v>231</v>
      </c>
      <c r="I4592" s="209" t="s">
        <v>231</v>
      </c>
    </row>
    <row r="4593" spans="1:9">
      <c r="A4593" s="195"/>
      <c r="B4593" s="196" t="s">
        <v>220</v>
      </c>
      <c r="C4593"/>
      <c r="D4593" s="189" t="s">
        <v>926</v>
      </c>
      <c r="E4593" s="197"/>
      <c r="F4593" s="197" t="s">
        <v>89</v>
      </c>
      <c r="G4593" s="197"/>
      <c r="H4593" s="197" t="s">
        <v>231</v>
      </c>
      <c r="I4593" s="209" t="s">
        <v>231</v>
      </c>
    </row>
    <row r="4594" spans="1:9">
      <c r="A4594" s="195"/>
      <c r="B4594" s="195" t="s">
        <v>205</v>
      </c>
      <c r="C4594"/>
      <c r="D4594" s="197" t="s">
        <v>759</v>
      </c>
      <c r="E4594" s="197" t="s">
        <v>215</v>
      </c>
      <c r="F4594" s="197" t="s">
        <v>89</v>
      </c>
      <c r="G4594" s="197" t="s">
        <v>56</v>
      </c>
      <c r="H4594" s="197" t="s">
        <v>211</v>
      </c>
      <c r="I4594" s="209" t="s">
        <v>211</v>
      </c>
    </row>
    <row r="4595" spans="1:9">
      <c r="A4595" s="195"/>
      <c r="B4595" s="195" t="s">
        <v>206</v>
      </c>
      <c r="C4595"/>
      <c r="D4595" s="197" t="s">
        <v>759</v>
      </c>
      <c r="E4595" s="197" t="s">
        <v>280</v>
      </c>
      <c r="F4595" s="197" t="s">
        <v>89</v>
      </c>
      <c r="G4595" s="197" t="s">
        <v>56</v>
      </c>
      <c r="H4595" s="197" t="s">
        <v>211</v>
      </c>
      <c r="I4595" s="209" t="s">
        <v>211</v>
      </c>
    </row>
    <row r="4596" spans="1:9">
      <c r="A4596" s="195"/>
      <c r="B4596" s="195" t="s">
        <v>207</v>
      </c>
      <c r="C4596"/>
      <c r="D4596" s="197" t="s">
        <v>759</v>
      </c>
      <c r="E4596" s="197" t="s">
        <v>88</v>
      </c>
      <c r="F4596" s="197" t="s">
        <v>89</v>
      </c>
      <c r="G4596" s="197" t="s">
        <v>56</v>
      </c>
      <c r="H4596" s="197" t="s">
        <v>211</v>
      </c>
      <c r="I4596" s="209" t="s">
        <v>211</v>
      </c>
    </row>
    <row r="4597" spans="1:9">
      <c r="A4597" s="195"/>
      <c r="B4597" s="196" t="s">
        <v>222</v>
      </c>
      <c r="C4597"/>
      <c r="D4597" s="197" t="s">
        <v>759</v>
      </c>
      <c r="E4597" s="197" t="s">
        <v>266</v>
      </c>
      <c r="F4597" s="197" t="s">
        <v>89</v>
      </c>
      <c r="G4597" s="197"/>
      <c r="H4597" s="197"/>
      <c r="I4597" s="209"/>
    </row>
    <row r="4598" spans="1:9">
      <c r="A4598" s="195"/>
      <c r="B4598" s="195" t="s">
        <v>205</v>
      </c>
      <c r="C4598"/>
      <c r="D4598" s="197" t="s">
        <v>416</v>
      </c>
      <c r="E4598" s="197" t="s">
        <v>266</v>
      </c>
      <c r="F4598" s="197" t="s">
        <v>89</v>
      </c>
      <c r="G4598" s="197" t="s">
        <v>793</v>
      </c>
      <c r="H4598" s="197" t="s">
        <v>856</v>
      </c>
      <c r="I4598" s="209" t="s">
        <v>856</v>
      </c>
    </row>
    <row r="4599" spans="1:9">
      <c r="A4599" s="195"/>
      <c r="B4599" s="195" t="s">
        <v>206</v>
      </c>
      <c r="C4599"/>
      <c r="D4599" s="197" t="s">
        <v>951</v>
      </c>
      <c r="E4599" s="197" t="s">
        <v>266</v>
      </c>
      <c r="F4599" s="197" t="s">
        <v>89</v>
      </c>
      <c r="G4599" s="197" t="s">
        <v>977</v>
      </c>
      <c r="H4599" s="197" t="s">
        <v>856</v>
      </c>
      <c r="I4599" s="209" t="s">
        <v>856</v>
      </c>
    </row>
    <row r="4600" spans="1:9">
      <c r="A4600" s="195"/>
      <c r="B4600" s="195" t="s">
        <v>207</v>
      </c>
      <c r="C4600"/>
      <c r="D4600" s="197" t="s">
        <v>416</v>
      </c>
      <c r="E4600" s="197" t="s">
        <v>266</v>
      </c>
      <c r="F4600" s="197" t="s">
        <v>89</v>
      </c>
      <c r="G4600" s="197" t="s">
        <v>270</v>
      </c>
      <c r="H4600" s="197" t="s">
        <v>856</v>
      </c>
      <c r="I4600" s="209" t="s">
        <v>856</v>
      </c>
    </row>
    <row r="4601" spans="1:9">
      <c r="A4601" s="195"/>
      <c r="B4601" s="196" t="s">
        <v>223</v>
      </c>
      <c r="C4601"/>
      <c r="D4601" s="197" t="s">
        <v>416</v>
      </c>
      <c r="E4601" s="197" t="s">
        <v>252</v>
      </c>
      <c r="F4601" s="197" t="s">
        <v>89</v>
      </c>
      <c r="G4601" s="197" t="s">
        <v>270</v>
      </c>
      <c r="H4601" s="197" t="s">
        <v>856</v>
      </c>
      <c r="I4601" s="209" t="s">
        <v>856</v>
      </c>
    </row>
    <row r="4602" spans="1:9">
      <c r="A4602" s="195"/>
      <c r="B4602" s="195" t="s">
        <v>205</v>
      </c>
      <c r="C4602"/>
      <c r="D4602" s="197" t="s">
        <v>954</v>
      </c>
      <c r="E4602" s="197" t="s">
        <v>252</v>
      </c>
      <c r="F4602" s="197" t="s">
        <v>89</v>
      </c>
      <c r="G4602" s="197" t="s">
        <v>270</v>
      </c>
      <c r="H4602" s="197" t="s">
        <v>856</v>
      </c>
      <c r="I4602" s="209" t="s">
        <v>856</v>
      </c>
    </row>
    <row r="4603" spans="1:9">
      <c r="A4603" s="195"/>
      <c r="B4603" s="195" t="s">
        <v>206</v>
      </c>
      <c r="C4603"/>
      <c r="D4603" s="197" t="s">
        <v>416</v>
      </c>
      <c r="E4603" s="197" t="s">
        <v>252</v>
      </c>
      <c r="F4603" s="197" t="s">
        <v>89</v>
      </c>
      <c r="G4603" s="197" t="s">
        <v>270</v>
      </c>
      <c r="H4603" s="197" t="s">
        <v>856</v>
      </c>
      <c r="I4603" s="209" t="s">
        <v>856</v>
      </c>
    </row>
    <row r="4604" spans="1:9">
      <c r="A4604" s="195"/>
      <c r="B4604" s="195" t="s">
        <v>207</v>
      </c>
      <c r="C4604"/>
      <c r="D4604" s="197" t="s">
        <v>423</v>
      </c>
      <c r="E4604" s="197" t="s">
        <v>252</v>
      </c>
      <c r="F4604" s="197" t="s">
        <v>89</v>
      </c>
      <c r="G4604" s="197" t="s">
        <v>270</v>
      </c>
      <c r="H4604" s="197" t="s">
        <v>856</v>
      </c>
      <c r="I4604" s="209" t="s">
        <v>856</v>
      </c>
    </row>
    <row r="4605" spans="1:9">
      <c r="A4605" s="195"/>
      <c r="B4605" s="196" t="s">
        <v>225</v>
      </c>
      <c r="C4605"/>
      <c r="D4605" s="197" t="s">
        <v>588</v>
      </c>
      <c r="E4605" s="197" t="s">
        <v>252</v>
      </c>
      <c r="F4605" s="197" t="s">
        <v>89</v>
      </c>
      <c r="G4605" s="197" t="s">
        <v>270</v>
      </c>
      <c r="H4605" s="197" t="s">
        <v>415</v>
      </c>
      <c r="I4605" s="209" t="s">
        <v>415</v>
      </c>
    </row>
    <row r="4606" spans="1:9">
      <c r="A4606" s="195"/>
      <c r="B4606" s="195" t="s">
        <v>205</v>
      </c>
      <c r="C4606"/>
      <c r="D4606" s="197" t="s">
        <v>127</v>
      </c>
      <c r="E4606" s="197" t="s">
        <v>252</v>
      </c>
      <c r="F4606" s="197" t="s">
        <v>89</v>
      </c>
      <c r="G4606" s="197" t="s">
        <v>270</v>
      </c>
      <c r="H4606" s="209" t="s">
        <v>415</v>
      </c>
      <c r="I4606" s="209" t="s">
        <v>415</v>
      </c>
    </row>
    <row r="4607" spans="1:9">
      <c r="A4607" s="195"/>
      <c r="B4607" s="195" t="s">
        <v>206</v>
      </c>
      <c r="C4607"/>
      <c r="D4607" s="197"/>
      <c r="E4607" s="197" t="s">
        <v>252</v>
      </c>
      <c r="F4607" s="197" t="s">
        <v>89</v>
      </c>
      <c r="G4607" s="197" t="s">
        <v>270</v>
      </c>
      <c r="H4607" s="209" t="s">
        <v>415</v>
      </c>
      <c r="I4607" s="209" t="s">
        <v>415</v>
      </c>
    </row>
    <row r="4608" spans="1:9">
      <c r="A4608" s="195"/>
      <c r="B4608" s="195" t="s">
        <v>207</v>
      </c>
      <c r="C4608"/>
      <c r="D4608" s="197"/>
      <c r="E4608" s="197" t="s">
        <v>252</v>
      </c>
      <c r="F4608" s="197" t="s">
        <v>89</v>
      </c>
      <c r="G4608" s="197" t="s">
        <v>270</v>
      </c>
      <c r="H4608" s="209" t="s">
        <v>415</v>
      </c>
      <c r="I4608" s="209" t="s">
        <v>415</v>
      </c>
    </row>
    <row r="4609" spans="1:12">
      <c r="A4609" s="195"/>
      <c r="B4609" s="196" t="s">
        <v>226</v>
      </c>
      <c r="C4609"/>
      <c r="D4609" s="197"/>
      <c r="E4609" s="197"/>
      <c r="F4609" s="197"/>
      <c r="G4609" s="197" t="s">
        <v>270</v>
      </c>
      <c r="H4609" s="209"/>
      <c r="I4609" s="209"/>
    </row>
    <row r="4610" spans="1:12">
      <c r="A4610" s="195"/>
      <c r="B4610" s="195" t="s">
        <v>205</v>
      </c>
      <c r="C4610"/>
      <c r="D4610" s="197"/>
      <c r="E4610" s="197"/>
      <c r="F4610" s="197"/>
      <c r="G4610" s="197" t="s">
        <v>270</v>
      </c>
      <c r="H4610" s="209"/>
      <c r="I4610" s="209"/>
    </row>
    <row r="4611" spans="1:12">
      <c r="A4611" s="195"/>
      <c r="B4611" s="195" t="s">
        <v>206</v>
      </c>
      <c r="C4611"/>
      <c r="D4611" s="197"/>
      <c r="E4611" s="197"/>
      <c r="F4611" s="197"/>
      <c r="G4611" s="197" t="s">
        <v>270</v>
      </c>
      <c r="H4611" s="209"/>
      <c r="I4611" s="209"/>
    </row>
    <row r="4612" spans="1:12">
      <c r="A4612" s="195"/>
      <c r="B4612" s="195" t="s">
        <v>207</v>
      </c>
      <c r="C4612"/>
      <c r="D4612" s="197"/>
      <c r="E4612" s="197"/>
      <c r="F4612" s="197"/>
      <c r="G4612" s="197" t="s">
        <v>270</v>
      </c>
      <c r="H4612" s="209"/>
      <c r="I4612" s="209"/>
    </row>
    <row r="4613" spans="1:12">
      <c r="A4613" s="195"/>
      <c r="B4613" s="196" t="s">
        <v>227</v>
      </c>
      <c r="C4613"/>
      <c r="D4613" s="197"/>
      <c r="E4613" s="197"/>
      <c r="F4613" s="197"/>
      <c r="G4613" s="197"/>
      <c r="H4613" s="209"/>
      <c r="I4613" s="209"/>
      <c r="K4613"/>
    </row>
    <row r="4614" spans="1:12" ht="29.25" thickBot="1">
      <c r="A4614" s="182" t="str">
        <f>"回収シフト  第"&amp;ROUNDUP(DAY(B4617)/7,0)  &amp;"  "&amp;TEXT(B4617,"aaaa")</f>
        <v>回収シフト  第2  土曜日</v>
      </c>
      <c r="B4614" s="183"/>
      <c r="C4614" s="183"/>
      <c r="D4614" s="183"/>
      <c r="E4614" s="183"/>
      <c r="F4614" s="183"/>
      <c r="G4614" s="184"/>
      <c r="H4614" s="184"/>
      <c r="I4614" s="184"/>
      <c r="K4614" s="183"/>
      <c r="L4614" s="183"/>
    </row>
    <row r="4615" spans="1:12" ht="15.75" thickBot="1">
      <c r="A4615"/>
      <c r="B4615"/>
      <c r="C4615"/>
      <c r="D4615" s="186" t="s">
        <v>201</v>
      </c>
      <c r="E4615" s="186" t="s">
        <v>202</v>
      </c>
      <c r="F4615" s="186" t="s">
        <v>203</v>
      </c>
      <c r="G4615" s="186" t="s">
        <v>204</v>
      </c>
      <c r="H4615" s="186" t="s">
        <v>267</v>
      </c>
      <c r="I4615" s="186" t="s">
        <v>267</v>
      </c>
      <c r="K4615" s="230" t="s">
        <v>257</v>
      </c>
      <c r="L4615" s="231"/>
    </row>
    <row r="4616" spans="1:12">
      <c r="A4616" s="187"/>
      <c r="B4616" s="188">
        <v>46119</v>
      </c>
      <c r="C4616" s="187"/>
      <c r="D4616" s="189"/>
      <c r="E4616" s="189"/>
      <c r="F4616" s="189"/>
      <c r="G4616" s="189"/>
      <c r="H4616" s="189"/>
      <c r="I4616" s="218"/>
      <c r="K4616" s="232" t="s">
        <v>258</v>
      </c>
      <c r="L4616" s="190" t="str">
        <f>_xlfn.XLOOKUP($B4617,シフト抽出!$19:$19,シフト抽出!$20:$20,"該当なし",0,1)</f>
        <v>該当なし</v>
      </c>
    </row>
    <row r="4617" spans="1:12" ht="19.5" thickBot="1">
      <c r="A4617"/>
      <c r="B4617" s="191">
        <f>B4564+1</f>
        <v>46214</v>
      </c>
      <c r="C4617" s="192"/>
      <c r="D4617" s="193"/>
      <c r="E4617" s="193"/>
      <c r="F4617" s="193"/>
      <c r="G4617" s="193"/>
      <c r="H4617" s="193"/>
      <c r="I4617" s="219"/>
      <c r="K4617" s="233"/>
      <c r="L4617" s="194" t="str">
        <f>_xlfn.XLOOKUP($B4617,シフト抽出!$19:$19,シフト抽出!$21:$21,"該当なし",0,1)</f>
        <v>該当なし</v>
      </c>
    </row>
    <row r="4618" spans="1:12">
      <c r="A4618" s="195"/>
      <c r="B4618" s="196">
        <v>0.25</v>
      </c>
      <c r="C4618"/>
      <c r="D4618" s="197"/>
      <c r="E4618" s="196"/>
      <c r="F4618" s="197"/>
      <c r="G4618" s="197"/>
      <c r="H4618" s="197"/>
      <c r="I4618" s="209"/>
      <c r="K4618" s="234" t="s">
        <v>259</v>
      </c>
      <c r="L4618" s="198" t="str">
        <f>_xlfn.XLOOKUP($B4617,シフト抽出!$19:$19,シフト抽出!$23:$23,"該当なし",0,1)</f>
        <v>該当なし</v>
      </c>
    </row>
    <row r="4619" spans="1:12" ht="15.75" thickBot="1">
      <c r="A4619" s="195"/>
      <c r="B4619" s="195" t="s">
        <v>205</v>
      </c>
      <c r="C4619"/>
      <c r="D4619" s="197"/>
      <c r="E4619" s="197"/>
      <c r="F4619" s="197"/>
      <c r="G4619" s="197"/>
      <c r="H4619" s="197"/>
      <c r="I4619" s="209"/>
      <c r="K4619" s="235"/>
      <c r="L4619" s="199" t="str">
        <f>_xlfn.XLOOKUP($B4617,シフト抽出!$19:$19,シフト抽出!$24:$24,"該当なし",0,1)</f>
        <v>該当なし</v>
      </c>
    </row>
    <row r="4620" spans="1:12">
      <c r="A4620" s="195"/>
      <c r="B4620" s="195" t="s">
        <v>206</v>
      </c>
      <c r="C4620"/>
      <c r="D4620" s="197"/>
      <c r="E4620" s="197"/>
      <c r="F4620" s="197"/>
      <c r="G4620" s="197"/>
      <c r="H4620" s="197"/>
      <c r="I4620" s="209"/>
      <c r="K4620" s="224" t="s">
        <v>260</v>
      </c>
      <c r="L4620" s="200" t="str">
        <f>_xlfn.XLOOKUP($B4617,シフト抽出!$19:$19,シフト抽出!$26:$26,"該当なし",0,1)</f>
        <v>該当なし</v>
      </c>
    </row>
    <row r="4621" spans="1:12">
      <c r="A4621" s="195"/>
      <c r="B4621" s="195" t="s">
        <v>207</v>
      </c>
      <c r="C4621"/>
      <c r="D4621" s="197"/>
      <c r="E4621" s="197"/>
      <c r="F4621" s="197"/>
      <c r="G4621" s="197"/>
      <c r="H4621" s="197"/>
      <c r="I4621" s="209"/>
      <c r="K4621" s="225"/>
      <c r="L4621" s="201" t="str">
        <f>_xlfn.XLOOKUP($B4617,シフト抽出!$19:$19,シフト抽出!$27:$27,"該当なし",0,1)</f>
        <v>該当なし</v>
      </c>
    </row>
    <row r="4622" spans="1:12">
      <c r="A4622" s="195"/>
      <c r="B4622" s="202" t="s">
        <v>208</v>
      </c>
      <c r="C4622"/>
      <c r="D4622" s="197"/>
      <c r="E4622" s="197"/>
      <c r="F4622" s="197"/>
      <c r="G4622" s="197"/>
      <c r="H4622" s="197"/>
      <c r="I4622" s="209"/>
      <c r="J4622" s="203"/>
      <c r="K4622" s="225"/>
      <c r="L4622" s="201" t="str">
        <f>_xlfn.XLOOKUP($B4617,シフト抽出!$19:$19,シフト抽出!$28:$28,"該当なし",0,1)</f>
        <v>該当なし</v>
      </c>
    </row>
    <row r="4623" spans="1:12" ht="15.75" thickBot="1">
      <c r="A4623" s="195"/>
      <c r="B4623" s="195" t="s">
        <v>205</v>
      </c>
      <c r="C4623"/>
      <c r="D4623" s="197"/>
      <c r="E4623" s="197"/>
      <c r="F4623" s="197"/>
      <c r="G4623" s="197"/>
      <c r="H4623" s="197"/>
      <c r="I4623" s="209"/>
      <c r="J4623" s="203"/>
      <c r="K4623" s="226"/>
      <c r="L4623" s="204" t="str">
        <f>_xlfn.XLOOKUP($B4617,シフト抽出!$19:$19,シフト抽出!$29:$29,"該当なし",0,1)</f>
        <v>該当なし</v>
      </c>
    </row>
    <row r="4624" spans="1:12" ht="15.75" thickBot="1">
      <c r="A4624" s="195"/>
      <c r="B4624" s="195" t="s">
        <v>206</v>
      </c>
      <c r="C4624"/>
      <c r="D4624" s="197"/>
      <c r="E4624" s="197"/>
      <c r="F4624" s="197"/>
      <c r="G4624" s="197"/>
      <c r="H4624" s="197"/>
      <c r="I4624" s="209"/>
      <c r="K4624" s="205" t="s">
        <v>261</v>
      </c>
      <c r="L4624" s="205">
        <f>_xlfn.XLOOKUP($B4617,予定表!B:B,予定表!R:R,"該当なし",0,1)</f>
        <v>0</v>
      </c>
    </row>
    <row r="4625" spans="1:12">
      <c r="A4625" s="195"/>
      <c r="B4625" s="195" t="s">
        <v>207</v>
      </c>
      <c r="C4625"/>
      <c r="D4625" s="197"/>
      <c r="E4625" s="197"/>
      <c r="F4625" s="197"/>
      <c r="G4625" s="197"/>
      <c r="H4625" s="197"/>
      <c r="I4625" s="209"/>
      <c r="K4625" s="227" t="s">
        <v>262</v>
      </c>
      <c r="L4625" s="206">
        <f>_xlfn.XLOOKUP($B4617,予定表!$B:$B,予定表!E:E,"該当なし",0,1)</f>
        <v>0</v>
      </c>
    </row>
    <row r="4626" spans="1:12">
      <c r="A4626" s="195"/>
      <c r="B4626" s="196" t="s">
        <v>209</v>
      </c>
      <c r="C4626"/>
      <c r="D4626" s="197" t="s">
        <v>4</v>
      </c>
      <c r="E4626" s="197" t="s">
        <v>4</v>
      </c>
      <c r="F4626" s="197"/>
      <c r="G4626" s="197"/>
      <c r="H4626" s="197"/>
      <c r="I4626" s="209"/>
      <c r="K4626" s="228"/>
      <c r="L4626" s="207">
        <f>_xlfn.XLOOKUP($B4617,予定表!$B:$B,予定表!F:F,"該当なし",0,1)</f>
        <v>0</v>
      </c>
    </row>
    <row r="4627" spans="1:12">
      <c r="A4627" s="195"/>
      <c r="B4627" s="195" t="s">
        <v>205</v>
      </c>
      <c r="C4627"/>
      <c r="D4627" s="197" t="s">
        <v>268</v>
      </c>
      <c r="E4627" s="197" t="s">
        <v>22</v>
      </c>
      <c r="F4627" s="197"/>
      <c r="G4627" s="197"/>
      <c r="H4627" s="197"/>
      <c r="I4627" s="209"/>
      <c r="K4627" s="228"/>
      <c r="L4627" s="207">
        <f>_xlfn.XLOOKUP($B4617,予定表!$B:$B,予定表!G:G,"該当なし",0,1)</f>
        <v>0</v>
      </c>
    </row>
    <row r="4628" spans="1:12">
      <c r="A4628" s="195"/>
      <c r="B4628" s="195" t="s">
        <v>206</v>
      </c>
      <c r="C4628"/>
      <c r="D4628" s="197" t="s">
        <v>268</v>
      </c>
      <c r="E4628" s="197" t="s">
        <v>22</v>
      </c>
      <c r="F4628" s="197"/>
      <c r="G4628" s="197"/>
      <c r="H4628" s="197"/>
      <c r="I4628" s="209"/>
      <c r="K4628" s="228"/>
      <c r="L4628" s="207">
        <f>_xlfn.XLOOKUP($B4617,予定表!$B:$B,予定表!H:H,"該当なし",0,1)</f>
        <v>0</v>
      </c>
    </row>
    <row r="4629" spans="1:12">
      <c r="A4629" s="195"/>
      <c r="B4629" s="195" t="s">
        <v>207</v>
      </c>
      <c r="C4629"/>
      <c r="D4629" s="197" t="s">
        <v>268</v>
      </c>
      <c r="E4629" s="197" t="s">
        <v>793</v>
      </c>
      <c r="F4629" s="197"/>
      <c r="G4629" s="197"/>
      <c r="H4629" s="197"/>
      <c r="I4629" s="209"/>
      <c r="K4629" s="228"/>
      <c r="L4629" s="207">
        <f>_xlfn.XLOOKUP($B4617,予定表!$B:$B,予定表!I:I,"該当なし",0,1)</f>
        <v>0</v>
      </c>
    </row>
    <row r="4630" spans="1:12">
      <c r="A4630" s="195"/>
      <c r="B4630" s="196" t="s">
        <v>212</v>
      </c>
      <c r="C4630"/>
      <c r="D4630" s="197" t="s">
        <v>268</v>
      </c>
      <c r="E4630" s="197" t="s">
        <v>241</v>
      </c>
      <c r="F4630" s="197"/>
      <c r="G4630" s="197"/>
      <c r="H4630" s="197"/>
      <c r="I4630" s="209"/>
      <c r="K4630" s="228"/>
      <c r="L4630" s="207">
        <f>_xlfn.XLOOKUP($B4617,予定表!$B:$B,予定表!J:J,"該当なし",0,1)</f>
        <v>0</v>
      </c>
    </row>
    <row r="4631" spans="1:12">
      <c r="A4631" s="195"/>
      <c r="B4631" s="195" t="s">
        <v>205</v>
      </c>
      <c r="C4631"/>
      <c r="D4631" s="197" t="s">
        <v>268</v>
      </c>
      <c r="E4631" s="197" t="s">
        <v>241</v>
      </c>
      <c r="F4631" s="197"/>
      <c r="G4631" s="197"/>
      <c r="H4631" s="197"/>
      <c r="I4631" s="209"/>
      <c r="K4631" s="228"/>
      <c r="L4631" s="207">
        <f>_xlfn.XLOOKUP($B4617,予定表!$B:$B,予定表!K:K,"該当なし",0,1)</f>
        <v>0</v>
      </c>
    </row>
    <row r="4632" spans="1:12">
      <c r="A4632" s="195"/>
      <c r="B4632" s="195" t="s">
        <v>206</v>
      </c>
      <c r="C4632"/>
      <c r="D4632" s="197" t="s">
        <v>515</v>
      </c>
      <c r="E4632" s="197" t="s">
        <v>244</v>
      </c>
      <c r="F4632" s="197"/>
      <c r="G4632" s="197"/>
      <c r="H4632" s="197"/>
      <c r="I4632" s="209"/>
      <c r="K4632" s="228"/>
      <c r="L4632" s="207">
        <f>_xlfn.XLOOKUP($B4617,予定表!$B:$B,予定表!L:L,"該当なし",0,1)</f>
        <v>0</v>
      </c>
    </row>
    <row r="4633" spans="1:12" ht="15.75" thickBot="1">
      <c r="A4633" s="195"/>
      <c r="B4633" s="195" t="s">
        <v>207</v>
      </c>
      <c r="C4633"/>
      <c r="D4633" s="197" t="s">
        <v>515</v>
      </c>
      <c r="E4633" s="197" t="s">
        <v>244</v>
      </c>
      <c r="F4633" s="197"/>
      <c r="G4633" s="197"/>
      <c r="H4633" s="197"/>
      <c r="I4633" s="209"/>
      <c r="K4633" s="229"/>
      <c r="L4633" s="204" t="str">
        <f>_xlfn.XLOOKUP($A4614,ﾘｽﾄマスタ!$U$8:$U$17,ﾘｽﾄマスタ!$V$8:$V$17,"",0)</f>
        <v/>
      </c>
    </row>
    <row r="4634" spans="1:12" ht="15.75" thickBot="1">
      <c r="A4634" s="195"/>
      <c r="B4634" s="196" t="s">
        <v>251</v>
      </c>
      <c r="C4634"/>
      <c r="D4634" s="197" t="s">
        <v>515</v>
      </c>
      <c r="E4634" s="197" t="s">
        <v>114</v>
      </c>
      <c r="F4634" s="197"/>
      <c r="G4634" s="197"/>
      <c r="H4634" s="197"/>
      <c r="I4634" s="209"/>
      <c r="K4634" s="208" t="s">
        <v>277</v>
      </c>
      <c r="L4634" s="208" t="str">
        <f>_xlfn.XLOOKUP($B4617,シフト抽出!$19:$19,シフト抽出!$30:$30,"該当なし",0,1)</f>
        <v>該当なし</v>
      </c>
    </row>
    <row r="4635" spans="1:12">
      <c r="A4635" s="195"/>
      <c r="B4635" s="195" t="s">
        <v>205</v>
      </c>
      <c r="C4635"/>
      <c r="D4635" s="197" t="s">
        <v>242</v>
      </c>
      <c r="E4635" s="197" t="s">
        <v>114</v>
      </c>
      <c r="F4635" s="197"/>
      <c r="G4635" s="197"/>
      <c r="H4635" s="197"/>
      <c r="I4635" s="209"/>
    </row>
    <row r="4636" spans="1:12">
      <c r="A4636" s="195"/>
      <c r="B4636" s="195" t="s">
        <v>206</v>
      </c>
      <c r="C4636"/>
      <c r="D4636" s="197" t="s">
        <v>242</v>
      </c>
      <c r="E4636" s="197" t="s">
        <v>851</v>
      </c>
      <c r="F4636" s="197"/>
      <c r="G4636" s="197"/>
      <c r="H4636" s="197"/>
      <c r="I4636" s="209"/>
    </row>
    <row r="4637" spans="1:12">
      <c r="A4637" s="195"/>
      <c r="B4637" s="195" t="s">
        <v>207</v>
      </c>
      <c r="C4637"/>
      <c r="D4637" s="197" t="s">
        <v>242</v>
      </c>
      <c r="E4637" s="197" t="s">
        <v>851</v>
      </c>
      <c r="F4637" s="197"/>
      <c r="G4637" s="197"/>
      <c r="H4637" s="197"/>
      <c r="I4637" s="209"/>
    </row>
    <row r="4638" spans="1:12">
      <c r="A4638" s="195"/>
      <c r="B4638" s="196" t="s">
        <v>217</v>
      </c>
      <c r="C4638"/>
      <c r="D4638" s="197" t="s">
        <v>242</v>
      </c>
      <c r="E4638" s="197" t="s">
        <v>851</v>
      </c>
      <c r="F4638" s="197"/>
      <c r="G4638" s="197"/>
      <c r="H4638" s="197"/>
      <c r="I4638" s="209"/>
    </row>
    <row r="4639" spans="1:12">
      <c r="A4639" s="195"/>
      <c r="B4639" s="195" t="s">
        <v>205</v>
      </c>
      <c r="C4639"/>
      <c r="D4639" s="197" t="s">
        <v>242</v>
      </c>
      <c r="E4639" s="197" t="s">
        <v>851</v>
      </c>
      <c r="F4639" s="197"/>
      <c r="G4639" s="197"/>
      <c r="H4639" s="197"/>
      <c r="I4639" s="209"/>
    </row>
    <row r="4640" spans="1:12">
      <c r="A4640" s="195"/>
      <c r="B4640" s="195" t="s">
        <v>206</v>
      </c>
      <c r="C4640"/>
      <c r="D4640" s="197" t="s">
        <v>242</v>
      </c>
      <c r="E4640" s="197" t="s">
        <v>851</v>
      </c>
      <c r="F4640" s="197"/>
      <c r="G4640" s="197"/>
      <c r="H4640" s="197"/>
      <c r="I4640" s="209"/>
    </row>
    <row r="4641" spans="1:9">
      <c r="A4641" s="195"/>
      <c r="B4641" s="195" t="s">
        <v>207</v>
      </c>
      <c r="C4641"/>
      <c r="D4641" s="197"/>
      <c r="E4641" s="197"/>
      <c r="F4641" s="197"/>
      <c r="G4641" s="197"/>
      <c r="H4641" s="197"/>
      <c r="I4641" s="209"/>
    </row>
    <row r="4642" spans="1:9">
      <c r="A4642" s="195"/>
      <c r="B4642" s="196" t="s">
        <v>219</v>
      </c>
      <c r="C4642"/>
      <c r="D4642" s="197"/>
      <c r="E4642" s="197"/>
      <c r="F4642" s="197"/>
      <c r="G4642" s="197"/>
      <c r="H4642" s="197"/>
      <c r="I4642" s="209"/>
    </row>
    <row r="4643" spans="1:9">
      <c r="A4643" s="195"/>
      <c r="B4643" s="195" t="s">
        <v>205</v>
      </c>
      <c r="C4643"/>
      <c r="D4643" s="197"/>
      <c r="E4643" s="197"/>
      <c r="F4643" s="197"/>
      <c r="G4643" s="197"/>
      <c r="H4643" s="197"/>
      <c r="I4643" s="209"/>
    </row>
    <row r="4644" spans="1:9">
      <c r="A4644" s="195"/>
      <c r="B4644" s="195" t="s">
        <v>206</v>
      </c>
      <c r="C4644"/>
      <c r="D4644" s="197"/>
      <c r="E4644" s="197"/>
      <c r="F4644" s="197"/>
      <c r="G4644" s="197"/>
      <c r="H4644" s="197"/>
      <c r="I4644" s="209"/>
    </row>
    <row r="4645" spans="1:9">
      <c r="A4645" s="195"/>
      <c r="B4645" s="195" t="s">
        <v>207</v>
      </c>
      <c r="C4645"/>
      <c r="D4645" s="197"/>
      <c r="E4645" s="197"/>
      <c r="F4645" s="197"/>
      <c r="G4645" s="197"/>
      <c r="H4645" s="197"/>
      <c r="I4645" s="209"/>
    </row>
    <row r="4646" spans="1:9">
      <c r="A4646" s="195"/>
      <c r="B4646" s="196" t="s">
        <v>220</v>
      </c>
      <c r="C4646"/>
      <c r="D4646" s="197" t="s">
        <v>7</v>
      </c>
      <c r="E4646" s="197" t="s">
        <v>7</v>
      </c>
      <c r="F4646" s="197"/>
      <c r="G4646" s="189"/>
      <c r="H4646" s="197"/>
      <c r="I4646" s="209"/>
    </row>
    <row r="4647" spans="1:9">
      <c r="A4647" s="195"/>
      <c r="B4647" s="195" t="s">
        <v>205</v>
      </c>
      <c r="C4647"/>
      <c r="D4647" s="197" t="s">
        <v>886</v>
      </c>
      <c r="E4647" s="197" t="s">
        <v>228</v>
      </c>
      <c r="F4647" s="197"/>
      <c r="G4647" s="197"/>
      <c r="H4647" s="197"/>
      <c r="I4647" s="209"/>
    </row>
    <row r="4648" spans="1:9">
      <c r="A4648" s="195"/>
      <c r="B4648" s="195" t="s">
        <v>206</v>
      </c>
      <c r="C4648"/>
      <c r="D4648" s="197" t="s">
        <v>886</v>
      </c>
      <c r="E4648" s="197" t="s">
        <v>228</v>
      </c>
      <c r="F4648" s="197"/>
      <c r="G4648" s="197"/>
      <c r="H4648" s="197"/>
      <c r="I4648" s="209"/>
    </row>
    <row r="4649" spans="1:9">
      <c r="A4649" s="195"/>
      <c r="B4649" s="195" t="s">
        <v>207</v>
      </c>
      <c r="C4649"/>
      <c r="D4649" s="197" t="s">
        <v>886</v>
      </c>
      <c r="E4649" s="197" t="s">
        <v>228</v>
      </c>
      <c r="F4649" s="197"/>
      <c r="G4649" s="197"/>
      <c r="H4649" s="197"/>
      <c r="I4649" s="209"/>
    </row>
    <row r="4650" spans="1:9">
      <c r="A4650" s="195"/>
      <c r="B4650" s="196" t="s">
        <v>222</v>
      </c>
      <c r="C4650"/>
      <c r="D4650" s="197" t="s">
        <v>886</v>
      </c>
      <c r="E4650" s="197" t="s">
        <v>228</v>
      </c>
      <c r="F4650" s="197"/>
      <c r="G4650" s="197"/>
      <c r="H4650" s="197"/>
      <c r="I4650" s="209"/>
    </row>
    <row r="4651" spans="1:9">
      <c r="A4651" s="195"/>
      <c r="B4651" s="195" t="s">
        <v>205</v>
      </c>
      <c r="C4651"/>
      <c r="D4651" s="197"/>
      <c r="E4651" s="197" t="s">
        <v>228</v>
      </c>
      <c r="F4651" s="197"/>
      <c r="G4651" s="197"/>
      <c r="H4651" s="197"/>
      <c r="I4651" s="209"/>
    </row>
    <row r="4652" spans="1:9">
      <c r="A4652" s="195"/>
      <c r="B4652" s="195" t="s">
        <v>206</v>
      </c>
      <c r="C4652"/>
      <c r="D4652" s="197" t="s">
        <v>270</v>
      </c>
      <c r="E4652" s="197" t="s">
        <v>228</v>
      </c>
      <c r="F4652" s="197"/>
      <c r="G4652" s="197"/>
      <c r="H4652" s="197"/>
      <c r="I4652" s="209"/>
    </row>
    <row r="4653" spans="1:9">
      <c r="A4653" s="195"/>
      <c r="B4653" s="195" t="s">
        <v>207</v>
      </c>
      <c r="C4653"/>
      <c r="D4653" s="197" t="s">
        <v>270</v>
      </c>
      <c r="E4653" s="197" t="s">
        <v>228</v>
      </c>
      <c r="F4653" s="197"/>
      <c r="G4653" s="197"/>
      <c r="H4653" s="197"/>
      <c r="I4653" s="209"/>
    </row>
    <row r="4654" spans="1:9">
      <c r="A4654" s="195"/>
      <c r="B4654" s="196" t="s">
        <v>223</v>
      </c>
      <c r="C4654"/>
      <c r="D4654" s="197" t="s">
        <v>270</v>
      </c>
      <c r="E4654" s="197" t="s">
        <v>228</v>
      </c>
      <c r="F4654" s="197"/>
      <c r="G4654" s="197"/>
      <c r="H4654" s="197"/>
      <c r="I4654" s="209"/>
    </row>
    <row r="4655" spans="1:9">
      <c r="A4655" s="195"/>
      <c r="B4655" s="195" t="s">
        <v>205</v>
      </c>
      <c r="C4655"/>
      <c r="D4655" s="197" t="s">
        <v>270</v>
      </c>
      <c r="E4655" s="197" t="s">
        <v>273</v>
      </c>
      <c r="F4655" s="197"/>
      <c r="G4655" s="197"/>
      <c r="H4655" s="197"/>
      <c r="I4655" s="209"/>
    </row>
    <row r="4656" spans="1:9">
      <c r="A4656" s="195"/>
      <c r="B4656" s="195" t="s">
        <v>206</v>
      </c>
      <c r="C4656"/>
      <c r="D4656" s="197" t="s">
        <v>270</v>
      </c>
      <c r="E4656" s="197" t="s">
        <v>273</v>
      </c>
      <c r="F4656" s="197"/>
      <c r="G4656" s="197"/>
      <c r="H4656" s="197"/>
      <c r="I4656" s="209"/>
    </row>
    <row r="4657" spans="1:12">
      <c r="A4657" s="195"/>
      <c r="B4657" s="195" t="s">
        <v>207</v>
      </c>
      <c r="C4657"/>
      <c r="D4657" s="197" t="s">
        <v>270</v>
      </c>
      <c r="E4657" s="197" t="s">
        <v>273</v>
      </c>
      <c r="F4657" s="197"/>
      <c r="G4657" s="197"/>
      <c r="H4657" s="197"/>
      <c r="I4657" s="209"/>
    </row>
    <row r="4658" spans="1:12">
      <c r="A4658" s="195"/>
      <c r="B4658" s="196" t="s">
        <v>225</v>
      </c>
      <c r="C4658"/>
      <c r="D4658" s="197" t="s">
        <v>270</v>
      </c>
      <c r="E4658" s="197" t="s">
        <v>263</v>
      </c>
      <c r="F4658" s="197"/>
      <c r="G4658" s="197"/>
      <c r="H4658" s="197"/>
      <c r="I4658" s="209"/>
    </row>
    <row r="4659" spans="1:12">
      <c r="A4659" s="195"/>
      <c r="B4659" s="195" t="s">
        <v>205</v>
      </c>
      <c r="C4659"/>
      <c r="D4659" s="197" t="s">
        <v>270</v>
      </c>
      <c r="E4659" s="197" t="s">
        <v>263</v>
      </c>
      <c r="F4659" s="197"/>
      <c r="G4659" s="197"/>
      <c r="H4659" s="209"/>
      <c r="I4659" s="209"/>
    </row>
    <row r="4660" spans="1:12">
      <c r="A4660" s="195"/>
      <c r="B4660" s="195" t="s">
        <v>206</v>
      </c>
      <c r="C4660"/>
      <c r="D4660" s="197" t="s">
        <v>270</v>
      </c>
      <c r="E4660" s="197" t="s">
        <v>263</v>
      </c>
      <c r="F4660" s="197"/>
      <c r="G4660" s="197"/>
      <c r="H4660" s="209"/>
      <c r="I4660" s="209"/>
    </row>
    <row r="4661" spans="1:12">
      <c r="A4661" s="195"/>
      <c r="B4661" s="195" t="s">
        <v>207</v>
      </c>
      <c r="C4661"/>
      <c r="D4661" s="197" t="s">
        <v>270</v>
      </c>
      <c r="E4661" s="197" t="s">
        <v>263</v>
      </c>
      <c r="F4661" s="197"/>
      <c r="G4661" s="197"/>
      <c r="H4661" s="209"/>
      <c r="I4661" s="209"/>
    </row>
    <row r="4662" spans="1:12">
      <c r="A4662" s="195"/>
      <c r="B4662" s="196" t="s">
        <v>226</v>
      </c>
      <c r="C4662"/>
      <c r="D4662" s="197" t="s">
        <v>270</v>
      </c>
      <c r="E4662" s="197"/>
      <c r="F4662" s="197"/>
      <c r="G4662" s="197"/>
      <c r="H4662" s="209"/>
      <c r="I4662" s="209"/>
    </row>
    <row r="4663" spans="1:12">
      <c r="A4663" s="195"/>
      <c r="B4663" s="195" t="s">
        <v>205</v>
      </c>
      <c r="C4663"/>
      <c r="D4663" s="197" t="s">
        <v>270</v>
      </c>
      <c r="E4663" s="197"/>
      <c r="F4663" s="197"/>
      <c r="G4663" s="197"/>
      <c r="H4663" s="209"/>
      <c r="I4663" s="209"/>
    </row>
    <row r="4664" spans="1:12">
      <c r="A4664" s="195"/>
      <c r="B4664" s="195" t="s">
        <v>206</v>
      </c>
      <c r="C4664"/>
      <c r="D4664" s="197" t="s">
        <v>270</v>
      </c>
      <c r="E4664" s="197"/>
      <c r="F4664" s="197"/>
      <c r="G4664" s="197"/>
      <c r="H4664" s="209"/>
      <c r="I4664" s="209"/>
    </row>
    <row r="4665" spans="1:12">
      <c r="A4665" s="195"/>
      <c r="B4665" s="195" t="s">
        <v>207</v>
      </c>
      <c r="C4665"/>
      <c r="D4665" s="197" t="s">
        <v>270</v>
      </c>
      <c r="E4665" s="197"/>
      <c r="F4665" s="197"/>
      <c r="G4665" s="197"/>
      <c r="H4665" s="209"/>
      <c r="I4665" s="209"/>
    </row>
    <row r="4666" spans="1:12">
      <c r="A4666" s="195"/>
      <c r="B4666" s="196" t="s">
        <v>227</v>
      </c>
      <c r="C4666"/>
      <c r="D4666" s="197"/>
      <c r="E4666" s="197"/>
      <c r="F4666" s="197"/>
      <c r="G4666" s="197"/>
      <c r="H4666" s="209"/>
      <c r="I4666" s="209"/>
      <c r="K4666"/>
    </row>
    <row r="4667" spans="1:12" ht="29.25" thickBot="1">
      <c r="A4667" s="213" t="str">
        <f>"回収シフト  第"&amp;ROUNDUP(DAY(B4670)/7,0)  &amp;"  "&amp;TEXT(B4670,"aaaa")</f>
        <v>回収シフト  第2  月曜日</v>
      </c>
      <c r="B4667" s="214"/>
      <c r="C4667" s="214"/>
      <c r="D4667" s="214"/>
      <c r="E4667" s="214"/>
      <c r="F4667" s="214"/>
      <c r="G4667" s="215"/>
      <c r="H4667" s="215"/>
      <c r="I4667" s="215"/>
      <c r="K4667" s="214"/>
      <c r="L4667" s="214"/>
    </row>
    <row r="4668" spans="1:12" ht="15.75" thickBot="1">
      <c r="A4668"/>
      <c r="B4668"/>
      <c r="C4668"/>
      <c r="D4668" s="186" t="s">
        <v>201</v>
      </c>
      <c r="E4668" s="186" t="s">
        <v>202</v>
      </c>
      <c r="F4668" s="186" t="s">
        <v>203</v>
      </c>
      <c r="G4668" s="186" t="s">
        <v>204</v>
      </c>
      <c r="H4668" s="186" t="s">
        <v>267</v>
      </c>
      <c r="I4668" s="217" t="s">
        <v>267</v>
      </c>
      <c r="K4668" s="230" t="s">
        <v>257</v>
      </c>
      <c r="L4668" s="231"/>
    </row>
    <row r="4669" spans="1:12">
      <c r="A4669" s="187"/>
      <c r="B4669" s="188">
        <v>45495</v>
      </c>
      <c r="C4669" s="187"/>
      <c r="D4669" s="189" t="s">
        <v>850</v>
      </c>
      <c r="E4669" s="189" t="s">
        <v>248</v>
      </c>
      <c r="F4669" s="189" t="s">
        <v>979</v>
      </c>
      <c r="G4669" s="189" t="s">
        <v>923</v>
      </c>
      <c r="H4669" s="189" t="s">
        <v>852</v>
      </c>
      <c r="I4669" s="218" t="s">
        <v>852</v>
      </c>
      <c r="K4669" s="232" t="s">
        <v>258</v>
      </c>
      <c r="L4669" s="190" t="str">
        <f>_xlfn.XLOOKUP($B4670,シフト抽出!$19:$19,シフト抽出!$20:$20,"該当なし",0,1)</f>
        <v>該当なし</v>
      </c>
    </row>
    <row r="4670" spans="1:12" ht="19.5" thickBot="1">
      <c r="A4670"/>
      <c r="B4670" s="191">
        <f>B4617+2</f>
        <v>46216</v>
      </c>
      <c r="C4670" s="192" t="e">
        <v>#REF!</v>
      </c>
      <c r="D4670" s="216"/>
      <c r="E4670" s="216"/>
      <c r="F4670" s="216"/>
      <c r="G4670" s="216"/>
      <c r="H4670" s="216"/>
      <c r="I4670" s="220"/>
      <c r="K4670" s="233"/>
      <c r="L4670" s="194" t="str">
        <f>_xlfn.XLOOKUP($B4670,シフト抽出!$19:$19,シフト抽出!$21:$21,"該当なし",0,1)</f>
        <v>該当なし</v>
      </c>
    </row>
    <row r="4671" spans="1:12">
      <c r="A4671" s="195"/>
      <c r="B4671" s="196">
        <v>0.25</v>
      </c>
      <c r="C4671"/>
      <c r="D4671" s="197"/>
      <c r="E4671" s="196"/>
      <c r="F4671" s="197"/>
      <c r="G4671" s="197"/>
      <c r="H4671" s="197"/>
      <c r="I4671" s="209"/>
      <c r="K4671" s="234" t="s">
        <v>259</v>
      </c>
      <c r="L4671" s="198" t="str">
        <f>_xlfn.XLOOKUP($B4670,シフト抽出!$19:$19,シフト抽出!$23:$23,"該当なし",0,1)</f>
        <v>該当なし</v>
      </c>
    </row>
    <row r="4672" spans="1:12" ht="15.75" thickBot="1">
      <c r="A4672" s="195"/>
      <c r="B4672" s="195" t="s">
        <v>205</v>
      </c>
      <c r="C4672"/>
      <c r="D4672" s="197"/>
      <c r="E4672" s="197"/>
      <c r="F4672" s="197"/>
      <c r="G4672" s="197"/>
      <c r="H4672" s="197"/>
      <c r="I4672" s="209"/>
      <c r="K4672" s="235"/>
      <c r="L4672" s="199" t="str">
        <f>_xlfn.XLOOKUP($B4670,シフト抽出!$19:$19,シフト抽出!$24:$24,"該当なし",0,1)</f>
        <v>該当なし</v>
      </c>
    </row>
    <row r="4673" spans="1:12">
      <c r="A4673" s="195"/>
      <c r="B4673" s="195" t="s">
        <v>206</v>
      </c>
      <c r="C4673"/>
      <c r="D4673" s="197"/>
      <c r="E4673" s="197"/>
      <c r="F4673" s="197"/>
      <c r="G4673" s="197"/>
      <c r="H4673" s="197"/>
      <c r="I4673" s="209"/>
      <c r="K4673" s="224" t="s">
        <v>260</v>
      </c>
      <c r="L4673" s="200" t="str">
        <f>_xlfn.XLOOKUP($B4670,シフト抽出!$19:$19,シフト抽出!$26:$26,"該当なし",0,1)</f>
        <v>該当なし</v>
      </c>
    </row>
    <row r="4674" spans="1:12">
      <c r="A4674" s="195"/>
      <c r="B4674" s="195" t="s">
        <v>207</v>
      </c>
      <c r="C4674"/>
      <c r="D4674" s="197"/>
      <c r="E4674" s="197"/>
      <c r="F4674" s="197"/>
      <c r="G4674" s="197"/>
      <c r="H4674" s="197"/>
      <c r="I4674" s="209"/>
      <c r="K4674" s="225"/>
      <c r="L4674" s="201" t="str">
        <f>_xlfn.XLOOKUP($B4670,シフト抽出!$19:$19,シフト抽出!$27:$27,"該当なし",0,1)</f>
        <v>該当なし</v>
      </c>
    </row>
    <row r="4675" spans="1:12">
      <c r="A4675" s="195"/>
      <c r="B4675" s="202" t="s">
        <v>208</v>
      </c>
      <c r="C4675"/>
      <c r="D4675" s="197"/>
      <c r="E4675" s="197"/>
      <c r="F4675" s="197"/>
      <c r="G4675" s="197"/>
      <c r="H4675" s="197"/>
      <c r="I4675" s="209"/>
      <c r="J4675" s="203"/>
      <c r="K4675" s="225"/>
      <c r="L4675" s="201" t="str">
        <f>_xlfn.XLOOKUP($B4670,シフト抽出!$19:$19,シフト抽出!$28:$28,"該当なし",0,1)</f>
        <v>該当なし</v>
      </c>
    </row>
    <row r="4676" spans="1:12" ht="15.75" thickBot="1">
      <c r="A4676" s="195"/>
      <c r="B4676" s="195" t="s">
        <v>205</v>
      </c>
      <c r="C4676"/>
      <c r="D4676" s="197"/>
      <c r="E4676" s="197"/>
      <c r="F4676" s="197"/>
      <c r="G4676" s="197"/>
      <c r="H4676" s="197"/>
      <c r="I4676" s="209"/>
      <c r="J4676" s="203"/>
      <c r="K4676" s="226"/>
      <c r="L4676" s="204" t="str">
        <f>_xlfn.XLOOKUP($B4670,シフト抽出!$19:$19,シフト抽出!$29:$29,"該当なし",0,1)</f>
        <v>該当なし</v>
      </c>
    </row>
    <row r="4677" spans="1:12" ht="15.75" thickBot="1">
      <c r="A4677" s="195"/>
      <c r="B4677" s="195" t="s">
        <v>206</v>
      </c>
      <c r="C4677"/>
      <c r="D4677" s="197"/>
      <c r="E4677" s="197"/>
      <c r="F4677" s="197"/>
      <c r="G4677" s="197"/>
      <c r="H4677" s="197"/>
      <c r="I4677" s="209"/>
      <c r="K4677" s="205" t="s">
        <v>261</v>
      </c>
      <c r="L4677" s="205">
        <f>_xlfn.XLOOKUP($B4670,予定表!B:B,予定表!R:R,"該当なし",0,1)</f>
        <v>0</v>
      </c>
    </row>
    <row r="4678" spans="1:12">
      <c r="A4678" s="195"/>
      <c r="B4678" s="195" t="s">
        <v>207</v>
      </c>
      <c r="C4678"/>
      <c r="D4678" s="197"/>
      <c r="E4678" s="197"/>
      <c r="F4678" s="197"/>
      <c r="G4678" s="197"/>
      <c r="H4678" s="197"/>
      <c r="I4678" s="209"/>
      <c r="K4678" s="227" t="s">
        <v>262</v>
      </c>
      <c r="L4678" s="206">
        <f>_xlfn.XLOOKUP($B4670,予定表!$B:$B,予定表!E:E,"該当なし",0,1)</f>
        <v>0</v>
      </c>
    </row>
    <row r="4679" spans="1:12">
      <c r="A4679" s="195"/>
      <c r="B4679" s="196" t="s">
        <v>209</v>
      </c>
      <c r="C4679"/>
      <c r="D4679" s="197" t="s">
        <v>264</v>
      </c>
      <c r="E4679" s="197" t="s">
        <v>414</v>
      </c>
      <c r="F4679" s="197" t="s">
        <v>851</v>
      </c>
      <c r="G4679" s="197" t="s">
        <v>268</v>
      </c>
      <c r="H4679" s="197" t="s">
        <v>848</v>
      </c>
      <c r="I4679" s="209" t="s">
        <v>848</v>
      </c>
      <c r="K4679" s="228"/>
      <c r="L4679" s="207">
        <f>_xlfn.XLOOKUP($B4670,予定表!$B:$B,予定表!F:F,"該当なし",0,1)</f>
        <v>0</v>
      </c>
    </row>
    <row r="4680" spans="1:12">
      <c r="A4680" s="195"/>
      <c r="B4680" s="195" t="s">
        <v>205</v>
      </c>
      <c r="C4680"/>
      <c r="D4680" s="197" t="s">
        <v>793</v>
      </c>
      <c r="E4680" s="197" t="s">
        <v>414</v>
      </c>
      <c r="F4680" s="197" t="s">
        <v>851</v>
      </c>
      <c r="G4680" s="197" t="s">
        <v>268</v>
      </c>
      <c r="H4680" s="197" t="s">
        <v>848</v>
      </c>
      <c r="I4680" s="209" t="s">
        <v>848</v>
      </c>
      <c r="K4680" s="228"/>
      <c r="L4680" s="207" t="str">
        <f>_xlfn.XLOOKUP($B4670,予定表!$B:$B,予定表!G:G,"該当なし",0,1)</f>
        <v>ディーミング</v>
      </c>
    </row>
    <row r="4681" spans="1:12">
      <c r="A4681" s="195"/>
      <c r="B4681" s="195" t="s">
        <v>206</v>
      </c>
      <c r="C4681"/>
      <c r="D4681" s="197" t="s">
        <v>793</v>
      </c>
      <c r="E4681" s="197" t="s">
        <v>414</v>
      </c>
      <c r="F4681" s="197" t="s">
        <v>851</v>
      </c>
      <c r="G4681" s="197" t="s">
        <v>268</v>
      </c>
      <c r="H4681" s="197" t="s">
        <v>848</v>
      </c>
      <c r="I4681" s="209" t="s">
        <v>848</v>
      </c>
      <c r="K4681" s="228"/>
      <c r="L4681" s="207">
        <f>_xlfn.XLOOKUP($B4670,予定表!$B:$B,予定表!H:H,"該当なし",0,1)</f>
        <v>0</v>
      </c>
    </row>
    <row r="4682" spans="1:12">
      <c r="A4682" s="195"/>
      <c r="B4682" s="195" t="s">
        <v>207</v>
      </c>
      <c r="C4682"/>
      <c r="D4682" s="197" t="s">
        <v>119</v>
      </c>
      <c r="E4682" s="197" t="s">
        <v>414</v>
      </c>
      <c r="F4682" s="197" t="s">
        <v>851</v>
      </c>
      <c r="G4682" s="197" t="s">
        <v>268</v>
      </c>
      <c r="H4682" s="197" t="s">
        <v>848</v>
      </c>
      <c r="I4682" s="209" t="s">
        <v>848</v>
      </c>
      <c r="K4682" s="228"/>
      <c r="L4682" s="207">
        <f>_xlfn.XLOOKUP($B4670,予定表!$B:$B,予定表!I:I,"該当なし",0,1)</f>
        <v>0</v>
      </c>
    </row>
    <row r="4683" spans="1:12">
      <c r="A4683" s="195"/>
      <c r="B4683" s="196" t="s">
        <v>212</v>
      </c>
      <c r="C4683"/>
      <c r="D4683" s="197" t="s">
        <v>119</v>
      </c>
      <c r="E4683" s="197" t="s">
        <v>862</v>
      </c>
      <c r="F4683" s="197" t="s">
        <v>851</v>
      </c>
      <c r="G4683" s="197" t="s">
        <v>268</v>
      </c>
      <c r="H4683" s="197" t="s">
        <v>848</v>
      </c>
      <c r="I4683" s="209" t="s">
        <v>848</v>
      </c>
      <c r="K4683" s="228"/>
      <c r="L4683" s="207">
        <f>_xlfn.XLOOKUP($B4670,予定表!$B:$B,予定表!J:J,"該当なし",0,1)</f>
        <v>0</v>
      </c>
    </row>
    <row r="4684" spans="1:12">
      <c r="A4684" s="195"/>
      <c r="B4684" s="195" t="s">
        <v>205</v>
      </c>
      <c r="C4684"/>
      <c r="D4684" s="197" t="s">
        <v>376</v>
      </c>
      <c r="E4684" s="197" t="s">
        <v>214</v>
      </c>
      <c r="F4684" s="197" t="s">
        <v>851</v>
      </c>
      <c r="G4684" s="197" t="s">
        <v>268</v>
      </c>
      <c r="H4684" s="197" t="s">
        <v>848</v>
      </c>
      <c r="I4684" s="209" t="s">
        <v>848</v>
      </c>
      <c r="K4684" s="228"/>
      <c r="L4684" s="207">
        <f>_xlfn.XLOOKUP($B4670,予定表!$B:$B,予定表!K:K,"該当なし",0,1)</f>
        <v>0</v>
      </c>
    </row>
    <row r="4685" spans="1:12">
      <c r="A4685" s="195"/>
      <c r="B4685" s="195" t="s">
        <v>206</v>
      </c>
      <c r="C4685"/>
      <c r="D4685" s="197" t="s">
        <v>278</v>
      </c>
      <c r="E4685" s="197" t="s">
        <v>214</v>
      </c>
      <c r="F4685" s="197"/>
      <c r="G4685" s="197" t="s">
        <v>515</v>
      </c>
      <c r="H4685" s="197" t="s">
        <v>848</v>
      </c>
      <c r="I4685" s="209" t="s">
        <v>848</v>
      </c>
      <c r="K4685" s="228"/>
      <c r="L4685" s="207">
        <f>_xlfn.XLOOKUP($B4670,予定表!$B:$B,予定表!L:L,"該当なし",0,1)</f>
        <v>0</v>
      </c>
    </row>
    <row r="4686" spans="1:12" ht="15.75" thickBot="1">
      <c r="A4686" s="195"/>
      <c r="B4686" s="195" t="s">
        <v>207</v>
      </c>
      <c r="C4686"/>
      <c r="D4686" s="197" t="s">
        <v>213</v>
      </c>
      <c r="E4686" s="197" t="s">
        <v>214</v>
      </c>
      <c r="F4686" s="197" t="s">
        <v>416</v>
      </c>
      <c r="G4686" s="197" t="s">
        <v>515</v>
      </c>
      <c r="H4686" s="197" t="s">
        <v>848</v>
      </c>
      <c r="I4686" s="209" t="s">
        <v>848</v>
      </c>
      <c r="K4686" s="229"/>
      <c r="L4686" s="204" t="str">
        <f>_xlfn.XLOOKUP($A4667,ﾘｽﾄマスタ!$U$8:$U$17,ﾘｽﾄマスタ!$V$8:$V$17,"",0)</f>
        <v>広陽</v>
      </c>
    </row>
    <row r="4687" spans="1:12" ht="15.75" thickBot="1">
      <c r="A4687" s="195"/>
      <c r="B4687" s="196" t="s">
        <v>251</v>
      </c>
      <c r="C4687"/>
      <c r="D4687" s="197" t="s">
        <v>144</v>
      </c>
      <c r="E4687" s="197" t="s">
        <v>214</v>
      </c>
      <c r="F4687" s="197" t="s">
        <v>771</v>
      </c>
      <c r="G4687" s="197" t="s">
        <v>269</v>
      </c>
      <c r="H4687" s="197" t="s">
        <v>848</v>
      </c>
      <c r="I4687" s="209" t="s">
        <v>848</v>
      </c>
      <c r="K4687" s="208" t="s">
        <v>277</v>
      </c>
      <c r="L4687" s="208" t="str">
        <f>_xlfn.XLOOKUP($B4670,シフト抽出!$19:$19,シフト抽出!$30:$30,"該当なし",0,1)</f>
        <v>該当なし</v>
      </c>
    </row>
    <row r="4688" spans="1:12">
      <c r="A4688" s="195"/>
      <c r="B4688" s="195" t="s">
        <v>205</v>
      </c>
      <c r="C4688"/>
      <c r="D4688" s="197" t="s">
        <v>144</v>
      </c>
      <c r="E4688" s="197" t="s">
        <v>214</v>
      </c>
      <c r="F4688" s="197" t="s">
        <v>416</v>
      </c>
      <c r="G4688" s="197" t="s">
        <v>269</v>
      </c>
      <c r="H4688" s="197" t="s">
        <v>229</v>
      </c>
      <c r="I4688" s="209" t="s">
        <v>229</v>
      </c>
    </row>
    <row r="4689" spans="1:9">
      <c r="A4689" s="195"/>
      <c r="B4689" s="195" t="s">
        <v>206</v>
      </c>
      <c r="C4689"/>
      <c r="D4689" s="197" t="s">
        <v>218</v>
      </c>
      <c r="E4689" s="197" t="s">
        <v>761</v>
      </c>
      <c r="F4689" s="197" t="s">
        <v>416</v>
      </c>
      <c r="G4689" s="197" t="s">
        <v>269</v>
      </c>
      <c r="H4689" s="197" t="s">
        <v>229</v>
      </c>
      <c r="I4689" s="209" t="s">
        <v>229</v>
      </c>
    </row>
    <row r="4690" spans="1:9">
      <c r="A4690" s="195"/>
      <c r="B4690" s="195" t="s">
        <v>207</v>
      </c>
      <c r="C4690"/>
      <c r="D4690" s="197" t="s">
        <v>78</v>
      </c>
      <c r="E4690" s="197" t="s">
        <v>761</v>
      </c>
      <c r="F4690" s="197"/>
      <c r="G4690" s="197" t="s">
        <v>269</v>
      </c>
      <c r="H4690" s="197" t="s">
        <v>229</v>
      </c>
      <c r="I4690" s="209" t="s">
        <v>229</v>
      </c>
    </row>
    <row r="4691" spans="1:9">
      <c r="A4691" s="195"/>
      <c r="B4691" s="196" t="s">
        <v>217</v>
      </c>
      <c r="C4691"/>
      <c r="D4691" s="197" t="s">
        <v>78</v>
      </c>
      <c r="E4691" s="197" t="s">
        <v>761</v>
      </c>
      <c r="F4691" s="197" t="s">
        <v>51</v>
      </c>
      <c r="G4691" s="197" t="s">
        <v>446</v>
      </c>
      <c r="H4691" s="197" t="s">
        <v>230</v>
      </c>
      <c r="I4691" s="209" t="s">
        <v>230</v>
      </c>
    </row>
    <row r="4692" spans="1:9">
      <c r="A4692" s="195"/>
      <c r="B4692" s="195" t="s">
        <v>205</v>
      </c>
      <c r="C4692"/>
      <c r="D4692" s="197" t="s">
        <v>146</v>
      </c>
      <c r="E4692" s="197" t="s">
        <v>761</v>
      </c>
      <c r="F4692" s="197" t="s">
        <v>51</v>
      </c>
      <c r="G4692" s="197" t="s">
        <v>446</v>
      </c>
      <c r="H4692" s="197" t="s">
        <v>230</v>
      </c>
      <c r="I4692" s="209" t="s">
        <v>230</v>
      </c>
    </row>
    <row r="4693" spans="1:9">
      <c r="A4693" s="195"/>
      <c r="B4693" s="195" t="s">
        <v>206</v>
      </c>
      <c r="C4693"/>
      <c r="D4693" s="197" t="s">
        <v>146</v>
      </c>
      <c r="E4693" s="197" t="s">
        <v>761</v>
      </c>
      <c r="F4693" s="197" t="s">
        <v>51</v>
      </c>
      <c r="G4693" s="197" t="s">
        <v>114</v>
      </c>
      <c r="H4693" s="197" t="s">
        <v>230</v>
      </c>
      <c r="I4693" s="209" t="s">
        <v>230</v>
      </c>
    </row>
    <row r="4694" spans="1:9">
      <c r="A4694" s="195"/>
      <c r="B4694" s="195" t="s">
        <v>207</v>
      </c>
      <c r="C4694"/>
      <c r="D4694" s="197" t="s">
        <v>146</v>
      </c>
      <c r="E4694" s="197" t="s">
        <v>761</v>
      </c>
      <c r="F4694" s="197" t="s">
        <v>51</v>
      </c>
      <c r="G4694" s="197" t="s">
        <v>114</v>
      </c>
      <c r="H4694" s="197" t="s">
        <v>230</v>
      </c>
      <c r="I4694" s="209" t="s">
        <v>230</v>
      </c>
    </row>
    <row r="4695" spans="1:9">
      <c r="A4695" s="195"/>
      <c r="B4695" s="196" t="s">
        <v>219</v>
      </c>
      <c r="C4695"/>
      <c r="D4695" s="197"/>
      <c r="E4695" s="197"/>
      <c r="F4695" s="197"/>
      <c r="G4695" s="197"/>
      <c r="H4695" s="197"/>
      <c r="I4695" s="209"/>
    </row>
    <row r="4696" spans="1:9">
      <c r="A4696" s="195"/>
      <c r="B4696" s="195" t="s">
        <v>205</v>
      </c>
      <c r="C4696"/>
      <c r="D4696" s="197"/>
      <c r="E4696" s="197"/>
      <c r="F4696" s="197"/>
      <c r="G4696" s="197"/>
      <c r="H4696" s="197"/>
      <c r="I4696" s="209"/>
    </row>
    <row r="4697" spans="1:9">
      <c r="A4697" s="195"/>
      <c r="B4697" s="195" t="s">
        <v>206</v>
      </c>
      <c r="C4697"/>
      <c r="D4697" s="197"/>
      <c r="E4697" s="197"/>
      <c r="F4697" s="197"/>
      <c r="G4697" s="197"/>
      <c r="H4697" s="197"/>
      <c r="I4697" s="209"/>
    </row>
    <row r="4698" spans="1:9">
      <c r="A4698" s="195"/>
      <c r="B4698" s="195" t="s">
        <v>207</v>
      </c>
      <c r="C4698"/>
      <c r="D4698" s="197"/>
      <c r="E4698" s="197"/>
      <c r="F4698" s="197"/>
      <c r="G4698" s="197"/>
      <c r="H4698" s="197"/>
      <c r="I4698" s="209"/>
    </row>
    <row r="4699" spans="1:9">
      <c r="A4699" s="195"/>
      <c r="B4699" s="196" t="s">
        <v>220</v>
      </c>
      <c r="C4699"/>
      <c r="D4699" s="189" t="s">
        <v>923</v>
      </c>
      <c r="E4699" s="189"/>
      <c r="F4699" s="189" t="s">
        <v>980</v>
      </c>
      <c r="G4699" s="189" t="s">
        <v>925</v>
      </c>
      <c r="H4699" s="189"/>
      <c r="I4699" s="218"/>
    </row>
    <row r="4700" spans="1:9">
      <c r="A4700" s="195"/>
      <c r="B4700" s="195" t="s">
        <v>205</v>
      </c>
      <c r="C4700"/>
      <c r="D4700" s="197" t="s">
        <v>759</v>
      </c>
      <c r="E4700" s="197" t="s">
        <v>848</v>
      </c>
      <c r="F4700" s="197" t="s">
        <v>224</v>
      </c>
      <c r="G4700" s="197" t="s">
        <v>56</v>
      </c>
      <c r="H4700" s="197" t="s">
        <v>415</v>
      </c>
      <c r="I4700" s="209" t="s">
        <v>415</v>
      </c>
    </row>
    <row r="4701" spans="1:9">
      <c r="A4701" s="195"/>
      <c r="B4701" s="195" t="s">
        <v>206</v>
      </c>
      <c r="C4701"/>
      <c r="D4701" s="197" t="s">
        <v>759</v>
      </c>
      <c r="E4701" s="197" t="s">
        <v>848</v>
      </c>
      <c r="F4701" s="197" t="s">
        <v>224</v>
      </c>
      <c r="G4701" s="197" t="s">
        <v>56</v>
      </c>
      <c r="H4701" s="197" t="s">
        <v>415</v>
      </c>
      <c r="I4701" s="209" t="s">
        <v>415</v>
      </c>
    </row>
    <row r="4702" spans="1:9">
      <c r="A4702" s="195"/>
      <c r="B4702" s="195" t="s">
        <v>207</v>
      </c>
      <c r="C4702"/>
      <c r="D4702" s="197" t="s">
        <v>759</v>
      </c>
      <c r="E4702" s="197" t="s">
        <v>848</v>
      </c>
      <c r="F4702" s="197" t="s">
        <v>224</v>
      </c>
      <c r="G4702" s="197" t="s">
        <v>56</v>
      </c>
      <c r="H4702" s="197" t="s">
        <v>415</v>
      </c>
      <c r="I4702" s="209" t="s">
        <v>415</v>
      </c>
    </row>
    <row r="4703" spans="1:9">
      <c r="A4703" s="195"/>
      <c r="B4703" s="196" t="s">
        <v>222</v>
      </c>
      <c r="C4703"/>
      <c r="D4703" s="197" t="s">
        <v>759</v>
      </c>
      <c r="E4703" s="197" t="s">
        <v>273</v>
      </c>
      <c r="F4703" s="197" t="s">
        <v>865</v>
      </c>
      <c r="G4703" s="197"/>
      <c r="H4703" s="197" t="s">
        <v>415</v>
      </c>
      <c r="I4703" s="209" t="s">
        <v>415</v>
      </c>
    </row>
    <row r="4704" spans="1:9">
      <c r="A4704" s="195"/>
      <c r="B4704" s="195" t="s">
        <v>205</v>
      </c>
      <c r="C4704"/>
      <c r="D4704" s="197" t="s">
        <v>759</v>
      </c>
      <c r="E4704" s="197" t="s">
        <v>273</v>
      </c>
      <c r="F4704" s="197" t="s">
        <v>866</v>
      </c>
      <c r="G4704" s="197" t="s">
        <v>270</v>
      </c>
      <c r="H4704" s="197" t="s">
        <v>415</v>
      </c>
      <c r="I4704" s="209" t="s">
        <v>415</v>
      </c>
    </row>
    <row r="4705" spans="1:12">
      <c r="A4705" s="195"/>
      <c r="B4705" s="195" t="s">
        <v>206</v>
      </c>
      <c r="C4705"/>
      <c r="D4705" s="197" t="s">
        <v>216</v>
      </c>
      <c r="E4705" s="197" t="s">
        <v>273</v>
      </c>
      <c r="F4705" s="197"/>
      <c r="G4705" s="197" t="s">
        <v>270</v>
      </c>
      <c r="H4705" s="197" t="s">
        <v>415</v>
      </c>
      <c r="I4705" s="209" t="s">
        <v>415</v>
      </c>
    </row>
    <row r="4706" spans="1:12">
      <c r="A4706" s="195"/>
      <c r="B4706" s="195" t="s">
        <v>207</v>
      </c>
      <c r="C4706"/>
      <c r="D4706" s="197" t="s">
        <v>216</v>
      </c>
      <c r="E4706" s="197" t="s">
        <v>252</v>
      </c>
      <c r="F4706" s="197"/>
      <c r="G4706" s="197" t="s">
        <v>270</v>
      </c>
      <c r="H4706" s="197" t="s">
        <v>415</v>
      </c>
      <c r="I4706" s="209" t="s">
        <v>415</v>
      </c>
    </row>
    <row r="4707" spans="1:12">
      <c r="A4707" s="195"/>
      <c r="B4707" s="196" t="s">
        <v>223</v>
      </c>
      <c r="C4707"/>
      <c r="D4707" s="197" t="s">
        <v>216</v>
      </c>
      <c r="E4707" s="197" t="s">
        <v>252</v>
      </c>
      <c r="F4707" s="197"/>
      <c r="G4707" s="197" t="s">
        <v>270</v>
      </c>
      <c r="H4707" s="197" t="s">
        <v>415</v>
      </c>
      <c r="I4707" s="209" t="s">
        <v>415</v>
      </c>
    </row>
    <row r="4708" spans="1:12">
      <c r="A4708" s="195"/>
      <c r="B4708" s="195" t="s">
        <v>205</v>
      </c>
      <c r="C4708"/>
      <c r="D4708" s="197" t="s">
        <v>216</v>
      </c>
      <c r="E4708" s="197" t="s">
        <v>252</v>
      </c>
      <c r="F4708" s="197"/>
      <c r="G4708" s="197" t="s">
        <v>270</v>
      </c>
      <c r="H4708" s="197" t="s">
        <v>415</v>
      </c>
      <c r="I4708" s="209" t="s">
        <v>415</v>
      </c>
    </row>
    <row r="4709" spans="1:12">
      <c r="A4709" s="195"/>
      <c r="B4709" s="195" t="s">
        <v>206</v>
      </c>
      <c r="C4709"/>
      <c r="D4709" s="197" t="s">
        <v>215</v>
      </c>
      <c r="E4709" s="197" t="s">
        <v>252</v>
      </c>
      <c r="F4709" s="197"/>
      <c r="G4709" s="197" t="s">
        <v>270</v>
      </c>
      <c r="H4709" s="197" t="s">
        <v>415</v>
      </c>
      <c r="I4709" s="209" t="s">
        <v>415</v>
      </c>
    </row>
    <row r="4710" spans="1:12">
      <c r="A4710" s="195"/>
      <c r="B4710" s="195" t="s">
        <v>207</v>
      </c>
      <c r="C4710"/>
      <c r="D4710" s="197" t="s">
        <v>215</v>
      </c>
      <c r="E4710" s="197" t="s">
        <v>252</v>
      </c>
      <c r="F4710" s="197"/>
      <c r="G4710" s="197" t="s">
        <v>270</v>
      </c>
      <c r="H4710" s="197" t="s">
        <v>415</v>
      </c>
      <c r="I4710" s="209" t="s">
        <v>415</v>
      </c>
    </row>
    <row r="4711" spans="1:12">
      <c r="A4711" s="195"/>
      <c r="B4711" s="196" t="s">
        <v>225</v>
      </c>
      <c r="C4711"/>
      <c r="D4711" s="197" t="s">
        <v>280</v>
      </c>
      <c r="E4711" s="197" t="s">
        <v>252</v>
      </c>
      <c r="F4711" s="197"/>
      <c r="G4711" s="197" t="s">
        <v>270</v>
      </c>
      <c r="H4711" s="197" t="s">
        <v>415</v>
      </c>
      <c r="I4711" s="209" t="s">
        <v>415</v>
      </c>
    </row>
    <row r="4712" spans="1:12">
      <c r="A4712" s="195"/>
      <c r="B4712" s="195" t="s">
        <v>205</v>
      </c>
      <c r="C4712"/>
      <c r="D4712" s="197" t="s">
        <v>127</v>
      </c>
      <c r="E4712" s="197" t="s">
        <v>252</v>
      </c>
      <c r="F4712" s="197"/>
      <c r="G4712" s="197" t="s">
        <v>270</v>
      </c>
      <c r="H4712" s="209" t="s">
        <v>415</v>
      </c>
      <c r="I4712" s="209" t="s">
        <v>415</v>
      </c>
    </row>
    <row r="4713" spans="1:12">
      <c r="A4713" s="195"/>
      <c r="B4713" s="195" t="s">
        <v>206</v>
      </c>
      <c r="C4713"/>
      <c r="D4713" s="197"/>
      <c r="E4713" s="197" t="s">
        <v>252</v>
      </c>
      <c r="F4713" s="197"/>
      <c r="G4713" s="197" t="s">
        <v>270</v>
      </c>
      <c r="H4713" s="209" t="s">
        <v>415</v>
      </c>
      <c r="I4713" s="209" t="s">
        <v>415</v>
      </c>
    </row>
    <row r="4714" spans="1:12">
      <c r="A4714" s="195"/>
      <c r="B4714" s="195" t="s">
        <v>207</v>
      </c>
      <c r="C4714"/>
      <c r="D4714" s="197"/>
      <c r="E4714" s="197" t="s">
        <v>252</v>
      </c>
      <c r="F4714" s="197"/>
      <c r="G4714" s="197" t="s">
        <v>270</v>
      </c>
      <c r="H4714" s="209" t="s">
        <v>415</v>
      </c>
      <c r="I4714" s="209" t="s">
        <v>415</v>
      </c>
    </row>
    <row r="4715" spans="1:12">
      <c r="A4715" s="195"/>
      <c r="B4715" s="196" t="s">
        <v>226</v>
      </c>
      <c r="C4715"/>
      <c r="D4715" s="197"/>
      <c r="E4715" s="197"/>
      <c r="F4715" s="197"/>
      <c r="G4715" s="197" t="s">
        <v>270</v>
      </c>
      <c r="H4715" s="209" t="s">
        <v>415</v>
      </c>
      <c r="I4715" s="209" t="s">
        <v>415</v>
      </c>
    </row>
    <row r="4716" spans="1:12">
      <c r="A4716" s="195"/>
      <c r="B4716" s="195" t="s">
        <v>205</v>
      </c>
      <c r="C4716"/>
      <c r="D4716" s="197"/>
      <c r="E4716" s="197"/>
      <c r="F4716" s="197"/>
      <c r="G4716" s="197" t="s">
        <v>270</v>
      </c>
      <c r="H4716" s="209"/>
      <c r="I4716" s="209"/>
    </row>
    <row r="4717" spans="1:12">
      <c r="A4717" s="195"/>
      <c r="B4717" s="195" t="s">
        <v>206</v>
      </c>
      <c r="C4717"/>
      <c r="D4717" s="197"/>
      <c r="E4717" s="197"/>
      <c r="F4717" s="197"/>
      <c r="G4717" s="197" t="s">
        <v>270</v>
      </c>
      <c r="H4717" s="209"/>
      <c r="I4717" s="209"/>
    </row>
    <row r="4718" spans="1:12">
      <c r="A4718" s="195"/>
      <c r="B4718" s="195" t="s">
        <v>207</v>
      </c>
      <c r="C4718"/>
      <c r="D4718" s="197"/>
      <c r="E4718" s="197"/>
      <c r="F4718" s="197"/>
      <c r="G4718" s="197" t="s">
        <v>270</v>
      </c>
      <c r="H4718" s="209"/>
      <c r="I4718" s="209"/>
    </row>
    <row r="4719" spans="1:12">
      <c r="A4719" s="195"/>
      <c r="B4719" s="196" t="s">
        <v>227</v>
      </c>
      <c r="C4719"/>
      <c r="D4719" s="197"/>
      <c r="E4719" s="197"/>
      <c r="F4719" s="197"/>
      <c r="G4719" s="197"/>
      <c r="H4719" s="209"/>
      <c r="I4719" s="209"/>
      <c r="K4719"/>
    </row>
    <row r="4720" spans="1:12" ht="29.25" thickBot="1">
      <c r="A4720" s="182" t="str">
        <f>"回収シフト  第"&amp;ROUNDUP(DAY(B4723)/7,0)  &amp;"  "&amp;TEXT(B4723,"aaaa")</f>
        <v>回収シフト  第2  火曜日</v>
      </c>
      <c r="B4720" s="183"/>
      <c r="C4720" s="183"/>
      <c r="D4720" s="183"/>
      <c r="E4720" s="183"/>
      <c r="F4720" s="183"/>
      <c r="G4720" s="184"/>
      <c r="H4720" s="184"/>
      <c r="I4720" s="184"/>
      <c r="K4720" s="183"/>
      <c r="L4720" s="183"/>
    </row>
    <row r="4721" spans="1:12" ht="15.75" thickBot="1">
      <c r="A4721"/>
      <c r="B4721"/>
      <c r="C4721"/>
      <c r="D4721" s="186" t="s">
        <v>201</v>
      </c>
      <c r="E4721" s="186" t="s">
        <v>202</v>
      </c>
      <c r="F4721" s="186" t="s">
        <v>203</v>
      </c>
      <c r="G4721" s="186" t="s">
        <v>204</v>
      </c>
      <c r="H4721" s="186" t="s">
        <v>267</v>
      </c>
      <c r="I4721" s="217" t="s">
        <v>267</v>
      </c>
      <c r="K4721" s="230" t="s">
        <v>257</v>
      </c>
      <c r="L4721" s="231"/>
    </row>
    <row r="4722" spans="1:12">
      <c r="A4722" s="187"/>
      <c r="B4722" s="188">
        <v>46119</v>
      </c>
      <c r="C4722" s="187"/>
      <c r="D4722" s="189" t="s">
        <v>863</v>
      </c>
      <c r="E4722" s="189" t="s">
        <v>849</v>
      </c>
      <c r="F4722" s="189" t="s">
        <v>981</v>
      </c>
      <c r="G4722" s="189" t="s">
        <v>925</v>
      </c>
      <c r="H4722" s="189" t="s">
        <v>852</v>
      </c>
      <c r="I4722" s="218" t="s">
        <v>852</v>
      </c>
      <c r="K4722" s="232" t="s">
        <v>258</v>
      </c>
      <c r="L4722" s="190" t="str">
        <f>_xlfn.XLOOKUP($B4723,シフト抽出!$19:$19,シフト抽出!$20:$20,"該当なし",0,1)</f>
        <v>該当なし</v>
      </c>
    </row>
    <row r="4723" spans="1:12" ht="19.5" thickBot="1">
      <c r="A4723"/>
      <c r="B4723" s="191">
        <f>B4670+1</f>
        <v>46217</v>
      </c>
      <c r="C4723" s="192"/>
      <c r="D4723" s="193"/>
      <c r="E4723" s="193"/>
      <c r="F4723" s="193"/>
      <c r="G4723" s="193"/>
      <c r="H4723" s="193"/>
      <c r="I4723" s="219"/>
      <c r="K4723" s="233"/>
      <c r="L4723" s="194" t="str">
        <f>_xlfn.XLOOKUP($B4723,シフト抽出!$19:$19,シフト抽出!$21:$21,"該当なし",0,1)</f>
        <v>該当なし</v>
      </c>
    </row>
    <row r="4724" spans="1:12">
      <c r="A4724" s="195"/>
      <c r="B4724" s="196">
        <v>0.25</v>
      </c>
      <c r="C4724"/>
      <c r="D4724" s="197"/>
      <c r="E4724" s="196"/>
      <c r="F4724" s="197"/>
      <c r="G4724" s="197"/>
      <c r="H4724" s="197"/>
      <c r="I4724" s="209"/>
      <c r="K4724" s="234" t="s">
        <v>259</v>
      </c>
      <c r="L4724" s="198" t="str">
        <f>_xlfn.XLOOKUP($B4723,シフト抽出!$19:$19,シフト抽出!$23:$23,"該当なし",0,1)</f>
        <v>該当なし</v>
      </c>
    </row>
    <row r="4725" spans="1:12" ht="15.75" thickBot="1">
      <c r="A4725" s="195"/>
      <c r="B4725" s="195" t="s">
        <v>205</v>
      </c>
      <c r="C4725"/>
      <c r="D4725" s="197"/>
      <c r="E4725" s="197"/>
      <c r="F4725" s="197"/>
      <c r="G4725" s="197"/>
      <c r="H4725" s="197"/>
      <c r="I4725" s="209"/>
      <c r="K4725" s="235"/>
      <c r="L4725" s="199" t="str">
        <f>_xlfn.XLOOKUP($B4723,シフト抽出!$19:$19,シフト抽出!$24:$24,"該当なし",0,1)</f>
        <v>該当なし</v>
      </c>
    </row>
    <row r="4726" spans="1:12">
      <c r="A4726" s="195"/>
      <c r="B4726" s="195" t="s">
        <v>206</v>
      </c>
      <c r="C4726"/>
      <c r="D4726" s="197"/>
      <c r="E4726" s="197"/>
      <c r="F4726" s="197"/>
      <c r="G4726" s="197"/>
      <c r="H4726" s="197"/>
      <c r="I4726" s="209"/>
      <c r="K4726" s="224" t="s">
        <v>260</v>
      </c>
      <c r="L4726" s="200" t="str">
        <f>_xlfn.XLOOKUP($B4723,シフト抽出!$19:$19,シフト抽出!$26:$26,"該当なし",0,1)</f>
        <v>該当なし</v>
      </c>
    </row>
    <row r="4727" spans="1:12">
      <c r="A4727" s="195"/>
      <c r="B4727" s="195" t="s">
        <v>207</v>
      </c>
      <c r="C4727"/>
      <c r="D4727" s="197"/>
      <c r="E4727" s="197"/>
      <c r="F4727" s="197"/>
      <c r="G4727" s="197"/>
      <c r="H4727" s="197"/>
      <c r="I4727" s="209"/>
      <c r="K4727" s="225"/>
      <c r="L4727" s="201" t="str">
        <f>_xlfn.XLOOKUP($B4723,シフト抽出!$19:$19,シフト抽出!$27:$27,"該当なし",0,1)</f>
        <v>該当なし</v>
      </c>
    </row>
    <row r="4728" spans="1:12">
      <c r="A4728" s="195"/>
      <c r="B4728" s="202" t="s">
        <v>208</v>
      </c>
      <c r="C4728"/>
      <c r="D4728" s="197" t="s">
        <v>4</v>
      </c>
      <c r="E4728" s="197" t="s">
        <v>4</v>
      </c>
      <c r="F4728" s="197"/>
      <c r="G4728" s="197" t="s">
        <v>4</v>
      </c>
      <c r="H4728" s="197"/>
      <c r="I4728" s="209"/>
      <c r="J4728" s="203"/>
      <c r="K4728" s="225"/>
      <c r="L4728" s="201" t="str">
        <f>_xlfn.XLOOKUP($B4723,シフト抽出!$19:$19,シフト抽出!$28:$28,"該当なし",0,1)</f>
        <v>該当なし</v>
      </c>
    </row>
    <row r="4729" spans="1:12" ht="15.75" thickBot="1">
      <c r="A4729" s="195"/>
      <c r="B4729" s="195" t="s">
        <v>205</v>
      </c>
      <c r="C4729"/>
      <c r="D4729" s="197" t="s">
        <v>414</v>
      </c>
      <c r="E4729" s="197" t="s">
        <v>420</v>
      </c>
      <c r="F4729" s="197" t="s">
        <v>851</v>
      </c>
      <c r="G4729" s="197" t="s">
        <v>793</v>
      </c>
      <c r="H4729" s="197"/>
      <c r="I4729" s="209"/>
      <c r="J4729" s="203"/>
      <c r="K4729" s="226"/>
      <c r="L4729" s="204" t="str">
        <f>_xlfn.XLOOKUP($B4723,シフト抽出!$19:$19,シフト抽出!$29:$29,"該当なし",0,1)</f>
        <v>該当なし</v>
      </c>
    </row>
    <row r="4730" spans="1:12" ht="15.75" thickBot="1">
      <c r="A4730" s="195"/>
      <c r="B4730" s="195" t="s">
        <v>206</v>
      </c>
      <c r="C4730"/>
      <c r="D4730" s="197" t="s">
        <v>414</v>
      </c>
      <c r="E4730" s="197" t="s">
        <v>420</v>
      </c>
      <c r="F4730" s="197" t="s">
        <v>851</v>
      </c>
      <c r="G4730" s="197" t="s">
        <v>22</v>
      </c>
      <c r="H4730" s="197"/>
      <c r="I4730" s="209"/>
      <c r="K4730" s="205" t="s">
        <v>261</v>
      </c>
      <c r="L4730" s="205">
        <f>_xlfn.XLOOKUP($B4723,予定表!B:B,予定表!R:R,"該当なし",0,1)</f>
        <v>0</v>
      </c>
    </row>
    <row r="4731" spans="1:12">
      <c r="A4731" s="195"/>
      <c r="B4731" s="195" t="s">
        <v>207</v>
      </c>
      <c r="C4731"/>
      <c r="D4731" s="197" t="s">
        <v>414</v>
      </c>
      <c r="E4731" s="197" t="s">
        <v>420</v>
      </c>
      <c r="F4731" s="197" t="s">
        <v>851</v>
      </c>
      <c r="G4731" s="197" t="s">
        <v>22</v>
      </c>
      <c r="H4731" s="197"/>
      <c r="I4731" s="209"/>
      <c r="K4731" s="227" t="s">
        <v>262</v>
      </c>
      <c r="L4731" s="206">
        <f>_xlfn.XLOOKUP($B4723,予定表!$B:$B,予定表!E:E,"該当なし",0,1)</f>
        <v>0</v>
      </c>
    </row>
    <row r="4732" spans="1:12">
      <c r="A4732" s="195"/>
      <c r="B4732" s="196" t="s">
        <v>209</v>
      </c>
      <c r="C4732"/>
      <c r="D4732" s="197" t="s">
        <v>414</v>
      </c>
      <c r="E4732" s="197" t="s">
        <v>420</v>
      </c>
      <c r="F4732" s="197" t="s">
        <v>851</v>
      </c>
      <c r="G4732" s="197" t="s">
        <v>268</v>
      </c>
      <c r="H4732" s="197" t="s">
        <v>4</v>
      </c>
      <c r="I4732" s="209" t="s">
        <v>4</v>
      </c>
      <c r="K4732" s="228"/>
      <c r="L4732" s="207">
        <f>_xlfn.XLOOKUP($B4723,予定表!$B:$B,予定表!F:F,"該当なし",0,1)</f>
        <v>0</v>
      </c>
    </row>
    <row r="4733" spans="1:12">
      <c r="A4733" s="195"/>
      <c r="B4733" s="195" t="s">
        <v>205</v>
      </c>
      <c r="C4733"/>
      <c r="D4733" s="197" t="s">
        <v>414</v>
      </c>
      <c r="E4733" s="197" t="s">
        <v>420</v>
      </c>
      <c r="F4733" s="197" t="s">
        <v>851</v>
      </c>
      <c r="G4733" s="197" t="s">
        <v>268</v>
      </c>
      <c r="H4733" s="197" t="s">
        <v>60</v>
      </c>
      <c r="I4733" s="209" t="s">
        <v>60</v>
      </c>
      <c r="K4733" s="228"/>
      <c r="L4733" s="207">
        <f>_xlfn.XLOOKUP($B4723,予定表!$B:$B,予定表!G:G,"該当なし",0,1)</f>
        <v>0</v>
      </c>
    </row>
    <row r="4734" spans="1:12">
      <c r="A4734" s="195"/>
      <c r="B4734" s="195" t="s">
        <v>206</v>
      </c>
      <c r="C4734"/>
      <c r="D4734" s="197" t="s">
        <v>214</v>
      </c>
      <c r="E4734" s="197" t="s">
        <v>273</v>
      </c>
      <c r="F4734" s="197" t="s">
        <v>851</v>
      </c>
      <c r="G4734" s="197" t="s">
        <v>268</v>
      </c>
      <c r="H4734" s="197" t="s">
        <v>60</v>
      </c>
      <c r="I4734" s="209" t="s">
        <v>60</v>
      </c>
      <c r="K4734" s="228"/>
      <c r="L4734" s="207">
        <f>_xlfn.XLOOKUP($B4723,予定表!$B:$B,予定表!H:H,"該当なし",0,1)</f>
        <v>0</v>
      </c>
    </row>
    <row r="4735" spans="1:12">
      <c r="A4735" s="195"/>
      <c r="B4735" s="195" t="s">
        <v>207</v>
      </c>
      <c r="C4735"/>
      <c r="D4735" s="197" t="s">
        <v>214</v>
      </c>
      <c r="E4735" s="197" t="s">
        <v>273</v>
      </c>
      <c r="F4735" s="197" t="s">
        <v>851</v>
      </c>
      <c r="G4735" s="197" t="s">
        <v>268</v>
      </c>
      <c r="H4735" s="197" t="s">
        <v>60</v>
      </c>
      <c r="I4735" s="209" t="s">
        <v>60</v>
      </c>
      <c r="K4735" s="228"/>
      <c r="L4735" s="207">
        <f>_xlfn.XLOOKUP($B4723,予定表!$B:$B,予定表!I:I,"該当なし",0,1)</f>
        <v>0</v>
      </c>
    </row>
    <row r="4736" spans="1:12">
      <c r="A4736" s="195"/>
      <c r="B4736" s="196" t="s">
        <v>212</v>
      </c>
      <c r="C4736"/>
      <c r="D4736" s="197" t="s">
        <v>214</v>
      </c>
      <c r="E4736" s="197" t="s">
        <v>273</v>
      </c>
      <c r="F4736" s="197"/>
      <c r="G4736" s="197" t="s">
        <v>169</v>
      </c>
      <c r="H4736" s="197"/>
      <c r="I4736" s="209"/>
      <c r="K4736" s="228"/>
      <c r="L4736" s="207">
        <f>_xlfn.XLOOKUP($B4723,予定表!$B:$B,予定表!J:J,"該当なし",0,1)</f>
        <v>0</v>
      </c>
    </row>
    <row r="4737" spans="1:12">
      <c r="A4737" s="195"/>
      <c r="B4737" s="195" t="s">
        <v>205</v>
      </c>
      <c r="C4737"/>
      <c r="D4737" s="197" t="s">
        <v>214</v>
      </c>
      <c r="E4737" s="197" t="s">
        <v>953</v>
      </c>
      <c r="F4737" s="197"/>
      <c r="G4737" s="197" t="s">
        <v>169</v>
      </c>
      <c r="H4737" s="197" t="s">
        <v>848</v>
      </c>
      <c r="I4737" s="209" t="s">
        <v>848</v>
      </c>
      <c r="K4737" s="228"/>
      <c r="L4737" s="207">
        <f>_xlfn.XLOOKUP($B4723,予定表!$B:$B,予定表!K:K,"該当なし",0,1)</f>
        <v>0</v>
      </c>
    </row>
    <row r="4738" spans="1:12">
      <c r="A4738" s="195"/>
      <c r="B4738" s="195" t="s">
        <v>206</v>
      </c>
      <c r="C4738"/>
      <c r="D4738" s="197" t="s">
        <v>353</v>
      </c>
      <c r="E4738" s="197" t="s">
        <v>228</v>
      </c>
      <c r="F4738" s="197"/>
      <c r="G4738" s="197" t="s">
        <v>169</v>
      </c>
      <c r="H4738" s="197" t="s">
        <v>848</v>
      </c>
      <c r="I4738" s="209" t="s">
        <v>848</v>
      </c>
      <c r="K4738" s="228"/>
      <c r="L4738" s="207">
        <f>_xlfn.XLOOKUP($B4723,予定表!$B:$B,予定表!L:L,"該当なし",0,1)</f>
        <v>0</v>
      </c>
    </row>
    <row r="4739" spans="1:12" ht="15.75" thickBot="1">
      <c r="A4739" s="195"/>
      <c r="B4739" s="195" t="s">
        <v>207</v>
      </c>
      <c r="C4739"/>
      <c r="D4739" s="197" t="s">
        <v>353</v>
      </c>
      <c r="E4739" s="197" t="s">
        <v>228</v>
      </c>
      <c r="F4739" s="197"/>
      <c r="G4739" s="197" t="s">
        <v>169</v>
      </c>
      <c r="H4739" s="197" t="s">
        <v>848</v>
      </c>
      <c r="I4739" s="209" t="s">
        <v>848</v>
      </c>
      <c r="K4739" s="229"/>
      <c r="L4739" s="204" t="str">
        <f>_xlfn.XLOOKUP($A4720,ﾘｽﾄマスタ!$U$8:$U$17,ﾘｽﾄマスタ!$V$8:$V$17,"",0)</f>
        <v>東冷厚木,ﾏﾙﾅｶ</v>
      </c>
    </row>
    <row r="4740" spans="1:12" ht="15.75" thickBot="1">
      <c r="A4740" s="195"/>
      <c r="B4740" s="196" t="s">
        <v>251</v>
      </c>
      <c r="C4740"/>
      <c r="D4740" s="197" t="s">
        <v>761</v>
      </c>
      <c r="E4740" s="197" t="s">
        <v>228</v>
      </c>
      <c r="F4740" s="197"/>
      <c r="G4740" s="197" t="s">
        <v>279</v>
      </c>
      <c r="H4740" s="197" t="s">
        <v>848</v>
      </c>
      <c r="I4740" s="209" t="s">
        <v>848</v>
      </c>
      <c r="K4740" s="208" t="s">
        <v>277</v>
      </c>
      <c r="L4740" s="208" t="str">
        <f>_xlfn.XLOOKUP($B4723,シフト抽出!$19:$19,シフト抽出!$30:$30,"該当なし",0,1)</f>
        <v>該当なし</v>
      </c>
    </row>
    <row r="4741" spans="1:12">
      <c r="A4741" s="195"/>
      <c r="B4741" s="195" t="s">
        <v>205</v>
      </c>
      <c r="C4741"/>
      <c r="D4741" s="197" t="s">
        <v>761</v>
      </c>
      <c r="E4741" s="197" t="s">
        <v>228</v>
      </c>
      <c r="F4741" s="197"/>
      <c r="G4741" s="197" t="s">
        <v>279</v>
      </c>
      <c r="H4741" s="197" t="s">
        <v>848</v>
      </c>
      <c r="I4741" s="209" t="s">
        <v>848</v>
      </c>
    </row>
    <row r="4742" spans="1:12">
      <c r="A4742" s="195"/>
      <c r="B4742" s="195" t="s">
        <v>206</v>
      </c>
      <c r="C4742"/>
      <c r="D4742" s="197" t="s">
        <v>88</v>
      </c>
      <c r="E4742" s="197" t="s">
        <v>263</v>
      </c>
      <c r="F4742" s="197"/>
      <c r="G4742" s="197" t="s">
        <v>279</v>
      </c>
      <c r="H4742" s="197" t="s">
        <v>229</v>
      </c>
      <c r="I4742" s="209" t="s">
        <v>229</v>
      </c>
    </row>
    <row r="4743" spans="1:12">
      <c r="A4743" s="195"/>
      <c r="B4743" s="195" t="s">
        <v>207</v>
      </c>
      <c r="C4743"/>
      <c r="D4743" s="197"/>
      <c r="E4743" s="197" t="s">
        <v>263</v>
      </c>
      <c r="F4743" s="197"/>
      <c r="G4743" s="197" t="s">
        <v>279</v>
      </c>
      <c r="H4743" s="197" t="s">
        <v>229</v>
      </c>
      <c r="I4743" s="209" t="s">
        <v>229</v>
      </c>
    </row>
    <row r="4744" spans="1:12">
      <c r="A4744" s="195"/>
      <c r="B4744" s="196" t="s">
        <v>217</v>
      </c>
      <c r="C4744"/>
      <c r="D4744" s="197" t="s">
        <v>114</v>
      </c>
      <c r="E4744" s="197" t="s">
        <v>263</v>
      </c>
      <c r="F4744" s="197" t="s">
        <v>51</v>
      </c>
      <c r="G4744" s="197" t="s">
        <v>279</v>
      </c>
      <c r="H4744" s="197" t="s">
        <v>230</v>
      </c>
      <c r="I4744" s="209" t="s">
        <v>230</v>
      </c>
    </row>
    <row r="4745" spans="1:12">
      <c r="A4745" s="195"/>
      <c r="B4745" s="195" t="s">
        <v>205</v>
      </c>
      <c r="C4745"/>
      <c r="D4745" s="197" t="s">
        <v>114</v>
      </c>
      <c r="E4745" s="197" t="s">
        <v>426</v>
      </c>
      <c r="F4745" s="197" t="s">
        <v>51</v>
      </c>
      <c r="G4745" s="197" t="s">
        <v>279</v>
      </c>
      <c r="H4745" s="197" t="s">
        <v>230</v>
      </c>
      <c r="I4745" s="209" t="s">
        <v>230</v>
      </c>
    </row>
    <row r="4746" spans="1:12">
      <c r="A4746" s="195"/>
      <c r="B4746" s="195" t="s">
        <v>206</v>
      </c>
      <c r="C4746"/>
      <c r="D4746" s="197" t="s">
        <v>129</v>
      </c>
      <c r="E4746" s="197" t="s">
        <v>426</v>
      </c>
      <c r="F4746" s="197" t="s">
        <v>51</v>
      </c>
      <c r="G4746" s="197" t="s">
        <v>279</v>
      </c>
      <c r="H4746" s="197" t="s">
        <v>230</v>
      </c>
      <c r="I4746" s="209" t="s">
        <v>230</v>
      </c>
    </row>
    <row r="4747" spans="1:12">
      <c r="A4747" s="195"/>
      <c r="B4747" s="195" t="s">
        <v>207</v>
      </c>
      <c r="C4747"/>
      <c r="D4747" s="197" t="s">
        <v>129</v>
      </c>
      <c r="E4747" s="197" t="s">
        <v>426</v>
      </c>
      <c r="F4747" s="197" t="s">
        <v>51</v>
      </c>
      <c r="G4747" s="197" t="s">
        <v>279</v>
      </c>
      <c r="H4747" s="197" t="s">
        <v>230</v>
      </c>
      <c r="I4747" s="209" t="s">
        <v>230</v>
      </c>
    </row>
    <row r="4748" spans="1:12">
      <c r="A4748" s="195"/>
      <c r="B4748" s="196" t="s">
        <v>219</v>
      </c>
      <c r="C4748"/>
      <c r="D4748" s="197" t="s">
        <v>129</v>
      </c>
      <c r="E4748" s="197"/>
      <c r="F4748" s="197"/>
      <c r="G4748" s="197"/>
      <c r="H4748" s="197" t="s">
        <v>230</v>
      </c>
      <c r="I4748" s="209" t="s">
        <v>230</v>
      </c>
    </row>
    <row r="4749" spans="1:12">
      <c r="A4749" s="195"/>
      <c r="B4749" s="195" t="s">
        <v>205</v>
      </c>
      <c r="C4749"/>
      <c r="D4749" s="197" t="s">
        <v>129</v>
      </c>
      <c r="E4749" s="197"/>
      <c r="F4749" s="197"/>
      <c r="G4749" s="197"/>
      <c r="H4749" s="197" t="s">
        <v>230</v>
      </c>
      <c r="I4749" s="209" t="s">
        <v>230</v>
      </c>
    </row>
    <row r="4750" spans="1:12">
      <c r="A4750" s="195"/>
      <c r="B4750" s="195" t="s">
        <v>206</v>
      </c>
      <c r="C4750"/>
      <c r="D4750" s="197"/>
      <c r="E4750" s="197"/>
      <c r="F4750" s="197"/>
      <c r="G4750" s="197"/>
      <c r="H4750" s="197"/>
      <c r="I4750" s="209"/>
    </row>
    <row r="4751" spans="1:12">
      <c r="A4751" s="195"/>
      <c r="B4751" s="195" t="s">
        <v>207</v>
      </c>
      <c r="C4751"/>
      <c r="D4751" s="197"/>
      <c r="E4751" s="197"/>
      <c r="F4751" s="197"/>
      <c r="G4751" s="197"/>
      <c r="H4751" s="197"/>
      <c r="I4751" s="209"/>
    </row>
    <row r="4752" spans="1:12">
      <c r="A4752" s="195"/>
      <c r="B4752" s="196" t="s">
        <v>220</v>
      </c>
      <c r="C4752"/>
      <c r="D4752" s="189"/>
      <c r="E4752" s="197"/>
      <c r="F4752" s="197"/>
      <c r="G4752" s="197"/>
      <c r="H4752" s="197"/>
      <c r="I4752" s="209"/>
    </row>
    <row r="4753" spans="1:9">
      <c r="A4753" s="195"/>
      <c r="B4753" s="195" t="s">
        <v>205</v>
      </c>
      <c r="C4753"/>
      <c r="D4753" s="197" t="s">
        <v>793</v>
      </c>
      <c r="E4753" s="197" t="s">
        <v>233</v>
      </c>
      <c r="F4753" s="197" t="s">
        <v>62</v>
      </c>
      <c r="G4753" s="197" t="s">
        <v>56</v>
      </c>
      <c r="H4753" s="197" t="s">
        <v>390</v>
      </c>
      <c r="I4753" s="209" t="s">
        <v>390</v>
      </c>
    </row>
    <row r="4754" spans="1:9">
      <c r="A4754" s="195"/>
      <c r="B4754" s="195" t="s">
        <v>206</v>
      </c>
      <c r="C4754"/>
      <c r="D4754" s="197" t="s">
        <v>973</v>
      </c>
      <c r="E4754" s="197" t="s">
        <v>233</v>
      </c>
      <c r="F4754" s="197" t="s">
        <v>62</v>
      </c>
      <c r="G4754" s="197" t="s">
        <v>56</v>
      </c>
      <c r="H4754" s="197" t="s">
        <v>390</v>
      </c>
      <c r="I4754" s="209" t="s">
        <v>390</v>
      </c>
    </row>
    <row r="4755" spans="1:9">
      <c r="A4755" s="195"/>
      <c r="B4755" s="195" t="s">
        <v>207</v>
      </c>
      <c r="C4755"/>
      <c r="D4755" s="197" t="s">
        <v>416</v>
      </c>
      <c r="E4755" s="197" t="s">
        <v>233</v>
      </c>
      <c r="F4755" s="197" t="s">
        <v>62</v>
      </c>
      <c r="G4755" s="197" t="s">
        <v>56</v>
      </c>
      <c r="H4755" s="197"/>
      <c r="I4755" s="209"/>
    </row>
    <row r="4756" spans="1:9">
      <c r="A4756" s="195"/>
      <c r="B4756" s="196" t="s">
        <v>222</v>
      </c>
      <c r="C4756"/>
      <c r="D4756" s="197" t="s">
        <v>515</v>
      </c>
      <c r="E4756" s="197" t="s">
        <v>252</v>
      </c>
      <c r="F4756" s="197" t="s">
        <v>62</v>
      </c>
      <c r="G4756" s="197" t="s">
        <v>56</v>
      </c>
      <c r="H4756" s="197" t="s">
        <v>231</v>
      </c>
      <c r="I4756" s="209" t="s">
        <v>231</v>
      </c>
    </row>
    <row r="4757" spans="1:9">
      <c r="A4757" s="195"/>
      <c r="B4757" s="195" t="s">
        <v>205</v>
      </c>
      <c r="C4757"/>
      <c r="D4757" s="197" t="s">
        <v>515</v>
      </c>
      <c r="E4757" s="197" t="s">
        <v>252</v>
      </c>
      <c r="F4757" s="197" t="s">
        <v>62</v>
      </c>
      <c r="G4757" s="197"/>
      <c r="H4757" s="197" t="s">
        <v>232</v>
      </c>
      <c r="I4757" s="209" t="s">
        <v>232</v>
      </c>
    </row>
    <row r="4758" spans="1:9">
      <c r="A4758" s="195"/>
      <c r="B4758" s="195" t="s">
        <v>206</v>
      </c>
      <c r="C4758"/>
      <c r="D4758" s="197" t="s">
        <v>515</v>
      </c>
      <c r="E4758" s="197" t="s">
        <v>252</v>
      </c>
      <c r="F4758" s="197" t="s">
        <v>62</v>
      </c>
      <c r="G4758" s="197" t="s">
        <v>270</v>
      </c>
      <c r="H4758" s="197" t="s">
        <v>211</v>
      </c>
      <c r="I4758" s="209" t="s">
        <v>211</v>
      </c>
    </row>
    <row r="4759" spans="1:9">
      <c r="A4759" s="195"/>
      <c r="B4759" s="195" t="s">
        <v>207</v>
      </c>
      <c r="C4759"/>
      <c r="D4759" s="197" t="s">
        <v>515</v>
      </c>
      <c r="E4759" s="197" t="s">
        <v>252</v>
      </c>
      <c r="F4759" s="197" t="s">
        <v>62</v>
      </c>
      <c r="G4759" s="197" t="s">
        <v>270</v>
      </c>
      <c r="H4759" s="197" t="s">
        <v>211</v>
      </c>
      <c r="I4759" s="209" t="s">
        <v>211</v>
      </c>
    </row>
    <row r="4760" spans="1:9">
      <c r="A4760" s="195"/>
      <c r="B4760" s="196" t="s">
        <v>223</v>
      </c>
      <c r="C4760"/>
      <c r="D4760" s="197" t="s">
        <v>269</v>
      </c>
      <c r="E4760" s="197" t="s">
        <v>252</v>
      </c>
      <c r="F4760" s="197" t="s">
        <v>62</v>
      </c>
      <c r="G4760" s="197" t="s">
        <v>270</v>
      </c>
      <c r="H4760" s="197"/>
      <c r="I4760" s="209"/>
    </row>
    <row r="4761" spans="1:9">
      <c r="A4761" s="195"/>
      <c r="B4761" s="195" t="s">
        <v>205</v>
      </c>
      <c r="C4761"/>
      <c r="D4761" s="197" t="s">
        <v>269</v>
      </c>
      <c r="E4761" s="197" t="s">
        <v>252</v>
      </c>
      <c r="F4761" s="197" t="s">
        <v>62</v>
      </c>
      <c r="G4761" s="197" t="s">
        <v>270</v>
      </c>
      <c r="H4761" s="197" t="s">
        <v>856</v>
      </c>
      <c r="I4761" s="209" t="s">
        <v>856</v>
      </c>
    </row>
    <row r="4762" spans="1:9">
      <c r="A4762" s="195"/>
      <c r="B4762" s="195" t="s">
        <v>206</v>
      </c>
      <c r="C4762"/>
      <c r="D4762" s="197" t="s">
        <v>269</v>
      </c>
      <c r="E4762" s="197" t="s">
        <v>252</v>
      </c>
      <c r="F4762" s="197" t="s">
        <v>62</v>
      </c>
      <c r="G4762" s="197" t="s">
        <v>270</v>
      </c>
      <c r="H4762" s="197" t="s">
        <v>856</v>
      </c>
      <c r="I4762" s="209" t="s">
        <v>856</v>
      </c>
    </row>
    <row r="4763" spans="1:9">
      <c r="A4763" s="195"/>
      <c r="B4763" s="195" t="s">
        <v>207</v>
      </c>
      <c r="C4763"/>
      <c r="D4763" s="197" t="s">
        <v>269</v>
      </c>
      <c r="E4763" s="197" t="s">
        <v>252</v>
      </c>
      <c r="F4763" s="197" t="s">
        <v>62</v>
      </c>
      <c r="G4763" s="197" t="s">
        <v>270</v>
      </c>
      <c r="H4763" s="197" t="s">
        <v>856</v>
      </c>
      <c r="I4763" s="209" t="s">
        <v>856</v>
      </c>
    </row>
    <row r="4764" spans="1:9">
      <c r="A4764" s="195"/>
      <c r="B4764" s="196" t="s">
        <v>225</v>
      </c>
      <c r="C4764"/>
      <c r="D4764" s="197" t="s">
        <v>475</v>
      </c>
      <c r="E4764" s="197" t="s">
        <v>252</v>
      </c>
      <c r="F4764" s="197" t="s">
        <v>62</v>
      </c>
      <c r="G4764" s="197" t="s">
        <v>270</v>
      </c>
      <c r="H4764" s="197" t="s">
        <v>856</v>
      </c>
      <c r="I4764" s="209" t="s">
        <v>856</v>
      </c>
    </row>
    <row r="4765" spans="1:9">
      <c r="A4765" s="195"/>
      <c r="B4765" s="195" t="s">
        <v>205</v>
      </c>
      <c r="C4765"/>
      <c r="D4765" s="197" t="s">
        <v>475</v>
      </c>
      <c r="E4765" s="197" t="s">
        <v>252</v>
      </c>
      <c r="F4765" s="197" t="s">
        <v>62</v>
      </c>
      <c r="G4765" s="197" t="s">
        <v>270</v>
      </c>
      <c r="H4765" s="209" t="s">
        <v>856</v>
      </c>
      <c r="I4765" s="209" t="s">
        <v>856</v>
      </c>
    </row>
    <row r="4766" spans="1:9">
      <c r="A4766" s="195"/>
      <c r="B4766" s="195" t="s">
        <v>206</v>
      </c>
      <c r="C4766"/>
      <c r="D4766" s="197" t="s">
        <v>361</v>
      </c>
      <c r="E4766" s="197" t="s">
        <v>252</v>
      </c>
      <c r="F4766" s="197" t="s">
        <v>62</v>
      </c>
      <c r="G4766" s="197" t="s">
        <v>270</v>
      </c>
      <c r="H4766" s="209" t="s">
        <v>856</v>
      </c>
      <c r="I4766" s="209" t="s">
        <v>856</v>
      </c>
    </row>
    <row r="4767" spans="1:9">
      <c r="A4767" s="195"/>
      <c r="B4767" s="195" t="s">
        <v>207</v>
      </c>
      <c r="C4767"/>
      <c r="D4767" s="197"/>
      <c r="E4767" s="197"/>
      <c r="F4767" s="197"/>
      <c r="G4767" s="197"/>
      <c r="H4767" s="209"/>
      <c r="I4767" s="209"/>
    </row>
    <row r="4768" spans="1:9">
      <c r="A4768" s="195"/>
      <c r="B4768" s="196" t="s">
        <v>226</v>
      </c>
      <c r="C4768"/>
      <c r="D4768" s="197"/>
      <c r="E4768" s="197"/>
      <c r="F4768" s="197"/>
      <c r="G4768" s="197"/>
      <c r="H4768" s="209"/>
      <c r="I4768" s="209"/>
    </row>
    <row r="4769" spans="1:12">
      <c r="A4769" s="195"/>
      <c r="B4769" s="195" t="s">
        <v>205</v>
      </c>
      <c r="C4769"/>
      <c r="D4769" s="197"/>
      <c r="E4769" s="197"/>
      <c r="F4769" s="197"/>
      <c r="G4769" s="197"/>
      <c r="H4769" s="209"/>
      <c r="I4769" s="209"/>
    </row>
    <row r="4770" spans="1:12">
      <c r="A4770" s="195"/>
      <c r="B4770" s="195" t="s">
        <v>206</v>
      </c>
      <c r="C4770"/>
      <c r="D4770" s="197"/>
      <c r="E4770" s="197"/>
      <c r="F4770" s="197"/>
      <c r="G4770" s="197"/>
      <c r="H4770" s="209"/>
      <c r="I4770" s="209"/>
    </row>
    <row r="4771" spans="1:12">
      <c r="A4771" s="195"/>
      <c r="B4771" s="195" t="s">
        <v>207</v>
      </c>
      <c r="C4771"/>
      <c r="D4771" s="197"/>
      <c r="E4771" s="197"/>
      <c r="F4771" s="197"/>
      <c r="G4771" s="197"/>
      <c r="H4771" s="209"/>
      <c r="I4771" s="209"/>
    </row>
    <row r="4772" spans="1:12">
      <c r="A4772" s="195"/>
      <c r="B4772" s="196" t="s">
        <v>227</v>
      </c>
      <c r="C4772"/>
      <c r="D4772" s="197"/>
      <c r="E4772" s="197"/>
      <c r="F4772" s="197"/>
      <c r="G4772" s="197"/>
      <c r="H4772" s="209"/>
      <c r="I4772" s="209"/>
      <c r="K4772"/>
    </row>
    <row r="4773" spans="1:12" ht="29.25" thickBot="1">
      <c r="A4773" s="182" t="str">
        <f>"回収シフト  第"&amp;ROUNDUP(DAY(B4776)/7,0)  &amp;"  "&amp;TEXT(B4776,"aaaa")</f>
        <v>回収シフト  第3  水曜日</v>
      </c>
      <c r="B4773" s="183"/>
      <c r="C4773" s="183"/>
      <c r="D4773" s="183"/>
      <c r="E4773" s="183"/>
      <c r="F4773" s="183"/>
      <c r="G4773" s="184"/>
      <c r="H4773" s="184"/>
      <c r="K4773" s="183"/>
      <c r="L4773" s="183"/>
    </row>
    <row r="4774" spans="1:12" ht="15.75" thickBot="1">
      <c r="A4774"/>
      <c r="B4774"/>
      <c r="C4774"/>
      <c r="D4774" s="186" t="s">
        <v>201</v>
      </c>
      <c r="E4774" s="186" t="s">
        <v>202</v>
      </c>
      <c r="F4774" s="186" t="s">
        <v>203</v>
      </c>
      <c r="G4774" s="186" t="s">
        <v>204</v>
      </c>
      <c r="H4774" s="186" t="s">
        <v>267</v>
      </c>
      <c r="K4774" s="230" t="s">
        <v>257</v>
      </c>
      <c r="L4774" s="231"/>
    </row>
    <row r="4775" spans="1:12">
      <c r="A4775" s="187"/>
      <c r="B4775" s="188">
        <v>46119</v>
      </c>
      <c r="C4775" s="187"/>
      <c r="D4775" s="189" t="s">
        <v>890</v>
      </c>
      <c r="E4775" s="189" t="s">
        <v>248</v>
      </c>
      <c r="F4775" s="189" t="s">
        <v>276</v>
      </c>
      <c r="G4775" s="189" t="s">
        <v>986</v>
      </c>
      <c r="H4775" s="189" t="s">
        <v>852</v>
      </c>
      <c r="K4775" s="232" t="s">
        <v>258</v>
      </c>
      <c r="L4775" s="190" t="str">
        <f>_xlfn.XLOOKUP($B4776,シフト抽出!$19:$19,シフト抽出!$20:$20,"該当なし",0,1)</f>
        <v>該当なし</v>
      </c>
    </row>
    <row r="4776" spans="1:12" ht="19.5" thickBot="1">
      <c r="A4776"/>
      <c r="B4776" s="191">
        <f>B4723+1</f>
        <v>46218</v>
      </c>
      <c r="C4776" s="192" t="e">
        <v>#REF!</v>
      </c>
      <c r="D4776" s="193"/>
      <c r="E4776" s="193"/>
      <c r="F4776" s="193"/>
      <c r="G4776" s="193"/>
      <c r="H4776" s="193"/>
      <c r="K4776" s="233"/>
      <c r="L4776" s="194" t="str">
        <f>_xlfn.XLOOKUP($B4776,シフト抽出!$19:$19,シフト抽出!$21:$21,"該当なし",0,1)</f>
        <v>該当なし</v>
      </c>
    </row>
    <row r="4777" spans="1:12">
      <c r="A4777" s="195"/>
      <c r="B4777" s="196">
        <v>0.25</v>
      </c>
      <c r="C4777"/>
      <c r="D4777" s="197"/>
      <c r="E4777" s="197"/>
      <c r="F4777" s="197"/>
      <c r="G4777" s="197"/>
      <c r="H4777" s="197"/>
      <c r="K4777" s="234" t="s">
        <v>259</v>
      </c>
      <c r="L4777" s="198" t="str">
        <f>_xlfn.XLOOKUP($B4776,シフト抽出!$19:$19,シフト抽出!$23:$23,"該当なし",0,1)</f>
        <v>該当なし</v>
      </c>
    </row>
    <row r="4778" spans="1:12" ht="15.75" thickBot="1">
      <c r="A4778" s="195"/>
      <c r="B4778" s="195" t="s">
        <v>205</v>
      </c>
      <c r="C4778"/>
      <c r="D4778" s="197"/>
      <c r="E4778" s="197"/>
      <c r="F4778" s="197"/>
      <c r="G4778" s="197"/>
      <c r="H4778" s="197"/>
      <c r="K4778" s="235"/>
      <c r="L4778" s="199" t="str">
        <f>_xlfn.XLOOKUP($B4776,シフト抽出!$19:$19,シフト抽出!$24:$24,"該当なし",0,1)</f>
        <v>該当なし</v>
      </c>
    </row>
    <row r="4779" spans="1:12">
      <c r="A4779" s="195"/>
      <c r="B4779" s="195" t="s">
        <v>206</v>
      </c>
      <c r="C4779"/>
      <c r="D4779" s="197"/>
      <c r="E4779" s="197"/>
      <c r="F4779" s="197"/>
      <c r="G4779" s="197"/>
      <c r="H4779" s="197"/>
      <c r="K4779" s="224" t="s">
        <v>260</v>
      </c>
      <c r="L4779" s="200" t="str">
        <f>_xlfn.XLOOKUP($B4776,シフト抽出!$19:$19,シフト抽出!$26:$26,"該当なし",0,1)</f>
        <v>該当なし</v>
      </c>
    </row>
    <row r="4780" spans="1:12">
      <c r="A4780" s="195"/>
      <c r="B4780" s="195" t="s">
        <v>207</v>
      </c>
      <c r="C4780"/>
      <c r="D4780" s="197"/>
      <c r="E4780" s="197" t="s">
        <v>109</v>
      </c>
      <c r="F4780" s="197" t="s">
        <v>110</v>
      </c>
      <c r="G4780" s="197"/>
      <c r="H4780" s="197"/>
      <c r="K4780" s="225"/>
      <c r="L4780" s="201" t="str">
        <f>_xlfn.XLOOKUP($B4776,シフト抽出!$19:$19,シフト抽出!$27:$27,"該当なし",0,1)</f>
        <v>該当なし</v>
      </c>
    </row>
    <row r="4781" spans="1:12">
      <c r="A4781" s="195"/>
      <c r="B4781" s="202" t="s">
        <v>208</v>
      </c>
      <c r="C4781"/>
      <c r="D4781" s="197"/>
      <c r="E4781" s="197"/>
      <c r="F4781" s="197"/>
      <c r="G4781" s="197"/>
      <c r="H4781" s="197"/>
      <c r="J4781" s="203"/>
      <c r="K4781" s="225"/>
      <c r="L4781" s="201" t="str">
        <f>_xlfn.XLOOKUP($B4776,シフト抽出!$19:$19,シフト抽出!$28:$28,"該当なし",0,1)</f>
        <v>該当なし</v>
      </c>
    </row>
    <row r="4782" spans="1:12" ht="15.75" thickBot="1">
      <c r="A4782" s="195"/>
      <c r="B4782" s="195" t="s">
        <v>205</v>
      </c>
      <c r="C4782"/>
      <c r="D4782" s="197"/>
      <c r="E4782" s="197"/>
      <c r="F4782" s="197"/>
      <c r="G4782" s="197"/>
      <c r="H4782" s="197"/>
      <c r="J4782" s="203"/>
      <c r="K4782" s="226"/>
      <c r="L4782" s="204" t="str">
        <f>_xlfn.XLOOKUP($B4776,シフト抽出!$19:$19,シフト抽出!$29:$29,"該当なし",0,1)</f>
        <v>該当なし</v>
      </c>
    </row>
    <row r="4783" spans="1:12" ht="15.75" thickBot="1">
      <c r="A4783" s="195"/>
      <c r="B4783" s="195" t="s">
        <v>206</v>
      </c>
      <c r="C4783"/>
      <c r="D4783" s="197"/>
      <c r="E4783" s="197"/>
      <c r="F4783" s="197"/>
      <c r="G4783" s="197"/>
      <c r="H4783" s="197"/>
      <c r="K4783" s="205" t="s">
        <v>261</v>
      </c>
      <c r="L4783" s="205">
        <f>_xlfn.XLOOKUP($B4776,予定表!B:B,予定表!R:R,"該当なし",0,1)</f>
        <v>0</v>
      </c>
    </row>
    <row r="4784" spans="1:12">
      <c r="A4784" s="195"/>
      <c r="B4784" s="195" t="s">
        <v>207</v>
      </c>
      <c r="C4784"/>
      <c r="D4784" s="197"/>
      <c r="E4784" s="197"/>
      <c r="F4784" s="197"/>
      <c r="G4784" s="197"/>
      <c r="H4784" s="197"/>
      <c r="K4784" s="227" t="s">
        <v>262</v>
      </c>
      <c r="L4784" s="206">
        <f>_xlfn.XLOOKUP($B4776,予定表!$B:$B,予定表!E:E,"該当なし",0,1)</f>
        <v>0</v>
      </c>
    </row>
    <row r="4785" spans="1:12">
      <c r="A4785" s="195"/>
      <c r="B4785" s="196" t="s">
        <v>209</v>
      </c>
      <c r="C4785"/>
      <c r="D4785" s="197" t="s">
        <v>851</v>
      </c>
      <c r="E4785" s="197" t="s">
        <v>414</v>
      </c>
      <c r="F4785" s="197" t="s">
        <v>22</v>
      </c>
      <c r="G4785" s="197" t="s">
        <v>268</v>
      </c>
      <c r="H4785" s="197" t="s">
        <v>60</v>
      </c>
      <c r="K4785" s="228"/>
      <c r="L4785" s="207">
        <f>_xlfn.XLOOKUP($B4776,予定表!$B:$B,予定表!F:F,"該当なし",0,1)</f>
        <v>0</v>
      </c>
    </row>
    <row r="4786" spans="1:12">
      <c r="A4786" s="195"/>
      <c r="B4786" s="195" t="s">
        <v>205</v>
      </c>
      <c r="C4786"/>
      <c r="D4786" s="197" t="s">
        <v>851</v>
      </c>
      <c r="E4786" s="197" t="s">
        <v>414</v>
      </c>
      <c r="F4786" s="197" t="s">
        <v>793</v>
      </c>
      <c r="G4786" s="197" t="s">
        <v>268</v>
      </c>
      <c r="H4786" s="197" t="s">
        <v>60</v>
      </c>
      <c r="K4786" s="228"/>
      <c r="L4786" s="207" t="str">
        <f>_xlfn.XLOOKUP($B4776,予定表!$B:$B,予定表!G:G,"該当なし",0,1)</f>
        <v>ディーミング</v>
      </c>
    </row>
    <row r="4787" spans="1:12">
      <c r="A4787" s="195"/>
      <c r="B4787" s="195" t="s">
        <v>206</v>
      </c>
      <c r="C4787"/>
      <c r="D4787" s="197" t="s">
        <v>851</v>
      </c>
      <c r="E4787" s="197" t="s">
        <v>414</v>
      </c>
      <c r="F4787" s="197" t="s">
        <v>264</v>
      </c>
      <c r="G4787" s="197" t="s">
        <v>268</v>
      </c>
      <c r="H4787" s="197" t="s">
        <v>60</v>
      </c>
      <c r="K4787" s="228"/>
      <c r="L4787" s="207">
        <f>_xlfn.XLOOKUP($B4776,予定表!$B:$B,予定表!H:H,"該当なし",0,1)</f>
        <v>0</v>
      </c>
    </row>
    <row r="4788" spans="1:12">
      <c r="A4788" s="195"/>
      <c r="B4788" s="195" t="s">
        <v>207</v>
      </c>
      <c r="C4788"/>
      <c r="D4788" s="197" t="s">
        <v>851</v>
      </c>
      <c r="E4788" s="197" t="s">
        <v>414</v>
      </c>
      <c r="F4788" s="197"/>
      <c r="G4788" s="197" t="s">
        <v>268</v>
      </c>
      <c r="H4788" s="197"/>
      <c r="K4788" s="228"/>
      <c r="L4788" s="207">
        <f>_xlfn.XLOOKUP($B4776,予定表!$B:$B,予定表!I:I,"該当なし",0,1)</f>
        <v>0</v>
      </c>
    </row>
    <row r="4789" spans="1:12">
      <c r="A4789" s="195"/>
      <c r="B4789" s="196" t="s">
        <v>212</v>
      </c>
      <c r="C4789"/>
      <c r="D4789" s="197" t="s">
        <v>851</v>
      </c>
      <c r="E4789" s="197" t="s">
        <v>414</v>
      </c>
      <c r="F4789" s="197" t="s">
        <v>416</v>
      </c>
      <c r="G4789" s="197" t="s">
        <v>268</v>
      </c>
      <c r="H4789" s="197" t="s">
        <v>416</v>
      </c>
      <c r="K4789" s="228"/>
      <c r="L4789" s="207">
        <f>_xlfn.XLOOKUP($B4776,予定表!$B:$B,予定表!J:J,"該当なし",0,1)</f>
        <v>0</v>
      </c>
    </row>
    <row r="4790" spans="1:12">
      <c r="A4790" s="195"/>
      <c r="B4790" s="195" t="s">
        <v>205</v>
      </c>
      <c r="C4790"/>
      <c r="D4790" s="197" t="s">
        <v>851</v>
      </c>
      <c r="E4790" s="197" t="s">
        <v>414</v>
      </c>
      <c r="F4790" s="197" t="s">
        <v>985</v>
      </c>
      <c r="G4790" s="197" t="s">
        <v>268</v>
      </c>
      <c r="H4790" s="197" t="s">
        <v>985</v>
      </c>
      <c r="K4790" s="228"/>
      <c r="L4790" s="207">
        <f>_xlfn.XLOOKUP($B4776,予定表!$B:$B,予定表!K:K,"該当なし",0,1)</f>
        <v>0</v>
      </c>
    </row>
    <row r="4791" spans="1:12">
      <c r="A4791" s="195"/>
      <c r="B4791" s="195" t="s">
        <v>206</v>
      </c>
      <c r="C4791"/>
      <c r="D4791" s="197" t="s">
        <v>851</v>
      </c>
      <c r="E4791" s="197" t="s">
        <v>214</v>
      </c>
      <c r="F4791" s="197" t="s">
        <v>416</v>
      </c>
      <c r="G4791" s="197" t="s">
        <v>515</v>
      </c>
      <c r="H4791" s="197" t="s">
        <v>416</v>
      </c>
      <c r="K4791" s="228"/>
      <c r="L4791" s="207">
        <f>_xlfn.XLOOKUP($B4776,予定表!$B:$B,予定表!L:L,"該当なし",0,1)</f>
        <v>0</v>
      </c>
    </row>
    <row r="4792" spans="1:12" ht="15.75" thickBot="1">
      <c r="A4792" s="195"/>
      <c r="B4792" s="195" t="s">
        <v>207</v>
      </c>
      <c r="C4792"/>
      <c r="D4792" s="197" t="s">
        <v>851</v>
      </c>
      <c r="E4792" s="197" t="s">
        <v>214</v>
      </c>
      <c r="F4792" s="197" t="s">
        <v>416</v>
      </c>
      <c r="G4792" s="197" t="s">
        <v>515</v>
      </c>
      <c r="H4792" s="197" t="s">
        <v>416</v>
      </c>
      <c r="K4792" s="229"/>
      <c r="L4792" s="204" t="str">
        <f>_xlfn.XLOOKUP($A4773,ﾘｽﾄマスタ!$U$8:$U$17,ﾘｽﾄマスタ!$V$8:$V$17,"",0)</f>
        <v/>
      </c>
    </row>
    <row r="4793" spans="1:12" ht="15.75" thickBot="1">
      <c r="A4793" s="195"/>
      <c r="B4793" s="196" t="s">
        <v>251</v>
      </c>
      <c r="C4793"/>
      <c r="D4793" s="197"/>
      <c r="E4793" s="197" t="s">
        <v>214</v>
      </c>
      <c r="F4793" s="197" t="s">
        <v>416</v>
      </c>
      <c r="G4793" s="197" t="s">
        <v>515</v>
      </c>
      <c r="H4793" s="197" t="s">
        <v>416</v>
      </c>
      <c r="K4793" s="208" t="s">
        <v>277</v>
      </c>
      <c r="L4793" s="208" t="str">
        <f>_xlfn.XLOOKUP($B4776,シフト抽出!$19:$19,シフト抽出!$30:$30,"該当なし",0,1)</f>
        <v>該当なし</v>
      </c>
    </row>
    <row r="4794" spans="1:12">
      <c r="A4794" s="195"/>
      <c r="B4794" s="195" t="s">
        <v>205</v>
      </c>
      <c r="C4794"/>
      <c r="D4794" s="197" t="s">
        <v>416</v>
      </c>
      <c r="E4794" s="197" t="s">
        <v>761</v>
      </c>
      <c r="F4794" s="197" t="s">
        <v>416</v>
      </c>
      <c r="G4794" s="197" t="s">
        <v>269</v>
      </c>
      <c r="H4794" s="197" t="s">
        <v>416</v>
      </c>
    </row>
    <row r="4795" spans="1:12">
      <c r="A4795" s="195"/>
      <c r="B4795" s="195" t="s">
        <v>206</v>
      </c>
      <c r="C4795"/>
      <c r="D4795" s="197" t="s">
        <v>771</v>
      </c>
      <c r="E4795" s="197" t="s">
        <v>761</v>
      </c>
      <c r="F4795" s="197" t="s">
        <v>416</v>
      </c>
      <c r="G4795" s="197" t="s">
        <v>269</v>
      </c>
      <c r="H4795" s="197" t="s">
        <v>416</v>
      </c>
    </row>
    <row r="4796" spans="1:12">
      <c r="A4796" s="195"/>
      <c r="B4796" s="195" t="s">
        <v>207</v>
      </c>
      <c r="C4796"/>
      <c r="D4796" s="197" t="s">
        <v>416</v>
      </c>
      <c r="E4796" s="197" t="s">
        <v>761</v>
      </c>
      <c r="F4796" s="197" t="s">
        <v>416</v>
      </c>
      <c r="G4796" s="197" t="s">
        <v>446</v>
      </c>
      <c r="H4796" s="197" t="s">
        <v>416</v>
      </c>
    </row>
    <row r="4797" spans="1:12">
      <c r="A4797" s="195"/>
      <c r="B4797" s="196" t="s">
        <v>217</v>
      </c>
      <c r="C4797"/>
      <c r="D4797" s="197" t="s">
        <v>416</v>
      </c>
      <c r="E4797" s="197" t="s">
        <v>761</v>
      </c>
      <c r="F4797" s="197" t="s">
        <v>416</v>
      </c>
      <c r="G4797" s="197" t="s">
        <v>446</v>
      </c>
      <c r="H4797" s="197" t="s">
        <v>416</v>
      </c>
    </row>
    <row r="4798" spans="1:12">
      <c r="A4798" s="195"/>
      <c r="B4798" s="195" t="s">
        <v>205</v>
      </c>
      <c r="C4798"/>
      <c r="D4798" s="197" t="s">
        <v>224</v>
      </c>
      <c r="E4798" s="197" t="s">
        <v>280</v>
      </c>
      <c r="F4798" s="197" t="s">
        <v>416</v>
      </c>
      <c r="G4798" s="197" t="s">
        <v>114</v>
      </c>
      <c r="H4798" s="197" t="s">
        <v>416</v>
      </c>
    </row>
    <row r="4799" spans="1:12">
      <c r="A4799" s="195"/>
      <c r="B4799" s="195" t="s">
        <v>206</v>
      </c>
      <c r="C4799"/>
      <c r="D4799" s="197" t="s">
        <v>224</v>
      </c>
      <c r="E4799" s="197" t="s">
        <v>215</v>
      </c>
      <c r="F4799" s="197" t="s">
        <v>416</v>
      </c>
      <c r="G4799" s="197" t="s">
        <v>114</v>
      </c>
      <c r="H4799" s="197" t="s">
        <v>416</v>
      </c>
    </row>
    <row r="4800" spans="1:12">
      <c r="A4800" s="195"/>
      <c r="B4800" s="195" t="s">
        <v>207</v>
      </c>
      <c r="C4800"/>
      <c r="D4800" s="197" t="s">
        <v>224</v>
      </c>
      <c r="E4800" s="197" t="s">
        <v>127</v>
      </c>
      <c r="F4800" s="197" t="s">
        <v>416</v>
      </c>
      <c r="G4800" s="197" t="s">
        <v>51</v>
      </c>
      <c r="H4800" s="197" t="s">
        <v>416</v>
      </c>
    </row>
    <row r="4801" spans="1:8">
      <c r="A4801" s="195"/>
      <c r="B4801" s="196" t="s">
        <v>219</v>
      </c>
      <c r="C4801"/>
      <c r="D4801" s="197" t="s">
        <v>224</v>
      </c>
      <c r="E4801" s="197" t="s">
        <v>397</v>
      </c>
      <c r="F4801" s="197" t="s">
        <v>416</v>
      </c>
      <c r="G4801" s="197" t="s">
        <v>51</v>
      </c>
      <c r="H4801" s="197" t="s">
        <v>416</v>
      </c>
    </row>
    <row r="4802" spans="1:8">
      <c r="A4802" s="195"/>
      <c r="B4802" s="195" t="s">
        <v>205</v>
      </c>
      <c r="C4802"/>
      <c r="D4802" s="197"/>
      <c r="E4802" s="197"/>
      <c r="F4802" s="197" t="s">
        <v>416</v>
      </c>
      <c r="G4802" s="197" t="s">
        <v>51</v>
      </c>
      <c r="H4802" s="197" t="s">
        <v>416</v>
      </c>
    </row>
    <row r="4803" spans="1:8">
      <c r="A4803" s="195"/>
      <c r="B4803" s="195" t="s">
        <v>206</v>
      </c>
      <c r="C4803"/>
      <c r="D4803" s="197"/>
      <c r="E4803" s="197"/>
      <c r="F4803" s="197"/>
      <c r="G4803" s="197"/>
      <c r="H4803" s="197"/>
    </row>
    <row r="4804" spans="1:8">
      <c r="A4804" s="195"/>
      <c r="B4804" s="195" t="s">
        <v>207</v>
      </c>
      <c r="C4804"/>
      <c r="D4804" s="221"/>
      <c r="E4804" s="221"/>
      <c r="F4804" s="221"/>
      <c r="G4804" s="221"/>
      <c r="H4804" s="221"/>
    </row>
    <row r="4805" spans="1:8">
      <c r="A4805" s="195"/>
      <c r="B4805" s="196" t="s">
        <v>220</v>
      </c>
      <c r="C4805"/>
      <c r="D4805" s="189" t="s">
        <v>863</v>
      </c>
      <c r="E4805" s="189"/>
      <c r="F4805" s="197"/>
      <c r="G4805" s="189" t="s">
        <v>925</v>
      </c>
      <c r="H4805" s="197"/>
    </row>
    <row r="4806" spans="1:8">
      <c r="A4806" s="195"/>
      <c r="B4806" s="195" t="s">
        <v>205</v>
      </c>
      <c r="C4806"/>
      <c r="D4806" s="197" t="s">
        <v>878</v>
      </c>
      <c r="E4806" s="197" t="s">
        <v>273</v>
      </c>
      <c r="F4806" s="197" t="s">
        <v>395</v>
      </c>
      <c r="G4806" s="197" t="s">
        <v>56</v>
      </c>
      <c r="H4806" s="209" t="s">
        <v>848</v>
      </c>
    </row>
    <row r="4807" spans="1:8">
      <c r="A4807" s="195"/>
      <c r="B4807" s="195" t="s">
        <v>206</v>
      </c>
      <c r="C4807"/>
      <c r="D4807" s="197" t="s">
        <v>878</v>
      </c>
      <c r="E4807" s="197" t="s">
        <v>273</v>
      </c>
      <c r="F4807" s="197" t="s">
        <v>395</v>
      </c>
      <c r="G4807" s="197" t="s">
        <v>56</v>
      </c>
      <c r="H4807" s="209" t="s">
        <v>848</v>
      </c>
    </row>
    <row r="4808" spans="1:8">
      <c r="A4808" s="195"/>
      <c r="B4808" s="195" t="s">
        <v>207</v>
      </c>
      <c r="C4808"/>
      <c r="D4808" s="197" t="s">
        <v>878</v>
      </c>
      <c r="E4808" s="197" t="s">
        <v>273</v>
      </c>
      <c r="F4808" s="197" t="s">
        <v>395</v>
      </c>
      <c r="G4808" s="197" t="s">
        <v>56</v>
      </c>
      <c r="H4808" s="209" t="s">
        <v>848</v>
      </c>
    </row>
    <row r="4809" spans="1:8">
      <c r="A4809" s="195"/>
      <c r="B4809" s="196" t="s">
        <v>222</v>
      </c>
      <c r="C4809"/>
      <c r="D4809" s="197" t="s">
        <v>523</v>
      </c>
      <c r="E4809" s="197" t="s">
        <v>273</v>
      </c>
      <c r="F4809" s="197" t="s">
        <v>395</v>
      </c>
      <c r="G4809" s="197"/>
      <c r="H4809" s="209" t="s">
        <v>848</v>
      </c>
    </row>
    <row r="4810" spans="1:8">
      <c r="A4810" s="195"/>
      <c r="B4810" s="195" t="s">
        <v>205</v>
      </c>
      <c r="C4810"/>
      <c r="D4810" s="197" t="s">
        <v>523</v>
      </c>
      <c r="E4810" s="197" t="s">
        <v>186</v>
      </c>
      <c r="F4810" s="197" t="s">
        <v>395</v>
      </c>
      <c r="G4810" s="197" t="s">
        <v>270</v>
      </c>
      <c r="H4810" s="209" t="s">
        <v>848</v>
      </c>
    </row>
    <row r="4811" spans="1:8">
      <c r="A4811" s="195"/>
      <c r="B4811" s="195" t="s">
        <v>206</v>
      </c>
      <c r="C4811"/>
      <c r="D4811" s="197" t="s">
        <v>759</v>
      </c>
      <c r="E4811" s="197" t="s">
        <v>186</v>
      </c>
      <c r="F4811" s="197" t="s">
        <v>395</v>
      </c>
      <c r="G4811" s="197" t="s">
        <v>270</v>
      </c>
      <c r="H4811" s="209" t="s">
        <v>848</v>
      </c>
    </row>
    <row r="4812" spans="1:8">
      <c r="A4812" s="195"/>
      <c r="B4812" s="195" t="s">
        <v>207</v>
      </c>
      <c r="C4812"/>
      <c r="D4812" s="197" t="s">
        <v>759</v>
      </c>
      <c r="E4812" s="197" t="s">
        <v>186</v>
      </c>
      <c r="F4812" s="197" t="s">
        <v>395</v>
      </c>
      <c r="G4812" s="197" t="s">
        <v>270</v>
      </c>
      <c r="H4812" s="209" t="s">
        <v>229</v>
      </c>
    </row>
    <row r="4813" spans="1:8">
      <c r="A4813" s="195"/>
      <c r="B4813" s="196" t="s">
        <v>223</v>
      </c>
      <c r="C4813"/>
      <c r="D4813" s="197" t="s">
        <v>366</v>
      </c>
      <c r="E4813" s="197" t="s">
        <v>252</v>
      </c>
      <c r="F4813" s="197" t="s">
        <v>395</v>
      </c>
      <c r="G4813" s="197" t="s">
        <v>270</v>
      </c>
      <c r="H4813" s="209" t="s">
        <v>229</v>
      </c>
    </row>
    <row r="4814" spans="1:8">
      <c r="A4814" s="195"/>
      <c r="B4814" s="195" t="s">
        <v>205</v>
      </c>
      <c r="C4814"/>
      <c r="D4814" s="197" t="s">
        <v>366</v>
      </c>
      <c r="E4814" s="197" t="s">
        <v>252</v>
      </c>
      <c r="F4814" s="197" t="s">
        <v>395</v>
      </c>
      <c r="G4814" s="197" t="s">
        <v>270</v>
      </c>
      <c r="H4814" s="209" t="s">
        <v>230</v>
      </c>
    </row>
    <row r="4815" spans="1:8">
      <c r="A4815" s="195"/>
      <c r="B4815" s="195" t="s">
        <v>206</v>
      </c>
      <c r="C4815"/>
      <c r="D4815" s="197" t="s">
        <v>366</v>
      </c>
      <c r="E4815" s="197" t="s">
        <v>252</v>
      </c>
      <c r="F4815" s="197" t="s">
        <v>62</v>
      </c>
      <c r="G4815" s="197" t="s">
        <v>270</v>
      </c>
      <c r="H4815" s="209" t="s">
        <v>230</v>
      </c>
    </row>
    <row r="4816" spans="1:8">
      <c r="A4816" s="195"/>
      <c r="B4816" s="195" t="s">
        <v>207</v>
      </c>
      <c r="C4816"/>
      <c r="D4816" s="197" t="s">
        <v>216</v>
      </c>
      <c r="E4816" s="197" t="s">
        <v>252</v>
      </c>
      <c r="F4816" s="197" t="s">
        <v>62</v>
      </c>
      <c r="G4816" s="197" t="s">
        <v>270</v>
      </c>
      <c r="H4816" s="209" t="s">
        <v>230</v>
      </c>
    </row>
    <row r="4817" spans="1:12">
      <c r="A4817" s="195"/>
      <c r="B4817" s="196" t="s">
        <v>225</v>
      </c>
      <c r="C4817"/>
      <c r="D4817" s="197" t="s">
        <v>216</v>
      </c>
      <c r="E4817" s="197" t="s">
        <v>252</v>
      </c>
      <c r="F4817" s="197" t="s">
        <v>62</v>
      </c>
      <c r="G4817" s="197" t="s">
        <v>270</v>
      </c>
      <c r="H4817" s="209" t="s">
        <v>230</v>
      </c>
    </row>
    <row r="4818" spans="1:12">
      <c r="A4818" s="195"/>
      <c r="B4818" s="195" t="s">
        <v>205</v>
      </c>
      <c r="C4818"/>
      <c r="D4818" s="197" t="s">
        <v>216</v>
      </c>
      <c r="E4818" s="197" t="s">
        <v>252</v>
      </c>
      <c r="F4818" s="197" t="s">
        <v>62</v>
      </c>
      <c r="G4818" s="197" t="s">
        <v>270</v>
      </c>
      <c r="H4818" s="209" t="s">
        <v>230</v>
      </c>
    </row>
    <row r="4819" spans="1:12">
      <c r="A4819" s="195"/>
      <c r="B4819" s="195" t="s">
        <v>206</v>
      </c>
      <c r="C4819"/>
      <c r="D4819" s="197" t="s">
        <v>216</v>
      </c>
      <c r="E4819" s="197" t="s">
        <v>252</v>
      </c>
      <c r="F4819" s="197" t="s">
        <v>62</v>
      </c>
      <c r="G4819" s="197" t="s">
        <v>270</v>
      </c>
      <c r="H4819" s="209" t="s">
        <v>230</v>
      </c>
    </row>
    <row r="4820" spans="1:12">
      <c r="A4820" s="195"/>
      <c r="B4820" s="195" t="s">
        <v>207</v>
      </c>
      <c r="C4820"/>
      <c r="D4820" s="197"/>
      <c r="E4820" s="197" t="s">
        <v>252</v>
      </c>
      <c r="F4820" s="197"/>
      <c r="G4820" s="197" t="s">
        <v>270</v>
      </c>
      <c r="H4820" s="209"/>
    </row>
    <row r="4821" spans="1:12">
      <c r="A4821" s="195"/>
      <c r="B4821" s="196" t="s">
        <v>226</v>
      </c>
      <c r="C4821"/>
      <c r="D4821" s="197"/>
      <c r="E4821" s="197"/>
      <c r="F4821" s="197"/>
      <c r="G4821" s="197" t="s">
        <v>270</v>
      </c>
      <c r="H4821" s="209"/>
    </row>
    <row r="4822" spans="1:12">
      <c r="A4822" s="195"/>
      <c r="B4822" s="195" t="s">
        <v>205</v>
      </c>
      <c r="C4822"/>
      <c r="D4822" s="197"/>
      <c r="E4822" s="197"/>
      <c r="F4822" s="197"/>
      <c r="G4822" s="197"/>
      <c r="H4822" s="209"/>
    </row>
    <row r="4823" spans="1:12">
      <c r="A4823" s="195"/>
      <c r="B4823" s="195" t="s">
        <v>206</v>
      </c>
      <c r="C4823"/>
      <c r="D4823" s="197"/>
      <c r="E4823" s="197"/>
      <c r="F4823" s="197"/>
      <c r="G4823" s="197"/>
      <c r="H4823" s="209"/>
    </row>
    <row r="4824" spans="1:12">
      <c r="A4824" s="195"/>
      <c r="B4824" s="195" t="s">
        <v>207</v>
      </c>
      <c r="C4824"/>
      <c r="D4824" s="197"/>
      <c r="E4824" s="197"/>
      <c r="F4824" s="197"/>
      <c r="G4824" s="197"/>
      <c r="H4824" s="209"/>
    </row>
    <row r="4825" spans="1:12">
      <c r="A4825" s="195"/>
      <c r="B4825" s="196" t="s">
        <v>227</v>
      </c>
      <c r="C4825"/>
      <c r="D4825" s="197"/>
      <c r="E4825" s="197"/>
      <c r="F4825" s="197"/>
      <c r="G4825" s="197"/>
      <c r="H4825" s="209"/>
      <c r="K4825"/>
    </row>
    <row r="4826" spans="1:12" ht="29.25" thickBot="1">
      <c r="A4826" s="182" t="str">
        <f>"回収シフト  第"&amp;ROUNDUP(DAY(B4829)/7,0)  &amp;"  "&amp;TEXT(B4829,"aaaa")</f>
        <v>回収シフト  第3  木曜日</v>
      </c>
      <c r="B4826" s="183"/>
      <c r="C4826" s="183"/>
      <c r="D4826" s="183"/>
      <c r="E4826" s="183"/>
      <c r="F4826" s="183"/>
      <c r="G4826" s="184"/>
      <c r="H4826" s="184"/>
      <c r="K4826" s="183"/>
      <c r="L4826" s="183"/>
    </row>
    <row r="4827" spans="1:12" ht="15.75" thickBot="1">
      <c r="A4827"/>
      <c r="B4827"/>
      <c r="C4827"/>
      <c r="D4827" s="186" t="s">
        <v>201</v>
      </c>
      <c r="E4827" s="186" t="s">
        <v>202</v>
      </c>
      <c r="F4827" s="186" t="s">
        <v>203</v>
      </c>
      <c r="G4827" s="186" t="s">
        <v>204</v>
      </c>
      <c r="H4827" s="186" t="s">
        <v>267</v>
      </c>
      <c r="K4827" s="230" t="s">
        <v>257</v>
      </c>
      <c r="L4827" s="231"/>
    </row>
    <row r="4828" spans="1:12">
      <c r="A4828" s="187"/>
      <c r="B4828" s="188">
        <v>46119</v>
      </c>
      <c r="C4828" s="187"/>
      <c r="D4828" s="189" t="s">
        <v>418</v>
      </c>
      <c r="E4828" s="189" t="s">
        <v>248</v>
      </c>
      <c r="F4828" s="189" t="s">
        <v>276</v>
      </c>
      <c r="G4828" s="189" t="s">
        <v>925</v>
      </c>
      <c r="H4828" s="189" t="s">
        <v>852</v>
      </c>
      <c r="K4828" s="232" t="s">
        <v>258</v>
      </c>
      <c r="L4828" s="190" t="str">
        <f>_xlfn.XLOOKUP($B4829,シフト抽出!$19:$19,シフト抽出!$20:$20,"該当なし",0,1)</f>
        <v>該当なし</v>
      </c>
    </row>
    <row r="4829" spans="1:12" ht="19.5" thickBot="1">
      <c r="A4829"/>
      <c r="B4829" s="191">
        <f>B4776+1</f>
        <v>46219</v>
      </c>
      <c r="C4829" s="192"/>
      <c r="D4829" s="193"/>
      <c r="E4829" s="193"/>
      <c r="F4829" s="193"/>
      <c r="G4829" s="193"/>
      <c r="H4829" s="193"/>
      <c r="K4829" s="233"/>
      <c r="L4829" s="194" t="str">
        <f>_xlfn.XLOOKUP($B4829,シフト抽出!$19:$19,シフト抽出!$21:$21,"該当なし",0,1)</f>
        <v>該当なし</v>
      </c>
    </row>
    <row r="4830" spans="1:12">
      <c r="A4830" s="195"/>
      <c r="B4830" s="196">
        <v>0.25</v>
      </c>
      <c r="C4830"/>
      <c r="D4830" s="197"/>
      <c r="E4830" s="196"/>
      <c r="F4830" s="197"/>
      <c r="G4830" s="197"/>
      <c r="H4830" s="197"/>
      <c r="K4830" s="234" t="s">
        <v>259</v>
      </c>
      <c r="L4830" s="198" t="str">
        <f>_xlfn.XLOOKUP($B4829,シフト抽出!$19:$19,シフト抽出!$23:$23,"該当なし",0,1)</f>
        <v>該当なし</v>
      </c>
    </row>
    <row r="4831" spans="1:12" ht="15.75" thickBot="1">
      <c r="A4831" s="195"/>
      <c r="B4831" s="195" t="s">
        <v>205</v>
      </c>
      <c r="C4831"/>
      <c r="D4831" s="197"/>
      <c r="F4831" s="197" t="s">
        <v>983</v>
      </c>
      <c r="G4831" s="197" t="s">
        <v>911</v>
      </c>
      <c r="H4831" s="197"/>
      <c r="K4831" s="235"/>
      <c r="L4831" s="199" t="str">
        <f>_xlfn.XLOOKUP($B4829,シフト抽出!$19:$19,シフト抽出!$24:$24,"該当なし",0,1)</f>
        <v>該当なし</v>
      </c>
    </row>
    <row r="4832" spans="1:12">
      <c r="A4832" s="195"/>
      <c r="B4832" s="195" t="s">
        <v>206</v>
      </c>
      <c r="C4832"/>
      <c r="D4832" s="197"/>
      <c r="E4832" s="197"/>
      <c r="F4832" s="197"/>
      <c r="G4832" s="197"/>
      <c r="H4832" s="197"/>
      <c r="K4832" s="224" t="s">
        <v>260</v>
      </c>
      <c r="L4832" s="200" t="str">
        <f>_xlfn.XLOOKUP($B4829,シフト抽出!$19:$19,シフト抽出!$26:$26,"該当なし",0,1)</f>
        <v>該当なし</v>
      </c>
    </row>
    <row r="4833" spans="1:12">
      <c r="A4833" s="195"/>
      <c r="B4833" s="195" t="s">
        <v>207</v>
      </c>
      <c r="C4833"/>
      <c r="D4833" s="197"/>
      <c r="E4833" s="197"/>
      <c r="F4833" s="197"/>
      <c r="G4833" s="197"/>
      <c r="H4833" s="197"/>
      <c r="K4833" s="225"/>
      <c r="L4833" s="201" t="str">
        <f>_xlfn.XLOOKUP($B4829,シフト抽出!$19:$19,シフト抽出!$27:$27,"該当なし",0,1)</f>
        <v>該当なし</v>
      </c>
    </row>
    <row r="4834" spans="1:12">
      <c r="A4834" s="195"/>
      <c r="B4834" s="202" t="s">
        <v>208</v>
      </c>
      <c r="C4834"/>
      <c r="D4834" s="197" t="s">
        <v>4</v>
      </c>
      <c r="E4834" s="197" t="s">
        <v>4</v>
      </c>
      <c r="F4834" s="197" t="s">
        <v>4</v>
      </c>
      <c r="G4834" s="197" t="s">
        <v>4</v>
      </c>
      <c r="H4834" s="197"/>
      <c r="J4834" s="203"/>
      <c r="K4834" s="225"/>
      <c r="L4834" s="201" t="str">
        <f>_xlfn.XLOOKUP($B4829,シフト抽出!$19:$19,シフト抽出!$28:$28,"該当なし",0,1)</f>
        <v>該当なし</v>
      </c>
    </row>
    <row r="4835" spans="1:12" ht="15.75" thickBot="1">
      <c r="A4835" s="195"/>
      <c r="B4835" s="195" t="s">
        <v>205</v>
      </c>
      <c r="C4835"/>
      <c r="D4835" s="197" t="s">
        <v>414</v>
      </c>
      <c r="E4835" s="197" t="s">
        <v>421</v>
      </c>
      <c r="F4835" s="197" t="s">
        <v>851</v>
      </c>
      <c r="G4835" s="197" t="s">
        <v>22</v>
      </c>
      <c r="H4835" s="197"/>
      <c r="J4835" s="203"/>
      <c r="K4835" s="226"/>
      <c r="L4835" s="204" t="str">
        <f>_xlfn.XLOOKUP($B4829,シフト抽出!$19:$19,シフト抽出!$29:$29,"該当なし",0,1)</f>
        <v>該当なし</v>
      </c>
    </row>
    <row r="4836" spans="1:12" ht="15.75" thickBot="1">
      <c r="A4836" s="195"/>
      <c r="B4836" s="195" t="s">
        <v>206</v>
      </c>
      <c r="C4836"/>
      <c r="D4836" s="197" t="s">
        <v>414</v>
      </c>
      <c r="E4836" s="197" t="s">
        <v>421</v>
      </c>
      <c r="F4836" s="197" t="s">
        <v>851</v>
      </c>
      <c r="G4836" s="197" t="s">
        <v>22</v>
      </c>
      <c r="H4836" s="197"/>
      <c r="K4836" s="205" t="s">
        <v>261</v>
      </c>
      <c r="L4836" s="205">
        <f>_xlfn.XLOOKUP($B4829,予定表!B:B,予定表!R:R,"該当なし",0,1)</f>
        <v>0</v>
      </c>
    </row>
    <row r="4837" spans="1:12">
      <c r="A4837" s="195"/>
      <c r="B4837" s="195" t="s">
        <v>207</v>
      </c>
      <c r="C4837"/>
      <c r="D4837" s="197" t="s">
        <v>414</v>
      </c>
      <c r="E4837" s="197" t="s">
        <v>421</v>
      </c>
      <c r="F4837" s="197" t="s">
        <v>851</v>
      </c>
      <c r="G4837" s="197" t="s">
        <v>22</v>
      </c>
      <c r="H4837" s="197"/>
      <c r="K4837" s="227" t="s">
        <v>262</v>
      </c>
      <c r="L4837" s="206">
        <f>_xlfn.XLOOKUP($B4829,予定表!$B:$B,予定表!E:E,"該当なし",0,1)</f>
        <v>0</v>
      </c>
    </row>
    <row r="4838" spans="1:12">
      <c r="A4838" s="195"/>
      <c r="B4838" s="196" t="s">
        <v>209</v>
      </c>
      <c r="C4838"/>
      <c r="D4838" s="197" t="s">
        <v>414</v>
      </c>
      <c r="E4838" s="197" t="s">
        <v>421</v>
      </c>
      <c r="F4838" s="197" t="s">
        <v>851</v>
      </c>
      <c r="G4838" s="197" t="s">
        <v>268</v>
      </c>
      <c r="H4838" s="197" t="s">
        <v>4</v>
      </c>
      <c r="K4838" s="228"/>
      <c r="L4838" s="207">
        <f>_xlfn.XLOOKUP($B4829,予定表!$B:$B,予定表!F:F,"該当なし",0,1)</f>
        <v>0</v>
      </c>
    </row>
    <row r="4839" spans="1:12">
      <c r="A4839" s="195"/>
      <c r="B4839" s="195" t="s">
        <v>205</v>
      </c>
      <c r="C4839"/>
      <c r="D4839" s="197" t="s">
        <v>414</v>
      </c>
      <c r="E4839" s="197" t="s">
        <v>421</v>
      </c>
      <c r="F4839" s="197" t="s">
        <v>851</v>
      </c>
      <c r="G4839" s="197" t="s">
        <v>268</v>
      </c>
      <c r="H4839" s="197" t="s">
        <v>60</v>
      </c>
      <c r="K4839" s="228"/>
      <c r="L4839" s="207">
        <f>_xlfn.XLOOKUP($B4829,予定表!$B:$B,予定表!G:G,"該当なし",0,1)</f>
        <v>0</v>
      </c>
    </row>
    <row r="4840" spans="1:12">
      <c r="A4840" s="195"/>
      <c r="B4840" s="195" t="s">
        <v>206</v>
      </c>
      <c r="C4840"/>
      <c r="D4840" s="197" t="s">
        <v>214</v>
      </c>
      <c r="E4840" s="197" t="s">
        <v>934</v>
      </c>
      <c r="F4840" s="197" t="s">
        <v>851</v>
      </c>
      <c r="G4840" s="197" t="s">
        <v>268</v>
      </c>
      <c r="H4840" s="197" t="s">
        <v>60</v>
      </c>
      <c r="K4840" s="228"/>
      <c r="L4840" s="207">
        <f>_xlfn.XLOOKUP($B4829,予定表!$B:$B,予定表!H:H,"該当なし",0,1)</f>
        <v>0</v>
      </c>
    </row>
    <row r="4841" spans="1:12">
      <c r="A4841" s="195"/>
      <c r="B4841" s="195" t="s">
        <v>207</v>
      </c>
      <c r="C4841"/>
      <c r="D4841" s="197" t="s">
        <v>214</v>
      </c>
      <c r="E4841" s="197" t="s">
        <v>273</v>
      </c>
      <c r="F4841" s="197" t="s">
        <v>851</v>
      </c>
      <c r="G4841" s="197" t="s">
        <v>268</v>
      </c>
      <c r="H4841" s="197" t="s">
        <v>60</v>
      </c>
      <c r="K4841" s="228"/>
      <c r="L4841" s="207">
        <f>_xlfn.XLOOKUP($B4829,予定表!$B:$B,予定表!I:I,"該当なし",0,1)</f>
        <v>0</v>
      </c>
    </row>
    <row r="4842" spans="1:12">
      <c r="A4842" s="195"/>
      <c r="B4842" s="196" t="s">
        <v>212</v>
      </c>
      <c r="C4842"/>
      <c r="D4842" s="197" t="s">
        <v>214</v>
      </c>
      <c r="E4842" s="197" t="s">
        <v>273</v>
      </c>
      <c r="F4842" s="197"/>
      <c r="G4842" s="197" t="s">
        <v>268</v>
      </c>
      <c r="H4842" s="197"/>
      <c r="K4842" s="228"/>
      <c r="L4842" s="207">
        <f>_xlfn.XLOOKUP($B4829,予定表!$B:$B,予定表!J:J,"該当なし",0,1)</f>
        <v>0</v>
      </c>
    </row>
    <row r="4843" spans="1:12">
      <c r="A4843" s="195"/>
      <c r="B4843" s="195" t="s">
        <v>205</v>
      </c>
      <c r="C4843"/>
      <c r="D4843" s="197" t="s">
        <v>761</v>
      </c>
      <c r="E4843" s="197" t="s">
        <v>228</v>
      </c>
      <c r="F4843" s="197" t="s">
        <v>395</v>
      </c>
      <c r="G4843" s="197" t="s">
        <v>268</v>
      </c>
      <c r="H4843" s="197" t="s">
        <v>230</v>
      </c>
      <c r="K4843" s="228"/>
      <c r="L4843" s="207">
        <f>_xlfn.XLOOKUP($B4829,予定表!$B:$B,予定表!K:K,"該当なし",0,1)</f>
        <v>0</v>
      </c>
    </row>
    <row r="4844" spans="1:12">
      <c r="A4844" s="195"/>
      <c r="B4844" s="195" t="s">
        <v>206</v>
      </c>
      <c r="C4844"/>
      <c r="D4844" s="197" t="s">
        <v>761</v>
      </c>
      <c r="E4844" s="197" t="s">
        <v>228</v>
      </c>
      <c r="F4844" s="197" t="s">
        <v>395</v>
      </c>
      <c r="G4844" s="197" t="s">
        <v>169</v>
      </c>
      <c r="H4844" s="197" t="s">
        <v>230</v>
      </c>
      <c r="K4844" s="228"/>
      <c r="L4844" s="207">
        <f>_xlfn.XLOOKUP($B4829,予定表!$B:$B,予定表!L:L,"該当なし",0,1)</f>
        <v>0</v>
      </c>
    </row>
    <row r="4845" spans="1:12" ht="15.75" thickBot="1">
      <c r="A4845" s="195"/>
      <c r="B4845" s="195" t="s">
        <v>207</v>
      </c>
      <c r="C4845"/>
      <c r="D4845" s="197" t="s">
        <v>761</v>
      </c>
      <c r="E4845" s="197" t="s">
        <v>228</v>
      </c>
      <c r="F4845" s="197" t="s">
        <v>395</v>
      </c>
      <c r="G4845" s="197" t="s">
        <v>169</v>
      </c>
      <c r="H4845" s="197" t="s">
        <v>230</v>
      </c>
      <c r="K4845" s="229"/>
      <c r="L4845" s="204" t="str">
        <f>_xlfn.XLOOKUP($A4826,ﾘｽﾄマスタ!$U$8:$U$17,ﾘｽﾄマスタ!$V$8:$V$17,"",0)</f>
        <v>宇都宮螺子</v>
      </c>
    </row>
    <row r="4846" spans="1:12" ht="15.75" thickBot="1">
      <c r="A4846" s="195"/>
      <c r="B4846" s="196" t="s">
        <v>251</v>
      </c>
      <c r="C4846"/>
      <c r="D4846" s="197" t="s">
        <v>7</v>
      </c>
      <c r="E4846" s="197" t="s">
        <v>228</v>
      </c>
      <c r="F4846" s="197" t="s">
        <v>395</v>
      </c>
      <c r="G4846" s="197" t="s">
        <v>169</v>
      </c>
      <c r="H4846" s="197" t="s">
        <v>229</v>
      </c>
      <c r="K4846" s="208" t="s">
        <v>277</v>
      </c>
      <c r="L4846" s="208" t="str">
        <f>_xlfn.XLOOKUP($B4829,シフト抽出!$19:$19,シフト抽出!$30:$30,"該当なし",0,1)</f>
        <v>該当なし</v>
      </c>
    </row>
    <row r="4847" spans="1:12">
      <c r="A4847" s="195"/>
      <c r="B4847" s="195" t="s">
        <v>205</v>
      </c>
      <c r="C4847"/>
      <c r="D4847" s="197"/>
      <c r="E4847" s="197" t="s">
        <v>228</v>
      </c>
      <c r="F4847" s="197" t="s">
        <v>395</v>
      </c>
      <c r="G4847" s="197" t="s">
        <v>169</v>
      </c>
      <c r="H4847" s="197" t="s">
        <v>229</v>
      </c>
    </row>
    <row r="4848" spans="1:12">
      <c r="A4848" s="195"/>
      <c r="B4848" s="195" t="s">
        <v>206</v>
      </c>
      <c r="C4848"/>
      <c r="D4848" s="197" t="s">
        <v>253</v>
      </c>
      <c r="E4848" s="197" t="s">
        <v>263</v>
      </c>
      <c r="F4848" s="197" t="s">
        <v>395</v>
      </c>
      <c r="G4848" s="197" t="s">
        <v>169</v>
      </c>
      <c r="H4848" s="197" t="s">
        <v>848</v>
      </c>
    </row>
    <row r="4849" spans="1:8">
      <c r="A4849" s="195"/>
      <c r="B4849" s="195" t="s">
        <v>207</v>
      </c>
      <c r="C4849"/>
      <c r="D4849" s="197" t="s">
        <v>253</v>
      </c>
      <c r="E4849" s="197" t="s">
        <v>263</v>
      </c>
      <c r="F4849" s="197" t="s">
        <v>395</v>
      </c>
      <c r="G4849" s="197" t="s">
        <v>169</v>
      </c>
      <c r="H4849" s="197" t="s">
        <v>848</v>
      </c>
    </row>
    <row r="4850" spans="1:8">
      <c r="A4850" s="195"/>
      <c r="B4850" s="196" t="s">
        <v>217</v>
      </c>
      <c r="C4850"/>
      <c r="D4850" s="197" t="s">
        <v>51</v>
      </c>
      <c r="E4850" s="197" t="s">
        <v>263</v>
      </c>
      <c r="F4850" s="197" t="s">
        <v>395</v>
      </c>
      <c r="G4850" s="197" t="s">
        <v>169</v>
      </c>
      <c r="H4850" s="197" t="s">
        <v>848</v>
      </c>
    </row>
    <row r="4851" spans="1:8">
      <c r="A4851" s="195"/>
      <c r="B4851" s="195" t="s">
        <v>205</v>
      </c>
      <c r="C4851"/>
      <c r="D4851" s="197" t="s">
        <v>51</v>
      </c>
      <c r="E4851" s="197" t="s">
        <v>848</v>
      </c>
      <c r="F4851" s="197" t="s">
        <v>395</v>
      </c>
      <c r="G4851" s="197" t="s">
        <v>169</v>
      </c>
      <c r="H4851" s="197" t="s">
        <v>848</v>
      </c>
    </row>
    <row r="4852" spans="1:8">
      <c r="A4852" s="195"/>
      <c r="B4852" s="195" t="s">
        <v>206</v>
      </c>
      <c r="C4852"/>
      <c r="D4852" s="197" t="s">
        <v>51</v>
      </c>
      <c r="E4852" s="197" t="s">
        <v>848</v>
      </c>
      <c r="F4852" s="197" t="s">
        <v>395</v>
      </c>
      <c r="G4852" s="197" t="s">
        <v>278</v>
      </c>
      <c r="H4852" s="197" t="s">
        <v>848</v>
      </c>
    </row>
    <row r="4853" spans="1:8">
      <c r="A4853" s="195"/>
      <c r="B4853" s="195" t="s">
        <v>207</v>
      </c>
      <c r="C4853"/>
      <c r="D4853" s="197" t="s">
        <v>51</v>
      </c>
      <c r="E4853" s="197" t="s">
        <v>848</v>
      </c>
      <c r="F4853" s="197" t="s">
        <v>395</v>
      </c>
      <c r="G4853" s="197" t="s">
        <v>278</v>
      </c>
      <c r="H4853" s="197" t="s">
        <v>848</v>
      </c>
    </row>
    <row r="4854" spans="1:8">
      <c r="A4854" s="195"/>
      <c r="B4854" s="196" t="s">
        <v>219</v>
      </c>
      <c r="C4854"/>
      <c r="D4854" s="197" t="s">
        <v>51</v>
      </c>
      <c r="E4854" s="197" t="s">
        <v>848</v>
      </c>
      <c r="F4854" s="197" t="s">
        <v>395</v>
      </c>
      <c r="G4854" s="197" t="s">
        <v>278</v>
      </c>
      <c r="H4854" s="197" t="s">
        <v>848</v>
      </c>
    </row>
    <row r="4855" spans="1:8">
      <c r="A4855" s="195"/>
      <c r="B4855" s="195" t="s">
        <v>205</v>
      </c>
      <c r="C4855"/>
      <c r="D4855" s="197"/>
      <c r="E4855" s="197"/>
      <c r="F4855" s="197"/>
      <c r="G4855" s="197"/>
      <c r="H4855" s="197"/>
    </row>
    <row r="4856" spans="1:8">
      <c r="A4856" s="195"/>
      <c r="B4856" s="195" t="s">
        <v>206</v>
      </c>
      <c r="C4856"/>
      <c r="D4856" s="197"/>
      <c r="E4856" s="197"/>
      <c r="F4856" s="197"/>
      <c r="G4856" s="197"/>
      <c r="H4856" s="197"/>
    </row>
    <row r="4857" spans="1:8">
      <c r="A4857" s="195"/>
      <c r="B4857" s="195" t="s">
        <v>207</v>
      </c>
      <c r="C4857"/>
      <c r="D4857" s="197"/>
      <c r="E4857" s="197"/>
      <c r="F4857" s="197"/>
      <c r="G4857" s="197"/>
      <c r="H4857" s="197"/>
    </row>
    <row r="4858" spans="1:8">
      <c r="A4858" s="195"/>
      <c r="B4858" s="196" t="s">
        <v>220</v>
      </c>
      <c r="C4858"/>
      <c r="D4858" s="189" t="s">
        <v>360</v>
      </c>
      <c r="E4858" s="197"/>
      <c r="F4858" s="189" t="s">
        <v>859</v>
      </c>
      <c r="G4858" s="189"/>
      <c r="H4858" s="197"/>
    </row>
    <row r="4859" spans="1:8">
      <c r="A4859" s="195"/>
      <c r="B4859" s="195" t="s">
        <v>205</v>
      </c>
      <c r="C4859"/>
      <c r="D4859" s="197" t="s">
        <v>114</v>
      </c>
      <c r="E4859" s="197" t="s">
        <v>95</v>
      </c>
      <c r="F4859" s="197" t="s">
        <v>252</v>
      </c>
      <c r="G4859" s="197" t="s">
        <v>56</v>
      </c>
      <c r="H4859" s="197" t="s">
        <v>415</v>
      </c>
    </row>
    <row r="4860" spans="1:8">
      <c r="A4860" s="195"/>
      <c r="B4860" s="195" t="s">
        <v>206</v>
      </c>
      <c r="C4860"/>
      <c r="D4860" s="197" t="s">
        <v>114</v>
      </c>
      <c r="E4860" s="197" t="s">
        <v>95</v>
      </c>
      <c r="F4860" s="197" t="s">
        <v>252</v>
      </c>
      <c r="G4860" s="197" t="s">
        <v>56</v>
      </c>
      <c r="H4860" s="197" t="s">
        <v>415</v>
      </c>
    </row>
    <row r="4861" spans="1:8">
      <c r="A4861" s="195"/>
      <c r="B4861" s="195" t="s">
        <v>207</v>
      </c>
      <c r="C4861"/>
      <c r="D4861" s="197" t="s">
        <v>129</v>
      </c>
      <c r="E4861" s="197" t="s">
        <v>95</v>
      </c>
      <c r="F4861" s="197" t="s">
        <v>252</v>
      </c>
      <c r="G4861" s="197" t="s">
        <v>56</v>
      </c>
      <c r="H4861" s="197" t="s">
        <v>415</v>
      </c>
    </row>
    <row r="4862" spans="1:8">
      <c r="A4862" s="195"/>
      <c r="B4862" s="196" t="s">
        <v>222</v>
      </c>
      <c r="C4862"/>
      <c r="D4862" s="197" t="s">
        <v>129</v>
      </c>
      <c r="E4862" s="197" t="s">
        <v>95</v>
      </c>
      <c r="F4862" s="197" t="s">
        <v>252</v>
      </c>
      <c r="G4862" s="197" t="s">
        <v>56</v>
      </c>
      <c r="H4862" s="197" t="s">
        <v>415</v>
      </c>
    </row>
    <row r="4863" spans="1:8">
      <c r="A4863" s="195"/>
      <c r="B4863" s="195" t="s">
        <v>205</v>
      </c>
      <c r="C4863"/>
      <c r="D4863" s="197" t="s">
        <v>129</v>
      </c>
      <c r="E4863" s="197" t="s">
        <v>95</v>
      </c>
      <c r="F4863" s="197" t="s">
        <v>252</v>
      </c>
      <c r="G4863" s="197"/>
      <c r="H4863" s="197" t="s">
        <v>415</v>
      </c>
    </row>
    <row r="4864" spans="1:8">
      <c r="A4864" s="195"/>
      <c r="B4864" s="195" t="s">
        <v>206</v>
      </c>
      <c r="C4864"/>
      <c r="D4864" s="197"/>
      <c r="E4864" s="197" t="s">
        <v>95</v>
      </c>
      <c r="F4864" s="197" t="s">
        <v>252</v>
      </c>
      <c r="G4864" s="197" t="s">
        <v>270</v>
      </c>
      <c r="H4864" s="197" t="s">
        <v>415</v>
      </c>
    </row>
    <row r="4865" spans="1:12">
      <c r="A4865" s="195"/>
      <c r="B4865" s="195" t="s">
        <v>207</v>
      </c>
      <c r="C4865"/>
      <c r="D4865" s="197" t="s">
        <v>515</v>
      </c>
      <c r="E4865" s="197" t="s">
        <v>95</v>
      </c>
      <c r="F4865" s="197" t="s">
        <v>252</v>
      </c>
      <c r="G4865" s="197" t="s">
        <v>270</v>
      </c>
      <c r="H4865" s="197" t="s">
        <v>415</v>
      </c>
    </row>
    <row r="4866" spans="1:12">
      <c r="A4866" s="195"/>
      <c r="B4866" s="196" t="s">
        <v>223</v>
      </c>
      <c r="C4866"/>
      <c r="D4866" s="197" t="s">
        <v>515</v>
      </c>
      <c r="E4866" s="197" t="s">
        <v>95</v>
      </c>
      <c r="F4866" s="197" t="s">
        <v>252</v>
      </c>
      <c r="G4866" s="197" t="s">
        <v>270</v>
      </c>
      <c r="H4866" s="197" t="s">
        <v>415</v>
      </c>
    </row>
    <row r="4867" spans="1:12">
      <c r="A4867" s="195"/>
      <c r="B4867" s="195" t="s">
        <v>205</v>
      </c>
      <c r="C4867"/>
      <c r="D4867" s="197" t="s">
        <v>269</v>
      </c>
      <c r="E4867" s="197" t="s">
        <v>95</v>
      </c>
      <c r="F4867" s="197" t="s">
        <v>252</v>
      </c>
      <c r="G4867" s="197" t="s">
        <v>270</v>
      </c>
      <c r="H4867" s="197" t="s">
        <v>415</v>
      </c>
    </row>
    <row r="4868" spans="1:12">
      <c r="A4868" s="195"/>
      <c r="B4868" s="195" t="s">
        <v>206</v>
      </c>
      <c r="C4868"/>
      <c r="D4868" s="197" t="s">
        <v>269</v>
      </c>
      <c r="E4868" s="197" t="s">
        <v>95</v>
      </c>
      <c r="F4868" s="197" t="s">
        <v>252</v>
      </c>
      <c r="G4868" s="197" t="s">
        <v>270</v>
      </c>
      <c r="H4868" s="197" t="s">
        <v>415</v>
      </c>
    </row>
    <row r="4869" spans="1:12">
      <c r="A4869" s="195"/>
      <c r="B4869" s="195" t="s">
        <v>207</v>
      </c>
      <c r="C4869"/>
      <c r="D4869" s="197" t="s">
        <v>237</v>
      </c>
      <c r="E4869" s="197" t="s">
        <v>95</v>
      </c>
      <c r="F4869" s="197" t="s">
        <v>252</v>
      </c>
      <c r="G4869" s="197" t="s">
        <v>270</v>
      </c>
      <c r="H4869" s="197" t="s">
        <v>415</v>
      </c>
    </row>
    <row r="4870" spans="1:12">
      <c r="A4870" s="195"/>
      <c r="B4870" s="196" t="s">
        <v>225</v>
      </c>
      <c r="C4870"/>
      <c r="D4870" s="197" t="s">
        <v>237</v>
      </c>
      <c r="E4870" s="197" t="s">
        <v>95</v>
      </c>
      <c r="F4870" s="197" t="s">
        <v>252</v>
      </c>
      <c r="G4870" s="197" t="s">
        <v>270</v>
      </c>
      <c r="H4870" s="197" t="s">
        <v>415</v>
      </c>
    </row>
    <row r="4871" spans="1:12">
      <c r="A4871" s="195"/>
      <c r="B4871" s="195" t="s">
        <v>205</v>
      </c>
      <c r="C4871"/>
      <c r="D4871" s="197" t="s">
        <v>236</v>
      </c>
      <c r="E4871" s="197" t="s">
        <v>95</v>
      </c>
      <c r="F4871" s="197" t="s">
        <v>252</v>
      </c>
      <c r="G4871" s="197" t="s">
        <v>270</v>
      </c>
      <c r="H4871" s="197" t="s">
        <v>415</v>
      </c>
    </row>
    <row r="4872" spans="1:12">
      <c r="A4872" s="195"/>
      <c r="B4872" s="195" t="s">
        <v>206</v>
      </c>
      <c r="C4872"/>
      <c r="D4872" s="197" t="s">
        <v>193</v>
      </c>
      <c r="E4872" s="197"/>
      <c r="F4872" s="197"/>
      <c r="G4872" s="197" t="s">
        <v>270</v>
      </c>
      <c r="H4872" s="197" t="s">
        <v>415</v>
      </c>
    </row>
    <row r="4873" spans="1:12">
      <c r="A4873" s="195"/>
      <c r="B4873" s="195" t="s">
        <v>207</v>
      </c>
      <c r="C4873"/>
      <c r="D4873" s="197"/>
      <c r="E4873" s="197"/>
      <c r="F4873" s="197"/>
      <c r="G4873" s="197" t="s">
        <v>270</v>
      </c>
      <c r="H4873" s="197" t="s">
        <v>415</v>
      </c>
    </row>
    <row r="4874" spans="1:12">
      <c r="A4874" s="195"/>
      <c r="B4874" s="196" t="s">
        <v>226</v>
      </c>
      <c r="C4874"/>
      <c r="D4874" s="197"/>
      <c r="E4874" s="197"/>
      <c r="F4874" s="197"/>
      <c r="G4874" s="197"/>
      <c r="H4874" s="209"/>
    </row>
    <row r="4875" spans="1:12">
      <c r="A4875" s="195"/>
      <c r="B4875" s="195" t="s">
        <v>205</v>
      </c>
      <c r="C4875"/>
      <c r="D4875" s="197"/>
      <c r="E4875" s="197"/>
      <c r="F4875" s="197"/>
      <c r="G4875" s="197"/>
      <c r="H4875" s="209"/>
    </row>
    <row r="4876" spans="1:12">
      <c r="A4876" s="195"/>
      <c r="B4876" s="195" t="s">
        <v>206</v>
      </c>
      <c r="C4876"/>
      <c r="D4876" s="197"/>
      <c r="E4876" s="197"/>
      <c r="F4876" s="197"/>
      <c r="G4876" s="197"/>
      <c r="H4876" s="209"/>
    </row>
    <row r="4877" spans="1:12">
      <c r="A4877" s="195"/>
      <c r="B4877" s="195" t="s">
        <v>207</v>
      </c>
      <c r="C4877"/>
      <c r="D4877" s="197"/>
      <c r="E4877" s="197"/>
      <c r="F4877" s="197"/>
      <c r="G4877" s="197"/>
      <c r="H4877" s="209"/>
    </row>
    <row r="4878" spans="1:12">
      <c r="A4878" s="195"/>
      <c r="B4878" s="196" t="s">
        <v>227</v>
      </c>
      <c r="C4878"/>
      <c r="D4878" s="197"/>
      <c r="E4878" s="197"/>
      <c r="F4878" s="197"/>
      <c r="G4878" s="197"/>
      <c r="H4878" s="209"/>
      <c r="K4878"/>
    </row>
    <row r="4879" spans="1:12" ht="29.25" thickBot="1">
      <c r="A4879" s="182" t="str">
        <f>"回収シフト  第"&amp;ROUNDUP(DAY(B4882)/7,0)  &amp;"  "&amp;TEXT(B4882,"aaaa")</f>
        <v>回収シフト  第3  金曜日</v>
      </c>
      <c r="B4879" s="183"/>
      <c r="C4879" s="183"/>
      <c r="D4879" s="183"/>
      <c r="E4879" s="183"/>
      <c r="F4879" s="183"/>
      <c r="G4879" s="184"/>
      <c r="H4879" s="184"/>
      <c r="K4879" s="183"/>
      <c r="L4879" s="183"/>
    </row>
    <row r="4880" spans="1:12" ht="15.75" thickBot="1">
      <c r="A4880"/>
      <c r="B4880"/>
      <c r="C4880"/>
      <c r="D4880" s="186" t="s">
        <v>201</v>
      </c>
      <c r="E4880" s="186" t="s">
        <v>202</v>
      </c>
      <c r="F4880" s="186" t="s">
        <v>203</v>
      </c>
      <c r="G4880" s="186" t="s">
        <v>204</v>
      </c>
      <c r="H4880" s="186" t="s">
        <v>267</v>
      </c>
      <c r="I4880" s="186" t="s">
        <v>987</v>
      </c>
      <c r="K4880" s="230" t="s">
        <v>257</v>
      </c>
      <c r="L4880" s="231"/>
    </row>
    <row r="4881" spans="1:12">
      <c r="A4881" s="187"/>
      <c r="B4881" s="188">
        <v>46119</v>
      </c>
      <c r="C4881" s="187"/>
      <c r="D4881" s="189" t="s">
        <v>874</v>
      </c>
      <c r="E4881" s="189" t="s">
        <v>248</v>
      </c>
      <c r="F4881" s="189" t="s">
        <v>276</v>
      </c>
      <c r="G4881" s="189" t="s">
        <v>925</v>
      </c>
      <c r="H4881" s="189" t="s">
        <v>852</v>
      </c>
      <c r="I4881" s="189" t="s">
        <v>649</v>
      </c>
      <c r="K4881" s="232" t="s">
        <v>258</v>
      </c>
      <c r="L4881" s="190" t="str">
        <f>_xlfn.XLOOKUP($B4882,シフト抽出!$19:$19,シフト抽出!$20:$20,"該当なし",0,1)</f>
        <v>該当なし</v>
      </c>
    </row>
    <row r="4882" spans="1:12" ht="19.5" thickBot="1">
      <c r="A4882"/>
      <c r="B4882" s="191">
        <f>B4829+1</f>
        <v>46220</v>
      </c>
      <c r="C4882" s="192"/>
      <c r="D4882" s="193"/>
      <c r="E4882" s="193"/>
      <c r="F4882" s="193"/>
      <c r="G4882" s="193"/>
      <c r="H4882" s="193"/>
      <c r="I4882" s="193"/>
      <c r="K4882" s="233"/>
      <c r="L4882" s="194" t="str">
        <f>_xlfn.XLOOKUP($B4882,シフト抽出!$19:$19,シフト抽出!$21:$21,"該当なし",0,1)</f>
        <v>該当なし</v>
      </c>
    </row>
    <row r="4883" spans="1:12">
      <c r="A4883" s="195"/>
      <c r="B4883" s="196">
        <v>0.25</v>
      </c>
      <c r="C4883"/>
      <c r="D4883" s="197"/>
      <c r="E4883" s="196"/>
      <c r="F4883" s="197"/>
      <c r="G4883" s="197"/>
      <c r="H4883" s="197"/>
      <c r="I4883" s="197"/>
      <c r="K4883" s="234" t="s">
        <v>259</v>
      </c>
      <c r="L4883" s="198" t="str">
        <f>_xlfn.XLOOKUP($B4882,シフト抽出!$19:$19,シフト抽出!$23:$23,"該当なし",0,1)</f>
        <v>該当なし</v>
      </c>
    </row>
    <row r="4884" spans="1:12" ht="15.75" thickBot="1">
      <c r="A4884" s="195"/>
      <c r="B4884" s="195" t="s">
        <v>205</v>
      </c>
      <c r="C4884"/>
      <c r="D4884" s="197"/>
      <c r="E4884" s="197"/>
      <c r="F4884" s="197"/>
      <c r="G4884" s="197"/>
      <c r="H4884" s="197"/>
      <c r="I4884" s="197"/>
      <c r="K4884" s="235"/>
      <c r="L4884" s="199" t="str">
        <f>_xlfn.XLOOKUP($B4882,シフト抽出!$19:$19,シフト抽出!$24:$24,"該当なし",0,1)</f>
        <v>該当なし</v>
      </c>
    </row>
    <row r="4885" spans="1:12">
      <c r="A4885" s="195"/>
      <c r="B4885" s="195" t="s">
        <v>206</v>
      </c>
      <c r="C4885"/>
      <c r="D4885" s="197" t="s">
        <v>851</v>
      </c>
      <c r="E4885" s="197"/>
      <c r="F4885" s="197" t="s">
        <v>238</v>
      </c>
      <c r="G4885" s="197"/>
      <c r="H4885" s="197"/>
      <c r="I4885" s="197"/>
      <c r="K4885" s="224" t="s">
        <v>260</v>
      </c>
      <c r="L4885" s="200" t="str">
        <f>_xlfn.XLOOKUP($B4882,シフト抽出!$19:$19,シフト抽出!$26:$26,"該当なし",0,1)</f>
        <v>該当なし</v>
      </c>
    </row>
    <row r="4886" spans="1:12">
      <c r="A4886" s="195"/>
      <c r="B4886" s="195" t="s">
        <v>207</v>
      </c>
      <c r="C4886"/>
      <c r="D4886" s="197" t="s">
        <v>851</v>
      </c>
      <c r="E4886" s="197"/>
      <c r="F4886" s="197" t="s">
        <v>238</v>
      </c>
      <c r="G4886" s="197"/>
      <c r="H4886" s="197"/>
      <c r="I4886" s="197"/>
      <c r="K4886" s="225"/>
      <c r="L4886" s="201" t="str">
        <f>_xlfn.XLOOKUP($B4882,シフト抽出!$19:$19,シフト抽出!$27:$27,"該当なし",0,1)</f>
        <v>該当なし</v>
      </c>
    </row>
    <row r="4887" spans="1:12">
      <c r="A4887" s="195"/>
      <c r="B4887" s="202" t="s">
        <v>208</v>
      </c>
      <c r="C4887"/>
      <c r="D4887" s="197" t="s">
        <v>851</v>
      </c>
      <c r="E4887" s="197" t="s">
        <v>273</v>
      </c>
      <c r="F4887" s="197" t="s">
        <v>238</v>
      </c>
      <c r="G4887" s="197" t="s">
        <v>788</v>
      </c>
      <c r="H4887" s="197"/>
      <c r="I4887" s="197"/>
      <c r="J4887" s="203"/>
      <c r="K4887" s="225"/>
      <c r="L4887" s="201" t="str">
        <f>_xlfn.XLOOKUP($B4882,シフト抽出!$19:$19,シフト抽出!$28:$28,"該当なし",0,1)</f>
        <v>該当なし</v>
      </c>
    </row>
    <row r="4888" spans="1:12" ht="15.75" thickBot="1">
      <c r="A4888" s="195"/>
      <c r="B4888" s="195" t="s">
        <v>205</v>
      </c>
      <c r="C4888"/>
      <c r="D4888" s="197" t="s">
        <v>851</v>
      </c>
      <c r="E4888" s="197" t="s">
        <v>273</v>
      </c>
      <c r="F4888" s="197" t="s">
        <v>238</v>
      </c>
      <c r="G4888" s="197" t="s">
        <v>788</v>
      </c>
      <c r="H4888" s="197"/>
      <c r="I4888" s="197"/>
      <c r="J4888" s="203"/>
      <c r="K4888" s="226"/>
      <c r="L4888" s="204" t="str">
        <f>_xlfn.XLOOKUP($B4882,シフト抽出!$19:$19,シフト抽出!$29:$29,"該当なし",0,1)</f>
        <v>該当なし</v>
      </c>
    </row>
    <row r="4889" spans="1:12" ht="15.75" thickBot="1">
      <c r="A4889" s="195"/>
      <c r="B4889" s="195" t="s">
        <v>206</v>
      </c>
      <c r="C4889"/>
      <c r="D4889" s="197" t="s">
        <v>851</v>
      </c>
      <c r="E4889" s="197" t="s">
        <v>420</v>
      </c>
      <c r="F4889" s="197" t="s">
        <v>238</v>
      </c>
      <c r="G4889" s="197" t="s">
        <v>22</v>
      </c>
      <c r="H4889" s="197"/>
      <c r="I4889" s="197"/>
      <c r="K4889" s="205" t="s">
        <v>261</v>
      </c>
      <c r="L4889" s="205">
        <f>_xlfn.XLOOKUP($B4882,予定表!B:B,予定表!R:R,"該当なし",0,1)</f>
        <v>0</v>
      </c>
    </row>
    <row r="4890" spans="1:12">
      <c r="A4890" s="195"/>
      <c r="B4890" s="195" t="s">
        <v>207</v>
      </c>
      <c r="C4890"/>
      <c r="D4890" s="197" t="s">
        <v>851</v>
      </c>
      <c r="E4890" s="197" t="s">
        <v>420</v>
      </c>
      <c r="F4890" s="197" t="s">
        <v>238</v>
      </c>
      <c r="G4890" s="197" t="s">
        <v>788</v>
      </c>
      <c r="H4890" s="197"/>
      <c r="I4890" s="197"/>
      <c r="K4890" s="227" t="s">
        <v>262</v>
      </c>
      <c r="L4890" s="206" t="str">
        <f>_xlfn.XLOOKUP($B4882,予定表!$B:$B,予定表!E:E,"該当なし",0,1)</f>
        <v>タチオカ</v>
      </c>
    </row>
    <row r="4891" spans="1:12">
      <c r="A4891" s="195"/>
      <c r="B4891" s="196" t="s">
        <v>209</v>
      </c>
      <c r="C4891"/>
      <c r="D4891" s="197" t="s">
        <v>851</v>
      </c>
      <c r="E4891" s="197" t="s">
        <v>420</v>
      </c>
      <c r="F4891" s="197"/>
      <c r="G4891" s="197" t="s">
        <v>788</v>
      </c>
      <c r="H4891" s="197" t="s">
        <v>4</v>
      </c>
      <c r="I4891" s="197"/>
      <c r="K4891" s="228"/>
      <c r="L4891" s="207" t="str">
        <f>_xlfn.XLOOKUP($B4882,予定表!$B:$B,予定表!F:F,"該当なし",0,1)</f>
        <v>IWD(㈱大勝)</v>
      </c>
    </row>
    <row r="4892" spans="1:12">
      <c r="A4892" s="195"/>
      <c r="B4892" s="195" t="s">
        <v>205</v>
      </c>
      <c r="C4892"/>
      <c r="D4892" s="197"/>
      <c r="E4892" s="197" t="s">
        <v>420</v>
      </c>
      <c r="F4892" s="197" t="s">
        <v>264</v>
      </c>
      <c r="G4892" s="197" t="s">
        <v>268</v>
      </c>
      <c r="H4892" s="197" t="s">
        <v>60</v>
      </c>
      <c r="I4892" s="197"/>
      <c r="K4892" s="228"/>
      <c r="L4892" s="207" t="str">
        <f>_xlfn.XLOOKUP($B4882,予定表!$B:$B,予定表!G:G,"該当なし",0,1)</f>
        <v>ディーミング</v>
      </c>
    </row>
    <row r="4893" spans="1:12">
      <c r="A4893" s="195"/>
      <c r="B4893" s="195" t="s">
        <v>206</v>
      </c>
      <c r="C4893"/>
      <c r="D4893" s="197" t="s">
        <v>239</v>
      </c>
      <c r="E4893" s="197" t="s">
        <v>414</v>
      </c>
      <c r="F4893" s="197" t="s">
        <v>416</v>
      </c>
      <c r="G4893" s="197" t="s">
        <v>268</v>
      </c>
      <c r="H4893" s="197" t="s">
        <v>60</v>
      </c>
      <c r="I4893" s="197"/>
      <c r="K4893" s="228"/>
      <c r="L4893" s="207">
        <f>_xlfn.XLOOKUP($B4882,予定表!$B:$B,予定表!H:H,"該当なし",0,1)</f>
        <v>0</v>
      </c>
    </row>
    <row r="4894" spans="1:12">
      <c r="A4894" s="195"/>
      <c r="B4894" s="195" t="s">
        <v>207</v>
      </c>
      <c r="C4894"/>
      <c r="D4894" s="197" t="s">
        <v>239</v>
      </c>
      <c r="E4894" s="197" t="s">
        <v>414</v>
      </c>
      <c r="F4894" s="197" t="s">
        <v>771</v>
      </c>
      <c r="G4894" s="197" t="s">
        <v>268</v>
      </c>
      <c r="H4894" s="197" t="s">
        <v>60</v>
      </c>
      <c r="I4894" s="197"/>
      <c r="K4894" s="228"/>
      <c r="L4894" s="207">
        <f>_xlfn.XLOOKUP($B4882,予定表!$B:$B,予定表!I:I,"該当なし",0,1)</f>
        <v>0</v>
      </c>
    </row>
    <row r="4895" spans="1:12">
      <c r="A4895" s="195"/>
      <c r="B4895" s="196" t="s">
        <v>212</v>
      </c>
      <c r="C4895"/>
      <c r="D4895" s="197" t="s">
        <v>240</v>
      </c>
      <c r="E4895" s="197" t="s">
        <v>414</v>
      </c>
      <c r="F4895" s="197" t="s">
        <v>416</v>
      </c>
      <c r="G4895" s="197" t="s">
        <v>268</v>
      </c>
      <c r="H4895" s="197"/>
      <c r="I4895" s="197"/>
      <c r="K4895" s="228"/>
      <c r="L4895" s="207">
        <f>_xlfn.XLOOKUP($B4882,予定表!$B:$B,予定表!J:J,"該当なし",0,1)</f>
        <v>0</v>
      </c>
    </row>
    <row r="4896" spans="1:12">
      <c r="A4896" s="195"/>
      <c r="B4896" s="195" t="s">
        <v>205</v>
      </c>
      <c r="C4896"/>
      <c r="D4896" s="197" t="s">
        <v>353</v>
      </c>
      <c r="E4896" s="197" t="s">
        <v>414</v>
      </c>
      <c r="F4896" s="197" t="s">
        <v>416</v>
      </c>
      <c r="G4896" s="197" t="s">
        <v>268</v>
      </c>
      <c r="H4896" s="197" t="s">
        <v>848</v>
      </c>
      <c r="I4896" s="197"/>
      <c r="K4896" s="228"/>
      <c r="L4896" s="207">
        <f>_xlfn.XLOOKUP($B4882,予定表!$B:$B,予定表!K:K,"該当なし",0,1)</f>
        <v>0</v>
      </c>
    </row>
    <row r="4897" spans="1:12">
      <c r="A4897" s="195"/>
      <c r="B4897" s="195" t="s">
        <v>206</v>
      </c>
      <c r="C4897"/>
      <c r="D4897" s="197" t="s">
        <v>353</v>
      </c>
      <c r="E4897" s="197" t="s">
        <v>854</v>
      </c>
      <c r="F4897" s="197" t="s">
        <v>416</v>
      </c>
      <c r="G4897" s="197" t="s">
        <v>515</v>
      </c>
      <c r="H4897" s="197" t="s">
        <v>848</v>
      </c>
      <c r="I4897" s="197"/>
      <c r="K4897" s="228"/>
      <c r="L4897" s="207">
        <f>_xlfn.XLOOKUP($B4882,予定表!$B:$B,予定表!L:L,"該当なし",0,1)</f>
        <v>0</v>
      </c>
    </row>
    <row r="4898" spans="1:12" ht="15.75" thickBot="1">
      <c r="A4898" s="195"/>
      <c r="B4898" s="195" t="s">
        <v>207</v>
      </c>
      <c r="C4898"/>
      <c r="D4898" s="197" t="s">
        <v>353</v>
      </c>
      <c r="E4898" s="197" t="s">
        <v>854</v>
      </c>
      <c r="F4898" s="197"/>
      <c r="G4898" s="197" t="s">
        <v>515</v>
      </c>
      <c r="H4898" s="197" t="s">
        <v>848</v>
      </c>
      <c r="I4898" s="197"/>
      <c r="K4898" s="229"/>
      <c r="L4898" s="204" t="str">
        <f>_xlfn.XLOOKUP($A4879,ﾘｽﾄマスタ!$U$8:$U$17,ﾘｽﾄマスタ!$V$8:$V$17,"",0)</f>
        <v>LIXIL厚木</v>
      </c>
    </row>
    <row r="4899" spans="1:12" ht="15.75" thickBot="1">
      <c r="A4899" s="195"/>
      <c r="B4899" s="196" t="s">
        <v>251</v>
      </c>
      <c r="C4899"/>
      <c r="D4899" s="197" t="s">
        <v>761</v>
      </c>
      <c r="E4899" s="197" t="s">
        <v>854</v>
      </c>
      <c r="F4899" s="197" t="s">
        <v>988</v>
      </c>
      <c r="G4899" s="197" t="s">
        <v>515</v>
      </c>
      <c r="H4899" s="197" t="s">
        <v>848</v>
      </c>
      <c r="I4899" s="197"/>
      <c r="K4899" s="208" t="s">
        <v>277</v>
      </c>
      <c r="L4899" s="208" t="str">
        <f>_xlfn.XLOOKUP($B4882,シフト抽出!$19:$19,シフト抽出!$30:$30,"該当なし",0,1)</f>
        <v>該当なし</v>
      </c>
    </row>
    <row r="4900" spans="1:12">
      <c r="A4900" s="195"/>
      <c r="B4900" s="195" t="s">
        <v>205</v>
      </c>
      <c r="C4900"/>
      <c r="D4900" s="197" t="s">
        <v>761</v>
      </c>
      <c r="E4900" s="197" t="s">
        <v>854</v>
      </c>
      <c r="F4900" s="197" t="s">
        <v>280</v>
      </c>
      <c r="G4900" s="197" t="s">
        <v>269</v>
      </c>
      <c r="H4900" s="197" t="s">
        <v>848</v>
      </c>
      <c r="I4900" s="197"/>
    </row>
    <row r="4901" spans="1:12">
      <c r="A4901" s="195"/>
      <c r="B4901" s="195" t="s">
        <v>206</v>
      </c>
      <c r="C4901"/>
      <c r="D4901" s="197" t="s">
        <v>761</v>
      </c>
      <c r="E4901" s="197" t="s">
        <v>216</v>
      </c>
      <c r="F4901" s="197" t="s">
        <v>215</v>
      </c>
      <c r="G4901" s="197" t="s">
        <v>269</v>
      </c>
      <c r="H4901" s="197" t="s">
        <v>848</v>
      </c>
      <c r="I4901" s="197"/>
    </row>
    <row r="4902" spans="1:12">
      <c r="A4902" s="195"/>
      <c r="B4902" s="195" t="s">
        <v>207</v>
      </c>
      <c r="C4902"/>
      <c r="D4902" s="197" t="s">
        <v>761</v>
      </c>
      <c r="E4902" s="197" t="s">
        <v>216</v>
      </c>
      <c r="F4902" s="197" t="s">
        <v>51</v>
      </c>
      <c r="G4902" s="197" t="s">
        <v>446</v>
      </c>
      <c r="H4902" s="197" t="s">
        <v>848</v>
      </c>
      <c r="I4902" s="197"/>
    </row>
    <row r="4903" spans="1:12">
      <c r="A4903" s="195"/>
      <c r="B4903" s="196" t="s">
        <v>217</v>
      </c>
      <c r="C4903"/>
      <c r="D4903" s="197" t="s">
        <v>214</v>
      </c>
      <c r="E4903" s="197" t="s">
        <v>216</v>
      </c>
      <c r="F4903" s="197" t="s">
        <v>51</v>
      </c>
      <c r="G4903" s="197" t="s">
        <v>446</v>
      </c>
      <c r="H4903" s="197" t="s">
        <v>848</v>
      </c>
      <c r="I4903" s="197" t="s">
        <v>395</v>
      </c>
    </row>
    <row r="4904" spans="1:12">
      <c r="A4904" s="195"/>
      <c r="B4904" s="195" t="s">
        <v>205</v>
      </c>
      <c r="C4904"/>
      <c r="D4904" s="197" t="s">
        <v>214</v>
      </c>
      <c r="E4904" s="197" t="s">
        <v>216</v>
      </c>
      <c r="F4904" s="197" t="s">
        <v>51</v>
      </c>
      <c r="G4904" s="197" t="s">
        <v>114</v>
      </c>
      <c r="H4904" s="197" t="s">
        <v>848</v>
      </c>
      <c r="I4904" s="197" t="s">
        <v>395</v>
      </c>
    </row>
    <row r="4905" spans="1:12">
      <c r="A4905" s="195"/>
      <c r="B4905" s="195" t="s">
        <v>206</v>
      </c>
      <c r="C4905"/>
      <c r="D4905" s="197" t="s">
        <v>214</v>
      </c>
      <c r="E4905" s="197" t="s">
        <v>216</v>
      </c>
      <c r="F4905" s="197" t="s">
        <v>51</v>
      </c>
      <c r="G4905" s="197" t="s">
        <v>114</v>
      </c>
      <c r="H4905" s="197" t="s">
        <v>848</v>
      </c>
      <c r="I4905" s="197" t="s">
        <v>395</v>
      </c>
    </row>
    <row r="4906" spans="1:12">
      <c r="A4906" s="195"/>
      <c r="B4906" s="195" t="s">
        <v>207</v>
      </c>
      <c r="C4906"/>
      <c r="D4906" s="197" t="s">
        <v>214</v>
      </c>
      <c r="E4906" s="197" t="s">
        <v>216</v>
      </c>
      <c r="F4906" s="197" t="s">
        <v>51</v>
      </c>
      <c r="G4906" s="197" t="s">
        <v>114</v>
      </c>
      <c r="H4906" s="197"/>
      <c r="I4906" s="197" t="s">
        <v>395</v>
      </c>
    </row>
    <row r="4907" spans="1:12">
      <c r="A4907" s="195"/>
      <c r="B4907" s="196" t="s">
        <v>219</v>
      </c>
      <c r="C4907"/>
      <c r="D4907" s="197"/>
      <c r="E4907" s="197"/>
      <c r="F4907" s="197"/>
      <c r="G4907" s="197"/>
      <c r="H4907" s="197"/>
      <c r="I4907" s="197" t="s">
        <v>395</v>
      </c>
    </row>
    <row r="4908" spans="1:12">
      <c r="A4908" s="195"/>
      <c r="B4908" s="195" t="s">
        <v>205</v>
      </c>
      <c r="C4908"/>
      <c r="D4908" s="197"/>
      <c r="E4908" s="197"/>
      <c r="F4908" s="197"/>
      <c r="G4908" s="197"/>
      <c r="H4908" s="197"/>
      <c r="I4908" s="197" t="s">
        <v>395</v>
      </c>
    </row>
    <row r="4909" spans="1:12">
      <c r="A4909" s="195"/>
      <c r="B4909" s="195" t="s">
        <v>206</v>
      </c>
      <c r="C4909"/>
      <c r="D4909" s="197"/>
      <c r="E4909" s="197"/>
      <c r="F4909" s="197"/>
      <c r="G4909" s="197"/>
      <c r="H4909" s="197" t="s">
        <v>884</v>
      </c>
      <c r="I4909" s="197" t="s">
        <v>395</v>
      </c>
    </row>
    <row r="4910" spans="1:12">
      <c r="A4910" s="195"/>
      <c r="B4910" s="195" t="s">
        <v>207</v>
      </c>
      <c r="C4910"/>
      <c r="D4910" s="197"/>
      <c r="E4910" s="197"/>
      <c r="F4910" s="197"/>
      <c r="G4910" s="197"/>
      <c r="H4910" s="197" t="s">
        <v>884</v>
      </c>
      <c r="I4910" s="197" t="s">
        <v>395</v>
      </c>
    </row>
    <row r="4911" spans="1:12">
      <c r="A4911" s="195"/>
      <c r="B4911" s="196" t="s">
        <v>220</v>
      </c>
      <c r="C4911"/>
      <c r="D4911" s="197"/>
      <c r="E4911" s="197"/>
      <c r="F4911" s="197"/>
      <c r="G4911" s="197"/>
      <c r="H4911" s="197" t="s">
        <v>231</v>
      </c>
      <c r="I4911" s="197" t="s">
        <v>395</v>
      </c>
    </row>
    <row r="4912" spans="1:12">
      <c r="A4912" s="195"/>
      <c r="B4912" s="195" t="s">
        <v>205</v>
      </c>
      <c r="C4912"/>
      <c r="D4912" s="197" t="s">
        <v>759</v>
      </c>
      <c r="E4912" s="197" t="s">
        <v>266</v>
      </c>
      <c r="F4912" s="197" t="s">
        <v>224</v>
      </c>
      <c r="G4912" s="197" t="s">
        <v>56</v>
      </c>
      <c r="H4912" s="197" t="s">
        <v>231</v>
      </c>
      <c r="I4912" s="197" t="s">
        <v>395</v>
      </c>
    </row>
    <row r="4913" spans="1:9">
      <c r="A4913" s="195"/>
      <c r="B4913" s="195" t="s">
        <v>206</v>
      </c>
      <c r="C4913"/>
      <c r="D4913" s="197" t="s">
        <v>759</v>
      </c>
      <c r="E4913" s="197" t="s">
        <v>266</v>
      </c>
      <c r="F4913" s="197" t="s">
        <v>224</v>
      </c>
      <c r="G4913" s="197" t="s">
        <v>56</v>
      </c>
      <c r="H4913" s="197" t="s">
        <v>211</v>
      </c>
      <c r="I4913" s="197" t="s">
        <v>395</v>
      </c>
    </row>
    <row r="4914" spans="1:9">
      <c r="A4914" s="195"/>
      <c r="B4914" s="195" t="s">
        <v>207</v>
      </c>
      <c r="C4914"/>
      <c r="D4914" s="197" t="s">
        <v>759</v>
      </c>
      <c r="E4914" s="197" t="s">
        <v>266</v>
      </c>
      <c r="F4914" s="197" t="s">
        <v>224</v>
      </c>
      <c r="G4914" s="197" t="s">
        <v>56</v>
      </c>
      <c r="H4914" s="197" t="s">
        <v>211</v>
      </c>
      <c r="I4914" s="197" t="s">
        <v>395</v>
      </c>
    </row>
    <row r="4915" spans="1:9">
      <c r="A4915" s="195"/>
      <c r="B4915" s="196" t="s">
        <v>222</v>
      </c>
      <c r="C4915"/>
      <c r="D4915" s="197" t="s">
        <v>759</v>
      </c>
      <c r="E4915" s="197" t="s">
        <v>266</v>
      </c>
      <c r="F4915" s="197" t="s">
        <v>423</v>
      </c>
      <c r="G4915" s="197"/>
      <c r="H4915" s="197"/>
      <c r="I4915" s="197"/>
    </row>
    <row r="4916" spans="1:9">
      <c r="A4916" s="195"/>
      <c r="B4916" s="195" t="s">
        <v>205</v>
      </c>
      <c r="C4916"/>
      <c r="D4916" s="197" t="s">
        <v>416</v>
      </c>
      <c r="E4916" s="197" t="s">
        <v>252</v>
      </c>
      <c r="F4916" s="197" t="s">
        <v>588</v>
      </c>
      <c r="G4916" s="197" t="s">
        <v>270</v>
      </c>
      <c r="H4916" s="197" t="s">
        <v>856</v>
      </c>
      <c r="I4916" s="197"/>
    </row>
    <row r="4917" spans="1:9">
      <c r="A4917" s="195"/>
      <c r="B4917" s="195" t="s">
        <v>206</v>
      </c>
      <c r="C4917"/>
      <c r="D4917" s="197" t="s">
        <v>954</v>
      </c>
      <c r="E4917" s="197" t="s">
        <v>252</v>
      </c>
      <c r="F4917" s="197" t="s">
        <v>127</v>
      </c>
      <c r="G4917" s="197" t="s">
        <v>270</v>
      </c>
      <c r="H4917" s="197" t="s">
        <v>856</v>
      </c>
      <c r="I4917" s="197"/>
    </row>
    <row r="4918" spans="1:9">
      <c r="A4918" s="195"/>
      <c r="B4918" s="195" t="s">
        <v>207</v>
      </c>
      <c r="C4918"/>
      <c r="D4918" s="197" t="s">
        <v>416</v>
      </c>
      <c r="E4918" s="197" t="s">
        <v>252</v>
      </c>
      <c r="F4918" s="197"/>
      <c r="G4918" s="197" t="s">
        <v>270</v>
      </c>
      <c r="H4918" s="197" t="s">
        <v>856</v>
      </c>
      <c r="I4918" s="197"/>
    </row>
    <row r="4919" spans="1:9">
      <c r="A4919" s="195"/>
      <c r="B4919" s="196" t="s">
        <v>223</v>
      </c>
      <c r="C4919"/>
      <c r="D4919" s="197" t="s">
        <v>951</v>
      </c>
      <c r="E4919" s="197" t="s">
        <v>252</v>
      </c>
      <c r="F4919" s="197" t="s">
        <v>62</v>
      </c>
      <c r="G4919" s="197" t="s">
        <v>270</v>
      </c>
      <c r="H4919" s="197" t="s">
        <v>856</v>
      </c>
      <c r="I4919" s="197"/>
    </row>
    <row r="4920" spans="1:9">
      <c r="A4920" s="195"/>
      <c r="B4920" s="195" t="s">
        <v>205</v>
      </c>
      <c r="C4920"/>
      <c r="D4920" s="197" t="s">
        <v>416</v>
      </c>
      <c r="E4920" s="197" t="s">
        <v>252</v>
      </c>
      <c r="F4920" s="197" t="s">
        <v>62</v>
      </c>
      <c r="G4920" s="197" t="s">
        <v>270</v>
      </c>
      <c r="H4920" s="197" t="s">
        <v>856</v>
      </c>
      <c r="I4920" s="197"/>
    </row>
    <row r="4921" spans="1:9">
      <c r="A4921" s="195"/>
      <c r="B4921" s="195" t="s">
        <v>206</v>
      </c>
      <c r="C4921"/>
      <c r="D4921" s="197" t="s">
        <v>984</v>
      </c>
      <c r="E4921" s="197" t="s">
        <v>252</v>
      </c>
      <c r="F4921" s="197" t="s">
        <v>62</v>
      </c>
      <c r="G4921" s="197" t="s">
        <v>270</v>
      </c>
      <c r="H4921" s="197" t="s">
        <v>856</v>
      </c>
      <c r="I4921" s="197"/>
    </row>
    <row r="4922" spans="1:9">
      <c r="A4922" s="195"/>
      <c r="B4922" s="195" t="s">
        <v>207</v>
      </c>
      <c r="C4922"/>
      <c r="D4922" s="197" t="s">
        <v>416</v>
      </c>
      <c r="E4922" s="197" t="s">
        <v>252</v>
      </c>
      <c r="F4922" s="197" t="s">
        <v>62</v>
      </c>
      <c r="G4922" s="197" t="s">
        <v>270</v>
      </c>
      <c r="H4922" s="197" t="s">
        <v>856</v>
      </c>
      <c r="I4922" s="197"/>
    </row>
    <row r="4923" spans="1:9">
      <c r="A4923" s="195"/>
      <c r="B4923" s="196" t="s">
        <v>225</v>
      </c>
      <c r="C4923"/>
      <c r="D4923" s="197"/>
      <c r="E4923" s="197" t="s">
        <v>252</v>
      </c>
      <c r="F4923" s="197" t="s">
        <v>62</v>
      </c>
      <c r="G4923" s="197" t="s">
        <v>270</v>
      </c>
      <c r="H4923" s="197" t="s">
        <v>415</v>
      </c>
      <c r="I4923" s="197"/>
    </row>
    <row r="4924" spans="1:9">
      <c r="A4924" s="195"/>
      <c r="B4924" s="195" t="s">
        <v>205</v>
      </c>
      <c r="C4924"/>
      <c r="D4924" s="197"/>
      <c r="E4924" s="197" t="s">
        <v>252</v>
      </c>
      <c r="F4924" s="197" t="s">
        <v>62</v>
      </c>
      <c r="G4924" s="197" t="s">
        <v>270</v>
      </c>
      <c r="H4924" s="209" t="s">
        <v>415</v>
      </c>
      <c r="I4924" s="197"/>
    </row>
    <row r="4925" spans="1:9">
      <c r="A4925" s="195"/>
      <c r="B4925" s="195" t="s">
        <v>206</v>
      </c>
      <c r="C4925"/>
      <c r="D4925" s="197"/>
      <c r="E4925" s="197" t="s">
        <v>252</v>
      </c>
      <c r="F4925" s="197" t="s">
        <v>62</v>
      </c>
      <c r="G4925" s="197" t="s">
        <v>270</v>
      </c>
      <c r="H4925" s="209" t="s">
        <v>415</v>
      </c>
      <c r="I4925" s="197"/>
    </row>
    <row r="4926" spans="1:9">
      <c r="A4926" s="195"/>
      <c r="B4926" s="195" t="s">
        <v>207</v>
      </c>
      <c r="C4926"/>
      <c r="D4926" s="197"/>
      <c r="E4926" s="197" t="s">
        <v>252</v>
      </c>
      <c r="F4926" s="197" t="s">
        <v>62</v>
      </c>
      <c r="G4926" s="197" t="s">
        <v>270</v>
      </c>
      <c r="H4926" s="209" t="s">
        <v>415</v>
      </c>
      <c r="I4926" s="197"/>
    </row>
    <row r="4927" spans="1:9">
      <c r="A4927" s="195"/>
      <c r="B4927" s="196" t="s">
        <v>226</v>
      </c>
      <c r="C4927"/>
      <c r="D4927" s="197"/>
      <c r="E4927" s="197"/>
      <c r="F4927" s="197"/>
      <c r="G4927" s="197" t="s">
        <v>270</v>
      </c>
      <c r="H4927" s="209"/>
      <c r="I4927" s="197"/>
    </row>
    <row r="4928" spans="1:9">
      <c r="A4928" s="195"/>
      <c r="B4928" s="195" t="s">
        <v>205</v>
      </c>
      <c r="C4928"/>
      <c r="D4928" s="197"/>
      <c r="E4928" s="197"/>
      <c r="F4928" s="197"/>
      <c r="G4928" s="197" t="s">
        <v>270</v>
      </c>
      <c r="H4928" s="209"/>
      <c r="I4928" s="209"/>
    </row>
    <row r="4929" spans="1:12">
      <c r="A4929" s="195"/>
      <c r="B4929" s="195" t="s">
        <v>206</v>
      </c>
      <c r="C4929"/>
      <c r="D4929" s="197"/>
      <c r="E4929" s="197"/>
      <c r="F4929" s="197"/>
      <c r="G4929" s="197" t="s">
        <v>270</v>
      </c>
      <c r="H4929" s="209"/>
      <c r="I4929" s="209"/>
    </row>
    <row r="4930" spans="1:12">
      <c r="A4930" s="195"/>
      <c r="B4930" s="195" t="s">
        <v>207</v>
      </c>
      <c r="C4930"/>
      <c r="D4930" s="197"/>
      <c r="E4930" s="197"/>
      <c r="F4930" s="197"/>
      <c r="G4930" s="197" t="s">
        <v>270</v>
      </c>
      <c r="H4930" s="209"/>
      <c r="I4930" s="209"/>
    </row>
    <row r="4931" spans="1:12">
      <c r="A4931" s="195"/>
      <c r="B4931" s="196" t="s">
        <v>227</v>
      </c>
      <c r="C4931"/>
      <c r="D4931" s="197"/>
      <c r="E4931" s="197"/>
      <c r="F4931" s="197"/>
      <c r="G4931" s="197"/>
      <c r="H4931" s="209"/>
      <c r="I4931" s="209"/>
      <c r="K4931"/>
    </row>
    <row r="4932" spans="1:12" ht="29.25" thickBot="1">
      <c r="A4932" s="182" t="str">
        <f>"回収シフト  第"&amp;ROUNDUP(DAY(B4935)/7,0)  &amp;"  "&amp;TEXT(B4935,"aaaa")</f>
        <v>回収シフト  第3  土曜日</v>
      </c>
      <c r="B4932" s="183"/>
      <c r="C4932" s="183"/>
      <c r="D4932" s="183"/>
      <c r="E4932" s="183"/>
      <c r="F4932" s="183"/>
      <c r="G4932" s="184"/>
      <c r="H4932" s="184"/>
      <c r="K4932" s="183"/>
      <c r="L4932" s="183"/>
    </row>
    <row r="4933" spans="1:12" ht="15.75" thickBot="1">
      <c r="A4933"/>
      <c r="B4933"/>
      <c r="C4933"/>
      <c r="D4933" s="186" t="s">
        <v>201</v>
      </c>
      <c r="E4933" s="186" t="s">
        <v>202</v>
      </c>
      <c r="F4933" s="186" t="s">
        <v>203</v>
      </c>
      <c r="G4933" s="186" t="s">
        <v>204</v>
      </c>
      <c r="H4933" s="186" t="s">
        <v>267</v>
      </c>
      <c r="K4933" s="230" t="s">
        <v>257</v>
      </c>
      <c r="L4933" s="231"/>
    </row>
    <row r="4934" spans="1:12">
      <c r="A4934" s="187"/>
      <c r="B4934" s="188">
        <v>46119</v>
      </c>
      <c r="C4934" s="187"/>
      <c r="D4934" s="189"/>
      <c r="E4934" s="189"/>
      <c r="F4934" s="189"/>
      <c r="G4934" s="189"/>
      <c r="H4934" s="189"/>
      <c r="K4934" s="232" t="s">
        <v>258</v>
      </c>
      <c r="L4934" s="190" t="str">
        <f>_xlfn.XLOOKUP($B4935,シフト抽出!$19:$19,シフト抽出!$20:$20,"該当なし",0,1)</f>
        <v>該当なし</v>
      </c>
    </row>
    <row r="4935" spans="1:12" ht="19.5" thickBot="1">
      <c r="A4935"/>
      <c r="B4935" s="191">
        <f>B4882+1</f>
        <v>46221</v>
      </c>
      <c r="C4935" s="192"/>
      <c r="D4935" s="193"/>
      <c r="E4935" s="193"/>
      <c r="F4935" s="193"/>
      <c r="G4935" s="193"/>
      <c r="H4935" s="193"/>
      <c r="K4935" s="233"/>
      <c r="L4935" s="194" t="str">
        <f>_xlfn.XLOOKUP($B4935,シフト抽出!$19:$19,シフト抽出!$21:$21,"該当なし",0,1)</f>
        <v>該当なし</v>
      </c>
    </row>
    <row r="4936" spans="1:12">
      <c r="A4936" s="195"/>
      <c r="B4936" s="196">
        <v>0.25</v>
      </c>
      <c r="C4936"/>
      <c r="D4936" s="197"/>
      <c r="E4936" s="196"/>
      <c r="F4936" s="197"/>
      <c r="G4936" s="197"/>
      <c r="H4936" s="197"/>
      <c r="K4936" s="234" t="s">
        <v>259</v>
      </c>
      <c r="L4936" s="198" t="str">
        <f>_xlfn.XLOOKUP($B4935,シフト抽出!$19:$19,シフト抽出!$23:$23,"該当なし",0,1)</f>
        <v>該当なし</v>
      </c>
    </row>
    <row r="4937" spans="1:12" ht="15.75" thickBot="1">
      <c r="A4937" s="195"/>
      <c r="B4937" s="195" t="s">
        <v>205</v>
      </c>
      <c r="C4937"/>
      <c r="D4937" s="197"/>
      <c r="E4937" s="197"/>
      <c r="F4937" s="197"/>
      <c r="G4937" s="197"/>
      <c r="H4937" s="197"/>
      <c r="K4937" s="235"/>
      <c r="L4937" s="199" t="str">
        <f>_xlfn.XLOOKUP($B4935,シフト抽出!$19:$19,シフト抽出!$24:$24,"該当なし",0,1)</f>
        <v>該当なし</v>
      </c>
    </row>
    <row r="4938" spans="1:12">
      <c r="A4938" s="195"/>
      <c r="B4938" s="195" t="s">
        <v>206</v>
      </c>
      <c r="C4938"/>
      <c r="D4938" s="197"/>
      <c r="E4938" s="197"/>
      <c r="F4938" s="197"/>
      <c r="G4938" s="197"/>
      <c r="H4938" s="197"/>
      <c r="K4938" s="224" t="s">
        <v>260</v>
      </c>
      <c r="L4938" s="200" t="str">
        <f>_xlfn.XLOOKUP($B4935,シフト抽出!$19:$19,シフト抽出!$26:$26,"該当なし",0,1)</f>
        <v>該当なし</v>
      </c>
    </row>
    <row r="4939" spans="1:12">
      <c r="A4939" s="195"/>
      <c r="B4939" s="195" t="s">
        <v>207</v>
      </c>
      <c r="C4939"/>
      <c r="D4939" s="197"/>
      <c r="E4939" s="197"/>
      <c r="F4939" s="197"/>
      <c r="G4939" s="197"/>
      <c r="H4939" s="197"/>
      <c r="K4939" s="225"/>
      <c r="L4939" s="201" t="str">
        <f>_xlfn.XLOOKUP($B4935,シフト抽出!$19:$19,シフト抽出!$27:$27,"該当なし",0,1)</f>
        <v>該当なし</v>
      </c>
    </row>
    <row r="4940" spans="1:12">
      <c r="A4940" s="195"/>
      <c r="B4940" s="202" t="s">
        <v>208</v>
      </c>
      <c r="C4940"/>
      <c r="D4940" s="197"/>
      <c r="E4940" s="197"/>
      <c r="F4940" s="197"/>
      <c r="G4940" s="197"/>
      <c r="H4940" s="197"/>
      <c r="J4940" s="203"/>
      <c r="K4940" s="225"/>
      <c r="L4940" s="201" t="str">
        <f>_xlfn.XLOOKUP($B4935,シフト抽出!$19:$19,シフト抽出!$28:$28,"該当なし",0,1)</f>
        <v>該当なし</v>
      </c>
    </row>
    <row r="4941" spans="1:12" ht="15.75" thickBot="1">
      <c r="A4941" s="195"/>
      <c r="B4941" s="195" t="s">
        <v>205</v>
      </c>
      <c r="C4941"/>
      <c r="D4941" s="197"/>
      <c r="E4941" s="197"/>
      <c r="F4941" s="197"/>
      <c r="G4941" s="197"/>
      <c r="H4941" s="197"/>
      <c r="J4941" s="203"/>
      <c r="K4941" s="226"/>
      <c r="L4941" s="204" t="str">
        <f>_xlfn.XLOOKUP($B4935,シフト抽出!$19:$19,シフト抽出!$29:$29,"該当なし",0,1)</f>
        <v>該当なし</v>
      </c>
    </row>
    <row r="4942" spans="1:12" ht="15.75" thickBot="1">
      <c r="A4942" s="195"/>
      <c r="B4942" s="195" t="s">
        <v>206</v>
      </c>
      <c r="C4942"/>
      <c r="D4942" s="197"/>
      <c r="E4942" s="197"/>
      <c r="F4942" s="197"/>
      <c r="G4942" s="197"/>
      <c r="H4942" s="197"/>
      <c r="K4942" s="205" t="s">
        <v>261</v>
      </c>
      <c r="L4942" s="205">
        <f>_xlfn.XLOOKUP($B4935,予定表!B:B,予定表!R:R,"該当なし",0,1)</f>
        <v>0</v>
      </c>
    </row>
    <row r="4943" spans="1:12">
      <c r="A4943" s="195"/>
      <c r="B4943" s="195" t="s">
        <v>207</v>
      </c>
      <c r="C4943"/>
      <c r="D4943" s="197"/>
      <c r="E4943" s="197"/>
      <c r="F4943" s="197"/>
      <c r="G4943" s="197"/>
      <c r="H4943" s="197"/>
      <c r="K4943" s="227" t="s">
        <v>262</v>
      </c>
      <c r="L4943" s="206">
        <f>_xlfn.XLOOKUP($B4935,予定表!$B:$B,予定表!E:E,"該当なし",0,1)</f>
        <v>0</v>
      </c>
    </row>
    <row r="4944" spans="1:12">
      <c r="A4944" s="195"/>
      <c r="B4944" s="196" t="s">
        <v>209</v>
      </c>
      <c r="C4944"/>
      <c r="D4944" s="197" t="s">
        <v>4</v>
      </c>
      <c r="E4944" s="197" t="s">
        <v>4</v>
      </c>
      <c r="F4944" s="197"/>
      <c r="G4944" s="197"/>
      <c r="H4944" s="197"/>
      <c r="K4944" s="228"/>
      <c r="L4944" s="207">
        <f>_xlfn.XLOOKUP($B4935,予定表!$B:$B,予定表!F:F,"該当なし",0,1)</f>
        <v>0</v>
      </c>
    </row>
    <row r="4945" spans="1:12">
      <c r="A4945" s="195"/>
      <c r="B4945" s="195" t="s">
        <v>205</v>
      </c>
      <c r="C4945"/>
      <c r="D4945" s="197" t="s">
        <v>268</v>
      </c>
      <c r="E4945" s="197" t="s">
        <v>793</v>
      </c>
      <c r="F4945" s="197"/>
      <c r="G4945" s="197"/>
      <c r="H4945" s="197"/>
      <c r="K4945" s="228"/>
      <c r="L4945" s="207">
        <f>_xlfn.XLOOKUP($B4935,予定表!$B:$B,予定表!G:G,"該当なし",0,1)</f>
        <v>0</v>
      </c>
    </row>
    <row r="4946" spans="1:12">
      <c r="A4946" s="195"/>
      <c r="B4946" s="195" t="s">
        <v>206</v>
      </c>
      <c r="C4946"/>
      <c r="D4946" s="197" t="s">
        <v>268</v>
      </c>
      <c r="E4946" s="197" t="s">
        <v>989</v>
      </c>
      <c r="F4946" s="197"/>
      <c r="G4946" s="197"/>
      <c r="H4946" s="197"/>
      <c r="K4946" s="228"/>
      <c r="L4946" s="207" t="str">
        <f>_xlfn.XLOOKUP($B4935,予定表!$B:$B,予定表!H:H,"該当なし",0,1)</f>
        <v>'資さん 平塚</v>
      </c>
    </row>
    <row r="4947" spans="1:12">
      <c r="A4947" s="195"/>
      <c r="B4947" s="195" t="s">
        <v>207</v>
      </c>
      <c r="C4947"/>
      <c r="D4947" s="197" t="s">
        <v>268</v>
      </c>
      <c r="E4947" s="197" t="s">
        <v>22</v>
      </c>
      <c r="F4947" s="197"/>
      <c r="G4947" s="197"/>
      <c r="H4947" s="197"/>
      <c r="K4947" s="228"/>
      <c r="L4947" s="207">
        <f>_xlfn.XLOOKUP($B4935,予定表!$B:$B,予定表!I:I,"該当なし",0,1)</f>
        <v>0</v>
      </c>
    </row>
    <row r="4948" spans="1:12">
      <c r="A4948" s="195"/>
      <c r="B4948" s="196" t="s">
        <v>212</v>
      </c>
      <c r="C4948"/>
      <c r="D4948" s="197" t="s">
        <v>268</v>
      </c>
      <c r="E4948" s="197" t="s">
        <v>22</v>
      </c>
      <c r="F4948" s="197"/>
      <c r="G4948" s="197"/>
      <c r="H4948" s="197"/>
      <c r="K4948" s="228"/>
      <c r="L4948" s="207">
        <f>_xlfn.XLOOKUP($B4935,予定表!$B:$B,予定表!J:J,"該当なし",0,1)</f>
        <v>0</v>
      </c>
    </row>
    <row r="4949" spans="1:12">
      <c r="A4949" s="195"/>
      <c r="B4949" s="195" t="s">
        <v>205</v>
      </c>
      <c r="C4949"/>
      <c r="D4949" s="197" t="s">
        <v>268</v>
      </c>
      <c r="E4949" s="197" t="s">
        <v>793</v>
      </c>
      <c r="F4949" s="197"/>
      <c r="G4949" s="197"/>
      <c r="H4949" s="197"/>
      <c r="K4949" s="228"/>
      <c r="L4949" s="207">
        <f>_xlfn.XLOOKUP($B4935,予定表!$B:$B,予定表!K:K,"該当なし",0,1)</f>
        <v>0</v>
      </c>
    </row>
    <row r="4950" spans="1:12">
      <c r="A4950" s="195"/>
      <c r="B4950" s="195" t="s">
        <v>206</v>
      </c>
      <c r="C4950"/>
      <c r="D4950" s="197" t="s">
        <v>515</v>
      </c>
      <c r="E4950" s="197" t="s">
        <v>241</v>
      </c>
      <c r="F4950" s="197"/>
      <c r="G4950" s="197"/>
      <c r="H4950" s="197"/>
      <c r="K4950" s="228"/>
      <c r="L4950" s="207">
        <f>_xlfn.XLOOKUP($B4935,予定表!$B:$B,予定表!L:L,"該当なし",0,1)</f>
        <v>0</v>
      </c>
    </row>
    <row r="4951" spans="1:12" ht="15.75" thickBot="1">
      <c r="A4951" s="195"/>
      <c r="B4951" s="195" t="s">
        <v>207</v>
      </c>
      <c r="C4951"/>
      <c r="D4951" s="197" t="s">
        <v>515</v>
      </c>
      <c r="E4951" s="197" t="s">
        <v>241</v>
      </c>
      <c r="F4951" s="197"/>
      <c r="G4951" s="197"/>
      <c r="H4951" s="197"/>
      <c r="K4951" s="229"/>
      <c r="L4951" s="204" t="str">
        <f>_xlfn.XLOOKUP($A4932,ﾘｽﾄマスタ!$U$8:$U$17,ﾘｽﾄマスタ!$V$8:$V$17,"",0)</f>
        <v/>
      </c>
    </row>
    <row r="4952" spans="1:12" ht="15.75" thickBot="1">
      <c r="A4952" s="195"/>
      <c r="B4952" s="196" t="s">
        <v>251</v>
      </c>
      <c r="C4952"/>
      <c r="D4952" s="197" t="s">
        <v>515</v>
      </c>
      <c r="E4952" s="197" t="s">
        <v>244</v>
      </c>
      <c r="F4952" s="197"/>
      <c r="G4952" s="197"/>
      <c r="H4952" s="197"/>
      <c r="K4952" s="208" t="s">
        <v>277</v>
      </c>
      <c r="L4952" s="208" t="str">
        <f>_xlfn.XLOOKUP($B4935,シフト抽出!$19:$19,シフト抽出!$30:$30,"該当なし",0,1)</f>
        <v>該当なし</v>
      </c>
    </row>
    <row r="4953" spans="1:12">
      <c r="A4953" s="195"/>
      <c r="B4953" s="195" t="s">
        <v>205</v>
      </c>
      <c r="C4953"/>
      <c r="D4953" s="197" t="s">
        <v>242</v>
      </c>
      <c r="E4953" s="197" t="s">
        <v>114</v>
      </c>
      <c r="F4953" s="197"/>
      <c r="G4953" s="197"/>
      <c r="H4953" s="197"/>
    </row>
    <row r="4954" spans="1:12">
      <c r="A4954" s="195"/>
      <c r="B4954" s="195" t="s">
        <v>206</v>
      </c>
      <c r="C4954"/>
      <c r="D4954" s="197" t="s">
        <v>242</v>
      </c>
      <c r="E4954" s="197"/>
      <c r="F4954" s="197"/>
      <c r="G4954" s="197"/>
      <c r="H4954" s="197"/>
    </row>
    <row r="4955" spans="1:12">
      <c r="A4955" s="195"/>
      <c r="B4955" s="195" t="s">
        <v>207</v>
      </c>
      <c r="C4955"/>
      <c r="D4955" s="197" t="s">
        <v>242</v>
      </c>
      <c r="E4955" s="197" t="s">
        <v>851</v>
      </c>
      <c r="F4955" s="197"/>
      <c r="G4955" s="197"/>
      <c r="H4955" s="197"/>
    </row>
    <row r="4956" spans="1:12">
      <c r="A4956" s="195"/>
      <c r="B4956" s="196" t="s">
        <v>217</v>
      </c>
      <c r="C4956"/>
      <c r="D4956" s="197" t="s">
        <v>242</v>
      </c>
      <c r="E4956" s="197" t="s">
        <v>851</v>
      </c>
      <c r="F4956" s="197"/>
      <c r="G4956" s="197"/>
      <c r="H4956" s="197"/>
    </row>
    <row r="4957" spans="1:12">
      <c r="A4957" s="195"/>
      <c r="B4957" s="195" t="s">
        <v>205</v>
      </c>
      <c r="C4957"/>
      <c r="D4957" s="197" t="s">
        <v>242</v>
      </c>
      <c r="E4957" s="197" t="s">
        <v>851</v>
      </c>
      <c r="F4957" s="197"/>
      <c r="G4957" s="197"/>
      <c r="H4957" s="197"/>
    </row>
    <row r="4958" spans="1:12">
      <c r="A4958" s="195"/>
      <c r="B4958" s="195" t="s">
        <v>206</v>
      </c>
      <c r="C4958"/>
      <c r="D4958" s="197" t="s">
        <v>242</v>
      </c>
      <c r="E4958" s="197" t="s">
        <v>851</v>
      </c>
      <c r="F4958" s="197"/>
      <c r="G4958" s="197"/>
      <c r="H4958" s="197"/>
    </row>
    <row r="4959" spans="1:12">
      <c r="A4959" s="195"/>
      <c r="B4959" s="195" t="s">
        <v>207</v>
      </c>
      <c r="C4959"/>
      <c r="D4959" s="197"/>
      <c r="E4959" s="197" t="s">
        <v>851</v>
      </c>
      <c r="F4959" s="197"/>
      <c r="G4959" s="197"/>
      <c r="H4959" s="197"/>
    </row>
    <row r="4960" spans="1:12">
      <c r="A4960" s="195"/>
      <c r="B4960" s="196" t="s">
        <v>219</v>
      </c>
      <c r="C4960"/>
      <c r="D4960" s="197"/>
      <c r="E4960" s="197" t="s">
        <v>851</v>
      </c>
      <c r="F4960" s="197"/>
      <c r="G4960" s="197"/>
      <c r="H4960" s="197"/>
    </row>
    <row r="4961" spans="1:8">
      <c r="A4961" s="195"/>
      <c r="B4961" s="195" t="s">
        <v>205</v>
      </c>
      <c r="C4961"/>
      <c r="D4961" s="197"/>
      <c r="E4961" s="197" t="s">
        <v>851</v>
      </c>
      <c r="F4961" s="197"/>
      <c r="G4961" s="197"/>
      <c r="H4961" s="197"/>
    </row>
    <row r="4962" spans="1:8">
      <c r="A4962" s="195"/>
      <c r="B4962" s="195" t="s">
        <v>206</v>
      </c>
      <c r="C4962"/>
      <c r="D4962" s="197"/>
      <c r="E4962" s="197"/>
      <c r="F4962" s="197"/>
      <c r="G4962" s="197"/>
      <c r="H4962" s="197"/>
    </row>
    <row r="4963" spans="1:8">
      <c r="A4963" s="195"/>
      <c r="B4963" s="195" t="s">
        <v>207</v>
      </c>
      <c r="C4963"/>
      <c r="D4963" s="197"/>
      <c r="E4963" s="197"/>
      <c r="F4963" s="197"/>
      <c r="G4963" s="197"/>
      <c r="H4963" s="197"/>
    </row>
    <row r="4964" spans="1:8">
      <c r="A4964" s="195"/>
      <c r="B4964" s="196" t="s">
        <v>220</v>
      </c>
      <c r="C4964"/>
      <c r="D4964" s="197" t="s">
        <v>7</v>
      </c>
      <c r="E4964" s="197" t="s">
        <v>7</v>
      </c>
      <c r="F4964" s="197"/>
      <c r="G4964" s="189"/>
      <c r="H4964" s="197"/>
    </row>
    <row r="4965" spans="1:8">
      <c r="A4965" s="195"/>
      <c r="B4965" s="195" t="s">
        <v>205</v>
      </c>
      <c r="C4965"/>
      <c r="D4965" s="197" t="s">
        <v>886</v>
      </c>
      <c r="E4965" s="197" t="s">
        <v>228</v>
      </c>
      <c r="F4965" s="197"/>
      <c r="G4965" s="197"/>
      <c r="H4965" s="197"/>
    </row>
    <row r="4966" spans="1:8">
      <c r="A4966" s="195"/>
      <c r="B4966" s="195" t="s">
        <v>206</v>
      </c>
      <c r="C4966"/>
      <c r="D4966" s="197" t="s">
        <v>886</v>
      </c>
      <c r="E4966" s="197" t="s">
        <v>228</v>
      </c>
      <c r="F4966" s="197"/>
      <c r="G4966" s="197"/>
      <c r="H4966" s="197"/>
    </row>
    <row r="4967" spans="1:8">
      <c r="A4967" s="195"/>
      <c r="B4967" s="195" t="s">
        <v>207</v>
      </c>
      <c r="C4967"/>
      <c r="D4967" s="197" t="s">
        <v>886</v>
      </c>
      <c r="E4967" s="197" t="s">
        <v>228</v>
      </c>
      <c r="F4967" s="197"/>
      <c r="G4967" s="197"/>
      <c r="H4967" s="197"/>
    </row>
    <row r="4968" spans="1:8">
      <c r="A4968" s="195"/>
      <c r="B4968" s="196" t="s">
        <v>222</v>
      </c>
      <c r="C4968"/>
      <c r="D4968" s="197" t="s">
        <v>886</v>
      </c>
      <c r="E4968" s="197" t="s">
        <v>228</v>
      </c>
      <c r="F4968" s="197"/>
      <c r="G4968" s="197"/>
      <c r="H4968" s="197"/>
    </row>
    <row r="4969" spans="1:8">
      <c r="A4969" s="195"/>
      <c r="B4969" s="195" t="s">
        <v>205</v>
      </c>
      <c r="C4969"/>
      <c r="D4969" s="197"/>
      <c r="E4969" s="197" t="s">
        <v>228</v>
      </c>
      <c r="F4969" s="197"/>
      <c r="G4969" s="197"/>
      <c r="H4969" s="197"/>
    </row>
    <row r="4970" spans="1:8">
      <c r="A4970" s="195"/>
      <c r="B4970" s="195" t="s">
        <v>206</v>
      </c>
      <c r="C4970"/>
      <c r="D4970" s="197" t="s">
        <v>270</v>
      </c>
      <c r="E4970" s="197" t="s">
        <v>228</v>
      </c>
      <c r="F4970" s="197"/>
      <c r="G4970" s="197"/>
      <c r="H4970" s="197"/>
    </row>
    <row r="4971" spans="1:8">
      <c r="A4971" s="195"/>
      <c r="B4971" s="195" t="s">
        <v>207</v>
      </c>
      <c r="C4971"/>
      <c r="D4971" s="197" t="s">
        <v>270</v>
      </c>
      <c r="E4971" s="197" t="s">
        <v>228</v>
      </c>
      <c r="F4971" s="197"/>
      <c r="G4971" s="197"/>
      <c r="H4971" s="197"/>
    </row>
    <row r="4972" spans="1:8">
      <c r="A4972" s="195"/>
      <c r="B4972" s="196" t="s">
        <v>223</v>
      </c>
      <c r="C4972"/>
      <c r="D4972" s="197" t="s">
        <v>270</v>
      </c>
      <c r="E4972" s="197" t="s">
        <v>228</v>
      </c>
      <c r="F4972" s="197"/>
      <c r="G4972" s="197"/>
      <c r="H4972" s="197"/>
    </row>
    <row r="4973" spans="1:8">
      <c r="A4973" s="195"/>
      <c r="B4973" s="195" t="s">
        <v>205</v>
      </c>
      <c r="C4973"/>
      <c r="D4973" s="197" t="s">
        <v>270</v>
      </c>
      <c r="E4973" s="197" t="s">
        <v>273</v>
      </c>
      <c r="F4973" s="197"/>
      <c r="G4973" s="197"/>
      <c r="H4973" s="197"/>
    </row>
    <row r="4974" spans="1:8">
      <c r="A4974" s="195"/>
      <c r="B4974" s="195" t="s">
        <v>206</v>
      </c>
      <c r="C4974"/>
      <c r="D4974" s="197" t="s">
        <v>270</v>
      </c>
      <c r="E4974" s="197" t="s">
        <v>273</v>
      </c>
      <c r="F4974" s="197"/>
      <c r="G4974" s="197"/>
      <c r="H4974" s="197"/>
    </row>
    <row r="4975" spans="1:8">
      <c r="A4975" s="195"/>
      <c r="B4975" s="195" t="s">
        <v>207</v>
      </c>
      <c r="C4975"/>
      <c r="D4975" s="197" t="s">
        <v>270</v>
      </c>
      <c r="E4975" s="197" t="s">
        <v>273</v>
      </c>
      <c r="F4975" s="197"/>
      <c r="G4975" s="197"/>
      <c r="H4975" s="197"/>
    </row>
    <row r="4976" spans="1:8">
      <c r="A4976" s="195"/>
      <c r="B4976" s="196" t="s">
        <v>225</v>
      </c>
      <c r="C4976"/>
      <c r="D4976" s="197" t="s">
        <v>270</v>
      </c>
      <c r="E4976" s="197" t="s">
        <v>263</v>
      </c>
      <c r="F4976" s="197"/>
      <c r="G4976" s="197"/>
      <c r="H4976" s="197"/>
    </row>
    <row r="4977" spans="1:12">
      <c r="A4977" s="195"/>
      <c r="B4977" s="195" t="s">
        <v>205</v>
      </c>
      <c r="C4977"/>
      <c r="D4977" s="197" t="s">
        <v>270</v>
      </c>
      <c r="E4977" s="197" t="s">
        <v>263</v>
      </c>
      <c r="F4977" s="197"/>
      <c r="G4977" s="197"/>
      <c r="H4977" s="209"/>
    </row>
    <row r="4978" spans="1:12">
      <c r="A4978" s="195"/>
      <c r="B4978" s="195" t="s">
        <v>206</v>
      </c>
      <c r="C4978"/>
      <c r="D4978" s="197" t="s">
        <v>270</v>
      </c>
      <c r="E4978" s="197" t="s">
        <v>263</v>
      </c>
      <c r="F4978" s="197"/>
      <c r="G4978" s="197"/>
      <c r="H4978" s="209"/>
    </row>
    <row r="4979" spans="1:12">
      <c r="A4979" s="195"/>
      <c r="B4979" s="195" t="s">
        <v>207</v>
      </c>
      <c r="C4979"/>
      <c r="D4979" s="197" t="s">
        <v>270</v>
      </c>
      <c r="E4979" s="197" t="s">
        <v>263</v>
      </c>
      <c r="F4979" s="197"/>
      <c r="G4979" s="197"/>
      <c r="H4979" s="209"/>
    </row>
    <row r="4980" spans="1:12">
      <c r="A4980" s="195"/>
      <c r="B4980" s="196" t="s">
        <v>226</v>
      </c>
      <c r="C4980"/>
      <c r="D4980" s="197" t="s">
        <v>270</v>
      </c>
      <c r="E4980" s="197"/>
      <c r="F4980" s="197"/>
      <c r="G4980" s="197"/>
      <c r="H4980" s="209"/>
    </row>
    <row r="4981" spans="1:12">
      <c r="A4981" s="195"/>
      <c r="B4981" s="195" t="s">
        <v>205</v>
      </c>
      <c r="C4981"/>
      <c r="D4981" s="197" t="s">
        <v>270</v>
      </c>
      <c r="E4981" s="197"/>
      <c r="F4981" s="197"/>
      <c r="G4981" s="197"/>
      <c r="H4981" s="209"/>
    </row>
    <row r="4982" spans="1:12">
      <c r="A4982" s="195"/>
      <c r="B4982" s="195" t="s">
        <v>206</v>
      </c>
      <c r="C4982"/>
      <c r="D4982" s="197" t="s">
        <v>270</v>
      </c>
      <c r="E4982" s="197"/>
      <c r="F4982" s="197"/>
      <c r="G4982" s="197"/>
      <c r="H4982" s="209"/>
    </row>
    <row r="4983" spans="1:12">
      <c r="A4983" s="195"/>
      <c r="B4983" s="195" t="s">
        <v>207</v>
      </c>
      <c r="C4983"/>
      <c r="D4983" s="197" t="s">
        <v>270</v>
      </c>
      <c r="E4983" s="197"/>
      <c r="F4983" s="197"/>
      <c r="G4983" s="197"/>
      <c r="H4983" s="209"/>
    </row>
    <row r="4984" spans="1:12">
      <c r="A4984" s="195"/>
      <c r="B4984" s="196" t="s">
        <v>227</v>
      </c>
      <c r="C4984"/>
      <c r="D4984" s="197"/>
      <c r="E4984" s="197"/>
      <c r="F4984" s="197"/>
      <c r="G4984" s="197"/>
      <c r="H4984" s="209"/>
      <c r="K4984"/>
    </row>
    <row r="4985" spans="1:12" ht="29.25" thickBot="1">
      <c r="A4985" s="213" t="str">
        <f>"回収シフト  第"&amp;ROUNDUP(DAY(B4988)/7,0)  &amp;"  "&amp;TEXT(B4988,"aaaa")</f>
        <v>回収シフト  第3  月曜日</v>
      </c>
      <c r="B4985" s="214"/>
      <c r="C4985" s="214"/>
      <c r="D4985" s="214"/>
      <c r="E4985" s="214"/>
      <c r="F4985" s="214"/>
      <c r="G4985" s="215"/>
      <c r="H4985" s="215"/>
      <c r="I4985" s="215"/>
      <c r="K4985" s="214"/>
      <c r="L4985" s="214"/>
    </row>
    <row r="4986" spans="1:12" ht="15.75" thickBot="1">
      <c r="A4986"/>
      <c r="B4986"/>
      <c r="C4986"/>
      <c r="D4986" s="186" t="s">
        <v>201</v>
      </c>
      <c r="E4986" s="186" t="s">
        <v>202</v>
      </c>
      <c r="F4986" s="186" t="s">
        <v>203</v>
      </c>
      <c r="G4986" s="186" t="s">
        <v>204</v>
      </c>
      <c r="H4986" s="186" t="s">
        <v>267</v>
      </c>
      <c r="I4986" s="217" t="s">
        <v>267</v>
      </c>
      <c r="K4986" s="230" t="s">
        <v>257</v>
      </c>
      <c r="L4986" s="231"/>
    </row>
    <row r="4987" spans="1:12">
      <c r="A4987" s="187"/>
      <c r="B4987" s="188">
        <v>45495</v>
      </c>
      <c r="C4987" s="187"/>
      <c r="D4987" s="189"/>
      <c r="E4987" s="189"/>
      <c r="F4987" s="189"/>
      <c r="G4987" s="189"/>
      <c r="H4987" s="189"/>
      <c r="I4987" s="218"/>
      <c r="K4987" s="232" t="s">
        <v>258</v>
      </c>
      <c r="L4987" s="190" t="str">
        <f>_xlfn.XLOOKUP($B4988,シフト抽出!$19:$19,シフト抽出!$20:$20,"該当なし",0,1)</f>
        <v>該当なし</v>
      </c>
    </row>
    <row r="4988" spans="1:12" ht="19.5" thickBot="1">
      <c r="A4988"/>
      <c r="B4988" s="191">
        <f>B4935+2</f>
        <v>46223</v>
      </c>
      <c r="C4988" s="192" t="e">
        <v>#REF!</v>
      </c>
      <c r="D4988" s="216"/>
      <c r="E4988" s="216"/>
      <c r="F4988" s="216"/>
      <c r="G4988" s="216"/>
      <c r="H4988" s="216"/>
      <c r="I4988" s="220"/>
      <c r="K4988" s="233"/>
      <c r="L4988" s="194" t="str">
        <f>_xlfn.XLOOKUP($B4988,シフト抽出!$19:$19,シフト抽出!$21:$21,"該当なし",0,1)</f>
        <v>該当なし</v>
      </c>
    </row>
    <row r="4989" spans="1:12">
      <c r="A4989" s="195"/>
      <c r="B4989" s="196">
        <v>0.25</v>
      </c>
      <c r="C4989"/>
      <c r="D4989" s="197"/>
      <c r="E4989" s="196"/>
      <c r="F4989" s="197"/>
      <c r="G4989" s="197"/>
      <c r="H4989" s="197"/>
      <c r="I4989" s="209"/>
      <c r="K4989" s="234" t="s">
        <v>259</v>
      </c>
      <c r="L4989" s="198" t="str">
        <f>_xlfn.XLOOKUP($B4988,シフト抽出!$19:$19,シフト抽出!$23:$23,"該当なし",0,1)</f>
        <v>該当なし</v>
      </c>
    </row>
    <row r="4990" spans="1:12" ht="15.75" thickBot="1">
      <c r="A4990" s="195"/>
      <c r="B4990" s="195" t="s">
        <v>205</v>
      </c>
      <c r="C4990"/>
      <c r="D4990" s="197"/>
      <c r="E4990" s="197"/>
      <c r="F4990" s="197"/>
      <c r="G4990" s="197"/>
      <c r="H4990" s="197"/>
      <c r="I4990" s="209"/>
      <c r="K4990" s="235"/>
      <c r="L4990" s="199" t="str">
        <f>_xlfn.XLOOKUP($B4988,シフト抽出!$19:$19,シフト抽出!$24:$24,"該当なし",0,1)</f>
        <v>該当なし</v>
      </c>
    </row>
    <row r="4991" spans="1:12">
      <c r="A4991" s="195"/>
      <c r="B4991" s="195" t="s">
        <v>206</v>
      </c>
      <c r="C4991"/>
      <c r="D4991" s="197"/>
      <c r="E4991" s="197"/>
      <c r="F4991" s="197"/>
      <c r="G4991" s="197"/>
      <c r="H4991" s="197"/>
      <c r="I4991" s="209"/>
      <c r="K4991" s="224" t="s">
        <v>260</v>
      </c>
      <c r="L4991" s="200" t="str">
        <f>_xlfn.XLOOKUP($B4988,シフト抽出!$19:$19,シフト抽出!$26:$26,"該当なし",0,1)</f>
        <v>該当なし</v>
      </c>
    </row>
    <row r="4992" spans="1:12">
      <c r="A4992" s="195"/>
      <c r="B4992" s="195" t="s">
        <v>207</v>
      </c>
      <c r="C4992"/>
      <c r="D4992" s="197"/>
      <c r="E4992" s="197"/>
      <c r="F4992" s="197"/>
      <c r="G4992" s="197"/>
      <c r="H4992" s="197"/>
      <c r="I4992" s="209"/>
      <c r="K4992" s="225"/>
      <c r="L4992" s="201" t="str">
        <f>_xlfn.XLOOKUP($B4988,シフト抽出!$19:$19,シフト抽出!$27:$27,"該当なし",0,1)</f>
        <v>該当なし</v>
      </c>
    </row>
    <row r="4993" spans="1:12">
      <c r="A4993" s="195"/>
      <c r="B4993" s="202" t="s">
        <v>208</v>
      </c>
      <c r="C4993"/>
      <c r="D4993" s="197"/>
      <c r="E4993" s="197"/>
      <c r="F4993" s="197"/>
      <c r="G4993" s="197"/>
      <c r="H4993" s="197"/>
      <c r="I4993" s="209"/>
      <c r="J4993" s="203"/>
      <c r="K4993" s="225"/>
      <c r="L4993" s="201" t="str">
        <f>_xlfn.XLOOKUP($B4988,シフト抽出!$19:$19,シフト抽出!$28:$28,"該当なし",0,1)</f>
        <v>該当なし</v>
      </c>
    </row>
    <row r="4994" spans="1:12" ht="15.75" thickBot="1">
      <c r="A4994" s="195"/>
      <c r="B4994" s="195" t="s">
        <v>205</v>
      </c>
      <c r="C4994"/>
      <c r="D4994" s="197"/>
      <c r="E4994" s="197"/>
      <c r="F4994" s="197"/>
      <c r="G4994" s="197"/>
      <c r="H4994" s="197"/>
      <c r="I4994" s="209"/>
      <c r="J4994" s="203"/>
      <c r="K4994" s="226"/>
      <c r="L4994" s="204" t="str">
        <f>_xlfn.XLOOKUP($B4988,シフト抽出!$19:$19,シフト抽出!$29:$29,"該当なし",0,1)</f>
        <v>該当なし</v>
      </c>
    </row>
    <row r="4995" spans="1:12" ht="15.75" thickBot="1">
      <c r="A4995" s="195"/>
      <c r="B4995" s="195" t="s">
        <v>206</v>
      </c>
      <c r="C4995"/>
      <c r="D4995" s="197"/>
      <c r="E4995" s="197"/>
      <c r="F4995" s="197"/>
      <c r="G4995" s="197"/>
      <c r="H4995" s="197"/>
      <c r="I4995" s="209"/>
      <c r="K4995" s="205" t="s">
        <v>261</v>
      </c>
      <c r="L4995" s="205">
        <f>_xlfn.XLOOKUP($B4988,予定表!B:B,予定表!R:R,"該当なし",0,1)</f>
        <v>0</v>
      </c>
    </row>
    <row r="4996" spans="1:12">
      <c r="A4996" s="195"/>
      <c r="B4996" s="195" t="s">
        <v>207</v>
      </c>
      <c r="C4996"/>
      <c r="D4996" s="197"/>
      <c r="E4996" s="197"/>
      <c r="F4996" s="197"/>
      <c r="G4996" s="197"/>
      <c r="H4996" s="197"/>
      <c r="I4996" s="209"/>
      <c r="K4996" s="227" t="s">
        <v>262</v>
      </c>
      <c r="L4996" s="206">
        <f>_xlfn.XLOOKUP($B4988,予定表!$B:$B,予定表!E:E,"該当なし",0,1)</f>
        <v>0</v>
      </c>
    </row>
    <row r="4997" spans="1:12">
      <c r="A4997" s="195"/>
      <c r="B4997" s="196" t="s">
        <v>209</v>
      </c>
      <c r="C4997"/>
      <c r="D4997" s="197" t="s">
        <v>851</v>
      </c>
      <c r="E4997" s="197" t="s">
        <v>793</v>
      </c>
      <c r="F4997" s="197"/>
      <c r="G4997" s="197" t="s">
        <v>793</v>
      </c>
      <c r="H4997" s="197"/>
      <c r="I4997" s="209"/>
      <c r="K4997" s="228"/>
      <c r="L4997" s="207">
        <f>_xlfn.XLOOKUP($B4988,予定表!$B:$B,予定表!F:F,"該当なし",0,1)</f>
        <v>0</v>
      </c>
    </row>
    <row r="4998" spans="1:12">
      <c r="A4998" s="195"/>
      <c r="B4998" s="195" t="s">
        <v>205</v>
      </c>
      <c r="C4998"/>
      <c r="D4998" s="197" t="s">
        <v>851</v>
      </c>
      <c r="E4998" s="197" t="s">
        <v>973</v>
      </c>
      <c r="F4998" s="197"/>
      <c r="G4998" s="197" t="s">
        <v>793</v>
      </c>
      <c r="H4998" s="197"/>
      <c r="I4998" s="209"/>
      <c r="K4998" s="228"/>
      <c r="L4998" s="207" t="str">
        <f>_xlfn.XLOOKUP($B4988,予定表!$B:$B,予定表!G:G,"該当なし",0,1)</f>
        <v>ディーミング</v>
      </c>
    </row>
    <row r="4999" spans="1:12">
      <c r="A4999" s="195"/>
      <c r="B4999" s="195" t="s">
        <v>206</v>
      </c>
      <c r="C4999"/>
      <c r="D4999" s="197" t="s">
        <v>851</v>
      </c>
      <c r="E4999" s="197" t="s">
        <v>761</v>
      </c>
      <c r="F4999" s="197"/>
      <c r="G4999" s="197" t="s">
        <v>268</v>
      </c>
      <c r="H4999" s="197"/>
      <c r="I4999" s="209"/>
      <c r="K4999" s="228"/>
      <c r="L4999" s="207" t="str">
        <f>_xlfn.XLOOKUP($B4988,予定表!$B:$B,予定表!H:H,"該当なし",0,1)</f>
        <v>'資さん 平塚</v>
      </c>
    </row>
    <row r="5000" spans="1:12">
      <c r="A5000" s="195"/>
      <c r="B5000" s="195" t="s">
        <v>207</v>
      </c>
      <c r="C5000"/>
      <c r="D5000" s="197" t="s">
        <v>851</v>
      </c>
      <c r="E5000" s="197" t="s">
        <v>761</v>
      </c>
      <c r="F5000" s="197"/>
      <c r="G5000" s="197" t="s">
        <v>268</v>
      </c>
      <c r="H5000" s="197"/>
      <c r="I5000" s="209"/>
      <c r="K5000" s="228"/>
      <c r="L5000" s="207">
        <f>_xlfn.XLOOKUP($B4988,予定表!$B:$B,予定表!I:I,"該当なし",0,1)</f>
        <v>0</v>
      </c>
    </row>
    <row r="5001" spans="1:12">
      <c r="A5001" s="195"/>
      <c r="B5001" s="196" t="s">
        <v>212</v>
      </c>
      <c r="C5001"/>
      <c r="D5001" s="197" t="s">
        <v>851</v>
      </c>
      <c r="E5001" s="197" t="s">
        <v>761</v>
      </c>
      <c r="F5001" s="197"/>
      <c r="G5001" s="197" t="s">
        <v>268</v>
      </c>
      <c r="H5001" s="197"/>
      <c r="I5001" s="209"/>
      <c r="K5001" s="228"/>
      <c r="L5001" s="207">
        <f>_xlfn.XLOOKUP($B4988,予定表!$B:$B,予定表!J:J,"該当なし",0,1)</f>
        <v>0</v>
      </c>
    </row>
    <row r="5002" spans="1:12">
      <c r="A5002" s="195"/>
      <c r="B5002" s="195" t="s">
        <v>205</v>
      </c>
      <c r="C5002"/>
      <c r="D5002" s="197" t="s">
        <v>851</v>
      </c>
      <c r="E5002" s="197" t="s">
        <v>761</v>
      </c>
      <c r="F5002" s="197"/>
      <c r="G5002" s="197" t="s">
        <v>268</v>
      </c>
      <c r="H5002" s="197"/>
      <c r="I5002" s="209"/>
      <c r="K5002" s="228"/>
      <c r="L5002" s="207">
        <f>_xlfn.XLOOKUP($B4988,予定表!$B:$B,予定表!K:K,"該当なし",0,1)</f>
        <v>0</v>
      </c>
    </row>
    <row r="5003" spans="1:12">
      <c r="A5003" s="195"/>
      <c r="B5003" s="195" t="s">
        <v>206</v>
      </c>
      <c r="C5003"/>
      <c r="D5003" s="197" t="s">
        <v>851</v>
      </c>
      <c r="E5003" s="197" t="s">
        <v>761</v>
      </c>
      <c r="F5003" s="197"/>
      <c r="G5003" s="197" t="s">
        <v>268</v>
      </c>
      <c r="H5003" s="197"/>
      <c r="I5003" s="209"/>
      <c r="K5003" s="228"/>
      <c r="L5003" s="207">
        <f>_xlfn.XLOOKUP($B4988,予定表!$B:$B,予定表!L:L,"該当なし",0,1)</f>
        <v>0</v>
      </c>
    </row>
    <row r="5004" spans="1:12" ht="15.75" thickBot="1">
      <c r="A5004" s="195"/>
      <c r="B5004" s="195" t="s">
        <v>207</v>
      </c>
      <c r="C5004"/>
      <c r="D5004" s="197" t="s">
        <v>851</v>
      </c>
      <c r="E5004" s="197" t="s">
        <v>416</v>
      </c>
      <c r="F5004" s="197"/>
      <c r="G5004" s="197" t="s">
        <v>268</v>
      </c>
      <c r="H5004" s="197"/>
      <c r="I5004" s="209"/>
      <c r="K5004" s="229"/>
      <c r="L5004" s="204" t="str">
        <f>_xlfn.XLOOKUP($A4985,ﾘｽﾄマスタ!$U$8:$U$17,ﾘｽﾄマスタ!$V$8:$V$17,"",0)</f>
        <v/>
      </c>
    </row>
    <row r="5005" spans="1:12" ht="15.75" thickBot="1">
      <c r="A5005" s="195"/>
      <c r="B5005" s="196" t="s">
        <v>251</v>
      </c>
      <c r="C5005"/>
      <c r="D5005" s="197" t="s">
        <v>848</v>
      </c>
      <c r="E5005" s="197" t="s">
        <v>771</v>
      </c>
      <c r="F5005" s="197"/>
      <c r="G5005" s="197" t="s">
        <v>268</v>
      </c>
      <c r="H5005" s="197"/>
      <c r="I5005" s="209"/>
      <c r="K5005" s="208" t="s">
        <v>277</v>
      </c>
      <c r="L5005" s="208" t="str">
        <f>_xlfn.XLOOKUP($B4988,シフト抽出!$19:$19,シフト抽出!$30:$30,"該当なし",0,1)</f>
        <v>該当なし</v>
      </c>
    </row>
    <row r="5006" spans="1:12">
      <c r="A5006" s="195"/>
      <c r="B5006" s="195" t="s">
        <v>205</v>
      </c>
      <c r="C5006"/>
      <c r="D5006" s="197" t="s">
        <v>848</v>
      </c>
      <c r="E5006" s="197" t="s">
        <v>416</v>
      </c>
      <c r="F5006" s="197"/>
      <c r="G5006" s="197" t="s">
        <v>446</v>
      </c>
      <c r="H5006" s="197"/>
      <c r="I5006" s="209"/>
    </row>
    <row r="5007" spans="1:12">
      <c r="A5007" s="195"/>
      <c r="B5007" s="195" t="s">
        <v>206</v>
      </c>
      <c r="C5007"/>
      <c r="D5007" s="197" t="s">
        <v>848</v>
      </c>
      <c r="E5007" s="197" t="s">
        <v>416</v>
      </c>
      <c r="F5007" s="197"/>
      <c r="G5007" s="197" t="s">
        <v>446</v>
      </c>
      <c r="H5007" s="197"/>
      <c r="I5007" s="209"/>
    </row>
    <row r="5008" spans="1:12">
      <c r="A5008" s="195"/>
      <c r="B5008" s="195" t="s">
        <v>207</v>
      </c>
      <c r="C5008"/>
      <c r="D5008" s="197" t="s">
        <v>273</v>
      </c>
      <c r="E5008" s="197" t="s">
        <v>224</v>
      </c>
      <c r="F5008" s="197"/>
      <c r="G5008" s="197" t="s">
        <v>446</v>
      </c>
      <c r="H5008" s="197"/>
      <c r="I5008" s="209"/>
    </row>
    <row r="5009" spans="1:9">
      <c r="A5009" s="195"/>
      <c r="B5009" s="196" t="s">
        <v>217</v>
      </c>
      <c r="C5009"/>
      <c r="D5009" s="197" t="s">
        <v>273</v>
      </c>
      <c r="E5009" s="197" t="s">
        <v>224</v>
      </c>
      <c r="F5009" s="197"/>
      <c r="G5009" s="197" t="s">
        <v>446</v>
      </c>
      <c r="H5009" s="197"/>
      <c r="I5009" s="209"/>
    </row>
    <row r="5010" spans="1:9">
      <c r="A5010" s="195"/>
      <c r="B5010" s="195" t="s">
        <v>205</v>
      </c>
      <c r="C5010"/>
      <c r="D5010" s="197" t="s">
        <v>229</v>
      </c>
      <c r="E5010" s="197" t="s">
        <v>224</v>
      </c>
      <c r="F5010" s="197"/>
      <c r="G5010" s="197" t="s">
        <v>114</v>
      </c>
      <c r="H5010" s="197"/>
      <c r="I5010" s="209"/>
    </row>
    <row r="5011" spans="1:9">
      <c r="A5011" s="195"/>
      <c r="B5011" s="195" t="s">
        <v>206</v>
      </c>
      <c r="C5011"/>
      <c r="D5011" s="197" t="s">
        <v>229</v>
      </c>
      <c r="E5011" s="197" t="s">
        <v>990</v>
      </c>
      <c r="F5011" s="197"/>
      <c r="G5011" s="197" t="s">
        <v>114</v>
      </c>
      <c r="H5011" s="197"/>
      <c r="I5011" s="209"/>
    </row>
    <row r="5012" spans="1:9">
      <c r="A5012" s="195"/>
      <c r="B5012" s="195" t="s">
        <v>207</v>
      </c>
      <c r="C5012"/>
      <c r="D5012" s="197" t="s">
        <v>230</v>
      </c>
      <c r="E5012" s="197"/>
      <c r="F5012" s="197"/>
      <c r="G5012" s="197" t="s">
        <v>114</v>
      </c>
      <c r="H5012" s="197"/>
      <c r="I5012" s="209"/>
    </row>
    <row r="5013" spans="1:9">
      <c r="A5013" s="195"/>
      <c r="B5013" s="196" t="s">
        <v>219</v>
      </c>
      <c r="C5013"/>
      <c r="D5013" s="197" t="s">
        <v>230</v>
      </c>
      <c r="E5013" s="197"/>
      <c r="F5013" s="197"/>
      <c r="G5013" s="197"/>
      <c r="H5013" s="197"/>
      <c r="I5013" s="209"/>
    </row>
    <row r="5014" spans="1:9">
      <c r="A5014" s="195"/>
      <c r="B5014" s="195" t="s">
        <v>205</v>
      </c>
      <c r="C5014"/>
      <c r="D5014" s="197" t="s">
        <v>230</v>
      </c>
      <c r="E5014" s="197"/>
      <c r="F5014" s="197"/>
      <c r="G5014" s="197"/>
      <c r="H5014" s="197"/>
      <c r="I5014" s="209"/>
    </row>
    <row r="5015" spans="1:9">
      <c r="A5015" s="195"/>
      <c r="B5015" s="195" t="s">
        <v>206</v>
      </c>
      <c r="C5015"/>
      <c r="D5015" s="197"/>
      <c r="E5015" s="197"/>
      <c r="F5015" s="197"/>
      <c r="G5015" s="197"/>
      <c r="H5015" s="197"/>
      <c r="I5015" s="209"/>
    </row>
    <row r="5016" spans="1:9">
      <c r="A5016" s="195"/>
      <c r="B5016" s="195" t="s">
        <v>207</v>
      </c>
      <c r="C5016"/>
      <c r="D5016" s="197"/>
      <c r="E5016" s="197"/>
      <c r="F5016" s="197"/>
      <c r="G5016" s="197"/>
      <c r="H5016" s="197"/>
      <c r="I5016" s="209"/>
    </row>
    <row r="5017" spans="1:9">
      <c r="A5017" s="195"/>
      <c r="B5017" s="196" t="s">
        <v>220</v>
      </c>
      <c r="C5017"/>
      <c r="D5017" s="189"/>
      <c r="E5017" s="197"/>
      <c r="F5017" s="197"/>
      <c r="G5017" s="189"/>
      <c r="H5017" s="197"/>
      <c r="I5017" s="209"/>
    </row>
    <row r="5018" spans="1:9">
      <c r="A5018" s="195"/>
      <c r="B5018" s="195" t="s">
        <v>205</v>
      </c>
      <c r="C5018"/>
      <c r="D5018" s="197" t="s">
        <v>759</v>
      </c>
      <c r="E5018" s="197"/>
      <c r="F5018" s="197"/>
      <c r="G5018" s="197" t="s">
        <v>213</v>
      </c>
      <c r="H5018" s="197"/>
      <c r="I5018" s="209"/>
    </row>
    <row r="5019" spans="1:9">
      <c r="A5019" s="195"/>
      <c r="B5019" s="195" t="s">
        <v>206</v>
      </c>
      <c r="C5019"/>
      <c r="D5019" s="197" t="s">
        <v>759</v>
      </c>
      <c r="E5019" s="197"/>
      <c r="F5019" s="197"/>
      <c r="G5019" s="197" t="s">
        <v>213</v>
      </c>
      <c r="H5019" s="197"/>
      <c r="I5019" s="209"/>
    </row>
    <row r="5020" spans="1:9">
      <c r="A5020" s="195"/>
      <c r="B5020" s="195" t="s">
        <v>207</v>
      </c>
      <c r="C5020"/>
      <c r="D5020" s="197" t="s">
        <v>759</v>
      </c>
      <c r="E5020" s="197"/>
      <c r="F5020" s="197"/>
      <c r="G5020" s="197" t="s">
        <v>213</v>
      </c>
      <c r="H5020" s="197"/>
      <c r="I5020" s="209"/>
    </row>
    <row r="5021" spans="1:9">
      <c r="A5021" s="195"/>
      <c r="B5021" s="196" t="s">
        <v>222</v>
      </c>
      <c r="C5021"/>
      <c r="D5021" s="197" t="s">
        <v>759</v>
      </c>
      <c r="E5021" s="197"/>
      <c r="F5021" s="197"/>
      <c r="G5021" s="197" t="s">
        <v>270</v>
      </c>
      <c r="H5021" s="197"/>
      <c r="I5021" s="209"/>
    </row>
    <row r="5022" spans="1:9">
      <c r="A5022" s="195"/>
      <c r="B5022" s="195" t="s">
        <v>205</v>
      </c>
      <c r="C5022"/>
      <c r="D5022" s="197" t="s">
        <v>216</v>
      </c>
      <c r="E5022" s="197"/>
      <c r="F5022" s="197"/>
      <c r="G5022" s="197" t="s">
        <v>270</v>
      </c>
      <c r="H5022" s="197"/>
      <c r="I5022" s="209"/>
    </row>
    <row r="5023" spans="1:9">
      <c r="A5023" s="195"/>
      <c r="B5023" s="195" t="s">
        <v>206</v>
      </c>
      <c r="C5023"/>
      <c r="D5023" s="197" t="s">
        <v>216</v>
      </c>
      <c r="E5023" s="197"/>
      <c r="F5023" s="197"/>
      <c r="G5023" s="197" t="s">
        <v>270</v>
      </c>
      <c r="H5023" s="197"/>
      <c r="I5023" s="209"/>
    </row>
    <row r="5024" spans="1:9">
      <c r="A5024" s="195"/>
      <c r="B5024" s="195" t="s">
        <v>207</v>
      </c>
      <c r="C5024"/>
      <c r="D5024" s="197" t="s">
        <v>216</v>
      </c>
      <c r="E5024" s="197"/>
      <c r="F5024" s="197"/>
      <c r="G5024" s="197" t="s">
        <v>270</v>
      </c>
      <c r="H5024" s="197"/>
      <c r="I5024" s="209"/>
    </row>
    <row r="5025" spans="1:12">
      <c r="A5025" s="195"/>
      <c r="B5025" s="196" t="s">
        <v>223</v>
      </c>
      <c r="C5025"/>
      <c r="D5025" s="197" t="s">
        <v>216</v>
      </c>
      <c r="E5025" s="197"/>
      <c r="F5025" s="197"/>
      <c r="G5025" s="197" t="s">
        <v>270</v>
      </c>
      <c r="H5025" s="197"/>
      <c r="I5025" s="209"/>
    </row>
    <row r="5026" spans="1:12">
      <c r="A5026" s="195"/>
      <c r="B5026" s="195" t="s">
        <v>205</v>
      </c>
      <c r="C5026"/>
      <c r="D5026" s="197" t="s">
        <v>214</v>
      </c>
      <c r="E5026" s="197"/>
      <c r="F5026" s="197"/>
      <c r="G5026" s="197" t="s">
        <v>270</v>
      </c>
      <c r="H5026" s="197"/>
      <c r="I5026" s="209"/>
    </row>
    <row r="5027" spans="1:12">
      <c r="A5027" s="195"/>
      <c r="B5027" s="195" t="s">
        <v>206</v>
      </c>
      <c r="C5027"/>
      <c r="D5027" s="197" t="s">
        <v>214</v>
      </c>
      <c r="E5027" s="197"/>
      <c r="F5027" s="197"/>
      <c r="G5027" s="197" t="s">
        <v>270</v>
      </c>
      <c r="H5027" s="197"/>
      <c r="I5027" s="209"/>
    </row>
    <row r="5028" spans="1:12">
      <c r="A5028" s="195"/>
      <c r="B5028" s="195" t="s">
        <v>207</v>
      </c>
      <c r="C5028"/>
      <c r="D5028" s="197" t="s">
        <v>214</v>
      </c>
      <c r="E5028" s="197"/>
      <c r="F5028" s="197"/>
      <c r="G5028" s="197" t="s">
        <v>270</v>
      </c>
      <c r="H5028" s="197"/>
      <c r="I5028" s="209"/>
    </row>
    <row r="5029" spans="1:12">
      <c r="A5029" s="195"/>
      <c r="B5029" s="196" t="s">
        <v>225</v>
      </c>
      <c r="C5029"/>
      <c r="D5029" s="197" t="s">
        <v>214</v>
      </c>
      <c r="E5029" s="197"/>
      <c r="F5029" s="197"/>
      <c r="G5029" s="197" t="s">
        <v>270</v>
      </c>
      <c r="H5029" s="197"/>
      <c r="I5029" s="209"/>
    </row>
    <row r="5030" spans="1:12">
      <c r="A5030" s="195"/>
      <c r="B5030" s="195" t="s">
        <v>205</v>
      </c>
      <c r="C5030"/>
      <c r="D5030" s="197" t="s">
        <v>214</v>
      </c>
      <c r="E5030" s="197"/>
      <c r="F5030" s="197"/>
      <c r="G5030" s="197" t="s">
        <v>270</v>
      </c>
      <c r="H5030" s="197"/>
      <c r="I5030" s="209"/>
    </row>
    <row r="5031" spans="1:12">
      <c r="A5031" s="195"/>
      <c r="B5031" s="195" t="s">
        <v>206</v>
      </c>
      <c r="C5031"/>
      <c r="D5031" s="197" t="s">
        <v>214</v>
      </c>
      <c r="E5031" s="197"/>
      <c r="F5031" s="197"/>
      <c r="G5031" s="197" t="s">
        <v>270</v>
      </c>
      <c r="H5031" s="197"/>
      <c r="I5031" s="209"/>
    </row>
    <row r="5032" spans="1:12">
      <c r="A5032" s="195"/>
      <c r="B5032" s="195" t="s">
        <v>207</v>
      </c>
      <c r="C5032"/>
      <c r="D5032" s="197"/>
      <c r="E5032" s="197"/>
      <c r="F5032" s="197"/>
      <c r="G5032" s="197"/>
      <c r="H5032" s="197"/>
      <c r="I5032" s="209"/>
    </row>
    <row r="5033" spans="1:12">
      <c r="A5033" s="195"/>
      <c r="B5033" s="196" t="s">
        <v>226</v>
      </c>
      <c r="C5033"/>
      <c r="D5033" s="197"/>
      <c r="E5033" s="197"/>
      <c r="F5033" s="197"/>
      <c r="G5033" s="197"/>
      <c r="H5033" s="197"/>
      <c r="I5033" s="209"/>
    </row>
    <row r="5034" spans="1:12">
      <c r="A5034" s="195"/>
      <c r="B5034" s="195" t="s">
        <v>205</v>
      </c>
      <c r="C5034"/>
      <c r="D5034" s="197"/>
      <c r="E5034" s="197"/>
      <c r="F5034" s="197"/>
      <c r="G5034" s="197"/>
      <c r="H5034" s="197"/>
      <c r="I5034" s="209"/>
    </row>
    <row r="5035" spans="1:12">
      <c r="A5035" s="195"/>
      <c r="B5035" s="195" t="s">
        <v>206</v>
      </c>
      <c r="C5035"/>
      <c r="D5035" s="197"/>
      <c r="E5035" s="197"/>
      <c r="F5035" s="197"/>
      <c r="G5035" s="197"/>
      <c r="H5035" s="197"/>
      <c r="I5035" s="209"/>
    </row>
    <row r="5036" spans="1:12">
      <c r="A5036" s="195"/>
      <c r="B5036" s="195" t="s">
        <v>207</v>
      </c>
      <c r="C5036"/>
      <c r="D5036" s="197"/>
      <c r="E5036" s="197"/>
      <c r="F5036" s="197"/>
      <c r="G5036" s="197"/>
      <c r="H5036" s="197"/>
      <c r="I5036" s="209"/>
    </row>
    <row r="5037" spans="1:12">
      <c r="A5037" s="195"/>
      <c r="B5037" s="196" t="s">
        <v>227</v>
      </c>
      <c r="C5037"/>
      <c r="D5037" s="197"/>
      <c r="E5037" s="197"/>
      <c r="F5037" s="197"/>
      <c r="G5037" s="197"/>
      <c r="H5037" s="209"/>
      <c r="I5037" s="209"/>
      <c r="K5037"/>
    </row>
    <row r="5038" spans="1:12" ht="29.25" thickBot="1">
      <c r="A5038" s="182" t="str">
        <f>"回収シフト  第"&amp;ROUNDUP(DAY(B5041)/7,0)  &amp;"  "&amp;TEXT(B5041,"aaaa")</f>
        <v>回収シフト  第3  火曜日</v>
      </c>
      <c r="B5038" s="183"/>
      <c r="C5038" s="183"/>
      <c r="D5038" s="183"/>
      <c r="E5038" s="183"/>
      <c r="F5038" s="183"/>
      <c r="G5038" s="184"/>
      <c r="H5038" s="184"/>
      <c r="I5038" s="184"/>
      <c r="K5038" s="183"/>
      <c r="L5038" s="183"/>
    </row>
    <row r="5039" spans="1:12" ht="15.75" thickBot="1">
      <c r="A5039"/>
      <c r="B5039"/>
      <c r="C5039"/>
      <c r="D5039" s="186" t="s">
        <v>201</v>
      </c>
      <c r="E5039" s="186" t="s">
        <v>202</v>
      </c>
      <c r="F5039" s="186" t="s">
        <v>203</v>
      </c>
      <c r="G5039" s="186" t="s">
        <v>204</v>
      </c>
      <c r="H5039" s="186" t="s">
        <v>267</v>
      </c>
      <c r="I5039" s="217" t="s">
        <v>987</v>
      </c>
      <c r="K5039" s="230" t="s">
        <v>257</v>
      </c>
      <c r="L5039" s="231"/>
    </row>
    <row r="5040" spans="1:12">
      <c r="A5040" s="187"/>
      <c r="B5040" s="188">
        <v>46119</v>
      </c>
      <c r="C5040" s="187"/>
      <c r="D5040" s="189" t="s">
        <v>926</v>
      </c>
      <c r="E5040" s="189" t="s">
        <v>247</v>
      </c>
      <c r="F5040" s="189" t="s">
        <v>921</v>
      </c>
      <c r="G5040" s="189" t="s">
        <v>925</v>
      </c>
      <c r="H5040" s="189" t="s">
        <v>852</v>
      </c>
      <c r="I5040" s="218" t="s">
        <v>649</v>
      </c>
      <c r="K5040" s="232" t="s">
        <v>258</v>
      </c>
      <c r="L5040" s="190" t="str">
        <f>_xlfn.XLOOKUP($B5041,シフト抽出!$19:$19,シフト抽出!$20:$20,"該当なし",0,1)</f>
        <v>該当なし</v>
      </c>
    </row>
    <row r="5041" spans="1:12" ht="19.5" thickBot="1">
      <c r="A5041"/>
      <c r="B5041" s="191">
        <f>B4988+1</f>
        <v>46224</v>
      </c>
      <c r="C5041" s="192"/>
      <c r="D5041" s="193"/>
      <c r="E5041" s="193"/>
      <c r="F5041" s="193"/>
      <c r="G5041" s="193"/>
      <c r="H5041" s="193"/>
      <c r="I5041" s="219"/>
      <c r="K5041" s="233"/>
      <c r="L5041" s="194" t="str">
        <f>_xlfn.XLOOKUP($B5041,シフト抽出!$19:$19,シフト抽出!$21:$21,"該当なし",0,1)</f>
        <v>該当なし</v>
      </c>
    </row>
    <row r="5042" spans="1:12">
      <c r="A5042" s="195"/>
      <c r="B5042" s="196">
        <v>0.25</v>
      </c>
      <c r="C5042"/>
      <c r="D5042" s="197"/>
      <c r="E5042" s="196"/>
      <c r="F5042" s="197"/>
      <c r="G5042" s="197"/>
      <c r="H5042" s="197"/>
      <c r="I5042" s="209"/>
      <c r="K5042" s="234" t="s">
        <v>259</v>
      </c>
      <c r="L5042" s="198" t="str">
        <f>_xlfn.XLOOKUP($B5041,シフト抽出!$19:$19,シフト抽出!$23:$23,"該当なし",0,1)</f>
        <v>該当なし</v>
      </c>
    </row>
    <row r="5043" spans="1:12" ht="15.75" thickBot="1">
      <c r="A5043" s="195"/>
      <c r="B5043" s="195" t="s">
        <v>205</v>
      </c>
      <c r="C5043"/>
      <c r="D5043" s="197"/>
      <c r="E5043" s="197"/>
      <c r="F5043" s="197"/>
      <c r="G5043" s="197"/>
      <c r="H5043" s="197"/>
      <c r="I5043" s="209"/>
      <c r="K5043" s="235"/>
      <c r="L5043" s="199" t="str">
        <f>_xlfn.XLOOKUP($B5041,シフト抽出!$19:$19,シフト抽出!$24:$24,"該当なし",0,1)</f>
        <v>該当なし</v>
      </c>
    </row>
    <row r="5044" spans="1:12">
      <c r="A5044" s="195"/>
      <c r="B5044" s="195" t="s">
        <v>206</v>
      </c>
      <c r="C5044"/>
      <c r="D5044" s="197"/>
      <c r="E5044" s="197"/>
      <c r="F5044" s="197"/>
      <c r="G5044" s="197"/>
      <c r="H5044" s="197"/>
      <c r="I5044" s="209"/>
      <c r="K5044" s="224" t="s">
        <v>260</v>
      </c>
      <c r="L5044" s="200" t="str">
        <f>_xlfn.XLOOKUP($B5041,シフト抽出!$19:$19,シフト抽出!$26:$26,"該当なし",0,1)</f>
        <v>該当なし</v>
      </c>
    </row>
    <row r="5045" spans="1:12">
      <c r="A5045" s="195"/>
      <c r="B5045" s="195" t="s">
        <v>207</v>
      </c>
      <c r="C5045"/>
      <c r="D5045" s="197"/>
      <c r="E5045" s="197"/>
      <c r="F5045" s="197"/>
      <c r="G5045" s="197"/>
      <c r="H5045" s="197"/>
      <c r="I5045" s="209"/>
      <c r="K5045" s="225"/>
      <c r="L5045" s="201" t="str">
        <f>_xlfn.XLOOKUP($B5041,シフト抽出!$19:$19,シフト抽出!$27:$27,"該当なし",0,1)</f>
        <v>該当なし</v>
      </c>
    </row>
    <row r="5046" spans="1:12">
      <c r="A5046" s="195"/>
      <c r="B5046" s="202" t="s">
        <v>208</v>
      </c>
      <c r="C5046"/>
      <c r="D5046" s="197" t="s">
        <v>4</v>
      </c>
      <c r="E5046" s="197" t="s">
        <v>4</v>
      </c>
      <c r="F5046" s="197"/>
      <c r="G5046" s="197" t="s">
        <v>4</v>
      </c>
      <c r="H5046" s="197"/>
      <c r="I5046" s="209"/>
      <c r="J5046" s="203"/>
      <c r="K5046" s="225"/>
      <c r="L5046" s="201" t="str">
        <f>_xlfn.XLOOKUP($B5041,シフト抽出!$19:$19,シフト抽出!$28:$28,"該当なし",0,1)</f>
        <v>該当なし</v>
      </c>
    </row>
    <row r="5047" spans="1:12" ht="15.75" thickBot="1">
      <c r="A5047" s="195"/>
      <c r="B5047" s="195" t="s">
        <v>205</v>
      </c>
      <c r="C5047"/>
      <c r="D5047" s="197" t="s">
        <v>851</v>
      </c>
      <c r="E5047" s="197" t="s">
        <v>420</v>
      </c>
      <c r="F5047" s="197"/>
      <c r="G5047" s="197" t="s">
        <v>22</v>
      </c>
      <c r="H5047" s="197"/>
      <c r="I5047" s="209"/>
      <c r="J5047" s="203"/>
      <c r="K5047" s="226"/>
      <c r="L5047" s="204" t="str">
        <f>_xlfn.XLOOKUP($B5041,シフト抽出!$19:$19,シフト抽出!$29:$29,"該当なし",0,1)</f>
        <v>該当なし</v>
      </c>
    </row>
    <row r="5048" spans="1:12" ht="15.75" thickBot="1">
      <c r="A5048" s="195"/>
      <c r="B5048" s="195" t="s">
        <v>206</v>
      </c>
      <c r="C5048"/>
      <c r="D5048" s="197" t="s">
        <v>851</v>
      </c>
      <c r="E5048" s="197" t="s">
        <v>420</v>
      </c>
      <c r="F5048" s="197"/>
      <c r="G5048" s="197" t="s">
        <v>22</v>
      </c>
      <c r="H5048" s="197"/>
      <c r="I5048" s="209"/>
      <c r="K5048" s="205" t="s">
        <v>261</v>
      </c>
      <c r="L5048" s="205">
        <f>_xlfn.XLOOKUP($B5041,予定表!B:B,予定表!R:R,"該当なし",0,1)</f>
        <v>0</v>
      </c>
    </row>
    <row r="5049" spans="1:12">
      <c r="A5049" s="195"/>
      <c r="B5049" s="195" t="s">
        <v>207</v>
      </c>
      <c r="C5049"/>
      <c r="D5049" s="197" t="s">
        <v>851</v>
      </c>
      <c r="E5049" s="197" t="s">
        <v>420</v>
      </c>
      <c r="F5049" s="197"/>
      <c r="G5049" s="197" t="s">
        <v>22</v>
      </c>
      <c r="H5049" s="197"/>
      <c r="I5049" s="209"/>
      <c r="K5049" s="227" t="s">
        <v>262</v>
      </c>
      <c r="L5049" s="206">
        <f>_xlfn.XLOOKUP($B5041,予定表!$B:$B,予定表!E:E,"該当なし",0,1)</f>
        <v>0</v>
      </c>
    </row>
    <row r="5050" spans="1:12">
      <c r="A5050" s="195"/>
      <c r="B5050" s="196" t="s">
        <v>209</v>
      </c>
      <c r="C5050"/>
      <c r="D5050" s="197" t="s">
        <v>851</v>
      </c>
      <c r="E5050" s="197" t="s">
        <v>420</v>
      </c>
      <c r="F5050" s="197" t="s">
        <v>467</v>
      </c>
      <c r="G5050" s="197" t="s">
        <v>268</v>
      </c>
      <c r="H5050" s="197" t="s">
        <v>4</v>
      </c>
      <c r="I5050" s="209"/>
      <c r="K5050" s="228"/>
      <c r="L5050" s="207" t="str">
        <f>_xlfn.XLOOKUP($B5041,予定表!$B:$B,予定表!F:F,"該当なし",0,1)</f>
        <v>ブリヂストン紙管</v>
      </c>
    </row>
    <row r="5051" spans="1:12">
      <c r="A5051" s="195"/>
      <c r="B5051" s="195" t="s">
        <v>205</v>
      </c>
      <c r="C5051"/>
      <c r="D5051" s="197" t="s">
        <v>851</v>
      </c>
      <c r="E5051" s="197" t="s">
        <v>420</v>
      </c>
      <c r="F5051" s="197" t="s">
        <v>467</v>
      </c>
      <c r="G5051" s="197" t="s">
        <v>268</v>
      </c>
      <c r="H5051" s="197" t="s">
        <v>848</v>
      </c>
      <c r="I5051" s="209"/>
      <c r="K5051" s="228"/>
      <c r="L5051" s="207">
        <f>_xlfn.XLOOKUP($B5041,予定表!$B:$B,予定表!G:G,"該当なし",0,1)</f>
        <v>0</v>
      </c>
    </row>
    <row r="5052" spans="1:12">
      <c r="A5052" s="195"/>
      <c r="B5052" s="195" t="s">
        <v>206</v>
      </c>
      <c r="C5052"/>
      <c r="D5052" s="197" t="s">
        <v>851</v>
      </c>
      <c r="E5052" s="197" t="s">
        <v>273</v>
      </c>
      <c r="F5052" s="197" t="s">
        <v>467</v>
      </c>
      <c r="G5052" s="197" t="s">
        <v>268</v>
      </c>
      <c r="H5052" s="197" t="s">
        <v>848</v>
      </c>
      <c r="I5052" s="209"/>
      <c r="K5052" s="228"/>
      <c r="L5052" s="207">
        <f>_xlfn.XLOOKUP($B5041,予定表!$B:$B,予定表!H:H,"該当なし",0,1)</f>
        <v>0</v>
      </c>
    </row>
    <row r="5053" spans="1:12">
      <c r="A5053" s="195"/>
      <c r="B5053" s="195" t="s">
        <v>207</v>
      </c>
      <c r="C5053"/>
      <c r="D5053" s="197" t="s">
        <v>851</v>
      </c>
      <c r="E5053" s="197" t="s">
        <v>273</v>
      </c>
      <c r="F5053" s="197" t="s">
        <v>467</v>
      </c>
      <c r="G5053" s="197" t="s">
        <v>268</v>
      </c>
      <c r="H5053" s="197" t="s">
        <v>848</v>
      </c>
      <c r="I5053" s="209"/>
      <c r="K5053" s="228"/>
      <c r="L5053" s="207">
        <f>_xlfn.XLOOKUP($B5041,予定表!$B:$B,予定表!I:I,"該当なし",0,1)</f>
        <v>0</v>
      </c>
    </row>
    <row r="5054" spans="1:12">
      <c r="A5054" s="195"/>
      <c r="B5054" s="196" t="s">
        <v>212</v>
      </c>
      <c r="C5054"/>
      <c r="D5054" s="197" t="s">
        <v>851</v>
      </c>
      <c r="E5054" s="197" t="s">
        <v>273</v>
      </c>
      <c r="F5054" s="197" t="s">
        <v>467</v>
      </c>
      <c r="G5054" s="197" t="s">
        <v>169</v>
      </c>
      <c r="H5054" s="197" t="s">
        <v>848</v>
      </c>
      <c r="I5054" s="209" t="s">
        <v>995</v>
      </c>
      <c r="K5054" s="228"/>
      <c r="L5054" s="207">
        <f>_xlfn.XLOOKUP($B5041,予定表!$B:$B,予定表!J:J,"該当なし",0,1)</f>
        <v>0</v>
      </c>
    </row>
    <row r="5055" spans="1:12">
      <c r="A5055" s="195"/>
      <c r="B5055" s="195" t="s">
        <v>205</v>
      </c>
      <c r="C5055"/>
      <c r="D5055" s="197" t="s">
        <v>353</v>
      </c>
      <c r="E5055" s="197" t="s">
        <v>953</v>
      </c>
      <c r="F5055" s="197" t="s">
        <v>467</v>
      </c>
      <c r="G5055" s="197" t="s">
        <v>169</v>
      </c>
      <c r="H5055" s="197" t="s">
        <v>848</v>
      </c>
      <c r="I5055" s="209" t="s">
        <v>994</v>
      </c>
      <c r="K5055" s="228"/>
      <c r="L5055" s="207">
        <f>_xlfn.XLOOKUP($B5041,予定表!$B:$B,予定表!K:K,"該当なし",0,1)</f>
        <v>0</v>
      </c>
    </row>
    <row r="5056" spans="1:12">
      <c r="A5056" s="195"/>
      <c r="B5056" s="195" t="s">
        <v>206</v>
      </c>
      <c r="C5056"/>
      <c r="D5056" s="197" t="s">
        <v>353</v>
      </c>
      <c r="E5056" s="197" t="s">
        <v>228</v>
      </c>
      <c r="F5056" s="197" t="s">
        <v>467</v>
      </c>
      <c r="G5056" s="197" t="s">
        <v>169</v>
      </c>
      <c r="H5056" s="197" t="s">
        <v>229</v>
      </c>
      <c r="I5056" s="209" t="s">
        <v>414</v>
      </c>
      <c r="K5056" s="228"/>
      <c r="L5056" s="207">
        <f>_xlfn.XLOOKUP($B5041,予定表!$B:$B,予定表!L:L,"該当なし",0,1)</f>
        <v>0</v>
      </c>
    </row>
    <row r="5057" spans="1:12" ht="15.75" thickBot="1">
      <c r="A5057" s="195"/>
      <c r="B5057" s="195" t="s">
        <v>207</v>
      </c>
      <c r="C5057"/>
      <c r="D5057" s="197" t="s">
        <v>761</v>
      </c>
      <c r="E5057" s="197" t="s">
        <v>228</v>
      </c>
      <c r="F5057" s="197" t="s">
        <v>467</v>
      </c>
      <c r="G5057" s="197" t="s">
        <v>169</v>
      </c>
      <c r="H5057" s="197" t="s">
        <v>229</v>
      </c>
      <c r="I5057" s="209" t="s">
        <v>414</v>
      </c>
      <c r="K5057" s="229"/>
      <c r="L5057" s="204" t="str">
        <f>_xlfn.XLOOKUP($A5038,ﾘｽﾄマスタ!$U$8:$U$17,ﾘｽﾄマスタ!$V$8:$V$17,"",0)</f>
        <v/>
      </c>
    </row>
    <row r="5058" spans="1:12" ht="15.75" thickBot="1">
      <c r="A5058" s="195"/>
      <c r="B5058" s="196" t="s">
        <v>251</v>
      </c>
      <c r="C5058"/>
      <c r="D5058" s="197" t="s">
        <v>761</v>
      </c>
      <c r="E5058" s="197" t="s">
        <v>228</v>
      </c>
      <c r="F5058" s="197" t="s">
        <v>467</v>
      </c>
      <c r="G5058" s="197" t="s">
        <v>279</v>
      </c>
      <c r="H5058" s="197" t="s">
        <v>230</v>
      </c>
      <c r="I5058" s="209" t="s">
        <v>414</v>
      </c>
      <c r="K5058" s="208" t="s">
        <v>277</v>
      </c>
      <c r="L5058" s="208" t="str">
        <f>_xlfn.XLOOKUP($B5041,シフト抽出!$19:$19,シフト抽出!$30:$30,"該当なし",0,1)</f>
        <v>該当なし</v>
      </c>
    </row>
    <row r="5059" spans="1:12">
      <c r="A5059" s="195"/>
      <c r="B5059" s="195" t="s">
        <v>205</v>
      </c>
      <c r="C5059"/>
      <c r="D5059" s="197" t="s">
        <v>761</v>
      </c>
      <c r="E5059" s="197" t="s">
        <v>228</v>
      </c>
      <c r="F5059" s="197" t="s">
        <v>467</v>
      </c>
      <c r="G5059" s="197" t="s">
        <v>279</v>
      </c>
      <c r="H5059" s="197" t="s">
        <v>230</v>
      </c>
      <c r="I5059" s="209" t="s">
        <v>414</v>
      </c>
    </row>
    <row r="5060" spans="1:12">
      <c r="A5060" s="195"/>
      <c r="B5060" s="195" t="s">
        <v>206</v>
      </c>
      <c r="C5060"/>
      <c r="D5060" s="197" t="s">
        <v>88</v>
      </c>
      <c r="E5060" s="197" t="s">
        <v>263</v>
      </c>
      <c r="F5060" s="197" t="s">
        <v>467</v>
      </c>
      <c r="G5060" s="197" t="s">
        <v>279</v>
      </c>
      <c r="H5060" s="197" t="s">
        <v>230</v>
      </c>
      <c r="I5060" s="209" t="s">
        <v>414</v>
      </c>
    </row>
    <row r="5061" spans="1:12">
      <c r="A5061" s="195"/>
      <c r="B5061" s="195" t="s">
        <v>207</v>
      </c>
      <c r="C5061"/>
      <c r="D5061" s="197" t="s">
        <v>88</v>
      </c>
      <c r="E5061" s="197" t="s">
        <v>263</v>
      </c>
      <c r="F5061" s="197" t="s">
        <v>467</v>
      </c>
      <c r="G5061" s="197" t="s">
        <v>279</v>
      </c>
      <c r="H5061" s="197" t="s">
        <v>230</v>
      </c>
      <c r="I5061" s="209" t="s">
        <v>862</v>
      </c>
    </row>
    <row r="5062" spans="1:12">
      <c r="A5062" s="195"/>
      <c r="B5062" s="196" t="s">
        <v>217</v>
      </c>
      <c r="C5062"/>
      <c r="D5062" s="197" t="s">
        <v>51</v>
      </c>
      <c r="E5062" s="197" t="s">
        <v>263</v>
      </c>
      <c r="F5062" s="197" t="s">
        <v>467</v>
      </c>
      <c r="G5062" s="197" t="s">
        <v>279</v>
      </c>
      <c r="H5062" s="197"/>
      <c r="I5062" s="209" t="s">
        <v>214</v>
      </c>
    </row>
    <row r="5063" spans="1:12">
      <c r="A5063" s="195"/>
      <c r="B5063" s="195" t="s">
        <v>205</v>
      </c>
      <c r="C5063"/>
      <c r="D5063" s="197" t="s">
        <v>51</v>
      </c>
      <c r="E5063" s="197" t="s">
        <v>426</v>
      </c>
      <c r="F5063" s="197"/>
      <c r="G5063" s="197" t="s">
        <v>279</v>
      </c>
      <c r="H5063" s="197"/>
      <c r="I5063" s="209" t="s">
        <v>214</v>
      </c>
    </row>
    <row r="5064" spans="1:12">
      <c r="A5064" s="195"/>
      <c r="B5064" s="195" t="s">
        <v>206</v>
      </c>
      <c r="C5064"/>
      <c r="D5064" s="197" t="s">
        <v>51</v>
      </c>
      <c r="E5064" s="197" t="s">
        <v>426</v>
      </c>
      <c r="F5064" s="197"/>
      <c r="G5064" s="197" t="s">
        <v>279</v>
      </c>
      <c r="H5064" s="197"/>
      <c r="I5064" s="209" t="s">
        <v>214</v>
      </c>
    </row>
    <row r="5065" spans="1:12">
      <c r="A5065" s="195"/>
      <c r="B5065" s="195" t="s">
        <v>207</v>
      </c>
      <c r="C5065"/>
      <c r="D5065" s="197" t="s">
        <v>51</v>
      </c>
      <c r="E5065" s="197" t="s">
        <v>426</v>
      </c>
      <c r="F5065" s="197"/>
      <c r="G5065" s="197" t="s">
        <v>279</v>
      </c>
      <c r="H5065" s="197"/>
      <c r="I5065" s="209" t="s">
        <v>214</v>
      </c>
    </row>
    <row r="5066" spans="1:12">
      <c r="A5066" s="195"/>
      <c r="B5066" s="196" t="s">
        <v>219</v>
      </c>
      <c r="C5066"/>
      <c r="D5066" s="197"/>
      <c r="E5066" s="197"/>
      <c r="F5066" s="197"/>
      <c r="G5066" s="197"/>
      <c r="H5066" s="197"/>
      <c r="I5066" s="209"/>
    </row>
    <row r="5067" spans="1:12">
      <c r="A5067" s="195"/>
      <c r="B5067" s="195" t="s">
        <v>205</v>
      </c>
      <c r="C5067"/>
      <c r="D5067" s="197"/>
      <c r="E5067" s="197"/>
      <c r="F5067" s="197"/>
      <c r="G5067" s="197"/>
      <c r="H5067" s="197"/>
      <c r="I5067" s="209"/>
    </row>
    <row r="5068" spans="1:12">
      <c r="A5068" s="195"/>
      <c r="B5068" s="195" t="s">
        <v>206</v>
      </c>
      <c r="C5068"/>
      <c r="D5068" s="197"/>
      <c r="E5068" s="197"/>
      <c r="F5068" s="197"/>
      <c r="G5068" s="197"/>
      <c r="H5068" s="197"/>
      <c r="I5068" s="209"/>
    </row>
    <row r="5069" spans="1:12">
      <c r="A5069" s="195"/>
      <c r="B5069" s="195" t="s">
        <v>207</v>
      </c>
      <c r="C5069"/>
      <c r="D5069" s="197"/>
      <c r="E5069" s="197"/>
      <c r="F5069" s="197"/>
      <c r="G5069" s="197"/>
      <c r="H5069" s="197"/>
      <c r="I5069" s="209"/>
    </row>
    <row r="5070" spans="1:12">
      <c r="A5070" s="195"/>
      <c r="B5070" s="196" t="s">
        <v>220</v>
      </c>
      <c r="C5070"/>
      <c r="D5070" s="189"/>
      <c r="E5070" s="197"/>
      <c r="F5070" s="197"/>
      <c r="G5070" s="197"/>
      <c r="H5070" s="197"/>
      <c r="I5070" s="209"/>
    </row>
    <row r="5071" spans="1:12">
      <c r="A5071" s="195"/>
      <c r="B5071" s="195" t="s">
        <v>205</v>
      </c>
      <c r="C5071"/>
      <c r="D5071" s="197" t="s">
        <v>114</v>
      </c>
      <c r="E5071" s="197" t="s">
        <v>233</v>
      </c>
      <c r="F5071" s="197" t="s">
        <v>62</v>
      </c>
      <c r="G5071" s="197" t="s">
        <v>56</v>
      </c>
      <c r="H5071" s="197" t="s">
        <v>390</v>
      </c>
      <c r="I5071" s="209"/>
    </row>
    <row r="5072" spans="1:12">
      <c r="A5072" s="195"/>
      <c r="B5072" s="195" t="s">
        <v>206</v>
      </c>
      <c r="C5072"/>
      <c r="D5072" s="197" t="s">
        <v>114</v>
      </c>
      <c r="E5072" s="197" t="s">
        <v>233</v>
      </c>
      <c r="F5072" s="197" t="s">
        <v>62</v>
      </c>
      <c r="G5072" s="197" t="s">
        <v>56</v>
      </c>
      <c r="H5072" s="197" t="s">
        <v>390</v>
      </c>
      <c r="I5072" s="209"/>
    </row>
    <row r="5073" spans="1:9">
      <c r="A5073" s="195"/>
      <c r="B5073" s="195" t="s">
        <v>207</v>
      </c>
      <c r="C5073"/>
      <c r="D5073" s="197" t="s">
        <v>129</v>
      </c>
      <c r="E5073" s="197" t="s">
        <v>233</v>
      </c>
      <c r="F5073" s="197" t="s">
        <v>62</v>
      </c>
      <c r="G5073" s="197" t="s">
        <v>56</v>
      </c>
      <c r="H5073" s="197"/>
      <c r="I5073" s="209"/>
    </row>
    <row r="5074" spans="1:9">
      <c r="A5074" s="195"/>
      <c r="B5074" s="196" t="s">
        <v>222</v>
      </c>
      <c r="C5074"/>
      <c r="D5074" s="197" t="s">
        <v>129</v>
      </c>
      <c r="E5074" s="197" t="s">
        <v>252</v>
      </c>
      <c r="F5074" s="197" t="s">
        <v>62</v>
      </c>
      <c r="G5074" s="197" t="s">
        <v>56</v>
      </c>
      <c r="H5074" s="197" t="s">
        <v>231</v>
      </c>
      <c r="I5074" s="209"/>
    </row>
    <row r="5075" spans="1:9">
      <c r="A5075" s="195"/>
      <c r="B5075" s="195" t="s">
        <v>205</v>
      </c>
      <c r="C5075"/>
      <c r="D5075" s="197"/>
      <c r="E5075" s="197" t="s">
        <v>252</v>
      </c>
      <c r="F5075" s="197" t="s">
        <v>62</v>
      </c>
      <c r="G5075" s="197"/>
      <c r="H5075" s="197" t="s">
        <v>232</v>
      </c>
      <c r="I5075" s="209"/>
    </row>
    <row r="5076" spans="1:9">
      <c r="A5076" s="195"/>
      <c r="B5076" s="195" t="s">
        <v>206</v>
      </c>
      <c r="C5076"/>
      <c r="D5076" s="197" t="s">
        <v>515</v>
      </c>
      <c r="E5076" s="197" t="s">
        <v>252</v>
      </c>
      <c r="F5076" s="197" t="s">
        <v>62</v>
      </c>
      <c r="G5076" s="197" t="s">
        <v>270</v>
      </c>
      <c r="H5076" s="197" t="s">
        <v>211</v>
      </c>
      <c r="I5076" s="209"/>
    </row>
    <row r="5077" spans="1:9">
      <c r="A5077" s="195"/>
      <c r="B5077" s="195" t="s">
        <v>207</v>
      </c>
      <c r="C5077"/>
      <c r="D5077" s="197" t="s">
        <v>515</v>
      </c>
      <c r="E5077" s="197" t="s">
        <v>252</v>
      </c>
      <c r="F5077" s="197" t="s">
        <v>62</v>
      </c>
      <c r="G5077" s="197" t="s">
        <v>270</v>
      </c>
      <c r="H5077" s="197" t="s">
        <v>211</v>
      </c>
      <c r="I5077" s="209"/>
    </row>
    <row r="5078" spans="1:9">
      <c r="A5078" s="195"/>
      <c r="B5078" s="196" t="s">
        <v>223</v>
      </c>
      <c r="C5078"/>
      <c r="D5078" s="197" t="s">
        <v>269</v>
      </c>
      <c r="E5078" s="197" t="s">
        <v>252</v>
      </c>
      <c r="F5078" s="197" t="s">
        <v>62</v>
      </c>
      <c r="G5078" s="197" t="s">
        <v>270</v>
      </c>
      <c r="H5078" s="197"/>
      <c r="I5078" s="209"/>
    </row>
    <row r="5079" spans="1:9">
      <c r="A5079" s="195"/>
      <c r="B5079" s="195" t="s">
        <v>205</v>
      </c>
      <c r="C5079"/>
      <c r="D5079" s="197" t="s">
        <v>269</v>
      </c>
      <c r="E5079" s="197" t="s">
        <v>252</v>
      </c>
      <c r="F5079" s="197" t="s">
        <v>62</v>
      </c>
      <c r="G5079" s="197" t="s">
        <v>270</v>
      </c>
      <c r="H5079" s="197" t="s">
        <v>856</v>
      </c>
      <c r="I5079" s="209"/>
    </row>
    <row r="5080" spans="1:9">
      <c r="A5080" s="195"/>
      <c r="B5080" s="195" t="s">
        <v>206</v>
      </c>
      <c r="C5080"/>
      <c r="D5080" s="197" t="s">
        <v>269</v>
      </c>
      <c r="E5080" s="197" t="s">
        <v>252</v>
      </c>
      <c r="F5080" s="197" t="s">
        <v>62</v>
      </c>
      <c r="G5080" s="197" t="s">
        <v>270</v>
      </c>
      <c r="H5080" s="197" t="s">
        <v>856</v>
      </c>
      <c r="I5080" s="209"/>
    </row>
    <row r="5081" spans="1:9">
      <c r="A5081" s="195"/>
      <c r="B5081" s="195" t="s">
        <v>207</v>
      </c>
      <c r="C5081"/>
      <c r="D5081" s="197" t="s">
        <v>269</v>
      </c>
      <c r="E5081" s="197" t="s">
        <v>252</v>
      </c>
      <c r="F5081" s="197" t="s">
        <v>62</v>
      </c>
      <c r="G5081" s="197" t="s">
        <v>270</v>
      </c>
      <c r="H5081" s="197" t="s">
        <v>856</v>
      </c>
      <c r="I5081" s="209"/>
    </row>
    <row r="5082" spans="1:9">
      <c r="A5082" s="195"/>
      <c r="B5082" s="196" t="s">
        <v>225</v>
      </c>
      <c r="C5082"/>
      <c r="D5082" s="197" t="s">
        <v>475</v>
      </c>
      <c r="E5082" s="197" t="s">
        <v>252</v>
      </c>
      <c r="F5082" s="197" t="s">
        <v>62</v>
      </c>
      <c r="G5082" s="197" t="s">
        <v>270</v>
      </c>
      <c r="H5082" s="197" t="s">
        <v>856</v>
      </c>
      <c r="I5082" s="209"/>
    </row>
    <row r="5083" spans="1:9">
      <c r="A5083" s="195"/>
      <c r="B5083" s="195" t="s">
        <v>205</v>
      </c>
      <c r="C5083"/>
      <c r="D5083" s="197" t="s">
        <v>475</v>
      </c>
      <c r="E5083" s="197" t="s">
        <v>252</v>
      </c>
      <c r="F5083" s="197" t="s">
        <v>62</v>
      </c>
      <c r="G5083" s="197" t="s">
        <v>270</v>
      </c>
      <c r="H5083" s="209" t="s">
        <v>856</v>
      </c>
      <c r="I5083" s="209"/>
    </row>
    <row r="5084" spans="1:9">
      <c r="A5084" s="195"/>
      <c r="B5084" s="195" t="s">
        <v>206</v>
      </c>
      <c r="C5084"/>
      <c r="D5084" s="197" t="s">
        <v>361</v>
      </c>
      <c r="E5084" s="197" t="s">
        <v>252</v>
      </c>
      <c r="F5084" s="197" t="s">
        <v>62</v>
      </c>
      <c r="G5084" s="197" t="s">
        <v>270</v>
      </c>
      <c r="H5084" s="209" t="s">
        <v>856</v>
      </c>
      <c r="I5084" s="209"/>
    </row>
    <row r="5085" spans="1:9">
      <c r="A5085" s="195"/>
      <c r="B5085" s="195" t="s">
        <v>207</v>
      </c>
      <c r="C5085"/>
      <c r="D5085" s="197"/>
      <c r="E5085" s="197"/>
      <c r="F5085" s="197"/>
      <c r="G5085" s="197"/>
      <c r="H5085" s="209"/>
      <c r="I5085" s="209"/>
    </row>
    <row r="5086" spans="1:9">
      <c r="A5086" s="195"/>
      <c r="B5086" s="196" t="s">
        <v>226</v>
      </c>
      <c r="C5086"/>
      <c r="D5086" s="197"/>
      <c r="E5086" s="197"/>
      <c r="F5086" s="197"/>
      <c r="G5086" s="197"/>
      <c r="H5086" s="209"/>
      <c r="I5086" s="209"/>
    </row>
    <row r="5087" spans="1:9">
      <c r="A5087" s="195"/>
      <c r="B5087" s="195" t="s">
        <v>205</v>
      </c>
      <c r="C5087"/>
      <c r="D5087" s="197"/>
      <c r="E5087" s="197"/>
      <c r="F5087" s="197"/>
      <c r="G5087" s="197"/>
      <c r="H5087" s="209"/>
      <c r="I5087" s="209"/>
    </row>
    <row r="5088" spans="1:9">
      <c r="A5088" s="195"/>
      <c r="B5088" s="195" t="s">
        <v>206</v>
      </c>
      <c r="C5088"/>
      <c r="D5088" s="197"/>
      <c r="E5088" s="197"/>
      <c r="F5088" s="197"/>
      <c r="G5088" s="197"/>
      <c r="H5088" s="209"/>
      <c r="I5088" s="209"/>
    </row>
    <row r="5089" spans="1:12">
      <c r="A5089" s="195"/>
      <c r="B5089" s="195" t="s">
        <v>207</v>
      </c>
      <c r="C5089"/>
      <c r="D5089" s="197"/>
      <c r="E5089" s="197"/>
      <c r="F5089" s="197"/>
      <c r="G5089" s="197"/>
      <c r="H5089" s="209"/>
      <c r="I5089" s="209"/>
    </row>
    <row r="5090" spans="1:12">
      <c r="A5090" s="195"/>
      <c r="B5090" s="196" t="s">
        <v>227</v>
      </c>
      <c r="C5090"/>
      <c r="D5090" s="197"/>
      <c r="E5090" s="197"/>
      <c r="F5090" s="197"/>
      <c r="G5090" s="197"/>
      <c r="H5090" s="209"/>
      <c r="I5090" s="209"/>
      <c r="K5090"/>
    </row>
    <row r="5091" spans="1:12" ht="29.25" thickBot="1">
      <c r="A5091" s="182" t="str">
        <f>"回収シフト  第"&amp;ROUNDUP(DAY(B5094)/7,0)  &amp;"  "&amp;TEXT(B5094,"aaaa")</f>
        <v>回収シフト  第4  水曜日</v>
      </c>
      <c r="B5091" s="183"/>
      <c r="C5091" s="183"/>
      <c r="D5091" s="183"/>
      <c r="E5091" s="183"/>
      <c r="F5091" s="183"/>
      <c r="G5091" s="184"/>
      <c r="H5091" s="184"/>
      <c r="I5091" s="215"/>
      <c r="K5091" s="183"/>
      <c r="L5091" s="183"/>
    </row>
    <row r="5092" spans="1:12" ht="15.75" thickBot="1">
      <c r="A5092"/>
      <c r="B5092"/>
      <c r="C5092"/>
      <c r="D5092" s="186" t="s">
        <v>201</v>
      </c>
      <c r="E5092" s="186" t="s">
        <v>202</v>
      </c>
      <c r="F5092" s="186" t="s">
        <v>203</v>
      </c>
      <c r="G5092" s="186" t="s">
        <v>204</v>
      </c>
      <c r="H5092" s="186" t="s">
        <v>267</v>
      </c>
      <c r="I5092" s="222" t="s">
        <v>987</v>
      </c>
      <c r="K5092" s="230" t="s">
        <v>257</v>
      </c>
      <c r="L5092" s="231"/>
    </row>
    <row r="5093" spans="1:12">
      <c r="A5093" s="187"/>
      <c r="B5093" s="188">
        <v>46119</v>
      </c>
      <c r="C5093" s="187"/>
      <c r="D5093" s="189" t="s">
        <v>857</v>
      </c>
      <c r="E5093" s="189" t="s">
        <v>937</v>
      </c>
      <c r="F5093" s="189" t="s">
        <v>998</v>
      </c>
      <c r="G5093" s="189" t="s">
        <v>863</v>
      </c>
      <c r="H5093" s="189" t="s">
        <v>852</v>
      </c>
      <c r="I5093" s="223"/>
      <c r="K5093" s="232" t="s">
        <v>258</v>
      </c>
      <c r="L5093" s="190" t="str">
        <f>_xlfn.XLOOKUP($B5094,シフト抽出!$19:$19,シフト抽出!$20:$20,"該当なし",0,1)</f>
        <v>該当なし</v>
      </c>
    </row>
    <row r="5094" spans="1:12" ht="19.5" thickBot="1">
      <c r="A5094"/>
      <c r="B5094" s="191">
        <f>B5041+1</f>
        <v>46225</v>
      </c>
      <c r="C5094" s="192" t="e">
        <v>#REF!</v>
      </c>
      <c r="D5094" s="193"/>
      <c r="E5094" s="193"/>
      <c r="F5094" s="193"/>
      <c r="G5094" s="193"/>
      <c r="H5094" s="193"/>
      <c r="I5094" s="220"/>
      <c r="K5094" s="233"/>
      <c r="L5094" s="194" t="str">
        <f>_xlfn.XLOOKUP($B5094,シフト抽出!$19:$19,シフト抽出!$21:$21,"該当なし",0,1)</f>
        <v>該当なし</v>
      </c>
    </row>
    <row r="5095" spans="1:12">
      <c r="A5095" s="195"/>
      <c r="B5095" s="196">
        <v>0.25</v>
      </c>
      <c r="C5095"/>
      <c r="D5095" s="197"/>
      <c r="E5095" s="196"/>
      <c r="F5095" s="197"/>
      <c r="G5095" s="197"/>
      <c r="H5095" s="197"/>
      <c r="I5095" s="209"/>
      <c r="K5095" s="234" t="s">
        <v>259</v>
      </c>
      <c r="L5095" s="198" t="str">
        <f>_xlfn.XLOOKUP($B5094,シフト抽出!$19:$19,シフト抽出!$23:$23,"該当なし",0,1)</f>
        <v>該当なし</v>
      </c>
    </row>
    <row r="5096" spans="1:12" ht="15.75" thickBot="1">
      <c r="A5096" s="195"/>
      <c r="B5096" s="195" t="s">
        <v>205</v>
      </c>
      <c r="C5096"/>
      <c r="D5096" s="197"/>
      <c r="E5096" s="197"/>
      <c r="F5096" s="197"/>
      <c r="G5096" s="197"/>
      <c r="H5096" s="197"/>
      <c r="I5096" s="209"/>
      <c r="K5096" s="235"/>
      <c r="L5096" s="199" t="str">
        <f>_xlfn.XLOOKUP($B5094,シフト抽出!$19:$19,シフト抽出!$24:$24,"該当なし",0,1)</f>
        <v>該当なし</v>
      </c>
    </row>
    <row r="5097" spans="1:12">
      <c r="A5097" s="195"/>
      <c r="B5097" s="195" t="s">
        <v>206</v>
      </c>
      <c r="C5097"/>
      <c r="D5097" s="197"/>
      <c r="E5097" s="197"/>
      <c r="F5097" s="197"/>
      <c r="G5097" s="197"/>
      <c r="H5097" s="197"/>
      <c r="I5097" s="209"/>
      <c r="K5097" s="224" t="s">
        <v>260</v>
      </c>
      <c r="L5097" s="200" t="str">
        <f>_xlfn.XLOOKUP($B5094,シフト抽出!$19:$19,シフト抽出!$26:$26,"該当なし",0,1)</f>
        <v>該当なし</v>
      </c>
    </row>
    <row r="5098" spans="1:12">
      <c r="A5098" s="195"/>
      <c r="B5098" s="195" t="s">
        <v>207</v>
      </c>
      <c r="C5098"/>
      <c r="D5098" s="197"/>
      <c r="E5098" s="197"/>
      <c r="F5098" s="197"/>
      <c r="G5098" s="197"/>
      <c r="H5098" s="197"/>
      <c r="I5098" s="209"/>
      <c r="K5098" s="225"/>
      <c r="L5098" s="201" t="str">
        <f>_xlfn.XLOOKUP($B5094,シフト抽出!$19:$19,シフト抽出!$27:$27,"該当なし",0,1)</f>
        <v>該当なし</v>
      </c>
    </row>
    <row r="5099" spans="1:12">
      <c r="A5099" s="195"/>
      <c r="B5099" s="202" t="s">
        <v>208</v>
      </c>
      <c r="C5099"/>
      <c r="D5099" s="197" t="s">
        <v>414</v>
      </c>
      <c r="E5099" s="197" t="s">
        <v>793</v>
      </c>
      <c r="F5099" s="197" t="s">
        <v>851</v>
      </c>
      <c r="G5099" s="197" t="s">
        <v>22</v>
      </c>
      <c r="H5099" s="197" t="s">
        <v>106</v>
      </c>
      <c r="I5099" s="209"/>
      <c r="J5099" s="203"/>
      <c r="K5099" s="225"/>
      <c r="L5099" s="201" t="str">
        <f>_xlfn.XLOOKUP($B5094,シフト抽出!$19:$19,シフト抽出!$28:$28,"該当なし",0,1)</f>
        <v>該当なし</v>
      </c>
    </row>
    <row r="5100" spans="1:12" ht="15.75" thickBot="1">
      <c r="A5100" s="195"/>
      <c r="B5100" s="195" t="s">
        <v>205</v>
      </c>
      <c r="C5100"/>
      <c r="D5100" s="197" t="s">
        <v>414</v>
      </c>
      <c r="E5100" s="197" t="s">
        <v>973</v>
      </c>
      <c r="F5100" s="197" t="s">
        <v>851</v>
      </c>
      <c r="G5100" s="197" t="s">
        <v>22</v>
      </c>
      <c r="H5100" s="197" t="s">
        <v>106</v>
      </c>
      <c r="I5100" s="209"/>
      <c r="J5100" s="203"/>
      <c r="K5100" s="226"/>
      <c r="L5100" s="204" t="str">
        <f>_xlfn.XLOOKUP($B5094,シフト抽出!$19:$19,シフト抽出!$29:$29,"該当なし",0,1)</f>
        <v>該当なし</v>
      </c>
    </row>
    <row r="5101" spans="1:12" ht="15.75" thickBot="1">
      <c r="A5101" s="195"/>
      <c r="B5101" s="195" t="s">
        <v>206</v>
      </c>
      <c r="C5101"/>
      <c r="D5101" s="197" t="s">
        <v>414</v>
      </c>
      <c r="E5101" s="197" t="s">
        <v>106</v>
      </c>
      <c r="F5101" s="197" t="s">
        <v>851</v>
      </c>
      <c r="G5101" s="197" t="s">
        <v>788</v>
      </c>
      <c r="H5101" s="197" t="s">
        <v>106</v>
      </c>
      <c r="I5101" s="209"/>
      <c r="K5101" s="205" t="s">
        <v>261</v>
      </c>
      <c r="L5101" s="205">
        <f>_xlfn.XLOOKUP($B5094,予定表!B:B,予定表!R:R,"該当なし",0,1)</f>
        <v>0</v>
      </c>
    </row>
    <row r="5102" spans="1:12">
      <c r="A5102" s="195"/>
      <c r="B5102" s="195" t="s">
        <v>207</v>
      </c>
      <c r="C5102"/>
      <c r="D5102" s="197" t="s">
        <v>414</v>
      </c>
      <c r="E5102" s="197" t="s">
        <v>106</v>
      </c>
      <c r="F5102" s="197" t="s">
        <v>851</v>
      </c>
      <c r="G5102" s="197" t="s">
        <v>788</v>
      </c>
      <c r="H5102" s="197" t="s">
        <v>106</v>
      </c>
      <c r="I5102" s="209"/>
      <c r="K5102" s="227" t="s">
        <v>262</v>
      </c>
      <c r="L5102" s="206">
        <f>_xlfn.XLOOKUP($B5094,予定表!$B:$B,予定表!E:E,"該当なし",0,1)</f>
        <v>0</v>
      </c>
    </row>
    <row r="5103" spans="1:12">
      <c r="A5103" s="195"/>
      <c r="B5103" s="196" t="s">
        <v>209</v>
      </c>
      <c r="C5103"/>
      <c r="D5103" s="197" t="s">
        <v>414</v>
      </c>
      <c r="E5103" s="197" t="s">
        <v>106</v>
      </c>
      <c r="F5103" s="197" t="s">
        <v>851</v>
      </c>
      <c r="G5103" s="197" t="s">
        <v>268</v>
      </c>
      <c r="H5103" s="197" t="s">
        <v>106</v>
      </c>
      <c r="I5103" s="209"/>
      <c r="K5103" s="228"/>
      <c r="L5103" s="207">
        <f>_xlfn.XLOOKUP($B5094,予定表!$B:$B,予定表!F:F,"該当なし",0,1)</f>
        <v>0</v>
      </c>
    </row>
    <row r="5104" spans="1:12">
      <c r="A5104" s="195"/>
      <c r="B5104" s="195" t="s">
        <v>205</v>
      </c>
      <c r="C5104"/>
      <c r="D5104" s="197" t="s">
        <v>414</v>
      </c>
      <c r="E5104" s="197" t="s">
        <v>106</v>
      </c>
      <c r="F5104" s="197" t="s">
        <v>851</v>
      </c>
      <c r="G5104" s="197" t="s">
        <v>268</v>
      </c>
      <c r="H5104" s="197" t="s">
        <v>106</v>
      </c>
      <c r="I5104" s="209"/>
      <c r="K5104" s="228"/>
      <c r="L5104" s="207" t="str">
        <f>_xlfn.XLOOKUP($B5094,予定表!$B:$B,予定表!G:G,"該当なし",0,1)</f>
        <v>ディーミング</v>
      </c>
    </row>
    <row r="5105" spans="1:12">
      <c r="A5105" s="195"/>
      <c r="B5105" s="195" t="s">
        <v>206</v>
      </c>
      <c r="C5105"/>
      <c r="D5105" s="197" t="s">
        <v>214</v>
      </c>
      <c r="E5105" s="197" t="s">
        <v>106</v>
      </c>
      <c r="F5105" s="197" t="s">
        <v>851</v>
      </c>
      <c r="G5105" s="197" t="s">
        <v>268</v>
      </c>
      <c r="H5105" s="197" t="s">
        <v>106</v>
      </c>
      <c r="I5105" s="209"/>
      <c r="K5105" s="228"/>
      <c r="L5105" s="207" t="str">
        <f>_xlfn.XLOOKUP($B5094,予定表!$B:$B,予定表!H:H,"該当なし",0,1)</f>
        <v>'資さん 平塚</v>
      </c>
    </row>
    <row r="5106" spans="1:12">
      <c r="A5106" s="195"/>
      <c r="B5106" s="195" t="s">
        <v>207</v>
      </c>
      <c r="C5106"/>
      <c r="D5106" s="197" t="s">
        <v>214</v>
      </c>
      <c r="E5106" s="197" t="s">
        <v>106</v>
      </c>
      <c r="F5106" s="197" t="s">
        <v>851</v>
      </c>
      <c r="G5106" s="197" t="s">
        <v>268</v>
      </c>
      <c r="H5106" s="197" t="s">
        <v>106</v>
      </c>
      <c r="I5106" s="209"/>
      <c r="K5106" s="228"/>
      <c r="L5106" s="207">
        <f>_xlfn.XLOOKUP($B5094,予定表!$B:$B,予定表!I:I,"該当なし",0,1)</f>
        <v>0</v>
      </c>
    </row>
    <row r="5107" spans="1:12">
      <c r="A5107" s="195"/>
      <c r="B5107" s="196" t="s">
        <v>212</v>
      </c>
      <c r="C5107"/>
      <c r="D5107" s="197" t="s">
        <v>214</v>
      </c>
      <c r="E5107" s="197" t="s">
        <v>106</v>
      </c>
      <c r="F5107" s="197"/>
      <c r="G5107" s="197" t="s">
        <v>268</v>
      </c>
      <c r="H5107" s="197" t="s">
        <v>106</v>
      </c>
      <c r="I5107" s="209"/>
      <c r="K5107" s="228"/>
      <c r="L5107" s="207">
        <f>_xlfn.XLOOKUP($B5094,予定表!$B:$B,予定表!J:J,"該当なし",0,1)</f>
        <v>0</v>
      </c>
    </row>
    <row r="5108" spans="1:12">
      <c r="A5108" s="195"/>
      <c r="B5108" s="195" t="s">
        <v>205</v>
      </c>
      <c r="C5108"/>
      <c r="D5108" s="197" t="s">
        <v>761</v>
      </c>
      <c r="E5108" s="197" t="s">
        <v>106</v>
      </c>
      <c r="F5108" s="197" t="s">
        <v>395</v>
      </c>
      <c r="G5108" s="197" t="s">
        <v>268</v>
      </c>
      <c r="H5108" s="197" t="s">
        <v>106</v>
      </c>
      <c r="I5108" s="209"/>
      <c r="K5108" s="228"/>
      <c r="L5108" s="207">
        <f>_xlfn.XLOOKUP($B5094,予定表!$B:$B,予定表!K:K,"該当なし",0,1)</f>
        <v>0</v>
      </c>
    </row>
    <row r="5109" spans="1:12">
      <c r="A5109" s="195"/>
      <c r="B5109" s="195" t="s">
        <v>206</v>
      </c>
      <c r="C5109"/>
      <c r="D5109" s="197" t="s">
        <v>761</v>
      </c>
      <c r="E5109" s="197" t="s">
        <v>106</v>
      </c>
      <c r="F5109" s="197" t="s">
        <v>395</v>
      </c>
      <c r="G5109" s="197" t="s">
        <v>515</v>
      </c>
      <c r="H5109" s="197" t="s">
        <v>106</v>
      </c>
      <c r="I5109" s="209"/>
      <c r="K5109" s="228"/>
      <c r="L5109" s="207">
        <f>_xlfn.XLOOKUP($B5094,予定表!$B:$B,予定表!L:L,"該当なし",0,1)</f>
        <v>0</v>
      </c>
    </row>
    <row r="5110" spans="1:12" ht="15.75" thickBot="1">
      <c r="A5110" s="195"/>
      <c r="B5110" s="195" t="s">
        <v>207</v>
      </c>
      <c r="C5110"/>
      <c r="D5110" s="197" t="s">
        <v>761</v>
      </c>
      <c r="E5110" s="197" t="s">
        <v>106</v>
      </c>
      <c r="F5110" s="197" t="s">
        <v>395</v>
      </c>
      <c r="G5110" s="197" t="s">
        <v>515</v>
      </c>
      <c r="H5110" s="197" t="s">
        <v>106</v>
      </c>
      <c r="I5110" s="209"/>
      <c r="K5110" s="229"/>
      <c r="L5110" s="204" t="str">
        <f>_xlfn.XLOOKUP($A5091,ﾘｽﾄマスタ!$U$8:$U$17,ﾘｽﾄマスタ!$V$8:$V$17,"",0)</f>
        <v>裕源・自衛隊</v>
      </c>
    </row>
    <row r="5111" spans="1:12" ht="15.75" thickBot="1">
      <c r="A5111" s="195"/>
      <c r="B5111" s="196" t="s">
        <v>251</v>
      </c>
      <c r="C5111"/>
      <c r="D5111" s="197" t="s">
        <v>280</v>
      </c>
      <c r="E5111" s="197" t="s">
        <v>106</v>
      </c>
      <c r="F5111" s="197" t="s">
        <v>395</v>
      </c>
      <c r="G5111" s="197" t="s">
        <v>269</v>
      </c>
      <c r="H5111" s="197" t="s">
        <v>106</v>
      </c>
      <c r="I5111" s="209"/>
      <c r="K5111" s="208" t="s">
        <v>277</v>
      </c>
      <c r="L5111" s="208" t="str">
        <f>_xlfn.XLOOKUP($B5094,シフト抽出!$19:$19,シフト抽出!$30:$30,"該当なし",0,1)</f>
        <v>該当なし</v>
      </c>
    </row>
    <row r="5112" spans="1:12">
      <c r="A5112" s="195"/>
      <c r="B5112" s="195" t="s">
        <v>205</v>
      </c>
      <c r="C5112"/>
      <c r="D5112" s="197" t="s">
        <v>215</v>
      </c>
      <c r="E5112" s="197" t="s">
        <v>106</v>
      </c>
      <c r="F5112" s="197" t="s">
        <v>395</v>
      </c>
      <c r="G5112" s="197" t="s">
        <v>269</v>
      </c>
      <c r="H5112" s="197" t="s">
        <v>106</v>
      </c>
      <c r="I5112" s="209"/>
    </row>
    <row r="5113" spans="1:12">
      <c r="A5113" s="195"/>
      <c r="B5113" s="195" t="s">
        <v>206</v>
      </c>
      <c r="C5113"/>
      <c r="D5113" s="197" t="s">
        <v>264</v>
      </c>
      <c r="E5113" s="197" t="s">
        <v>106</v>
      </c>
      <c r="F5113" s="197" t="s">
        <v>395</v>
      </c>
      <c r="G5113" s="197" t="s">
        <v>269</v>
      </c>
      <c r="H5113" s="197" t="s">
        <v>106</v>
      </c>
      <c r="I5113" s="209"/>
    </row>
    <row r="5114" spans="1:12">
      <c r="A5114" s="195"/>
      <c r="B5114" s="195" t="s">
        <v>207</v>
      </c>
      <c r="C5114"/>
      <c r="D5114" s="197" t="s">
        <v>51</v>
      </c>
      <c r="E5114" s="197" t="s">
        <v>106</v>
      </c>
      <c r="F5114" s="197" t="s">
        <v>395</v>
      </c>
      <c r="G5114" s="197" t="s">
        <v>446</v>
      </c>
      <c r="H5114" s="197" t="s">
        <v>106</v>
      </c>
      <c r="I5114" s="209"/>
    </row>
    <row r="5115" spans="1:12">
      <c r="A5115" s="195"/>
      <c r="B5115" s="196" t="s">
        <v>217</v>
      </c>
      <c r="C5115"/>
      <c r="D5115" s="197" t="s">
        <v>51</v>
      </c>
      <c r="E5115" s="197" t="s">
        <v>106</v>
      </c>
      <c r="F5115" s="197" t="s">
        <v>395</v>
      </c>
      <c r="G5115" s="197" t="s">
        <v>114</v>
      </c>
      <c r="H5115" s="197" t="s">
        <v>106</v>
      </c>
      <c r="I5115" s="209"/>
    </row>
    <row r="5116" spans="1:12">
      <c r="A5116" s="195"/>
      <c r="B5116" s="195" t="s">
        <v>205</v>
      </c>
      <c r="C5116"/>
      <c r="D5116" s="197" t="s">
        <v>51</v>
      </c>
      <c r="E5116" s="197" t="s">
        <v>106</v>
      </c>
      <c r="F5116" s="197" t="s">
        <v>395</v>
      </c>
      <c r="G5116" s="197" t="s">
        <v>114</v>
      </c>
      <c r="H5116" s="197" t="s">
        <v>106</v>
      </c>
      <c r="I5116" s="209"/>
    </row>
    <row r="5117" spans="1:12">
      <c r="A5117" s="195"/>
      <c r="B5117" s="195" t="s">
        <v>206</v>
      </c>
      <c r="C5117"/>
      <c r="D5117" s="197" t="s">
        <v>51</v>
      </c>
      <c r="E5117" s="197" t="s">
        <v>106</v>
      </c>
      <c r="F5117" s="197" t="s">
        <v>395</v>
      </c>
      <c r="G5117" s="197" t="s">
        <v>114</v>
      </c>
      <c r="H5117" s="197" t="s">
        <v>106</v>
      </c>
      <c r="I5117" s="209"/>
    </row>
    <row r="5118" spans="1:12">
      <c r="A5118" s="195"/>
      <c r="B5118" s="195" t="s">
        <v>207</v>
      </c>
      <c r="C5118"/>
      <c r="D5118" s="197"/>
      <c r="E5118" s="197" t="s">
        <v>106</v>
      </c>
      <c r="F5118" s="197" t="s">
        <v>395</v>
      </c>
      <c r="G5118" s="197" t="s">
        <v>114</v>
      </c>
      <c r="H5118" s="197" t="s">
        <v>106</v>
      </c>
      <c r="I5118" s="209"/>
    </row>
    <row r="5119" spans="1:12">
      <c r="A5119" s="195"/>
      <c r="B5119" s="196" t="s">
        <v>219</v>
      </c>
      <c r="C5119"/>
      <c r="D5119" s="197"/>
      <c r="E5119" s="197"/>
      <c r="F5119" s="197"/>
      <c r="G5119" s="197"/>
      <c r="H5119" s="197"/>
      <c r="I5119" s="209"/>
    </row>
    <row r="5120" spans="1:12">
      <c r="A5120" s="195"/>
      <c r="B5120" s="195" t="s">
        <v>205</v>
      </c>
      <c r="C5120"/>
      <c r="D5120" s="197"/>
      <c r="E5120" s="197"/>
      <c r="F5120" s="197"/>
      <c r="G5120" s="197"/>
      <c r="H5120" s="197"/>
      <c r="I5120" s="209"/>
    </row>
    <row r="5121" spans="1:9">
      <c r="A5121" s="195"/>
      <c r="B5121" s="195" t="s">
        <v>206</v>
      </c>
      <c r="C5121"/>
      <c r="D5121" s="197"/>
      <c r="E5121" s="197"/>
      <c r="F5121" s="197"/>
      <c r="G5121" s="197"/>
      <c r="H5121" s="197"/>
      <c r="I5121" s="209"/>
    </row>
    <row r="5122" spans="1:9">
      <c r="A5122" s="195"/>
      <c r="B5122" s="195" t="s">
        <v>207</v>
      </c>
      <c r="C5122"/>
      <c r="D5122" s="197"/>
      <c r="E5122" s="197"/>
      <c r="F5122" s="197"/>
      <c r="G5122" s="197"/>
      <c r="H5122" s="197"/>
      <c r="I5122" s="209"/>
    </row>
    <row r="5123" spans="1:9">
      <c r="A5123" s="195"/>
      <c r="B5123" s="196" t="s">
        <v>220</v>
      </c>
      <c r="C5123"/>
      <c r="D5123" s="189" t="s">
        <v>248</v>
      </c>
      <c r="E5123" s="189" t="s">
        <v>923</v>
      </c>
      <c r="F5123" s="197"/>
      <c r="G5123" s="189" t="s">
        <v>890</v>
      </c>
      <c r="H5123" s="197"/>
      <c r="I5123" s="209"/>
    </row>
    <row r="5124" spans="1:9">
      <c r="A5124" s="195"/>
      <c r="B5124" s="195" t="s">
        <v>205</v>
      </c>
      <c r="C5124"/>
      <c r="D5124" s="197" t="s">
        <v>759</v>
      </c>
      <c r="E5124" s="197" t="s">
        <v>273</v>
      </c>
      <c r="F5124" s="197" t="s">
        <v>416</v>
      </c>
      <c r="G5124" s="197" t="s">
        <v>56</v>
      </c>
      <c r="H5124" s="197" t="s">
        <v>848</v>
      </c>
      <c r="I5124" s="209"/>
    </row>
    <row r="5125" spans="1:9">
      <c r="A5125" s="195"/>
      <c r="B5125" s="195" t="s">
        <v>206</v>
      </c>
      <c r="C5125"/>
      <c r="D5125" s="197" t="s">
        <v>759</v>
      </c>
      <c r="E5125" s="197" t="s">
        <v>273</v>
      </c>
      <c r="F5125" s="197" t="s">
        <v>771</v>
      </c>
      <c r="G5125" s="197" t="s">
        <v>56</v>
      </c>
      <c r="H5125" s="197" t="s">
        <v>848</v>
      </c>
      <c r="I5125" s="209"/>
    </row>
    <row r="5126" spans="1:9">
      <c r="A5126" s="195"/>
      <c r="B5126" s="195" t="s">
        <v>207</v>
      </c>
      <c r="C5126"/>
      <c r="D5126" s="197" t="s">
        <v>759</v>
      </c>
      <c r="E5126" s="197" t="s">
        <v>273</v>
      </c>
      <c r="F5126" s="197" t="s">
        <v>416</v>
      </c>
      <c r="G5126" s="197" t="s">
        <v>56</v>
      </c>
      <c r="H5126" s="197" t="s">
        <v>848</v>
      </c>
      <c r="I5126" s="209"/>
    </row>
    <row r="5127" spans="1:9">
      <c r="A5127" s="195"/>
      <c r="B5127" s="196" t="s">
        <v>222</v>
      </c>
      <c r="C5127"/>
      <c r="D5127" s="197" t="s">
        <v>759</v>
      </c>
      <c r="E5127" s="197" t="s">
        <v>273</v>
      </c>
      <c r="F5127" s="197" t="s">
        <v>416</v>
      </c>
      <c r="G5127" s="197" t="s">
        <v>4</v>
      </c>
      <c r="H5127" s="197" t="s">
        <v>848</v>
      </c>
      <c r="I5127" s="209"/>
    </row>
    <row r="5128" spans="1:9">
      <c r="A5128" s="195"/>
      <c r="B5128" s="195" t="s">
        <v>205</v>
      </c>
      <c r="C5128"/>
      <c r="D5128" s="197" t="s">
        <v>216</v>
      </c>
      <c r="E5128" s="197" t="s">
        <v>186</v>
      </c>
      <c r="F5128" s="197" t="s">
        <v>416</v>
      </c>
      <c r="G5128" s="197" t="s">
        <v>270</v>
      </c>
      <c r="H5128" s="197" t="s">
        <v>848</v>
      </c>
      <c r="I5128" s="209"/>
    </row>
    <row r="5129" spans="1:9">
      <c r="A5129" s="195"/>
      <c r="B5129" s="195" t="s">
        <v>206</v>
      </c>
      <c r="C5129"/>
      <c r="D5129" s="197" t="s">
        <v>216</v>
      </c>
      <c r="E5129" s="197" t="s">
        <v>186</v>
      </c>
      <c r="F5129" s="197" t="s">
        <v>224</v>
      </c>
      <c r="G5129" s="197" t="s">
        <v>270</v>
      </c>
      <c r="H5129" s="197" t="s">
        <v>229</v>
      </c>
      <c r="I5129" s="209"/>
    </row>
    <row r="5130" spans="1:9">
      <c r="A5130" s="195"/>
      <c r="B5130" s="195" t="s">
        <v>207</v>
      </c>
      <c r="C5130"/>
      <c r="D5130" s="197" t="s">
        <v>216</v>
      </c>
      <c r="E5130" s="197" t="s">
        <v>252</v>
      </c>
      <c r="F5130" s="197" t="s">
        <v>224</v>
      </c>
      <c r="G5130" s="197" t="s">
        <v>270</v>
      </c>
      <c r="H5130" s="197" t="s">
        <v>229</v>
      </c>
      <c r="I5130" s="209"/>
    </row>
    <row r="5131" spans="1:9">
      <c r="A5131" s="195"/>
      <c r="B5131" s="196" t="s">
        <v>223</v>
      </c>
      <c r="C5131"/>
      <c r="D5131" s="197" t="s">
        <v>216</v>
      </c>
      <c r="E5131" s="197" t="s">
        <v>252</v>
      </c>
      <c r="F5131" s="197" t="s">
        <v>224</v>
      </c>
      <c r="G5131" s="197" t="s">
        <v>270</v>
      </c>
      <c r="H5131" s="197" t="s">
        <v>230</v>
      </c>
      <c r="I5131" s="209"/>
    </row>
    <row r="5132" spans="1:9">
      <c r="A5132" s="195"/>
      <c r="B5132" s="195" t="s">
        <v>205</v>
      </c>
      <c r="C5132"/>
      <c r="D5132" s="197" t="s">
        <v>216</v>
      </c>
      <c r="E5132" s="197" t="s">
        <v>252</v>
      </c>
      <c r="F5132" s="197" t="s">
        <v>224</v>
      </c>
      <c r="G5132" s="197" t="s">
        <v>270</v>
      </c>
      <c r="H5132" s="197" t="s">
        <v>230</v>
      </c>
      <c r="I5132" s="209"/>
    </row>
    <row r="5133" spans="1:9">
      <c r="A5133" s="195"/>
      <c r="B5133" s="195" t="s">
        <v>206</v>
      </c>
      <c r="C5133"/>
      <c r="D5133" s="197" t="s">
        <v>523</v>
      </c>
      <c r="E5133" s="197" t="s">
        <v>252</v>
      </c>
      <c r="F5133" s="197" t="s">
        <v>127</v>
      </c>
      <c r="G5133" s="197" t="s">
        <v>270</v>
      </c>
      <c r="H5133" s="197" t="s">
        <v>230</v>
      </c>
      <c r="I5133" s="209"/>
    </row>
    <row r="5134" spans="1:9">
      <c r="A5134" s="195"/>
      <c r="B5134" s="195" t="s">
        <v>207</v>
      </c>
      <c r="C5134"/>
      <c r="D5134" s="197" t="s">
        <v>523</v>
      </c>
      <c r="E5134" s="197" t="s">
        <v>252</v>
      </c>
      <c r="F5134" s="197" t="s">
        <v>127</v>
      </c>
      <c r="G5134" s="197" t="s">
        <v>270</v>
      </c>
      <c r="H5134" s="197" t="s">
        <v>230</v>
      </c>
      <c r="I5134" s="209"/>
    </row>
    <row r="5135" spans="1:9">
      <c r="A5135" s="195"/>
      <c r="B5135" s="196" t="s">
        <v>225</v>
      </c>
      <c r="C5135"/>
      <c r="D5135" s="197" t="s">
        <v>523</v>
      </c>
      <c r="E5135" s="197" t="s">
        <v>252</v>
      </c>
      <c r="F5135" s="197" t="s">
        <v>397</v>
      </c>
      <c r="G5135" s="197" t="s">
        <v>270</v>
      </c>
      <c r="H5135" s="197" t="s">
        <v>230</v>
      </c>
      <c r="I5135" s="209"/>
    </row>
    <row r="5136" spans="1:9">
      <c r="A5136" s="195"/>
      <c r="B5136" s="195" t="s">
        <v>205</v>
      </c>
      <c r="C5136"/>
      <c r="D5136" s="197" t="s">
        <v>523</v>
      </c>
      <c r="E5136" s="197" t="s">
        <v>252</v>
      </c>
      <c r="F5136" s="197" t="s">
        <v>397</v>
      </c>
      <c r="G5136" s="197" t="s">
        <v>270</v>
      </c>
      <c r="H5136" s="209" t="s">
        <v>415</v>
      </c>
      <c r="I5136" s="209"/>
    </row>
    <row r="5137" spans="1:12">
      <c r="A5137" s="195"/>
      <c r="B5137" s="195" t="s">
        <v>206</v>
      </c>
      <c r="C5137"/>
      <c r="D5137" s="197"/>
      <c r="E5137" s="197" t="s">
        <v>252</v>
      </c>
      <c r="F5137" s="197" t="s">
        <v>62</v>
      </c>
      <c r="G5137" s="197" t="s">
        <v>270</v>
      </c>
      <c r="H5137" s="209" t="s">
        <v>415</v>
      </c>
      <c r="I5137" s="209"/>
    </row>
    <row r="5138" spans="1:12">
      <c r="A5138" s="195"/>
      <c r="B5138" s="195" t="s">
        <v>207</v>
      </c>
      <c r="C5138"/>
      <c r="D5138" s="197"/>
      <c r="E5138" s="197" t="s">
        <v>252</v>
      </c>
      <c r="F5138" s="197" t="s">
        <v>62</v>
      </c>
      <c r="G5138" s="197" t="s">
        <v>270</v>
      </c>
      <c r="H5138" s="209" t="s">
        <v>415</v>
      </c>
      <c r="I5138" s="209"/>
    </row>
    <row r="5139" spans="1:12">
      <c r="A5139" s="195"/>
      <c r="B5139" s="196" t="s">
        <v>226</v>
      </c>
      <c r="C5139"/>
      <c r="D5139" s="197"/>
      <c r="E5139" s="197"/>
      <c r="F5139" s="197"/>
      <c r="G5139" s="197"/>
      <c r="H5139" s="209"/>
      <c r="I5139" s="209"/>
    </row>
    <row r="5140" spans="1:12">
      <c r="A5140" s="195"/>
      <c r="B5140" s="195" t="s">
        <v>205</v>
      </c>
      <c r="C5140"/>
      <c r="D5140" s="197"/>
      <c r="E5140" s="197"/>
      <c r="F5140" s="197"/>
      <c r="G5140" s="197"/>
      <c r="H5140" s="209"/>
      <c r="I5140" s="209"/>
    </row>
    <row r="5141" spans="1:12">
      <c r="A5141" s="195"/>
      <c r="B5141" s="195" t="s">
        <v>206</v>
      </c>
      <c r="C5141"/>
      <c r="D5141" s="197"/>
      <c r="E5141" s="197"/>
      <c r="F5141" s="197"/>
      <c r="G5141" s="197"/>
      <c r="H5141" s="209"/>
      <c r="I5141" s="209"/>
    </row>
    <row r="5142" spans="1:12">
      <c r="A5142" s="195"/>
      <c r="B5142" s="195" t="s">
        <v>207</v>
      </c>
      <c r="C5142"/>
      <c r="D5142" s="197"/>
      <c r="E5142" s="197"/>
      <c r="F5142" s="197"/>
      <c r="G5142" s="197"/>
      <c r="H5142" s="209"/>
      <c r="I5142" s="209"/>
    </row>
    <row r="5143" spans="1:12">
      <c r="A5143" s="195"/>
      <c r="B5143" s="196" t="s">
        <v>227</v>
      </c>
      <c r="C5143"/>
      <c r="D5143" s="197"/>
      <c r="E5143" s="197"/>
      <c r="F5143" s="197"/>
      <c r="G5143" s="197"/>
      <c r="H5143" s="209"/>
      <c r="I5143" s="209"/>
      <c r="K5143"/>
    </row>
    <row r="5144" spans="1:12" ht="29.25" thickBot="1">
      <c r="A5144" s="182" t="str">
        <f>"回収シフト  第"&amp;ROUNDUP(DAY(B5147)/7,0)  &amp;"  "&amp;TEXT(B5147,"aaaa")</f>
        <v>回収シフト  第4  木曜日</v>
      </c>
      <c r="B5144" s="183"/>
      <c r="C5144" s="183"/>
      <c r="D5144" s="183"/>
      <c r="E5144" s="183"/>
      <c r="F5144" s="183"/>
      <c r="G5144" s="184"/>
      <c r="H5144" s="184"/>
      <c r="K5144" s="183"/>
      <c r="L5144" s="183"/>
    </row>
    <row r="5145" spans="1:12" ht="15.75" thickBot="1">
      <c r="A5145"/>
      <c r="B5145"/>
      <c r="C5145"/>
      <c r="D5145" s="186" t="s">
        <v>201</v>
      </c>
      <c r="E5145" s="186" t="s">
        <v>202</v>
      </c>
      <c r="F5145" s="186" t="s">
        <v>203</v>
      </c>
      <c r="G5145" s="186" t="s">
        <v>204</v>
      </c>
      <c r="H5145" s="186" t="s">
        <v>267</v>
      </c>
      <c r="K5145" s="230" t="s">
        <v>257</v>
      </c>
      <c r="L5145" s="231"/>
    </row>
    <row r="5146" spans="1:12">
      <c r="A5146" s="187"/>
      <c r="B5146" s="188">
        <v>46119</v>
      </c>
      <c r="C5146" s="187"/>
      <c r="D5146" s="189" t="s">
        <v>926</v>
      </c>
      <c r="E5146" s="189" t="s">
        <v>247</v>
      </c>
      <c r="F5146" s="189" t="s">
        <v>1001</v>
      </c>
      <c r="G5146" s="189" t="s">
        <v>960</v>
      </c>
      <c r="H5146" s="189" t="s">
        <v>852</v>
      </c>
      <c r="K5146" s="232" t="s">
        <v>258</v>
      </c>
      <c r="L5146" s="190" t="str">
        <f>_xlfn.XLOOKUP($B5147,シフト抽出!$19:$19,シフト抽出!$20:$20,"該当なし",0,1)</f>
        <v>該当なし</v>
      </c>
    </row>
    <row r="5147" spans="1:12" ht="19.5" thickBot="1">
      <c r="A5147"/>
      <c r="B5147" s="191">
        <f>B5094+1</f>
        <v>46226</v>
      </c>
      <c r="C5147" s="192"/>
      <c r="D5147" s="193"/>
      <c r="E5147" s="193"/>
      <c r="F5147" s="193"/>
      <c r="G5147" s="193"/>
      <c r="H5147" s="193"/>
      <c r="K5147" s="233"/>
      <c r="L5147" s="194" t="str">
        <f>_xlfn.XLOOKUP($B5147,シフト抽出!$19:$19,シフト抽出!$21:$21,"該当なし",0,1)</f>
        <v>該当なし</v>
      </c>
    </row>
    <row r="5148" spans="1:12">
      <c r="A5148" s="195"/>
      <c r="B5148" s="196">
        <v>0.25</v>
      </c>
      <c r="C5148"/>
      <c r="D5148" s="197"/>
      <c r="E5148" s="196"/>
      <c r="F5148" s="197"/>
      <c r="G5148" s="197"/>
      <c r="H5148" s="197"/>
      <c r="K5148" s="234" t="s">
        <v>259</v>
      </c>
      <c r="L5148" s="198" t="str">
        <f>_xlfn.XLOOKUP($B5147,シフト抽出!$19:$19,シフト抽出!$23:$23,"該当なし",0,1)</f>
        <v>該当なし</v>
      </c>
    </row>
    <row r="5149" spans="1:12" ht="15.75" thickBot="1">
      <c r="A5149" s="195"/>
      <c r="B5149" s="195" t="s">
        <v>205</v>
      </c>
      <c r="C5149"/>
      <c r="D5149" s="197"/>
      <c r="F5149" s="197"/>
      <c r="G5149" s="197"/>
      <c r="H5149" s="197"/>
      <c r="K5149" s="235"/>
      <c r="L5149" s="199" t="str">
        <f>_xlfn.XLOOKUP($B5147,シフト抽出!$19:$19,シフト抽出!$24:$24,"該当なし",0,1)</f>
        <v>該当なし</v>
      </c>
    </row>
    <row r="5150" spans="1:12">
      <c r="A5150" s="195"/>
      <c r="B5150" s="195" t="s">
        <v>206</v>
      </c>
      <c r="C5150"/>
      <c r="D5150" s="197"/>
      <c r="E5150" s="197" t="s">
        <v>109</v>
      </c>
      <c r="F5150" s="197"/>
      <c r="G5150" s="197"/>
      <c r="H5150" s="197"/>
      <c r="K5150" s="224" t="s">
        <v>260</v>
      </c>
      <c r="L5150" s="200" t="str">
        <f>_xlfn.XLOOKUP($B5147,シフト抽出!$19:$19,シフト抽出!$26:$26,"該当なし",0,1)</f>
        <v>該当なし</v>
      </c>
    </row>
    <row r="5151" spans="1:12">
      <c r="A5151" s="195"/>
      <c r="B5151" s="195" t="s">
        <v>207</v>
      </c>
      <c r="C5151"/>
      <c r="D5151" s="197"/>
      <c r="E5151" s="197"/>
      <c r="F5151" s="197"/>
      <c r="G5151" s="197"/>
      <c r="H5151" s="197"/>
      <c r="K5151" s="225"/>
      <c r="L5151" s="201" t="str">
        <f>_xlfn.XLOOKUP($B5147,シフト抽出!$19:$19,シフト抽出!$27:$27,"該当なし",0,1)</f>
        <v>該当なし</v>
      </c>
    </row>
    <row r="5152" spans="1:12">
      <c r="A5152" s="195"/>
      <c r="B5152" s="202" t="s">
        <v>208</v>
      </c>
      <c r="C5152"/>
      <c r="D5152" s="197" t="s">
        <v>4</v>
      </c>
      <c r="E5152" s="197" t="s">
        <v>4</v>
      </c>
      <c r="F5152" s="197" t="s">
        <v>4</v>
      </c>
      <c r="G5152" s="197" t="s">
        <v>4</v>
      </c>
      <c r="H5152" s="197"/>
      <c r="J5152" s="203"/>
      <c r="K5152" s="225"/>
      <c r="L5152" s="201" t="str">
        <f>_xlfn.XLOOKUP($B5147,シフト抽出!$19:$19,シフト抽出!$28:$28,"該当なし",0,1)</f>
        <v>該当なし</v>
      </c>
    </row>
    <row r="5153" spans="1:12" ht="15.75" thickBot="1">
      <c r="A5153" s="195"/>
      <c r="B5153" s="195" t="s">
        <v>205</v>
      </c>
      <c r="C5153"/>
      <c r="D5153" s="197" t="s">
        <v>414</v>
      </c>
      <c r="E5153" s="197" t="s">
        <v>421</v>
      </c>
      <c r="F5153" s="197" t="s">
        <v>851</v>
      </c>
      <c r="G5153" s="197" t="s">
        <v>22</v>
      </c>
      <c r="H5153" s="197"/>
      <c r="J5153" s="203"/>
      <c r="K5153" s="226"/>
      <c r="L5153" s="204" t="str">
        <f>_xlfn.XLOOKUP($B5147,シフト抽出!$19:$19,シフト抽出!$29:$29,"該当なし",0,1)</f>
        <v>該当なし</v>
      </c>
    </row>
    <row r="5154" spans="1:12" ht="15.75" thickBot="1">
      <c r="A5154" s="195"/>
      <c r="B5154" s="195" t="s">
        <v>206</v>
      </c>
      <c r="C5154"/>
      <c r="D5154" s="197" t="s">
        <v>414</v>
      </c>
      <c r="E5154" s="197" t="s">
        <v>421</v>
      </c>
      <c r="F5154" s="197" t="s">
        <v>851</v>
      </c>
      <c r="G5154" s="197" t="s">
        <v>22</v>
      </c>
      <c r="H5154" s="197"/>
      <c r="K5154" s="205" t="s">
        <v>261</v>
      </c>
      <c r="L5154" s="205">
        <f>_xlfn.XLOOKUP($B5147,予定表!B:B,予定表!R:R,"該当なし",0,1)</f>
        <v>0</v>
      </c>
    </row>
    <row r="5155" spans="1:12">
      <c r="A5155" s="195"/>
      <c r="B5155" s="195" t="s">
        <v>207</v>
      </c>
      <c r="C5155"/>
      <c r="D5155" s="197" t="s">
        <v>414</v>
      </c>
      <c r="E5155" s="197" t="s">
        <v>421</v>
      </c>
      <c r="F5155" s="197" t="s">
        <v>851</v>
      </c>
      <c r="G5155" s="197" t="s">
        <v>22</v>
      </c>
      <c r="H5155" s="197"/>
      <c r="K5155" s="227" t="s">
        <v>262</v>
      </c>
      <c r="L5155" s="206">
        <f>_xlfn.XLOOKUP($B5147,予定表!$B:$B,予定表!E:E,"該当なし",0,1)</f>
        <v>0</v>
      </c>
    </row>
    <row r="5156" spans="1:12">
      <c r="A5156" s="195"/>
      <c r="B5156" s="196" t="s">
        <v>209</v>
      </c>
      <c r="C5156"/>
      <c r="D5156" s="197" t="s">
        <v>414</v>
      </c>
      <c r="E5156" s="197" t="s">
        <v>421</v>
      </c>
      <c r="F5156" s="197" t="s">
        <v>851</v>
      </c>
      <c r="G5156" s="197" t="s">
        <v>268</v>
      </c>
      <c r="H5156" s="197" t="s">
        <v>4</v>
      </c>
      <c r="K5156" s="228"/>
      <c r="L5156" s="207" t="str">
        <f>_xlfn.XLOOKUP($B5147,予定表!$B:$B,予定表!F:F,"該当なし",0,1)</f>
        <v>マルイチPM</v>
      </c>
    </row>
    <row r="5157" spans="1:12">
      <c r="A5157" s="195"/>
      <c r="B5157" s="195" t="s">
        <v>205</v>
      </c>
      <c r="C5157"/>
      <c r="D5157" s="197" t="s">
        <v>414</v>
      </c>
      <c r="E5157" s="197" t="s">
        <v>421</v>
      </c>
      <c r="F5157" s="197" t="s">
        <v>851</v>
      </c>
      <c r="G5157" s="197" t="s">
        <v>268</v>
      </c>
      <c r="H5157" s="197" t="s">
        <v>60</v>
      </c>
      <c r="K5157" s="228"/>
      <c r="L5157" s="207">
        <f>_xlfn.XLOOKUP($B5147,予定表!$B:$B,予定表!G:G,"該当なし",0,1)</f>
        <v>0</v>
      </c>
    </row>
    <row r="5158" spans="1:12">
      <c r="A5158" s="195"/>
      <c r="B5158" s="195" t="s">
        <v>206</v>
      </c>
      <c r="C5158"/>
      <c r="D5158" s="197" t="s">
        <v>214</v>
      </c>
      <c r="E5158" s="197" t="s">
        <v>934</v>
      </c>
      <c r="F5158" s="197" t="s">
        <v>851</v>
      </c>
      <c r="G5158" s="197" t="s">
        <v>268</v>
      </c>
      <c r="H5158" s="197" t="s">
        <v>60</v>
      </c>
      <c r="K5158" s="228"/>
      <c r="L5158" s="207">
        <f>_xlfn.XLOOKUP($B5147,予定表!$B:$B,予定表!H:H,"該当なし",0,1)</f>
        <v>0</v>
      </c>
    </row>
    <row r="5159" spans="1:12">
      <c r="A5159" s="195"/>
      <c r="B5159" s="195" t="s">
        <v>207</v>
      </c>
      <c r="C5159"/>
      <c r="D5159" s="197" t="s">
        <v>214</v>
      </c>
      <c r="E5159" s="197" t="s">
        <v>273</v>
      </c>
      <c r="F5159" s="197" t="s">
        <v>851</v>
      </c>
      <c r="G5159" s="197" t="s">
        <v>268</v>
      </c>
      <c r="H5159" s="197" t="s">
        <v>60</v>
      </c>
      <c r="K5159" s="228"/>
      <c r="L5159" s="207">
        <f>_xlfn.XLOOKUP($B5147,予定表!$B:$B,予定表!I:I,"該当なし",0,1)</f>
        <v>0</v>
      </c>
    </row>
    <row r="5160" spans="1:12">
      <c r="A5160" s="195"/>
      <c r="B5160" s="196" t="s">
        <v>212</v>
      </c>
      <c r="C5160"/>
      <c r="D5160" s="197" t="s">
        <v>214</v>
      </c>
      <c r="E5160" s="197" t="s">
        <v>273</v>
      </c>
      <c r="F5160" s="197" t="s">
        <v>851</v>
      </c>
      <c r="G5160" s="197" t="s">
        <v>268</v>
      </c>
      <c r="H5160" s="197"/>
      <c r="K5160" s="228"/>
      <c r="L5160" s="207">
        <f>_xlfn.XLOOKUP($B5147,予定表!$B:$B,予定表!J:J,"該当なし",0,1)</f>
        <v>0</v>
      </c>
    </row>
    <row r="5161" spans="1:12">
      <c r="A5161" s="195"/>
      <c r="B5161" s="195" t="s">
        <v>205</v>
      </c>
      <c r="C5161"/>
      <c r="D5161" s="197" t="s">
        <v>761</v>
      </c>
      <c r="E5161" s="197" t="s">
        <v>228</v>
      </c>
      <c r="F5161" s="197" t="s">
        <v>851</v>
      </c>
      <c r="G5161" s="197" t="s">
        <v>268</v>
      </c>
      <c r="H5161" s="197" t="s">
        <v>230</v>
      </c>
      <c r="K5161" s="228"/>
      <c r="L5161" s="207">
        <f>_xlfn.XLOOKUP($B5147,予定表!$B:$B,予定表!K:K,"該当なし",0,1)</f>
        <v>0</v>
      </c>
    </row>
    <row r="5162" spans="1:12">
      <c r="A5162" s="195"/>
      <c r="B5162" s="195" t="s">
        <v>206</v>
      </c>
      <c r="C5162"/>
      <c r="D5162" s="197" t="s">
        <v>761</v>
      </c>
      <c r="E5162" s="197" t="s">
        <v>228</v>
      </c>
      <c r="F5162" s="189" t="s">
        <v>921</v>
      </c>
      <c r="G5162" s="197" t="s">
        <v>169</v>
      </c>
      <c r="H5162" s="197" t="s">
        <v>230</v>
      </c>
      <c r="K5162" s="228"/>
      <c r="L5162" s="207">
        <f>_xlfn.XLOOKUP($B5147,予定表!$B:$B,予定表!L:L,"該当なし",0,1)</f>
        <v>0</v>
      </c>
    </row>
    <row r="5163" spans="1:12" ht="15.75" thickBot="1">
      <c r="A5163" s="195"/>
      <c r="B5163" s="195" t="s">
        <v>207</v>
      </c>
      <c r="C5163"/>
      <c r="D5163" s="197" t="s">
        <v>761</v>
      </c>
      <c r="E5163" s="197" t="s">
        <v>228</v>
      </c>
      <c r="F5163" s="197" t="s">
        <v>395</v>
      </c>
      <c r="G5163" s="197" t="s">
        <v>169</v>
      </c>
      <c r="H5163" s="197" t="s">
        <v>230</v>
      </c>
      <c r="K5163" s="229"/>
      <c r="L5163" s="204" t="str">
        <f>_xlfn.XLOOKUP($A5144,ﾘｽﾄマスタ!$U$8:$U$17,ﾘｽﾄマスタ!$V$8:$V$17,"",0)</f>
        <v/>
      </c>
    </row>
    <row r="5164" spans="1:12" ht="15.75" thickBot="1">
      <c r="A5164" s="195"/>
      <c r="B5164" s="196" t="s">
        <v>251</v>
      </c>
      <c r="C5164"/>
      <c r="D5164" s="197" t="s">
        <v>383</v>
      </c>
      <c r="E5164" s="197" t="s">
        <v>228</v>
      </c>
      <c r="F5164" s="197" t="s">
        <v>395</v>
      </c>
      <c r="G5164" s="197" t="s">
        <v>169</v>
      </c>
      <c r="H5164" s="197" t="s">
        <v>229</v>
      </c>
      <c r="K5164" s="208" t="s">
        <v>277</v>
      </c>
      <c r="L5164" s="208" t="str">
        <f>_xlfn.XLOOKUP($B5147,シフト抽出!$19:$19,シフト抽出!$30:$30,"該当なし",0,1)</f>
        <v>該当なし</v>
      </c>
    </row>
    <row r="5165" spans="1:12">
      <c r="A5165" s="195"/>
      <c r="B5165" s="195" t="s">
        <v>205</v>
      </c>
      <c r="C5165"/>
      <c r="D5165" s="197" t="s">
        <v>383</v>
      </c>
      <c r="E5165" s="197" t="s">
        <v>228</v>
      </c>
      <c r="F5165" s="197" t="s">
        <v>395</v>
      </c>
      <c r="G5165" s="197" t="s">
        <v>169</v>
      </c>
      <c r="H5165" s="197" t="s">
        <v>229</v>
      </c>
    </row>
    <row r="5166" spans="1:12">
      <c r="A5166" s="195"/>
      <c r="B5166" s="195" t="s">
        <v>206</v>
      </c>
      <c r="C5166"/>
      <c r="D5166" s="197" t="s">
        <v>383</v>
      </c>
      <c r="E5166" s="197" t="s">
        <v>263</v>
      </c>
      <c r="F5166" s="197" t="s">
        <v>395</v>
      </c>
      <c r="G5166" s="197" t="s">
        <v>169</v>
      </c>
      <c r="H5166" s="197" t="s">
        <v>848</v>
      </c>
    </row>
    <row r="5167" spans="1:12">
      <c r="A5167" s="195"/>
      <c r="B5167" s="195" t="s">
        <v>207</v>
      </c>
      <c r="C5167"/>
      <c r="D5167" s="197" t="s">
        <v>383</v>
      </c>
      <c r="E5167" s="197" t="s">
        <v>263</v>
      </c>
      <c r="F5167" s="197" t="s">
        <v>395</v>
      </c>
      <c r="G5167" s="197" t="s">
        <v>169</v>
      </c>
      <c r="H5167" s="197" t="s">
        <v>848</v>
      </c>
    </row>
    <row r="5168" spans="1:12">
      <c r="A5168" s="195"/>
      <c r="B5168" s="196" t="s">
        <v>217</v>
      </c>
      <c r="C5168"/>
      <c r="D5168" s="197" t="s">
        <v>51</v>
      </c>
      <c r="E5168" s="197" t="s">
        <v>263</v>
      </c>
      <c r="F5168" s="197" t="s">
        <v>395</v>
      </c>
      <c r="G5168" s="197" t="s">
        <v>169</v>
      </c>
      <c r="H5168" s="197" t="s">
        <v>848</v>
      </c>
    </row>
    <row r="5169" spans="1:8">
      <c r="A5169" s="195"/>
      <c r="B5169" s="195" t="s">
        <v>205</v>
      </c>
      <c r="C5169"/>
      <c r="D5169" s="197" t="s">
        <v>51</v>
      </c>
      <c r="E5169" s="197" t="s">
        <v>848</v>
      </c>
      <c r="F5169" s="197" t="s">
        <v>395</v>
      </c>
      <c r="G5169" s="197" t="s">
        <v>169</v>
      </c>
      <c r="H5169" s="197" t="s">
        <v>848</v>
      </c>
    </row>
    <row r="5170" spans="1:8">
      <c r="A5170" s="195"/>
      <c r="B5170" s="195" t="s">
        <v>206</v>
      </c>
      <c r="C5170"/>
      <c r="D5170" s="197" t="s">
        <v>51</v>
      </c>
      <c r="E5170" s="197" t="s">
        <v>848</v>
      </c>
      <c r="F5170" s="197" t="s">
        <v>395</v>
      </c>
      <c r="G5170" s="197" t="s">
        <v>278</v>
      </c>
      <c r="H5170" s="197" t="s">
        <v>848</v>
      </c>
    </row>
    <row r="5171" spans="1:8">
      <c r="A5171" s="195"/>
      <c r="B5171" s="195" t="s">
        <v>207</v>
      </c>
      <c r="C5171"/>
      <c r="D5171" s="197" t="s">
        <v>51</v>
      </c>
      <c r="E5171" s="197" t="s">
        <v>848</v>
      </c>
      <c r="F5171" s="197" t="s">
        <v>395</v>
      </c>
      <c r="G5171" s="197" t="s">
        <v>278</v>
      </c>
      <c r="H5171" s="197" t="s">
        <v>848</v>
      </c>
    </row>
    <row r="5172" spans="1:8">
      <c r="A5172" s="195"/>
      <c r="B5172" s="196" t="s">
        <v>219</v>
      </c>
      <c r="C5172"/>
      <c r="D5172" s="197"/>
      <c r="E5172" s="197"/>
      <c r="F5172" s="197" t="s">
        <v>395</v>
      </c>
      <c r="G5172" s="197"/>
      <c r="H5172" s="197"/>
    </row>
    <row r="5173" spans="1:8">
      <c r="A5173" s="195"/>
      <c r="B5173" s="195" t="s">
        <v>205</v>
      </c>
      <c r="C5173"/>
      <c r="D5173" s="197"/>
      <c r="E5173" s="197"/>
      <c r="F5173" s="197" t="s">
        <v>395</v>
      </c>
      <c r="G5173" s="197"/>
      <c r="H5173" s="197"/>
    </row>
    <row r="5174" spans="1:8">
      <c r="A5174" s="195"/>
      <c r="B5174" s="195" t="s">
        <v>206</v>
      </c>
      <c r="C5174"/>
      <c r="D5174" s="197"/>
      <c r="E5174" s="197"/>
      <c r="F5174" s="197"/>
      <c r="G5174" s="197"/>
      <c r="H5174" s="197"/>
    </row>
    <row r="5175" spans="1:8">
      <c r="A5175" s="195"/>
      <c r="B5175" s="195" t="s">
        <v>207</v>
      </c>
      <c r="C5175"/>
      <c r="D5175" s="197"/>
      <c r="E5175" s="197"/>
      <c r="F5175" s="197"/>
      <c r="G5175" s="197"/>
      <c r="H5175" s="197"/>
    </row>
    <row r="5176" spans="1:8">
      <c r="A5176" s="195"/>
      <c r="B5176" s="196" t="s">
        <v>220</v>
      </c>
      <c r="C5176"/>
      <c r="D5176" s="189" t="s">
        <v>1000</v>
      </c>
      <c r="E5176" s="197"/>
      <c r="F5176" s="189" t="s">
        <v>923</v>
      </c>
      <c r="G5176" s="189"/>
      <c r="H5176" s="197"/>
    </row>
    <row r="5177" spans="1:8">
      <c r="A5177" s="195"/>
      <c r="B5177" s="195" t="s">
        <v>205</v>
      </c>
      <c r="C5177"/>
      <c r="D5177" s="197" t="s">
        <v>114</v>
      </c>
      <c r="E5177" s="197" t="s">
        <v>95</v>
      </c>
      <c r="F5177" s="197" t="s">
        <v>411</v>
      </c>
      <c r="G5177" s="197" t="s">
        <v>56</v>
      </c>
      <c r="H5177" s="197"/>
    </row>
    <row r="5178" spans="1:8">
      <c r="A5178" s="195"/>
      <c r="B5178" s="195" t="s">
        <v>206</v>
      </c>
      <c r="C5178"/>
      <c r="D5178" s="197" t="s">
        <v>114</v>
      </c>
      <c r="E5178" s="197" t="s">
        <v>95</v>
      </c>
      <c r="F5178" s="197" t="s">
        <v>411</v>
      </c>
      <c r="G5178" s="197" t="s">
        <v>56</v>
      </c>
      <c r="H5178" s="197" t="s">
        <v>538</v>
      </c>
    </row>
    <row r="5179" spans="1:8">
      <c r="A5179" s="195"/>
      <c r="B5179" s="195" t="s">
        <v>207</v>
      </c>
      <c r="C5179"/>
      <c r="D5179" s="197" t="s">
        <v>129</v>
      </c>
      <c r="E5179" s="197" t="s">
        <v>95</v>
      </c>
      <c r="F5179" s="197" t="s">
        <v>411</v>
      </c>
      <c r="G5179" s="197" t="s">
        <v>56</v>
      </c>
      <c r="H5179" s="197" t="s">
        <v>538</v>
      </c>
    </row>
    <row r="5180" spans="1:8">
      <c r="A5180" s="195"/>
      <c r="B5180" s="196" t="s">
        <v>222</v>
      </c>
      <c r="C5180"/>
      <c r="D5180" s="197" t="s">
        <v>129</v>
      </c>
      <c r="E5180" s="197" t="s">
        <v>95</v>
      </c>
      <c r="F5180" s="197" t="s">
        <v>252</v>
      </c>
      <c r="G5180" s="197" t="s">
        <v>56</v>
      </c>
      <c r="H5180" s="197" t="s">
        <v>538</v>
      </c>
    </row>
    <row r="5181" spans="1:8">
      <c r="A5181" s="195"/>
      <c r="B5181" s="195" t="s">
        <v>205</v>
      </c>
      <c r="C5181"/>
      <c r="D5181" s="197" t="s">
        <v>129</v>
      </c>
      <c r="E5181" s="197" t="s">
        <v>95</v>
      </c>
      <c r="F5181" s="197" t="s">
        <v>252</v>
      </c>
      <c r="G5181" s="197"/>
      <c r="H5181" s="197" t="s">
        <v>996</v>
      </c>
    </row>
    <row r="5182" spans="1:8">
      <c r="A5182" s="195"/>
      <c r="B5182" s="195" t="s">
        <v>206</v>
      </c>
      <c r="C5182"/>
      <c r="D5182" s="197"/>
      <c r="E5182" s="197" t="s">
        <v>95</v>
      </c>
      <c r="F5182" s="197" t="s">
        <v>252</v>
      </c>
      <c r="G5182" s="197" t="s">
        <v>270</v>
      </c>
      <c r="H5182" s="197" t="s">
        <v>415</v>
      </c>
    </row>
    <row r="5183" spans="1:8">
      <c r="A5183" s="195"/>
      <c r="B5183" s="195" t="s">
        <v>207</v>
      </c>
      <c r="C5183"/>
      <c r="D5183" s="197" t="s">
        <v>515</v>
      </c>
      <c r="E5183" s="197" t="s">
        <v>95</v>
      </c>
      <c r="F5183" s="197" t="s">
        <v>252</v>
      </c>
      <c r="G5183" s="197" t="s">
        <v>270</v>
      </c>
      <c r="H5183" s="197" t="s">
        <v>415</v>
      </c>
    </row>
    <row r="5184" spans="1:8">
      <c r="A5184" s="195"/>
      <c r="B5184" s="196" t="s">
        <v>223</v>
      </c>
      <c r="C5184"/>
      <c r="D5184" s="197" t="s">
        <v>515</v>
      </c>
      <c r="E5184" s="197" t="s">
        <v>95</v>
      </c>
      <c r="F5184" s="197" t="s">
        <v>252</v>
      </c>
      <c r="G5184" s="197" t="s">
        <v>270</v>
      </c>
      <c r="H5184" s="197" t="s">
        <v>415</v>
      </c>
    </row>
    <row r="5185" spans="1:12">
      <c r="A5185" s="195"/>
      <c r="B5185" s="195" t="s">
        <v>205</v>
      </c>
      <c r="C5185"/>
      <c r="D5185" s="197" t="s">
        <v>269</v>
      </c>
      <c r="E5185" s="197" t="s">
        <v>95</v>
      </c>
      <c r="F5185" s="197" t="s">
        <v>252</v>
      </c>
      <c r="G5185" s="197" t="s">
        <v>270</v>
      </c>
      <c r="H5185" s="197" t="s">
        <v>415</v>
      </c>
    </row>
    <row r="5186" spans="1:12">
      <c r="A5186" s="195"/>
      <c r="B5186" s="195" t="s">
        <v>206</v>
      </c>
      <c r="C5186"/>
      <c r="D5186" s="197" t="s">
        <v>269</v>
      </c>
      <c r="E5186" s="197" t="s">
        <v>95</v>
      </c>
      <c r="F5186" s="197" t="s">
        <v>252</v>
      </c>
      <c r="G5186" s="197" t="s">
        <v>270</v>
      </c>
      <c r="H5186" s="197" t="s">
        <v>415</v>
      </c>
    </row>
    <row r="5187" spans="1:12">
      <c r="A5187" s="195"/>
      <c r="B5187" s="195" t="s">
        <v>207</v>
      </c>
      <c r="C5187"/>
      <c r="D5187" s="197" t="s">
        <v>237</v>
      </c>
      <c r="E5187" s="197" t="s">
        <v>95</v>
      </c>
      <c r="F5187" s="197" t="s">
        <v>252</v>
      </c>
      <c r="G5187" s="197" t="s">
        <v>270</v>
      </c>
      <c r="H5187" s="197" t="s">
        <v>415</v>
      </c>
    </row>
    <row r="5188" spans="1:12">
      <c r="A5188" s="195"/>
      <c r="B5188" s="196" t="s">
        <v>225</v>
      </c>
      <c r="C5188"/>
      <c r="D5188" s="197" t="s">
        <v>237</v>
      </c>
      <c r="E5188" s="197" t="s">
        <v>252</v>
      </c>
      <c r="F5188" s="197" t="s">
        <v>252</v>
      </c>
      <c r="G5188" s="197" t="s">
        <v>270</v>
      </c>
      <c r="H5188" s="197" t="s">
        <v>415</v>
      </c>
    </row>
    <row r="5189" spans="1:12">
      <c r="A5189" s="195"/>
      <c r="B5189" s="195" t="s">
        <v>205</v>
      </c>
      <c r="C5189"/>
      <c r="D5189" s="197" t="s">
        <v>236</v>
      </c>
      <c r="E5189" s="197" t="s">
        <v>252</v>
      </c>
      <c r="F5189" s="197" t="s">
        <v>252</v>
      </c>
      <c r="G5189" s="197" t="s">
        <v>270</v>
      </c>
      <c r="H5189" s="197" t="s">
        <v>415</v>
      </c>
    </row>
    <row r="5190" spans="1:12">
      <c r="A5190" s="195"/>
      <c r="B5190" s="195" t="s">
        <v>206</v>
      </c>
      <c r="C5190"/>
      <c r="D5190" s="197" t="s">
        <v>193</v>
      </c>
      <c r="E5190" s="197" t="s">
        <v>252</v>
      </c>
      <c r="F5190" s="197" t="s">
        <v>252</v>
      </c>
      <c r="G5190" s="197" t="s">
        <v>270</v>
      </c>
      <c r="H5190" s="197" t="s">
        <v>415</v>
      </c>
    </row>
    <row r="5191" spans="1:12">
      <c r="A5191" s="195"/>
      <c r="B5191" s="195" t="s">
        <v>207</v>
      </c>
      <c r="C5191"/>
      <c r="D5191" s="197"/>
      <c r="E5191" s="197"/>
      <c r="F5191" s="197"/>
      <c r="G5191" s="197"/>
      <c r="H5191" s="197" t="s">
        <v>415</v>
      </c>
    </row>
    <row r="5192" spans="1:12">
      <c r="A5192" s="195"/>
      <c r="B5192" s="196" t="s">
        <v>226</v>
      </c>
      <c r="C5192"/>
      <c r="D5192" s="197"/>
      <c r="E5192" s="197"/>
      <c r="F5192" s="197"/>
      <c r="G5192" s="197"/>
      <c r="H5192" s="209"/>
    </row>
    <row r="5193" spans="1:12">
      <c r="A5193" s="195"/>
      <c r="B5193" s="195" t="s">
        <v>205</v>
      </c>
      <c r="C5193"/>
      <c r="D5193" s="197"/>
      <c r="E5193" s="197"/>
      <c r="F5193" s="197"/>
      <c r="G5193" s="197"/>
      <c r="H5193" s="209"/>
    </row>
    <row r="5194" spans="1:12">
      <c r="A5194" s="195"/>
      <c r="B5194" s="195" t="s">
        <v>206</v>
      </c>
      <c r="C5194"/>
      <c r="D5194" s="197"/>
      <c r="E5194" s="197"/>
      <c r="F5194" s="197"/>
      <c r="G5194" s="197"/>
      <c r="H5194" s="209"/>
    </row>
    <row r="5195" spans="1:12">
      <c r="A5195" s="195"/>
      <c r="B5195" s="195" t="s">
        <v>207</v>
      </c>
      <c r="C5195"/>
      <c r="D5195" s="197"/>
      <c r="E5195" s="197"/>
      <c r="F5195" s="197"/>
      <c r="G5195" s="197"/>
      <c r="H5195" s="209"/>
    </row>
    <row r="5196" spans="1:12">
      <c r="A5196" s="195"/>
      <c r="B5196" s="196" t="s">
        <v>227</v>
      </c>
      <c r="C5196"/>
      <c r="D5196" s="197"/>
      <c r="E5196" s="197"/>
      <c r="F5196" s="197"/>
      <c r="G5196" s="197"/>
      <c r="H5196" s="209"/>
      <c r="K5196"/>
    </row>
    <row r="5197" spans="1:12" ht="29.25" thickBot="1">
      <c r="A5197" s="182" t="str">
        <f>"回収シフト  第"&amp;ROUNDUP(DAY(B5200)/7,0)  &amp;"  "&amp;TEXT(B5200,"aaaa")</f>
        <v>回収シフト  第4  金曜日</v>
      </c>
      <c r="B5197" s="183"/>
      <c r="C5197" s="183"/>
      <c r="D5197" s="183"/>
      <c r="E5197" s="183"/>
      <c r="F5197" s="183"/>
      <c r="G5197" s="184"/>
      <c r="H5197" s="184"/>
      <c r="K5197" s="183"/>
      <c r="L5197" s="183"/>
    </row>
    <row r="5198" spans="1:12" ht="15.75" thickBot="1">
      <c r="A5198"/>
      <c r="B5198"/>
      <c r="C5198"/>
      <c r="D5198" s="186" t="s">
        <v>201</v>
      </c>
      <c r="E5198" s="186" t="s">
        <v>202</v>
      </c>
      <c r="F5198" s="186" t="s">
        <v>203</v>
      </c>
      <c r="G5198" s="186" t="s">
        <v>204</v>
      </c>
      <c r="H5198" s="186" t="s">
        <v>267</v>
      </c>
      <c r="I5198" s="186" t="s">
        <v>987</v>
      </c>
      <c r="K5198" s="230" t="s">
        <v>257</v>
      </c>
      <c r="L5198" s="231"/>
    </row>
    <row r="5199" spans="1:12">
      <c r="A5199" s="187"/>
      <c r="B5199" s="188">
        <v>46119</v>
      </c>
      <c r="C5199" s="187"/>
      <c r="D5199" s="189" t="s">
        <v>926</v>
      </c>
      <c r="E5199" s="189" t="s">
        <v>248</v>
      </c>
      <c r="F5199" s="189" t="s">
        <v>276</v>
      </c>
      <c r="G5199" s="189" t="s">
        <v>1002</v>
      </c>
      <c r="H5199" s="189" t="s">
        <v>852</v>
      </c>
      <c r="I5199" s="189" t="s">
        <v>649</v>
      </c>
      <c r="K5199" s="232" t="s">
        <v>258</v>
      </c>
      <c r="L5199" s="190" t="str">
        <f>_xlfn.XLOOKUP($B5200,シフト抽出!$19:$19,シフト抽出!$20:$20,"該当なし",0,1)</f>
        <v>該当なし</v>
      </c>
    </row>
    <row r="5200" spans="1:12" ht="19.5" thickBot="1">
      <c r="A5200"/>
      <c r="B5200" s="191">
        <f>B5147+1</f>
        <v>46227</v>
      </c>
      <c r="C5200" s="192"/>
      <c r="D5200" s="193"/>
      <c r="E5200" s="193"/>
      <c r="F5200" s="193"/>
      <c r="G5200" s="193"/>
      <c r="H5200" s="193"/>
      <c r="I5200" s="193"/>
      <c r="K5200" s="233"/>
      <c r="L5200" s="194" t="str">
        <f>_xlfn.XLOOKUP($B5200,シフト抽出!$19:$19,シフト抽出!$21:$21,"該当なし",0,1)</f>
        <v>該当なし</v>
      </c>
    </row>
    <row r="5201" spans="1:12">
      <c r="A5201" s="195"/>
      <c r="B5201" s="196">
        <v>0.25</v>
      </c>
      <c r="C5201"/>
      <c r="D5201" s="197"/>
      <c r="E5201" s="196"/>
      <c r="F5201" s="197"/>
      <c r="G5201" s="197"/>
      <c r="H5201" s="197"/>
      <c r="I5201" s="197"/>
      <c r="K5201" s="234" t="s">
        <v>259</v>
      </c>
      <c r="L5201" s="198" t="str">
        <f>_xlfn.XLOOKUP($B5200,シフト抽出!$19:$19,シフト抽出!$23:$23,"該当なし",0,1)</f>
        <v>該当なし</v>
      </c>
    </row>
    <row r="5202" spans="1:12" ht="15.75" thickBot="1">
      <c r="A5202" s="195"/>
      <c r="B5202" s="195" t="s">
        <v>205</v>
      </c>
      <c r="C5202"/>
      <c r="D5202" s="197"/>
      <c r="E5202" s="197"/>
      <c r="F5202" s="197"/>
      <c r="G5202" s="197"/>
      <c r="H5202" s="197"/>
      <c r="I5202" s="197"/>
      <c r="K5202" s="235"/>
      <c r="L5202" s="199" t="str">
        <f>_xlfn.XLOOKUP($B5200,シフト抽出!$19:$19,シフト抽出!$24:$24,"該当なし",0,1)</f>
        <v>該当なし</v>
      </c>
    </row>
    <row r="5203" spans="1:12">
      <c r="A5203" s="195"/>
      <c r="B5203" s="195" t="s">
        <v>206</v>
      </c>
      <c r="C5203"/>
      <c r="D5203" s="197" t="s">
        <v>851</v>
      </c>
      <c r="E5203" s="197"/>
      <c r="F5203" s="197" t="s">
        <v>238</v>
      </c>
      <c r="G5203" s="197"/>
      <c r="H5203" s="197"/>
      <c r="I5203" s="197"/>
      <c r="K5203" s="224" t="s">
        <v>260</v>
      </c>
      <c r="L5203" s="200" t="str">
        <f>_xlfn.XLOOKUP($B5200,シフト抽出!$19:$19,シフト抽出!$26:$26,"該当なし",0,1)</f>
        <v>該当なし</v>
      </c>
    </row>
    <row r="5204" spans="1:12">
      <c r="A5204" s="195"/>
      <c r="B5204" s="195" t="s">
        <v>207</v>
      </c>
      <c r="C5204"/>
      <c r="D5204" s="197" t="s">
        <v>851</v>
      </c>
      <c r="E5204" s="197"/>
      <c r="F5204" s="197" t="s">
        <v>238</v>
      </c>
      <c r="G5204" s="197"/>
      <c r="H5204" s="197"/>
      <c r="I5204" s="197"/>
      <c r="K5204" s="225"/>
      <c r="L5204" s="201" t="str">
        <f>_xlfn.XLOOKUP($B5200,シフト抽出!$19:$19,シフト抽出!$27:$27,"該当なし",0,1)</f>
        <v>該当なし</v>
      </c>
    </row>
    <row r="5205" spans="1:12">
      <c r="A5205" s="195"/>
      <c r="B5205" s="202" t="s">
        <v>208</v>
      </c>
      <c r="C5205"/>
      <c r="D5205" s="197" t="s">
        <v>851</v>
      </c>
      <c r="E5205" s="197" t="s">
        <v>420</v>
      </c>
      <c r="F5205" s="197" t="s">
        <v>238</v>
      </c>
      <c r="G5205" s="197" t="s">
        <v>788</v>
      </c>
      <c r="H5205" s="197"/>
      <c r="I5205" s="197"/>
      <c r="J5205" s="203"/>
      <c r="K5205" s="225"/>
      <c r="L5205" s="201" t="str">
        <f>_xlfn.XLOOKUP($B5200,シフト抽出!$19:$19,シフト抽出!$28:$28,"該当なし",0,1)</f>
        <v>該当なし</v>
      </c>
    </row>
    <row r="5206" spans="1:12" ht="15.75" thickBot="1">
      <c r="A5206" s="195"/>
      <c r="B5206" s="195" t="s">
        <v>205</v>
      </c>
      <c r="C5206"/>
      <c r="D5206" s="197" t="s">
        <v>851</v>
      </c>
      <c r="E5206" s="197" t="s">
        <v>420</v>
      </c>
      <c r="F5206" s="197" t="s">
        <v>238</v>
      </c>
      <c r="G5206" s="197" t="s">
        <v>989</v>
      </c>
      <c r="H5206" s="197"/>
      <c r="I5206" s="197"/>
      <c r="J5206" s="203"/>
      <c r="K5206" s="226"/>
      <c r="L5206" s="204" t="str">
        <f>_xlfn.XLOOKUP($B5200,シフト抽出!$19:$19,シフト抽出!$29:$29,"該当なし",0,1)</f>
        <v>該当なし</v>
      </c>
    </row>
    <row r="5207" spans="1:12" ht="15.75" thickBot="1">
      <c r="A5207" s="195"/>
      <c r="B5207" s="195" t="s">
        <v>206</v>
      </c>
      <c r="C5207"/>
      <c r="D5207" s="197" t="s">
        <v>851</v>
      </c>
      <c r="E5207" s="197" t="s">
        <v>420</v>
      </c>
      <c r="F5207" s="197" t="s">
        <v>238</v>
      </c>
      <c r="G5207" s="197" t="s">
        <v>22</v>
      </c>
      <c r="H5207" s="197"/>
      <c r="I5207" s="197"/>
      <c r="K5207" s="205" t="s">
        <v>261</v>
      </c>
      <c r="L5207" s="205">
        <f>_xlfn.XLOOKUP($B5200,予定表!B:B,予定表!R:R,"該当なし",0,1)</f>
        <v>0</v>
      </c>
    </row>
    <row r="5208" spans="1:12">
      <c r="A5208" s="195"/>
      <c r="B5208" s="195" t="s">
        <v>207</v>
      </c>
      <c r="C5208"/>
      <c r="D5208" s="197" t="s">
        <v>851</v>
      </c>
      <c r="E5208" s="197" t="s">
        <v>420</v>
      </c>
      <c r="F5208" s="197" t="s">
        <v>238</v>
      </c>
      <c r="G5208" s="197" t="s">
        <v>788</v>
      </c>
      <c r="H5208" s="197"/>
      <c r="I5208" s="197"/>
      <c r="K5208" s="227" t="s">
        <v>262</v>
      </c>
      <c r="L5208" s="206" t="str">
        <f>_xlfn.XLOOKUP($B5200,予定表!$B:$B,予定表!E:E,"該当なし",0,1)</f>
        <v>ジャクソン</v>
      </c>
    </row>
    <row r="5209" spans="1:12">
      <c r="A5209" s="195"/>
      <c r="B5209" s="196" t="s">
        <v>209</v>
      </c>
      <c r="C5209"/>
      <c r="D5209" s="197" t="s">
        <v>851</v>
      </c>
      <c r="E5209" s="197" t="s">
        <v>420</v>
      </c>
      <c r="F5209" s="197"/>
      <c r="G5209" s="197" t="s">
        <v>788</v>
      </c>
      <c r="H5209" s="197" t="s">
        <v>4</v>
      </c>
      <c r="I5209" s="197"/>
      <c r="K5209" s="228"/>
      <c r="L5209" s="207" t="str">
        <f>_xlfn.XLOOKUP($B5200,予定表!$B:$B,予定表!F:F,"該当なし",0,1)</f>
        <v>IWD(㈱大勝)</v>
      </c>
    </row>
    <row r="5210" spans="1:12">
      <c r="A5210" s="195"/>
      <c r="B5210" s="195" t="s">
        <v>205</v>
      </c>
      <c r="C5210"/>
      <c r="D5210" s="197" t="s">
        <v>851</v>
      </c>
      <c r="E5210" s="197" t="s">
        <v>420</v>
      </c>
      <c r="F5210" s="197" t="s">
        <v>264</v>
      </c>
      <c r="G5210" s="197" t="s">
        <v>268</v>
      </c>
      <c r="H5210" s="197" t="s">
        <v>60</v>
      </c>
      <c r="I5210" s="197"/>
      <c r="K5210" s="228"/>
      <c r="L5210" s="207" t="str">
        <f>_xlfn.XLOOKUP($B5200,予定表!$B:$B,予定表!G:G,"該当なし",0,1)</f>
        <v>ディーミング</v>
      </c>
    </row>
    <row r="5211" spans="1:12">
      <c r="A5211" s="195"/>
      <c r="B5211" s="195" t="s">
        <v>206</v>
      </c>
      <c r="C5211"/>
      <c r="D5211" s="197"/>
      <c r="E5211" s="197" t="s">
        <v>414</v>
      </c>
      <c r="F5211" s="197" t="s">
        <v>416</v>
      </c>
      <c r="G5211" s="197" t="s">
        <v>268</v>
      </c>
      <c r="H5211" s="197" t="s">
        <v>60</v>
      </c>
      <c r="I5211" s="197"/>
      <c r="K5211" s="228"/>
      <c r="L5211" s="207" t="str">
        <f>_xlfn.XLOOKUP($B5200,予定表!$B:$B,予定表!H:H,"該当なし",0,1)</f>
        <v>'資さん 平塚</v>
      </c>
    </row>
    <row r="5212" spans="1:12">
      <c r="A5212" s="195"/>
      <c r="B5212" s="195" t="s">
        <v>207</v>
      </c>
      <c r="C5212"/>
      <c r="D5212" s="197" t="s">
        <v>239</v>
      </c>
      <c r="E5212" s="197" t="s">
        <v>414</v>
      </c>
      <c r="F5212" s="197" t="s">
        <v>771</v>
      </c>
      <c r="G5212" s="197" t="s">
        <v>268</v>
      </c>
      <c r="H5212" s="197" t="s">
        <v>60</v>
      </c>
      <c r="I5212" s="197"/>
      <c r="K5212" s="228"/>
      <c r="L5212" s="207">
        <f>_xlfn.XLOOKUP($B5200,予定表!$B:$B,予定表!I:I,"該当なし",0,1)</f>
        <v>0</v>
      </c>
    </row>
    <row r="5213" spans="1:12">
      <c r="A5213" s="195"/>
      <c r="B5213" s="196" t="s">
        <v>212</v>
      </c>
      <c r="C5213"/>
      <c r="D5213" s="197" t="s">
        <v>240</v>
      </c>
      <c r="E5213" s="197" t="s">
        <v>414</v>
      </c>
      <c r="F5213" s="197" t="s">
        <v>416</v>
      </c>
      <c r="G5213" s="197" t="s">
        <v>268</v>
      </c>
      <c r="H5213" s="197"/>
      <c r="I5213" s="197"/>
      <c r="K5213" s="228"/>
      <c r="L5213" s="207">
        <f>_xlfn.XLOOKUP($B5200,予定表!$B:$B,予定表!J:J,"該当なし",0,1)</f>
        <v>0</v>
      </c>
    </row>
    <row r="5214" spans="1:12">
      <c r="A5214" s="195"/>
      <c r="B5214" s="195" t="s">
        <v>205</v>
      </c>
      <c r="C5214"/>
      <c r="D5214" s="197" t="s">
        <v>425</v>
      </c>
      <c r="E5214" s="197" t="s">
        <v>414</v>
      </c>
      <c r="F5214" s="197" t="s">
        <v>416</v>
      </c>
      <c r="G5214" s="197" t="s">
        <v>268</v>
      </c>
      <c r="H5214" s="197" t="s">
        <v>848</v>
      </c>
      <c r="I5214" s="197"/>
      <c r="K5214" s="228"/>
      <c r="L5214" s="207">
        <f>_xlfn.XLOOKUP($B5200,予定表!$B:$B,予定表!K:K,"該当なし",0,1)</f>
        <v>0</v>
      </c>
    </row>
    <row r="5215" spans="1:12">
      <c r="A5215" s="195"/>
      <c r="B5215" s="195" t="s">
        <v>206</v>
      </c>
      <c r="C5215"/>
      <c r="D5215" s="197" t="s">
        <v>353</v>
      </c>
      <c r="E5215" s="197" t="s">
        <v>854</v>
      </c>
      <c r="F5215" s="197" t="s">
        <v>416</v>
      </c>
      <c r="G5215" s="197" t="s">
        <v>515</v>
      </c>
      <c r="H5215" s="197" t="s">
        <v>848</v>
      </c>
      <c r="I5215" s="197"/>
      <c r="K5215" s="228"/>
      <c r="L5215" s="207">
        <f>_xlfn.XLOOKUP($B5200,予定表!$B:$B,予定表!L:L,"該当なし",0,1)</f>
        <v>0</v>
      </c>
    </row>
    <row r="5216" spans="1:12" ht="15.75" thickBot="1">
      <c r="A5216" s="195"/>
      <c r="B5216" s="195" t="s">
        <v>207</v>
      </c>
      <c r="C5216"/>
      <c r="D5216" s="197" t="s">
        <v>353</v>
      </c>
      <c r="E5216" s="197" t="s">
        <v>854</v>
      </c>
      <c r="F5216" s="197"/>
      <c r="G5216" s="197" t="s">
        <v>515</v>
      </c>
      <c r="H5216" s="197" t="s">
        <v>848</v>
      </c>
      <c r="I5216" s="197"/>
      <c r="K5216" s="229"/>
      <c r="L5216" s="204" t="str">
        <f>_xlfn.XLOOKUP($A5197,ﾘｽﾄマスタ!$U$8:$U$17,ﾘｽﾄマスタ!$V$8:$V$17,"",0)</f>
        <v/>
      </c>
    </row>
    <row r="5217" spans="1:12" ht="15.75" thickBot="1">
      <c r="A5217" s="195"/>
      <c r="B5217" s="196" t="s">
        <v>251</v>
      </c>
      <c r="C5217"/>
      <c r="D5217" s="197" t="s">
        <v>111</v>
      </c>
      <c r="E5217" s="197" t="s">
        <v>854</v>
      </c>
      <c r="F5217" s="197" t="s">
        <v>988</v>
      </c>
      <c r="G5217" s="197" t="s">
        <v>515</v>
      </c>
      <c r="H5217" s="197" t="s">
        <v>848</v>
      </c>
      <c r="I5217" s="197"/>
      <c r="K5217" s="208" t="s">
        <v>277</v>
      </c>
      <c r="L5217" s="208" t="str">
        <f>_xlfn.XLOOKUP($B5200,シフト抽出!$19:$19,シフト抽出!$30:$30,"該当なし",0,1)</f>
        <v>該当なし</v>
      </c>
    </row>
    <row r="5218" spans="1:12">
      <c r="A5218" s="195"/>
      <c r="B5218" s="195" t="s">
        <v>205</v>
      </c>
      <c r="C5218"/>
      <c r="D5218" s="197" t="s">
        <v>111</v>
      </c>
      <c r="E5218" s="197" t="s">
        <v>854</v>
      </c>
      <c r="F5218" s="197" t="s">
        <v>280</v>
      </c>
      <c r="G5218" s="197" t="s">
        <v>269</v>
      </c>
      <c r="H5218" s="197" t="s">
        <v>848</v>
      </c>
      <c r="I5218" s="197"/>
    </row>
    <row r="5219" spans="1:12">
      <c r="A5219" s="195"/>
      <c r="B5219" s="195" t="s">
        <v>206</v>
      </c>
      <c r="C5219"/>
      <c r="D5219" s="197" t="s">
        <v>111</v>
      </c>
      <c r="E5219" s="197" t="s">
        <v>216</v>
      </c>
      <c r="F5219" s="197" t="s">
        <v>215</v>
      </c>
      <c r="G5219" s="197" t="s">
        <v>269</v>
      </c>
      <c r="H5219" s="197" t="s">
        <v>848</v>
      </c>
      <c r="I5219" s="197"/>
    </row>
    <row r="5220" spans="1:12">
      <c r="A5220" s="195"/>
      <c r="B5220" s="195" t="s">
        <v>207</v>
      </c>
      <c r="C5220"/>
      <c r="D5220" s="197" t="s">
        <v>111</v>
      </c>
      <c r="E5220" s="197" t="s">
        <v>216</v>
      </c>
      <c r="F5220" s="197" t="s">
        <v>51</v>
      </c>
      <c r="G5220" s="197" t="s">
        <v>446</v>
      </c>
      <c r="H5220" s="197" t="s">
        <v>848</v>
      </c>
      <c r="I5220" s="197"/>
    </row>
    <row r="5221" spans="1:12">
      <c r="A5221" s="195"/>
      <c r="B5221" s="196" t="s">
        <v>217</v>
      </c>
      <c r="C5221"/>
      <c r="D5221" s="197" t="s">
        <v>111</v>
      </c>
      <c r="E5221" s="197" t="s">
        <v>216</v>
      </c>
      <c r="F5221" s="197" t="s">
        <v>51</v>
      </c>
      <c r="G5221" s="197" t="s">
        <v>446</v>
      </c>
      <c r="H5221" s="197" t="s">
        <v>848</v>
      </c>
      <c r="I5221" s="197"/>
    </row>
    <row r="5222" spans="1:12">
      <c r="A5222" s="195"/>
      <c r="B5222" s="195" t="s">
        <v>205</v>
      </c>
      <c r="C5222"/>
      <c r="D5222" s="197" t="s">
        <v>111</v>
      </c>
      <c r="E5222" s="197" t="s">
        <v>216</v>
      </c>
      <c r="F5222" s="197" t="s">
        <v>51</v>
      </c>
      <c r="G5222" s="197" t="s">
        <v>114</v>
      </c>
      <c r="H5222" s="197" t="s">
        <v>848</v>
      </c>
      <c r="I5222" s="197"/>
    </row>
    <row r="5223" spans="1:12">
      <c r="A5223" s="195"/>
      <c r="B5223" s="195" t="s">
        <v>206</v>
      </c>
      <c r="C5223"/>
      <c r="D5223" s="197" t="s">
        <v>111</v>
      </c>
      <c r="E5223" s="197" t="s">
        <v>216</v>
      </c>
      <c r="F5223" s="197" t="s">
        <v>51</v>
      </c>
      <c r="G5223" s="197" t="s">
        <v>114</v>
      </c>
      <c r="H5223" s="197" t="s">
        <v>848</v>
      </c>
      <c r="I5223" s="197"/>
    </row>
    <row r="5224" spans="1:12">
      <c r="A5224" s="195"/>
      <c r="B5224" s="195" t="s">
        <v>207</v>
      </c>
      <c r="C5224"/>
      <c r="D5224" s="197" t="s">
        <v>111</v>
      </c>
      <c r="E5224" s="197" t="s">
        <v>216</v>
      </c>
      <c r="F5224" s="197" t="s">
        <v>51</v>
      </c>
      <c r="G5224" s="197" t="s">
        <v>114</v>
      </c>
      <c r="H5224" s="197" t="s">
        <v>848</v>
      </c>
      <c r="I5224" s="197"/>
    </row>
    <row r="5225" spans="1:12">
      <c r="A5225" s="195"/>
      <c r="B5225" s="196" t="s">
        <v>219</v>
      </c>
      <c r="C5225"/>
      <c r="D5225" s="197"/>
      <c r="E5225" s="197"/>
      <c r="F5225" s="197"/>
      <c r="G5225" s="197"/>
      <c r="H5225" s="197"/>
      <c r="I5225" s="197"/>
    </row>
    <row r="5226" spans="1:12">
      <c r="A5226" s="195"/>
      <c r="B5226" s="195" t="s">
        <v>205</v>
      </c>
      <c r="C5226"/>
      <c r="D5226" s="197"/>
      <c r="E5226" s="197"/>
      <c r="F5226" s="197"/>
      <c r="G5226" s="197"/>
      <c r="H5226" s="197"/>
      <c r="I5226" s="197"/>
    </row>
    <row r="5227" spans="1:12">
      <c r="A5227" s="195"/>
      <c r="B5227" s="195" t="s">
        <v>206</v>
      </c>
      <c r="C5227"/>
      <c r="D5227" s="197"/>
      <c r="E5227" s="197"/>
      <c r="F5227" s="197"/>
      <c r="G5227" s="197"/>
      <c r="H5227" s="197"/>
      <c r="I5227" s="197"/>
    </row>
    <row r="5228" spans="1:12">
      <c r="A5228" s="195"/>
      <c r="B5228" s="195" t="s">
        <v>207</v>
      </c>
      <c r="C5228"/>
      <c r="D5228" s="197"/>
      <c r="E5228" s="197"/>
      <c r="F5228" s="197"/>
      <c r="G5228" s="197"/>
      <c r="H5228" s="197"/>
      <c r="I5228" s="197"/>
    </row>
    <row r="5229" spans="1:12">
      <c r="A5229" s="195"/>
      <c r="B5229" s="196" t="s">
        <v>220</v>
      </c>
      <c r="C5229"/>
      <c r="D5229" s="189"/>
      <c r="E5229" s="197"/>
      <c r="F5229" s="189" t="s">
        <v>867</v>
      </c>
      <c r="G5229" s="189"/>
      <c r="H5229" s="197" t="s">
        <v>231</v>
      </c>
      <c r="I5229" s="197"/>
    </row>
    <row r="5230" spans="1:12">
      <c r="A5230" s="195"/>
      <c r="B5230" s="195" t="s">
        <v>205</v>
      </c>
      <c r="C5230"/>
      <c r="D5230" s="197" t="s">
        <v>224</v>
      </c>
      <c r="E5230" s="197" t="s">
        <v>273</v>
      </c>
      <c r="F5230" s="197" t="s">
        <v>759</v>
      </c>
      <c r="G5230" s="197" t="s">
        <v>56</v>
      </c>
      <c r="H5230" s="197" t="s">
        <v>231</v>
      </c>
      <c r="I5230" s="197" t="s">
        <v>416</v>
      </c>
    </row>
    <row r="5231" spans="1:12">
      <c r="A5231" s="195"/>
      <c r="B5231" s="195" t="s">
        <v>206</v>
      </c>
      <c r="C5231"/>
      <c r="D5231" s="197" t="s">
        <v>224</v>
      </c>
      <c r="E5231" s="197" t="s">
        <v>273</v>
      </c>
      <c r="F5231" s="197" t="s">
        <v>759</v>
      </c>
      <c r="G5231" s="197" t="s">
        <v>56</v>
      </c>
      <c r="H5231" s="197" t="s">
        <v>211</v>
      </c>
      <c r="I5231" s="197" t="s">
        <v>999</v>
      </c>
    </row>
    <row r="5232" spans="1:12">
      <c r="A5232" s="195"/>
      <c r="B5232" s="195" t="s">
        <v>207</v>
      </c>
      <c r="C5232"/>
      <c r="D5232" s="197" t="s">
        <v>224</v>
      </c>
      <c r="E5232" s="197" t="s">
        <v>266</v>
      </c>
      <c r="F5232" s="197" t="s">
        <v>759</v>
      </c>
      <c r="G5232" s="197" t="s">
        <v>56</v>
      </c>
      <c r="H5232" s="197" t="s">
        <v>211</v>
      </c>
      <c r="I5232" s="197" t="s">
        <v>416</v>
      </c>
    </row>
    <row r="5233" spans="1:9">
      <c r="A5233" s="195"/>
      <c r="B5233" s="196" t="s">
        <v>222</v>
      </c>
      <c r="C5233"/>
      <c r="D5233" s="197" t="s">
        <v>423</v>
      </c>
      <c r="E5233" s="197" t="s">
        <v>266</v>
      </c>
      <c r="F5233" s="197" t="s">
        <v>759</v>
      </c>
      <c r="G5233" s="197" t="s">
        <v>56</v>
      </c>
      <c r="H5233" s="197"/>
      <c r="I5233" s="197" t="s">
        <v>416</v>
      </c>
    </row>
    <row r="5234" spans="1:9">
      <c r="A5234" s="195"/>
      <c r="B5234" s="195" t="s">
        <v>205</v>
      </c>
      <c r="C5234"/>
      <c r="D5234" s="197" t="s">
        <v>588</v>
      </c>
      <c r="E5234" s="197" t="s">
        <v>252</v>
      </c>
      <c r="F5234" s="197" t="s">
        <v>416</v>
      </c>
      <c r="G5234" s="197" t="s">
        <v>56</v>
      </c>
      <c r="H5234" s="197" t="s">
        <v>856</v>
      </c>
      <c r="I5234" s="197" t="s">
        <v>416</v>
      </c>
    </row>
    <row r="5235" spans="1:9">
      <c r="A5235" s="195"/>
      <c r="B5235" s="195" t="s">
        <v>206</v>
      </c>
      <c r="C5235"/>
      <c r="D5235" s="197" t="s">
        <v>127</v>
      </c>
      <c r="E5235" s="197" t="s">
        <v>252</v>
      </c>
      <c r="F5235" s="197" t="s">
        <v>954</v>
      </c>
      <c r="G5235" s="197"/>
      <c r="H5235" s="197" t="s">
        <v>856</v>
      </c>
      <c r="I5235" s="197" t="s">
        <v>416</v>
      </c>
    </row>
    <row r="5236" spans="1:9">
      <c r="A5236" s="195"/>
      <c r="B5236" s="195" t="s">
        <v>207</v>
      </c>
      <c r="C5236"/>
      <c r="D5236" s="197" t="s">
        <v>761</v>
      </c>
      <c r="E5236" s="197" t="s">
        <v>252</v>
      </c>
      <c r="F5236" s="197" t="s">
        <v>416</v>
      </c>
      <c r="G5236" s="197" t="s">
        <v>270</v>
      </c>
      <c r="H5236" s="197" t="s">
        <v>856</v>
      </c>
      <c r="I5236" s="197" t="s">
        <v>416</v>
      </c>
    </row>
    <row r="5237" spans="1:9">
      <c r="A5237" s="195"/>
      <c r="B5237" s="196" t="s">
        <v>223</v>
      </c>
      <c r="C5237"/>
      <c r="D5237" s="197" t="s">
        <v>761</v>
      </c>
      <c r="E5237" s="197" t="s">
        <v>252</v>
      </c>
      <c r="F5237" s="197" t="s">
        <v>951</v>
      </c>
      <c r="G5237" s="197" t="s">
        <v>270</v>
      </c>
      <c r="H5237" s="197" t="s">
        <v>856</v>
      </c>
      <c r="I5237" s="197" t="s">
        <v>416</v>
      </c>
    </row>
    <row r="5238" spans="1:9">
      <c r="A5238" s="195"/>
      <c r="B5238" s="195" t="s">
        <v>205</v>
      </c>
      <c r="C5238"/>
      <c r="D5238" s="197" t="s">
        <v>761</v>
      </c>
      <c r="E5238" s="197" t="s">
        <v>252</v>
      </c>
      <c r="F5238" s="197" t="s">
        <v>416</v>
      </c>
      <c r="G5238" s="197" t="s">
        <v>270</v>
      </c>
      <c r="H5238" s="197" t="s">
        <v>856</v>
      </c>
      <c r="I5238" s="197" t="s">
        <v>416</v>
      </c>
    </row>
    <row r="5239" spans="1:9">
      <c r="A5239" s="195"/>
      <c r="B5239" s="195" t="s">
        <v>206</v>
      </c>
      <c r="C5239"/>
      <c r="D5239" s="197" t="s">
        <v>761</v>
      </c>
      <c r="E5239" s="197" t="s">
        <v>252</v>
      </c>
      <c r="F5239" s="197" t="s">
        <v>416</v>
      </c>
      <c r="G5239" s="197" t="s">
        <v>270</v>
      </c>
      <c r="H5239" s="197" t="s">
        <v>856</v>
      </c>
      <c r="I5239" s="197" t="s">
        <v>416</v>
      </c>
    </row>
    <row r="5240" spans="1:9">
      <c r="A5240" s="195"/>
      <c r="B5240" s="195" t="s">
        <v>207</v>
      </c>
      <c r="C5240"/>
      <c r="D5240" s="197" t="s">
        <v>214</v>
      </c>
      <c r="E5240" s="197" t="s">
        <v>252</v>
      </c>
      <c r="F5240" s="197" t="s">
        <v>416</v>
      </c>
      <c r="G5240" s="197" t="s">
        <v>270</v>
      </c>
      <c r="H5240" s="197" t="s">
        <v>856</v>
      </c>
      <c r="I5240" s="197" t="s">
        <v>416</v>
      </c>
    </row>
    <row r="5241" spans="1:9">
      <c r="A5241" s="195"/>
      <c r="B5241" s="196" t="s">
        <v>225</v>
      </c>
      <c r="C5241"/>
      <c r="D5241" s="197" t="s">
        <v>214</v>
      </c>
      <c r="E5241" s="197" t="s">
        <v>252</v>
      </c>
      <c r="F5241" s="197" t="s">
        <v>62</v>
      </c>
      <c r="G5241" s="197" t="s">
        <v>270</v>
      </c>
      <c r="H5241" s="197" t="s">
        <v>415</v>
      </c>
      <c r="I5241" s="197"/>
    </row>
    <row r="5242" spans="1:9">
      <c r="A5242" s="195"/>
      <c r="B5242" s="195" t="s">
        <v>205</v>
      </c>
      <c r="C5242"/>
      <c r="D5242" s="197" t="s">
        <v>214</v>
      </c>
      <c r="E5242" s="197" t="s">
        <v>252</v>
      </c>
      <c r="F5242" s="197" t="s">
        <v>62</v>
      </c>
      <c r="G5242" s="197" t="s">
        <v>270</v>
      </c>
      <c r="H5242" s="209" t="s">
        <v>415</v>
      </c>
      <c r="I5242" s="197"/>
    </row>
    <row r="5243" spans="1:9">
      <c r="A5243" s="195"/>
      <c r="B5243" s="195" t="s">
        <v>206</v>
      </c>
      <c r="C5243"/>
      <c r="D5243" s="197" t="s">
        <v>214</v>
      </c>
      <c r="E5243" s="197" t="s">
        <v>252</v>
      </c>
      <c r="F5243" s="197" t="s">
        <v>62</v>
      </c>
      <c r="G5243" s="197" t="s">
        <v>270</v>
      </c>
      <c r="H5243" s="209" t="s">
        <v>415</v>
      </c>
      <c r="I5243" s="197"/>
    </row>
    <row r="5244" spans="1:9">
      <c r="A5244" s="195"/>
      <c r="B5244" s="195" t="s">
        <v>207</v>
      </c>
      <c r="C5244"/>
      <c r="D5244" s="197"/>
      <c r="E5244" s="197" t="s">
        <v>252</v>
      </c>
      <c r="F5244" s="197" t="s">
        <v>62</v>
      </c>
      <c r="G5244" s="197" t="s">
        <v>270</v>
      </c>
      <c r="H5244" s="209" t="s">
        <v>415</v>
      </c>
      <c r="I5244" s="197"/>
    </row>
    <row r="5245" spans="1:9">
      <c r="A5245" s="195"/>
      <c r="B5245" s="196" t="s">
        <v>226</v>
      </c>
      <c r="C5245"/>
      <c r="D5245" s="197"/>
      <c r="E5245" s="197"/>
      <c r="F5245" s="197"/>
      <c r="G5245" s="197" t="s">
        <v>270</v>
      </c>
      <c r="H5245" s="209"/>
      <c r="I5245" s="197"/>
    </row>
    <row r="5246" spans="1:9">
      <c r="A5246" s="195"/>
      <c r="B5246" s="195" t="s">
        <v>205</v>
      </c>
      <c r="C5246"/>
      <c r="D5246" s="197"/>
      <c r="E5246" s="197"/>
      <c r="F5246" s="197"/>
      <c r="G5246" s="197" t="s">
        <v>270</v>
      </c>
      <c r="H5246" s="209"/>
      <c r="I5246" s="209"/>
    </row>
    <row r="5247" spans="1:9">
      <c r="A5247" s="195"/>
      <c r="B5247" s="195" t="s">
        <v>206</v>
      </c>
      <c r="C5247"/>
      <c r="D5247" s="197"/>
      <c r="E5247" s="197"/>
      <c r="F5247" s="197"/>
      <c r="G5247" s="197" t="s">
        <v>270</v>
      </c>
      <c r="H5247" s="209"/>
      <c r="I5247" s="209"/>
    </row>
    <row r="5248" spans="1:9">
      <c r="A5248" s="195"/>
      <c r="B5248" s="195" t="s">
        <v>207</v>
      </c>
      <c r="C5248"/>
      <c r="D5248" s="197"/>
      <c r="E5248" s="197"/>
      <c r="F5248" s="197"/>
      <c r="G5248" s="197" t="s">
        <v>270</v>
      </c>
      <c r="H5248" s="209"/>
      <c r="I5248" s="209"/>
    </row>
    <row r="5249" spans="1:12">
      <c r="A5249" s="195"/>
      <c r="B5249" s="196" t="s">
        <v>227</v>
      </c>
      <c r="C5249"/>
      <c r="D5249" s="197"/>
      <c r="E5249" s="197"/>
      <c r="F5249" s="197"/>
      <c r="G5249" s="197"/>
      <c r="H5249" s="209"/>
      <c r="I5249" s="209"/>
      <c r="K5249"/>
    </row>
    <row r="5250" spans="1:12" ht="29.25" thickBot="1">
      <c r="A5250" s="182" t="str">
        <f>"回収シフト  第"&amp;ROUNDUP(DAY(B5253)/7,0)  &amp;"  "&amp;TEXT(B5253,"aaaa")</f>
        <v>回収シフト  第4  土曜日</v>
      </c>
      <c r="B5250" s="183"/>
      <c r="C5250" s="183"/>
      <c r="D5250" s="183"/>
      <c r="E5250" s="183"/>
      <c r="F5250" s="183"/>
      <c r="G5250" s="184"/>
      <c r="H5250" s="184"/>
      <c r="K5250" s="183"/>
      <c r="L5250" s="183"/>
    </row>
    <row r="5251" spans="1:12" ht="15.75" thickBot="1">
      <c r="A5251"/>
      <c r="B5251"/>
      <c r="C5251"/>
      <c r="D5251" s="186" t="s">
        <v>201</v>
      </c>
      <c r="E5251" s="186" t="s">
        <v>202</v>
      </c>
      <c r="F5251" s="186" t="s">
        <v>203</v>
      </c>
      <c r="G5251" s="186" t="s">
        <v>204</v>
      </c>
      <c r="H5251" s="186" t="s">
        <v>267</v>
      </c>
      <c r="K5251" s="230" t="s">
        <v>257</v>
      </c>
      <c r="L5251" s="231"/>
    </row>
    <row r="5252" spans="1:12">
      <c r="A5252" s="187"/>
      <c r="B5252" s="188">
        <v>46119</v>
      </c>
      <c r="C5252" s="187"/>
      <c r="D5252" s="189"/>
      <c r="E5252" s="189"/>
      <c r="F5252" s="189"/>
      <c r="G5252" s="189"/>
      <c r="H5252" s="189"/>
      <c r="K5252" s="232" t="s">
        <v>258</v>
      </c>
      <c r="L5252" s="190" t="str">
        <f>_xlfn.XLOOKUP($B5253,シフト抽出!$19:$19,シフト抽出!$20:$20,"該当なし",0,1)</f>
        <v>該当なし</v>
      </c>
    </row>
    <row r="5253" spans="1:12" ht="19.5" thickBot="1">
      <c r="A5253"/>
      <c r="B5253" s="191">
        <f>B5200+1</f>
        <v>46228</v>
      </c>
      <c r="C5253" s="192"/>
      <c r="D5253" s="193"/>
      <c r="E5253" s="193"/>
      <c r="F5253" s="193"/>
      <c r="G5253" s="193"/>
      <c r="H5253" s="193"/>
      <c r="K5253" s="233"/>
      <c r="L5253" s="194" t="str">
        <f>_xlfn.XLOOKUP($B5253,シフト抽出!$19:$19,シフト抽出!$21:$21,"該当なし",0,1)</f>
        <v>該当なし</v>
      </c>
    </row>
    <row r="5254" spans="1:12">
      <c r="A5254" s="195"/>
      <c r="B5254" s="196">
        <v>0.25</v>
      </c>
      <c r="C5254"/>
      <c r="D5254" s="197"/>
      <c r="E5254" s="196"/>
      <c r="F5254" s="197"/>
      <c r="G5254" s="197"/>
      <c r="H5254" s="197"/>
      <c r="K5254" s="234" t="s">
        <v>259</v>
      </c>
      <c r="L5254" s="198" t="str">
        <f>_xlfn.XLOOKUP($B5253,シフト抽出!$19:$19,シフト抽出!$23:$23,"該当なし",0,1)</f>
        <v>該当なし</v>
      </c>
    </row>
    <row r="5255" spans="1:12" ht="15.75" thickBot="1">
      <c r="A5255" s="195"/>
      <c r="B5255" s="195" t="s">
        <v>205</v>
      </c>
      <c r="C5255"/>
      <c r="D5255" s="197"/>
      <c r="E5255" s="197"/>
      <c r="F5255" s="197"/>
      <c r="G5255" s="197"/>
      <c r="H5255" s="197"/>
      <c r="K5255" s="235"/>
      <c r="L5255" s="199" t="str">
        <f>_xlfn.XLOOKUP($B5253,シフト抽出!$19:$19,シフト抽出!$24:$24,"該当なし",0,1)</f>
        <v>該当なし</v>
      </c>
    </row>
    <row r="5256" spans="1:12">
      <c r="A5256" s="195"/>
      <c r="B5256" s="195" t="s">
        <v>206</v>
      </c>
      <c r="C5256"/>
      <c r="D5256" s="197"/>
      <c r="E5256" s="197"/>
      <c r="F5256" s="197"/>
      <c r="G5256" s="197"/>
      <c r="H5256" s="197"/>
      <c r="K5256" s="224" t="s">
        <v>260</v>
      </c>
      <c r="L5256" s="200" t="str">
        <f>_xlfn.XLOOKUP($B5253,シフト抽出!$19:$19,シフト抽出!$26:$26,"該当なし",0,1)</f>
        <v>該当なし</v>
      </c>
    </row>
    <row r="5257" spans="1:12">
      <c r="A5257" s="195"/>
      <c r="B5257" s="195" t="s">
        <v>207</v>
      </c>
      <c r="C5257"/>
      <c r="D5257" s="197"/>
      <c r="E5257" s="197"/>
      <c r="F5257" s="197"/>
      <c r="G5257" s="197"/>
      <c r="H5257" s="197"/>
      <c r="K5257" s="225"/>
      <c r="L5257" s="201" t="str">
        <f>_xlfn.XLOOKUP($B5253,シフト抽出!$19:$19,シフト抽出!$27:$27,"該当なし",0,1)</f>
        <v>該当なし</v>
      </c>
    </row>
    <row r="5258" spans="1:12">
      <c r="A5258" s="195"/>
      <c r="B5258" s="202" t="s">
        <v>208</v>
      </c>
      <c r="C5258"/>
      <c r="D5258" s="197"/>
      <c r="E5258" s="197"/>
      <c r="F5258" s="197"/>
      <c r="G5258" s="197"/>
      <c r="H5258" s="197"/>
      <c r="J5258" s="203"/>
      <c r="K5258" s="225"/>
      <c r="L5258" s="201" t="str">
        <f>_xlfn.XLOOKUP($B5253,シフト抽出!$19:$19,シフト抽出!$28:$28,"該当なし",0,1)</f>
        <v>該当なし</v>
      </c>
    </row>
    <row r="5259" spans="1:12" ht="15.75" thickBot="1">
      <c r="A5259" s="195"/>
      <c r="B5259" s="195" t="s">
        <v>205</v>
      </c>
      <c r="C5259"/>
      <c r="D5259" s="197"/>
      <c r="E5259" s="197"/>
      <c r="F5259" s="197"/>
      <c r="G5259" s="197"/>
      <c r="H5259" s="197"/>
      <c r="J5259" s="203"/>
      <c r="K5259" s="226"/>
      <c r="L5259" s="204" t="str">
        <f>_xlfn.XLOOKUP($B5253,シフト抽出!$19:$19,シフト抽出!$29:$29,"該当なし",0,1)</f>
        <v>該当なし</v>
      </c>
    </row>
    <row r="5260" spans="1:12" ht="15.75" thickBot="1">
      <c r="A5260" s="195"/>
      <c r="B5260" s="195" t="s">
        <v>206</v>
      </c>
      <c r="C5260"/>
      <c r="D5260" s="197"/>
      <c r="E5260" s="197"/>
      <c r="F5260" s="197"/>
      <c r="G5260" s="197"/>
      <c r="H5260" s="197"/>
      <c r="K5260" s="205" t="s">
        <v>261</v>
      </c>
      <c r="L5260" s="205">
        <f>_xlfn.XLOOKUP($B5253,予定表!B:B,予定表!R:R,"該当なし",0,1)</f>
        <v>0</v>
      </c>
    </row>
    <row r="5261" spans="1:12">
      <c r="A5261" s="195"/>
      <c r="B5261" s="195" t="s">
        <v>207</v>
      </c>
      <c r="C5261"/>
      <c r="D5261" s="197"/>
      <c r="E5261" s="197"/>
      <c r="F5261" s="197"/>
      <c r="G5261" s="197"/>
      <c r="H5261" s="197"/>
      <c r="K5261" s="227" t="s">
        <v>262</v>
      </c>
      <c r="L5261" s="206">
        <f>_xlfn.XLOOKUP($B5253,予定表!$B:$B,予定表!E:E,"該当なし",0,1)</f>
        <v>0</v>
      </c>
    </row>
    <row r="5262" spans="1:12">
      <c r="A5262" s="195"/>
      <c r="B5262" s="196" t="s">
        <v>209</v>
      </c>
      <c r="C5262"/>
      <c r="D5262" s="197" t="s">
        <v>4</v>
      </c>
      <c r="E5262" s="197" t="s">
        <v>4</v>
      </c>
      <c r="F5262" s="197"/>
      <c r="G5262" s="197"/>
      <c r="H5262" s="197"/>
      <c r="K5262" s="228"/>
      <c r="L5262" s="207">
        <f>_xlfn.XLOOKUP($B5253,予定表!$B:$B,予定表!F:F,"該当なし",0,1)</f>
        <v>0</v>
      </c>
    </row>
    <row r="5263" spans="1:12">
      <c r="A5263" s="195"/>
      <c r="B5263" s="195" t="s">
        <v>205</v>
      </c>
      <c r="C5263"/>
      <c r="D5263" s="197" t="s">
        <v>268</v>
      </c>
      <c r="E5263" s="197" t="s">
        <v>793</v>
      </c>
      <c r="F5263" s="197"/>
      <c r="G5263" s="197"/>
      <c r="H5263" s="197"/>
      <c r="K5263" s="228"/>
      <c r="L5263" s="207">
        <f>_xlfn.XLOOKUP($B5253,予定表!$B:$B,予定表!G:G,"該当なし",0,1)</f>
        <v>0</v>
      </c>
    </row>
    <row r="5264" spans="1:12">
      <c r="A5264" s="195"/>
      <c r="B5264" s="195" t="s">
        <v>206</v>
      </c>
      <c r="C5264"/>
      <c r="D5264" s="197" t="s">
        <v>268</v>
      </c>
      <c r="E5264" s="197" t="s">
        <v>989</v>
      </c>
      <c r="F5264" s="197"/>
      <c r="G5264" s="197"/>
      <c r="H5264" s="197"/>
      <c r="K5264" s="228"/>
      <c r="L5264" s="207">
        <f>_xlfn.XLOOKUP($B5253,予定表!$B:$B,予定表!H:H,"該当なし",0,1)</f>
        <v>0</v>
      </c>
    </row>
    <row r="5265" spans="1:12">
      <c r="A5265" s="195"/>
      <c r="B5265" s="195" t="s">
        <v>207</v>
      </c>
      <c r="C5265"/>
      <c r="D5265" s="197" t="s">
        <v>268</v>
      </c>
      <c r="E5265" s="197" t="s">
        <v>22</v>
      </c>
      <c r="F5265" s="197"/>
      <c r="G5265" s="197"/>
      <c r="H5265" s="197"/>
      <c r="K5265" s="228"/>
      <c r="L5265" s="207">
        <f>_xlfn.XLOOKUP($B5253,予定表!$B:$B,予定表!I:I,"該当なし",0,1)</f>
        <v>0</v>
      </c>
    </row>
    <row r="5266" spans="1:12">
      <c r="A5266" s="195"/>
      <c r="B5266" s="196" t="s">
        <v>212</v>
      </c>
      <c r="C5266"/>
      <c r="D5266" s="197" t="s">
        <v>268</v>
      </c>
      <c r="E5266" s="197" t="s">
        <v>22</v>
      </c>
      <c r="F5266" s="197"/>
      <c r="G5266" s="197"/>
      <c r="H5266" s="197"/>
      <c r="K5266" s="228"/>
      <c r="L5266" s="207">
        <f>_xlfn.XLOOKUP($B5253,予定表!$B:$B,予定表!J:J,"該当なし",0,1)</f>
        <v>0</v>
      </c>
    </row>
    <row r="5267" spans="1:12">
      <c r="A5267" s="195"/>
      <c r="B5267" s="195" t="s">
        <v>205</v>
      </c>
      <c r="C5267"/>
      <c r="D5267" s="197" t="s">
        <v>268</v>
      </c>
      <c r="E5267" s="197" t="s">
        <v>793</v>
      </c>
      <c r="F5267" s="197"/>
      <c r="G5267" s="197"/>
      <c r="H5267" s="197"/>
      <c r="K5267" s="228"/>
      <c r="L5267" s="207">
        <f>_xlfn.XLOOKUP($B5253,予定表!$B:$B,予定表!K:K,"該当なし",0,1)</f>
        <v>0</v>
      </c>
    </row>
    <row r="5268" spans="1:12">
      <c r="A5268" s="195"/>
      <c r="B5268" s="195" t="s">
        <v>206</v>
      </c>
      <c r="C5268"/>
      <c r="D5268" s="197" t="s">
        <v>515</v>
      </c>
      <c r="E5268" s="197" t="s">
        <v>241</v>
      </c>
      <c r="F5268" s="197"/>
      <c r="G5268" s="197"/>
      <c r="H5268" s="197"/>
      <c r="K5268" s="228"/>
      <c r="L5268" s="207">
        <f>_xlfn.XLOOKUP($B5253,予定表!$B:$B,予定表!L:L,"該当なし",0,1)</f>
        <v>0</v>
      </c>
    </row>
    <row r="5269" spans="1:12" ht="15.75" thickBot="1">
      <c r="A5269" s="195"/>
      <c r="B5269" s="195" t="s">
        <v>207</v>
      </c>
      <c r="C5269"/>
      <c r="D5269" s="197" t="s">
        <v>515</v>
      </c>
      <c r="E5269" s="197" t="s">
        <v>241</v>
      </c>
      <c r="F5269" s="197"/>
      <c r="G5269" s="197"/>
      <c r="H5269" s="197"/>
      <c r="K5269" s="229"/>
      <c r="L5269" s="204" t="str">
        <f>_xlfn.XLOOKUP($A5250,ﾘｽﾄマスタ!$U$8:$U$17,ﾘｽﾄマスタ!$V$8:$V$17,"",0)</f>
        <v/>
      </c>
    </row>
    <row r="5270" spans="1:12" ht="15.75" thickBot="1">
      <c r="A5270" s="195"/>
      <c r="B5270" s="196" t="s">
        <v>251</v>
      </c>
      <c r="C5270"/>
      <c r="D5270" s="197" t="s">
        <v>515</v>
      </c>
      <c r="E5270" s="197" t="s">
        <v>114</v>
      </c>
      <c r="F5270" s="197"/>
      <c r="G5270" s="197"/>
      <c r="H5270" s="197"/>
      <c r="K5270" s="208" t="s">
        <v>277</v>
      </c>
      <c r="L5270" s="208" t="str">
        <f>_xlfn.XLOOKUP($B5253,シフト抽出!$19:$19,シフト抽出!$30:$30,"該当なし",0,1)</f>
        <v>該当なし</v>
      </c>
    </row>
    <row r="5271" spans="1:12">
      <c r="A5271" s="195"/>
      <c r="B5271" s="195" t="s">
        <v>205</v>
      </c>
      <c r="C5271"/>
      <c r="D5271" s="197" t="s">
        <v>242</v>
      </c>
      <c r="E5271" s="197" t="s">
        <v>114</v>
      </c>
      <c r="F5271" s="197"/>
      <c r="G5271" s="197"/>
      <c r="H5271" s="197"/>
    </row>
    <row r="5272" spans="1:12">
      <c r="A5272" s="195"/>
      <c r="B5272" s="195" t="s">
        <v>206</v>
      </c>
      <c r="C5272"/>
      <c r="D5272" s="197" t="s">
        <v>242</v>
      </c>
      <c r="E5272" s="197"/>
      <c r="F5272" s="197"/>
      <c r="G5272" s="197"/>
      <c r="H5272" s="197"/>
    </row>
    <row r="5273" spans="1:12">
      <c r="A5273" s="195"/>
      <c r="B5273" s="195" t="s">
        <v>207</v>
      </c>
      <c r="C5273"/>
      <c r="D5273" s="197" t="s">
        <v>242</v>
      </c>
      <c r="E5273" s="197" t="s">
        <v>244</v>
      </c>
      <c r="F5273" s="197"/>
      <c r="G5273" s="197"/>
      <c r="H5273" s="197"/>
    </row>
    <row r="5274" spans="1:12">
      <c r="A5274" s="195"/>
      <c r="B5274" s="196" t="s">
        <v>217</v>
      </c>
      <c r="C5274"/>
      <c r="D5274" s="197" t="s">
        <v>242</v>
      </c>
      <c r="E5274" s="197" t="s">
        <v>851</v>
      </c>
      <c r="F5274" s="197"/>
      <c r="G5274" s="197"/>
      <c r="H5274" s="197"/>
    </row>
    <row r="5275" spans="1:12">
      <c r="A5275" s="195"/>
      <c r="B5275" s="195" t="s">
        <v>205</v>
      </c>
      <c r="C5275"/>
      <c r="D5275" s="197" t="s">
        <v>242</v>
      </c>
      <c r="E5275" s="197" t="s">
        <v>851</v>
      </c>
      <c r="F5275" s="197"/>
      <c r="G5275" s="197"/>
      <c r="H5275" s="197"/>
    </row>
    <row r="5276" spans="1:12">
      <c r="A5276" s="195"/>
      <c r="B5276" s="195" t="s">
        <v>206</v>
      </c>
      <c r="C5276"/>
      <c r="D5276" s="197" t="s">
        <v>242</v>
      </c>
      <c r="E5276" s="197" t="s">
        <v>851</v>
      </c>
      <c r="F5276" s="197"/>
      <c r="G5276" s="197"/>
      <c r="H5276" s="197"/>
    </row>
    <row r="5277" spans="1:12">
      <c r="A5277" s="195"/>
      <c r="B5277" s="195" t="s">
        <v>207</v>
      </c>
      <c r="C5277"/>
      <c r="D5277" s="197"/>
      <c r="E5277" s="197" t="s">
        <v>851</v>
      </c>
      <c r="F5277" s="197"/>
      <c r="G5277" s="197"/>
      <c r="H5277" s="197"/>
    </row>
    <row r="5278" spans="1:12">
      <c r="A5278" s="195"/>
      <c r="B5278" s="196" t="s">
        <v>219</v>
      </c>
      <c r="C5278"/>
      <c r="D5278" s="197"/>
      <c r="E5278" s="197" t="s">
        <v>851</v>
      </c>
      <c r="F5278" s="197"/>
      <c r="G5278" s="197"/>
      <c r="H5278" s="197"/>
    </row>
    <row r="5279" spans="1:12">
      <c r="A5279" s="195"/>
      <c r="B5279" s="195" t="s">
        <v>205</v>
      </c>
      <c r="C5279"/>
      <c r="D5279" s="197"/>
      <c r="E5279" s="197" t="s">
        <v>851</v>
      </c>
      <c r="F5279" s="197"/>
      <c r="G5279" s="197"/>
      <c r="H5279" s="197"/>
    </row>
    <row r="5280" spans="1:12">
      <c r="A5280" s="195"/>
      <c r="B5280" s="195" t="s">
        <v>206</v>
      </c>
      <c r="C5280"/>
      <c r="D5280" s="197"/>
      <c r="E5280" s="197"/>
      <c r="F5280" s="197"/>
      <c r="G5280" s="197"/>
      <c r="H5280" s="197"/>
    </row>
    <row r="5281" spans="1:8">
      <c r="A5281" s="195"/>
      <c r="B5281" s="195" t="s">
        <v>207</v>
      </c>
      <c r="C5281"/>
      <c r="D5281" s="197"/>
      <c r="E5281" s="197"/>
      <c r="F5281" s="197"/>
      <c r="G5281" s="197"/>
      <c r="H5281" s="197"/>
    </row>
    <row r="5282" spans="1:8">
      <c r="A5282" s="195"/>
      <c r="B5282" s="196" t="s">
        <v>220</v>
      </c>
      <c r="C5282"/>
      <c r="D5282" s="197" t="s">
        <v>7</v>
      </c>
      <c r="E5282" s="197" t="s">
        <v>7</v>
      </c>
      <c r="F5282" s="197"/>
      <c r="G5282" s="189"/>
      <c r="H5282" s="197"/>
    </row>
    <row r="5283" spans="1:8">
      <c r="A5283" s="195"/>
      <c r="B5283" s="195" t="s">
        <v>205</v>
      </c>
      <c r="C5283"/>
      <c r="D5283" s="197" t="s">
        <v>886</v>
      </c>
      <c r="E5283" s="197" t="s">
        <v>228</v>
      </c>
      <c r="F5283" s="197"/>
      <c r="G5283" s="197"/>
      <c r="H5283" s="197"/>
    </row>
    <row r="5284" spans="1:8">
      <c r="A5284" s="195"/>
      <c r="B5284" s="195" t="s">
        <v>206</v>
      </c>
      <c r="C5284"/>
      <c r="D5284" s="197" t="s">
        <v>886</v>
      </c>
      <c r="E5284" s="197" t="s">
        <v>228</v>
      </c>
      <c r="F5284" s="197"/>
      <c r="G5284" s="197"/>
      <c r="H5284" s="197"/>
    </row>
    <row r="5285" spans="1:8">
      <c r="A5285" s="195"/>
      <c r="B5285" s="195" t="s">
        <v>207</v>
      </c>
      <c r="C5285"/>
      <c r="D5285" s="197" t="s">
        <v>886</v>
      </c>
      <c r="E5285" s="197" t="s">
        <v>228</v>
      </c>
      <c r="F5285" s="197"/>
      <c r="G5285" s="197"/>
      <c r="H5285" s="197"/>
    </row>
    <row r="5286" spans="1:8">
      <c r="A5286" s="195"/>
      <c r="B5286" s="196" t="s">
        <v>222</v>
      </c>
      <c r="C5286"/>
      <c r="D5286" s="197" t="s">
        <v>886</v>
      </c>
      <c r="E5286" s="197" t="s">
        <v>228</v>
      </c>
      <c r="F5286" s="197"/>
      <c r="G5286" s="197"/>
      <c r="H5286" s="197"/>
    </row>
    <row r="5287" spans="1:8">
      <c r="A5287" s="195"/>
      <c r="B5287" s="195" t="s">
        <v>205</v>
      </c>
      <c r="C5287"/>
      <c r="D5287" s="197"/>
      <c r="E5287" s="197" t="s">
        <v>228</v>
      </c>
      <c r="F5287" s="197"/>
      <c r="G5287" s="197"/>
      <c r="H5287" s="197"/>
    </row>
    <row r="5288" spans="1:8">
      <c r="A5288" s="195"/>
      <c r="B5288" s="195" t="s">
        <v>206</v>
      </c>
      <c r="C5288"/>
      <c r="D5288" s="197" t="s">
        <v>270</v>
      </c>
      <c r="E5288" s="197" t="s">
        <v>228</v>
      </c>
      <c r="F5288" s="197"/>
      <c r="G5288" s="197"/>
      <c r="H5288" s="197"/>
    </row>
    <row r="5289" spans="1:8">
      <c r="A5289" s="195"/>
      <c r="B5289" s="195" t="s">
        <v>207</v>
      </c>
      <c r="C5289"/>
      <c r="D5289" s="197" t="s">
        <v>270</v>
      </c>
      <c r="E5289" s="197" t="s">
        <v>228</v>
      </c>
      <c r="F5289" s="197"/>
      <c r="G5289" s="197"/>
      <c r="H5289" s="197"/>
    </row>
    <row r="5290" spans="1:8">
      <c r="A5290" s="195"/>
      <c r="B5290" s="196" t="s">
        <v>223</v>
      </c>
      <c r="C5290"/>
      <c r="D5290" s="197" t="s">
        <v>270</v>
      </c>
      <c r="E5290" s="197" t="s">
        <v>228</v>
      </c>
      <c r="F5290" s="197"/>
      <c r="G5290" s="197"/>
      <c r="H5290" s="197"/>
    </row>
    <row r="5291" spans="1:8">
      <c r="A5291" s="195"/>
      <c r="B5291" s="195" t="s">
        <v>205</v>
      </c>
      <c r="C5291"/>
      <c r="D5291" s="197" t="s">
        <v>270</v>
      </c>
      <c r="E5291" s="197" t="s">
        <v>273</v>
      </c>
      <c r="F5291" s="197"/>
      <c r="G5291" s="197"/>
      <c r="H5291" s="197"/>
    </row>
    <row r="5292" spans="1:8">
      <c r="A5292" s="195"/>
      <c r="B5292" s="195" t="s">
        <v>206</v>
      </c>
      <c r="C5292"/>
      <c r="D5292" s="197" t="s">
        <v>270</v>
      </c>
      <c r="E5292" s="197" t="s">
        <v>273</v>
      </c>
      <c r="F5292" s="197"/>
      <c r="G5292" s="197"/>
      <c r="H5292" s="197"/>
    </row>
    <row r="5293" spans="1:8">
      <c r="A5293" s="195"/>
      <c r="B5293" s="195" t="s">
        <v>207</v>
      </c>
      <c r="C5293"/>
      <c r="D5293" s="197" t="s">
        <v>270</v>
      </c>
      <c r="E5293" s="197" t="s">
        <v>273</v>
      </c>
      <c r="F5293" s="197"/>
      <c r="G5293" s="197"/>
      <c r="H5293" s="197"/>
    </row>
    <row r="5294" spans="1:8">
      <c r="A5294" s="195"/>
      <c r="B5294" s="196" t="s">
        <v>225</v>
      </c>
      <c r="C5294"/>
      <c r="D5294" s="197" t="s">
        <v>270</v>
      </c>
      <c r="E5294" s="197" t="s">
        <v>263</v>
      </c>
      <c r="F5294" s="197"/>
      <c r="G5294" s="197"/>
      <c r="H5294" s="197"/>
    </row>
    <row r="5295" spans="1:8">
      <c r="A5295" s="195"/>
      <c r="B5295" s="195" t="s">
        <v>205</v>
      </c>
      <c r="C5295"/>
      <c r="D5295" s="197" t="s">
        <v>270</v>
      </c>
      <c r="E5295" s="197" t="s">
        <v>263</v>
      </c>
      <c r="F5295" s="197"/>
      <c r="G5295" s="197"/>
      <c r="H5295" s="209"/>
    </row>
    <row r="5296" spans="1:8">
      <c r="A5296" s="195"/>
      <c r="B5296" s="195" t="s">
        <v>206</v>
      </c>
      <c r="C5296"/>
      <c r="D5296" s="197" t="s">
        <v>270</v>
      </c>
      <c r="E5296" s="197" t="s">
        <v>263</v>
      </c>
      <c r="F5296" s="197"/>
      <c r="G5296" s="197"/>
      <c r="H5296" s="209"/>
    </row>
    <row r="5297" spans="1:12">
      <c r="A5297" s="195"/>
      <c r="B5297" s="195" t="s">
        <v>207</v>
      </c>
      <c r="C5297"/>
      <c r="D5297" s="197" t="s">
        <v>270</v>
      </c>
      <c r="E5297" s="197" t="s">
        <v>263</v>
      </c>
      <c r="F5297" s="197"/>
      <c r="G5297" s="197"/>
      <c r="H5297" s="209"/>
    </row>
    <row r="5298" spans="1:12">
      <c r="A5298" s="195"/>
      <c r="B5298" s="196" t="s">
        <v>226</v>
      </c>
      <c r="C5298"/>
      <c r="D5298" s="197" t="s">
        <v>270</v>
      </c>
      <c r="E5298" s="197"/>
      <c r="F5298" s="197"/>
      <c r="G5298" s="197"/>
      <c r="H5298" s="209"/>
    </row>
    <row r="5299" spans="1:12">
      <c r="A5299" s="195"/>
      <c r="B5299" s="195" t="s">
        <v>205</v>
      </c>
      <c r="C5299"/>
      <c r="D5299" s="197" t="s">
        <v>270</v>
      </c>
      <c r="E5299" s="197"/>
      <c r="F5299" s="197"/>
      <c r="G5299" s="197"/>
      <c r="H5299" s="209"/>
    </row>
    <row r="5300" spans="1:12">
      <c r="A5300" s="195"/>
      <c r="B5300" s="195" t="s">
        <v>206</v>
      </c>
      <c r="C5300"/>
      <c r="D5300" s="197" t="s">
        <v>270</v>
      </c>
      <c r="E5300" s="197"/>
      <c r="F5300" s="197"/>
      <c r="G5300" s="197"/>
      <c r="H5300" s="209"/>
    </row>
    <row r="5301" spans="1:12">
      <c r="A5301" s="195"/>
      <c r="B5301" s="195" t="s">
        <v>207</v>
      </c>
      <c r="C5301"/>
      <c r="D5301" s="197" t="s">
        <v>270</v>
      </c>
      <c r="E5301" s="197"/>
      <c r="F5301" s="197"/>
      <c r="G5301" s="197"/>
      <c r="H5301" s="209"/>
    </row>
    <row r="5302" spans="1:12">
      <c r="A5302" s="195"/>
      <c r="B5302" s="196" t="s">
        <v>227</v>
      </c>
      <c r="C5302"/>
      <c r="D5302" s="197"/>
      <c r="E5302" s="197"/>
      <c r="F5302" s="197"/>
      <c r="G5302" s="197"/>
      <c r="H5302" s="209"/>
      <c r="K5302"/>
    </row>
    <row r="5303" spans="1:12" ht="29.25" thickBot="1">
      <c r="A5303" s="213" t="str">
        <f>"回収シフト  第"&amp;ROUNDUP(DAY(B5306)/7,0)  &amp;"  "&amp;TEXT(B5306,"aaaa")</f>
        <v>回収シフト  第4  日曜日</v>
      </c>
      <c r="B5303" s="214"/>
      <c r="C5303" s="214"/>
      <c r="D5303" s="214"/>
      <c r="E5303" s="214"/>
      <c r="F5303" s="214"/>
      <c r="G5303" s="215"/>
      <c r="H5303" s="215"/>
      <c r="K5303" s="214"/>
      <c r="L5303" s="214"/>
    </row>
    <row r="5304" spans="1:12" ht="15.75" thickBot="1">
      <c r="A5304"/>
      <c r="B5304"/>
      <c r="C5304"/>
      <c r="D5304" s="186" t="s">
        <v>201</v>
      </c>
      <c r="E5304" s="186" t="s">
        <v>202</v>
      </c>
      <c r="F5304" s="186" t="s">
        <v>203</v>
      </c>
      <c r="G5304" s="186" t="s">
        <v>204</v>
      </c>
      <c r="H5304" s="186" t="s">
        <v>267</v>
      </c>
      <c r="K5304" s="230" t="s">
        <v>257</v>
      </c>
      <c r="L5304" s="231"/>
    </row>
    <row r="5305" spans="1:12">
      <c r="A5305" s="187"/>
      <c r="B5305" s="188">
        <v>46119</v>
      </c>
      <c r="C5305" s="187"/>
      <c r="D5305" s="189"/>
      <c r="E5305" s="189"/>
      <c r="F5305" s="189"/>
      <c r="G5305" s="189"/>
      <c r="H5305" s="189"/>
      <c r="K5305" s="232" t="s">
        <v>258</v>
      </c>
      <c r="L5305" s="190" t="str">
        <f>_xlfn.XLOOKUP($B5306,シフト抽出!$19:$19,シフト抽出!$20:$20,"該当なし",0,1)</f>
        <v>該当なし</v>
      </c>
    </row>
    <row r="5306" spans="1:12" ht="19.5" thickBot="1">
      <c r="A5306"/>
      <c r="B5306" s="191">
        <f>B5253+1</f>
        <v>46229</v>
      </c>
      <c r="C5306" s="192"/>
      <c r="D5306" s="216"/>
      <c r="E5306" s="216"/>
      <c r="F5306" s="216"/>
      <c r="G5306" s="216"/>
      <c r="H5306" s="216"/>
      <c r="K5306" s="233"/>
      <c r="L5306" s="194" t="str">
        <f>_xlfn.XLOOKUP($B5306,シフト抽出!$19:$19,シフト抽出!$21:$21,"該当なし",0,1)</f>
        <v>該当なし</v>
      </c>
    </row>
    <row r="5307" spans="1:12">
      <c r="A5307" s="195"/>
      <c r="B5307" s="196">
        <v>0.25</v>
      </c>
      <c r="C5307"/>
      <c r="D5307" s="197"/>
      <c r="E5307" s="196"/>
      <c r="F5307" s="197"/>
      <c r="G5307" s="197"/>
      <c r="H5307" s="197"/>
      <c r="K5307" s="234" t="s">
        <v>259</v>
      </c>
      <c r="L5307" s="198" t="str">
        <f>_xlfn.XLOOKUP($B5306,シフト抽出!$19:$19,シフト抽出!$23:$23,"該当なし",0,1)</f>
        <v>該当なし</v>
      </c>
    </row>
    <row r="5308" spans="1:12" ht="15.75" thickBot="1">
      <c r="A5308" s="195"/>
      <c r="B5308" s="195" t="s">
        <v>205</v>
      </c>
      <c r="C5308"/>
      <c r="D5308" s="197"/>
      <c r="E5308" s="197"/>
      <c r="F5308" s="197"/>
      <c r="G5308" s="197"/>
      <c r="H5308" s="197"/>
      <c r="K5308" s="235"/>
      <c r="L5308" s="199" t="str">
        <f>_xlfn.XLOOKUP($B5306,シフト抽出!$19:$19,シフト抽出!$24:$24,"該当なし",0,1)</f>
        <v>該当なし</v>
      </c>
    </row>
    <row r="5309" spans="1:12">
      <c r="A5309" s="195"/>
      <c r="B5309" s="195" t="s">
        <v>206</v>
      </c>
      <c r="C5309"/>
      <c r="D5309" s="197"/>
      <c r="E5309" s="197"/>
      <c r="F5309" s="197"/>
      <c r="G5309" s="197"/>
      <c r="H5309" s="197"/>
      <c r="K5309" s="224" t="s">
        <v>260</v>
      </c>
      <c r="L5309" s="200" t="str">
        <f>_xlfn.XLOOKUP($B5306,シフト抽出!$19:$19,シフト抽出!$26:$26,"該当なし",0,1)</f>
        <v>該当なし</v>
      </c>
    </row>
    <row r="5310" spans="1:12">
      <c r="A5310" s="195"/>
      <c r="B5310" s="195" t="s">
        <v>207</v>
      </c>
      <c r="C5310"/>
      <c r="D5310" s="197"/>
      <c r="E5310" s="197"/>
      <c r="F5310" s="197"/>
      <c r="G5310" s="197"/>
      <c r="H5310" s="197"/>
      <c r="K5310" s="225"/>
      <c r="L5310" s="201" t="str">
        <f>_xlfn.XLOOKUP($B5306,シフト抽出!$19:$19,シフト抽出!$27:$27,"該当なし",0,1)</f>
        <v>該当なし</v>
      </c>
    </row>
    <row r="5311" spans="1:12">
      <c r="A5311" s="195"/>
      <c r="B5311" s="202" t="s">
        <v>208</v>
      </c>
      <c r="C5311"/>
      <c r="D5311" s="197"/>
      <c r="E5311" s="197"/>
      <c r="F5311" s="197"/>
      <c r="G5311" s="197"/>
      <c r="H5311" s="197"/>
      <c r="J5311" s="203"/>
      <c r="K5311" s="225"/>
      <c r="L5311" s="201" t="str">
        <f>_xlfn.XLOOKUP($B5306,シフト抽出!$19:$19,シフト抽出!$28:$28,"該当なし",0,1)</f>
        <v>該当なし</v>
      </c>
    </row>
    <row r="5312" spans="1:12" ht="15.75" thickBot="1">
      <c r="A5312" s="195"/>
      <c r="B5312" s="195" t="s">
        <v>205</v>
      </c>
      <c r="C5312"/>
      <c r="D5312" s="197"/>
      <c r="E5312" s="197"/>
      <c r="F5312" s="197"/>
      <c r="G5312" s="197"/>
      <c r="H5312" s="197"/>
      <c r="J5312" s="203"/>
      <c r="K5312" s="226"/>
      <c r="L5312" s="204" t="str">
        <f>_xlfn.XLOOKUP($B5306,シフト抽出!$19:$19,シフト抽出!$29:$29,"該当なし",0,1)</f>
        <v>該当なし</v>
      </c>
    </row>
    <row r="5313" spans="1:12" ht="15.75" thickBot="1">
      <c r="A5313" s="195"/>
      <c r="B5313" s="195" t="s">
        <v>206</v>
      </c>
      <c r="C5313"/>
      <c r="D5313" s="197"/>
      <c r="E5313" s="197"/>
      <c r="F5313" s="197"/>
      <c r="G5313" s="197"/>
      <c r="H5313" s="197"/>
      <c r="K5313" s="205" t="s">
        <v>261</v>
      </c>
      <c r="L5313" s="205">
        <f>_xlfn.XLOOKUP($B5306,予定表!B:B,予定表!R:R,"該当なし",0,1)</f>
        <v>0</v>
      </c>
    </row>
    <row r="5314" spans="1:12">
      <c r="A5314" s="195"/>
      <c r="B5314" s="195" t="s">
        <v>207</v>
      </c>
      <c r="C5314"/>
      <c r="D5314" s="197"/>
      <c r="E5314" s="197"/>
      <c r="F5314" s="197"/>
      <c r="G5314" s="197"/>
      <c r="H5314" s="197"/>
      <c r="K5314" s="227" t="s">
        <v>262</v>
      </c>
      <c r="L5314" s="206">
        <f>_xlfn.XLOOKUP($B5306,予定表!$B:$B,予定表!E:E,"該当なし",0,1)</f>
        <v>0</v>
      </c>
    </row>
    <row r="5315" spans="1:12">
      <c r="A5315" s="195"/>
      <c r="B5315" s="196" t="s">
        <v>209</v>
      </c>
      <c r="C5315"/>
      <c r="D5315" s="197"/>
      <c r="E5315" s="197"/>
      <c r="F5315" s="197"/>
      <c r="G5315" s="197"/>
      <c r="H5315" s="197"/>
      <c r="K5315" s="228"/>
      <c r="L5315" s="207">
        <f>_xlfn.XLOOKUP($B5306,予定表!$B:$B,予定表!F:F,"該当なし",0,1)</f>
        <v>0</v>
      </c>
    </row>
    <row r="5316" spans="1:12">
      <c r="A5316" s="195"/>
      <c r="B5316" s="195" t="s">
        <v>205</v>
      </c>
      <c r="C5316"/>
      <c r="D5316" s="197"/>
      <c r="E5316" s="197"/>
      <c r="F5316" s="197"/>
      <c r="G5316" s="197"/>
      <c r="H5316" s="197"/>
      <c r="K5316" s="228"/>
      <c r="L5316" s="207">
        <f>_xlfn.XLOOKUP($B5306,予定表!$B:$B,予定表!G:G,"該当なし",0,1)</f>
        <v>0</v>
      </c>
    </row>
    <row r="5317" spans="1:12">
      <c r="A5317" s="195"/>
      <c r="B5317" s="195" t="s">
        <v>206</v>
      </c>
      <c r="C5317"/>
      <c r="D5317" s="197"/>
      <c r="E5317" s="197"/>
      <c r="F5317" s="197"/>
      <c r="G5317" s="197"/>
      <c r="H5317" s="197"/>
      <c r="K5317" s="228"/>
      <c r="L5317" s="207" t="str">
        <f>_xlfn.XLOOKUP($B5306,予定表!$B:$B,予定表!H:H,"該当なし",0,1)</f>
        <v>'資さん 平塚</v>
      </c>
    </row>
    <row r="5318" spans="1:12">
      <c r="A5318" s="195"/>
      <c r="B5318" s="195" t="s">
        <v>207</v>
      </c>
      <c r="C5318"/>
      <c r="D5318" s="197"/>
      <c r="E5318" s="197"/>
      <c r="F5318" s="197"/>
      <c r="G5318" s="197"/>
      <c r="H5318" s="197"/>
      <c r="K5318" s="228"/>
      <c r="L5318" s="207">
        <f>_xlfn.XLOOKUP($B5306,予定表!$B:$B,予定表!I:I,"該当なし",0,1)</f>
        <v>0</v>
      </c>
    </row>
    <row r="5319" spans="1:12">
      <c r="A5319" s="195"/>
      <c r="B5319" s="196" t="s">
        <v>212</v>
      </c>
      <c r="C5319"/>
      <c r="D5319" s="197"/>
      <c r="E5319" s="197"/>
      <c r="F5319" s="197"/>
      <c r="G5319" s="197"/>
      <c r="H5319" s="197"/>
      <c r="K5319" s="228"/>
      <c r="L5319" s="207">
        <f>_xlfn.XLOOKUP($B5306,予定表!$B:$B,予定表!J:J,"該当なし",0,1)</f>
        <v>0</v>
      </c>
    </row>
    <row r="5320" spans="1:12">
      <c r="A5320" s="195"/>
      <c r="B5320" s="195" t="s">
        <v>205</v>
      </c>
      <c r="C5320"/>
      <c r="D5320" s="197"/>
      <c r="E5320" s="197"/>
      <c r="F5320" s="197"/>
      <c r="G5320" s="197"/>
      <c r="H5320" s="197"/>
      <c r="K5320" s="228"/>
      <c r="L5320" s="207">
        <f>_xlfn.XLOOKUP($B5306,予定表!$B:$B,予定表!K:K,"該当なし",0,1)</f>
        <v>0</v>
      </c>
    </row>
    <row r="5321" spans="1:12">
      <c r="A5321" s="195"/>
      <c r="B5321" s="195" t="s">
        <v>206</v>
      </c>
      <c r="C5321"/>
      <c r="D5321" s="197"/>
      <c r="E5321" s="197"/>
      <c r="F5321" s="197"/>
      <c r="G5321" s="197"/>
      <c r="H5321" s="197"/>
      <c r="K5321" s="228"/>
      <c r="L5321" s="207">
        <f>_xlfn.XLOOKUP($B5306,予定表!$B:$B,予定表!L:L,"該当なし",0,1)</f>
        <v>0</v>
      </c>
    </row>
    <row r="5322" spans="1:12" ht="15.75" thickBot="1">
      <c r="A5322" s="195"/>
      <c r="B5322" s="195" t="s">
        <v>207</v>
      </c>
      <c r="C5322"/>
      <c r="D5322" s="197"/>
      <c r="E5322" s="197"/>
      <c r="F5322" s="197"/>
      <c r="G5322" s="197"/>
      <c r="H5322" s="197"/>
      <c r="K5322" s="229"/>
      <c r="L5322" s="204" t="str">
        <f>_xlfn.XLOOKUP($A5303,ﾘｽﾄマスタ!$U$8:$U$17,ﾘｽﾄマスタ!$V$8:$V$17,"",0)</f>
        <v/>
      </c>
    </row>
    <row r="5323" spans="1:12" ht="15.75" thickBot="1">
      <c r="A5323" s="195"/>
      <c r="B5323" s="196" t="s">
        <v>251</v>
      </c>
      <c r="C5323"/>
      <c r="D5323" s="197"/>
      <c r="E5323" s="197"/>
      <c r="F5323" s="197"/>
      <c r="G5323" s="197"/>
      <c r="H5323" s="197"/>
      <c r="K5323" s="208" t="s">
        <v>277</v>
      </c>
      <c r="L5323" s="208" t="str">
        <f>_xlfn.XLOOKUP($B5306,シフト抽出!$19:$19,シフト抽出!$30:$30,"該当なし",0,1)</f>
        <v>該当なし</v>
      </c>
    </row>
    <row r="5324" spans="1:12">
      <c r="A5324" s="195"/>
      <c r="B5324" s="195" t="s">
        <v>205</v>
      </c>
      <c r="C5324"/>
      <c r="D5324" s="197"/>
      <c r="E5324" s="197"/>
      <c r="F5324" s="197"/>
      <c r="G5324" s="197"/>
      <c r="H5324" s="197"/>
    </row>
    <row r="5325" spans="1:12">
      <c r="A5325" s="195"/>
      <c r="B5325" s="195" t="s">
        <v>206</v>
      </c>
      <c r="C5325"/>
      <c r="D5325" s="197"/>
      <c r="E5325" s="197"/>
      <c r="F5325" s="197"/>
      <c r="G5325" s="197"/>
      <c r="H5325" s="197"/>
    </row>
    <row r="5326" spans="1:12">
      <c r="A5326" s="195"/>
      <c r="B5326" s="195" t="s">
        <v>207</v>
      </c>
      <c r="C5326"/>
      <c r="D5326" s="197"/>
      <c r="E5326" s="197"/>
      <c r="F5326" s="197"/>
      <c r="G5326" s="197"/>
      <c r="H5326" s="197"/>
    </row>
    <row r="5327" spans="1:12">
      <c r="A5327" s="195"/>
      <c r="B5327" s="196" t="s">
        <v>217</v>
      </c>
      <c r="C5327"/>
      <c r="D5327" s="197"/>
      <c r="E5327" s="197"/>
      <c r="F5327" s="197"/>
      <c r="G5327" s="197"/>
      <c r="H5327" s="197"/>
    </row>
    <row r="5328" spans="1:12">
      <c r="A5328" s="195"/>
      <c r="B5328" s="195" t="s">
        <v>205</v>
      </c>
      <c r="C5328"/>
      <c r="D5328" s="197"/>
      <c r="E5328" s="197"/>
      <c r="F5328" s="197"/>
      <c r="G5328" s="197"/>
      <c r="H5328" s="197"/>
    </row>
    <row r="5329" spans="1:8">
      <c r="A5329" s="195"/>
      <c r="B5329" s="195" t="s">
        <v>206</v>
      </c>
      <c r="C5329"/>
      <c r="D5329" s="197"/>
      <c r="E5329" s="197"/>
      <c r="F5329" s="197"/>
      <c r="G5329" s="197"/>
      <c r="H5329" s="197"/>
    </row>
    <row r="5330" spans="1:8">
      <c r="A5330" s="195"/>
      <c r="B5330" s="195" t="s">
        <v>207</v>
      </c>
      <c r="C5330"/>
      <c r="D5330" s="197"/>
      <c r="E5330" s="197"/>
      <c r="F5330" s="197"/>
      <c r="G5330" s="197"/>
      <c r="H5330" s="197"/>
    </row>
    <row r="5331" spans="1:8">
      <c r="A5331" s="195"/>
      <c r="B5331" s="196" t="s">
        <v>219</v>
      </c>
      <c r="C5331"/>
      <c r="D5331" s="197"/>
      <c r="E5331" s="197"/>
      <c r="F5331" s="197"/>
      <c r="G5331" s="197"/>
      <c r="H5331" s="197"/>
    </row>
    <row r="5332" spans="1:8">
      <c r="A5332" s="195"/>
      <c r="B5332" s="195" t="s">
        <v>205</v>
      </c>
      <c r="C5332"/>
      <c r="D5332" s="197"/>
      <c r="E5332" s="197"/>
      <c r="F5332" s="197"/>
      <c r="G5332" s="197"/>
      <c r="H5332" s="197"/>
    </row>
    <row r="5333" spans="1:8">
      <c r="A5333" s="195"/>
      <c r="B5333" s="195" t="s">
        <v>206</v>
      </c>
      <c r="C5333"/>
      <c r="D5333" s="197"/>
      <c r="E5333" s="197"/>
      <c r="F5333" s="197"/>
      <c r="G5333" s="197"/>
      <c r="H5333" s="197"/>
    </row>
    <row r="5334" spans="1:8">
      <c r="A5334" s="195"/>
      <c r="B5334" s="195" t="s">
        <v>207</v>
      </c>
      <c r="C5334"/>
      <c r="D5334" s="197"/>
      <c r="E5334" s="197"/>
      <c r="F5334" s="197"/>
      <c r="G5334" s="197"/>
      <c r="H5334" s="197"/>
    </row>
    <row r="5335" spans="1:8">
      <c r="A5335" s="195"/>
      <c r="B5335" s="196" t="s">
        <v>220</v>
      </c>
      <c r="C5335"/>
      <c r="D5335" s="197"/>
      <c r="E5335" s="197"/>
      <c r="F5335" s="197"/>
      <c r="G5335" s="189"/>
      <c r="H5335" s="197"/>
    </row>
    <row r="5336" spans="1:8">
      <c r="A5336" s="195"/>
      <c r="B5336" s="195" t="s">
        <v>205</v>
      </c>
      <c r="C5336"/>
      <c r="D5336" s="197"/>
      <c r="E5336" s="197"/>
      <c r="F5336" s="197"/>
      <c r="G5336" s="197"/>
      <c r="H5336" s="197"/>
    </row>
    <row r="5337" spans="1:8">
      <c r="A5337" s="195"/>
      <c r="B5337" s="195" t="s">
        <v>206</v>
      </c>
      <c r="C5337"/>
      <c r="D5337" s="197"/>
      <c r="E5337" s="197"/>
      <c r="F5337" s="197"/>
      <c r="G5337" s="197"/>
      <c r="H5337" s="197"/>
    </row>
    <row r="5338" spans="1:8">
      <c r="A5338" s="195"/>
      <c r="B5338" s="195" t="s">
        <v>207</v>
      </c>
      <c r="C5338"/>
      <c r="D5338" s="197"/>
      <c r="E5338" s="197"/>
      <c r="F5338" s="197"/>
      <c r="G5338" s="197"/>
      <c r="H5338" s="197"/>
    </row>
    <row r="5339" spans="1:8">
      <c r="A5339" s="195"/>
      <c r="B5339" s="196" t="s">
        <v>222</v>
      </c>
      <c r="C5339"/>
      <c r="D5339" s="197"/>
      <c r="E5339" s="197"/>
      <c r="F5339" s="197"/>
      <c r="G5339" s="197"/>
      <c r="H5339" s="197"/>
    </row>
    <row r="5340" spans="1:8">
      <c r="A5340" s="195"/>
      <c r="B5340" s="195" t="s">
        <v>205</v>
      </c>
      <c r="C5340"/>
      <c r="D5340" s="197"/>
      <c r="E5340" s="197"/>
      <c r="F5340" s="197"/>
      <c r="G5340" s="197"/>
      <c r="H5340" s="197"/>
    </row>
    <row r="5341" spans="1:8">
      <c r="A5341" s="195"/>
      <c r="B5341" s="195" t="s">
        <v>206</v>
      </c>
      <c r="C5341"/>
      <c r="D5341" s="197"/>
      <c r="E5341" s="197"/>
      <c r="F5341" s="197"/>
      <c r="G5341" s="197"/>
      <c r="H5341" s="197"/>
    </row>
    <row r="5342" spans="1:8">
      <c r="A5342" s="195"/>
      <c r="B5342" s="195" t="s">
        <v>207</v>
      </c>
      <c r="C5342"/>
      <c r="D5342" s="197"/>
      <c r="E5342" s="197"/>
      <c r="F5342" s="197"/>
      <c r="G5342" s="197"/>
      <c r="H5342" s="197"/>
    </row>
    <row r="5343" spans="1:8">
      <c r="A5343" s="195"/>
      <c r="B5343" s="196" t="s">
        <v>223</v>
      </c>
      <c r="C5343"/>
      <c r="D5343" s="197"/>
      <c r="E5343" s="197"/>
      <c r="F5343" s="197"/>
      <c r="G5343" s="197"/>
      <c r="H5343" s="197"/>
    </row>
    <row r="5344" spans="1:8">
      <c r="A5344" s="195"/>
      <c r="B5344" s="195" t="s">
        <v>205</v>
      </c>
      <c r="C5344"/>
      <c r="D5344" s="197"/>
      <c r="E5344" s="197"/>
      <c r="F5344" s="197"/>
      <c r="G5344" s="197"/>
      <c r="H5344" s="197"/>
    </row>
    <row r="5345" spans="1:12">
      <c r="A5345" s="195"/>
      <c r="B5345" s="195" t="s">
        <v>206</v>
      </c>
      <c r="C5345"/>
      <c r="D5345" s="197"/>
      <c r="E5345" s="197"/>
      <c r="F5345" s="197"/>
      <c r="G5345" s="197"/>
      <c r="H5345" s="197"/>
    </row>
    <row r="5346" spans="1:12">
      <c r="A5346" s="195"/>
      <c r="B5346" s="195" t="s">
        <v>207</v>
      </c>
      <c r="C5346"/>
      <c r="D5346" s="197"/>
      <c r="E5346" s="197"/>
      <c r="F5346" s="197"/>
      <c r="G5346" s="197"/>
      <c r="H5346" s="197"/>
    </row>
    <row r="5347" spans="1:12">
      <c r="A5347" s="195"/>
      <c r="B5347" s="196" t="s">
        <v>225</v>
      </c>
      <c r="C5347"/>
      <c r="D5347" s="197"/>
      <c r="E5347" s="197"/>
      <c r="F5347" s="197"/>
      <c r="G5347" s="197"/>
      <c r="H5347" s="197"/>
    </row>
    <row r="5348" spans="1:12">
      <c r="A5348" s="195"/>
      <c r="B5348" s="195" t="s">
        <v>205</v>
      </c>
      <c r="C5348"/>
      <c r="D5348" s="197"/>
      <c r="E5348" s="197"/>
      <c r="F5348" s="197"/>
      <c r="G5348" s="197"/>
      <c r="H5348" s="209"/>
    </row>
    <row r="5349" spans="1:12">
      <c r="A5349" s="195"/>
      <c r="B5349" s="195" t="s">
        <v>206</v>
      </c>
      <c r="C5349"/>
      <c r="D5349" s="197"/>
      <c r="E5349" s="197"/>
      <c r="F5349" s="197"/>
      <c r="G5349" s="197"/>
      <c r="H5349" s="209"/>
    </row>
    <row r="5350" spans="1:12">
      <c r="A5350" s="195"/>
      <c r="B5350" s="195" t="s">
        <v>207</v>
      </c>
      <c r="C5350"/>
      <c r="D5350" s="197"/>
      <c r="E5350" s="197"/>
      <c r="F5350" s="197"/>
      <c r="G5350" s="197"/>
      <c r="H5350" s="209"/>
    </row>
    <row r="5351" spans="1:12">
      <c r="A5351" s="195"/>
      <c r="B5351" s="196" t="s">
        <v>226</v>
      </c>
      <c r="C5351"/>
      <c r="D5351" s="197"/>
      <c r="E5351" s="197"/>
      <c r="F5351" s="197"/>
      <c r="G5351" s="197"/>
      <c r="H5351" s="209"/>
    </row>
    <row r="5352" spans="1:12">
      <c r="A5352" s="195"/>
      <c r="B5352" s="195" t="s">
        <v>205</v>
      </c>
      <c r="C5352"/>
      <c r="D5352" s="197"/>
      <c r="E5352" s="197"/>
      <c r="F5352" s="197"/>
      <c r="G5352" s="197"/>
      <c r="H5352" s="209"/>
    </row>
    <row r="5353" spans="1:12">
      <c r="A5353" s="195"/>
      <c r="B5353" s="195" t="s">
        <v>206</v>
      </c>
      <c r="C5353"/>
      <c r="D5353" s="197"/>
      <c r="E5353" s="197"/>
      <c r="F5353" s="197"/>
      <c r="G5353" s="197"/>
      <c r="H5353" s="209"/>
    </row>
    <row r="5354" spans="1:12">
      <c r="A5354" s="195"/>
      <c r="B5354" s="195" t="s">
        <v>207</v>
      </c>
      <c r="C5354"/>
      <c r="D5354" s="197"/>
      <c r="E5354" s="197"/>
      <c r="F5354" s="197"/>
      <c r="G5354" s="197"/>
      <c r="H5354" s="209"/>
    </row>
    <row r="5355" spans="1:12">
      <c r="A5355" s="195"/>
      <c r="B5355" s="196" t="s">
        <v>227</v>
      </c>
      <c r="C5355"/>
      <c r="D5355" s="197"/>
      <c r="E5355" s="197"/>
      <c r="F5355" s="197"/>
      <c r="G5355" s="197"/>
      <c r="H5355" s="209"/>
      <c r="K5355"/>
    </row>
    <row r="5356" spans="1:12" ht="29.25" thickBot="1">
      <c r="A5356" s="213" t="str">
        <f>"回収シフト  第"&amp;ROUNDUP(DAY(B5359)/7,0)  &amp;"  "&amp;TEXT(B5359,"aaaa")</f>
        <v>回収シフト  第4  月曜日</v>
      </c>
      <c r="B5356" s="214"/>
      <c r="C5356" s="214"/>
      <c r="D5356" s="214"/>
      <c r="E5356" s="214"/>
      <c r="F5356" s="214"/>
      <c r="G5356" s="215"/>
      <c r="H5356" s="215"/>
      <c r="I5356" s="215"/>
      <c r="K5356" s="214"/>
      <c r="L5356" s="214"/>
    </row>
    <row r="5357" spans="1:12" ht="15.75" thickBot="1">
      <c r="A5357"/>
      <c r="B5357"/>
      <c r="C5357"/>
      <c r="D5357" s="186" t="s">
        <v>201</v>
      </c>
      <c r="E5357" s="186" t="s">
        <v>202</v>
      </c>
      <c r="F5357" s="186" t="s">
        <v>203</v>
      </c>
      <c r="G5357" s="186" t="s">
        <v>204</v>
      </c>
      <c r="H5357" s="186" t="s">
        <v>267</v>
      </c>
      <c r="I5357" s="222" t="s">
        <v>267</v>
      </c>
      <c r="K5357" s="230" t="s">
        <v>257</v>
      </c>
      <c r="L5357" s="231"/>
    </row>
    <row r="5358" spans="1:12">
      <c r="A5358" s="187"/>
      <c r="B5358" s="188">
        <v>45495</v>
      </c>
      <c r="C5358" s="187"/>
      <c r="D5358" s="189" t="s">
        <v>864</v>
      </c>
      <c r="E5358" s="189" t="s">
        <v>849</v>
      </c>
      <c r="F5358" s="189" t="s">
        <v>1001</v>
      </c>
      <c r="G5358" s="189" t="s">
        <v>863</v>
      </c>
      <c r="H5358" s="189" t="s">
        <v>852</v>
      </c>
      <c r="I5358" s="223"/>
      <c r="K5358" s="232" t="s">
        <v>258</v>
      </c>
      <c r="L5358" s="190" t="str">
        <f>_xlfn.XLOOKUP($B5359,シフト抽出!$19:$19,シフト抽出!$20:$20,"該当なし",0,1)</f>
        <v>該当なし</v>
      </c>
    </row>
    <row r="5359" spans="1:12" ht="19.5" thickBot="1">
      <c r="A5359"/>
      <c r="B5359" s="191">
        <f>B5306+1</f>
        <v>46230</v>
      </c>
      <c r="C5359" s="192" t="e">
        <v>#REF!</v>
      </c>
      <c r="D5359" s="216"/>
      <c r="E5359" s="216"/>
      <c r="F5359" s="216"/>
      <c r="G5359" s="216"/>
      <c r="H5359" s="216"/>
      <c r="I5359" s="220"/>
      <c r="K5359" s="233"/>
      <c r="L5359" s="194" t="str">
        <f>_xlfn.XLOOKUP($B5359,シフト抽出!$19:$19,シフト抽出!$21:$21,"該当なし",0,1)</f>
        <v>該当なし</v>
      </c>
    </row>
    <row r="5360" spans="1:12">
      <c r="A5360" s="195"/>
      <c r="B5360" s="196">
        <v>0.25</v>
      </c>
      <c r="C5360"/>
      <c r="D5360" s="197"/>
      <c r="E5360" s="196"/>
      <c r="F5360" s="197"/>
      <c r="G5360" s="197"/>
      <c r="H5360" s="197"/>
      <c r="I5360" s="209"/>
      <c r="K5360" s="234" t="s">
        <v>259</v>
      </c>
      <c r="L5360" s="198" t="str">
        <f>_xlfn.XLOOKUP($B5359,シフト抽出!$19:$19,シフト抽出!$23:$23,"該当なし",0,1)</f>
        <v>該当なし</v>
      </c>
    </row>
    <row r="5361" spans="1:12" ht="15.75" thickBot="1">
      <c r="A5361" s="195"/>
      <c r="B5361" s="195" t="s">
        <v>205</v>
      </c>
      <c r="C5361"/>
      <c r="D5361" s="197"/>
      <c r="E5361" s="197"/>
      <c r="F5361" s="197"/>
      <c r="G5361" s="197"/>
      <c r="H5361" s="197"/>
      <c r="I5361" s="209"/>
      <c r="K5361" s="235"/>
      <c r="L5361" s="199" t="str">
        <f>_xlfn.XLOOKUP($B5359,シフト抽出!$19:$19,シフト抽出!$24:$24,"該当なし",0,1)</f>
        <v>該当なし</v>
      </c>
    </row>
    <row r="5362" spans="1:12">
      <c r="A5362" s="195"/>
      <c r="B5362" s="195" t="s">
        <v>206</v>
      </c>
      <c r="C5362"/>
      <c r="D5362" s="197"/>
      <c r="E5362" s="197"/>
      <c r="F5362" s="197"/>
      <c r="G5362" s="197"/>
      <c r="H5362" s="197"/>
      <c r="I5362" s="209"/>
      <c r="K5362" s="224" t="s">
        <v>260</v>
      </c>
      <c r="L5362" s="200" t="str">
        <f>_xlfn.XLOOKUP($B5359,シフト抽出!$19:$19,シフト抽出!$26:$26,"該当なし",0,1)</f>
        <v>該当なし</v>
      </c>
    </row>
    <row r="5363" spans="1:12">
      <c r="A5363" s="195"/>
      <c r="B5363" s="195" t="s">
        <v>207</v>
      </c>
      <c r="C5363"/>
      <c r="D5363" s="197"/>
      <c r="E5363" s="197"/>
      <c r="F5363" s="197" t="s">
        <v>107</v>
      </c>
      <c r="G5363" s="197"/>
      <c r="H5363" s="197"/>
      <c r="I5363" s="209"/>
      <c r="K5363" s="225"/>
      <c r="L5363" s="201" t="str">
        <f>_xlfn.XLOOKUP($B5359,シフト抽出!$19:$19,シフト抽出!$27:$27,"該当なし",0,1)</f>
        <v>該当なし</v>
      </c>
    </row>
    <row r="5364" spans="1:12">
      <c r="A5364" s="195"/>
      <c r="B5364" s="202" t="s">
        <v>208</v>
      </c>
      <c r="C5364"/>
      <c r="D5364" s="197"/>
      <c r="E5364" s="197"/>
      <c r="F5364" s="197"/>
      <c r="G5364" s="197"/>
      <c r="H5364" s="197"/>
      <c r="I5364" s="209"/>
      <c r="J5364" s="203"/>
      <c r="K5364" s="225"/>
      <c r="L5364" s="201" t="str">
        <f>_xlfn.XLOOKUP($B5359,シフト抽出!$19:$19,シフト抽出!$28:$28,"該当なし",0,1)</f>
        <v>該当なし</v>
      </c>
    </row>
    <row r="5365" spans="1:12" ht="15.75" thickBot="1">
      <c r="A5365" s="195"/>
      <c r="B5365" s="195" t="s">
        <v>205</v>
      </c>
      <c r="C5365"/>
      <c r="D5365" s="197"/>
      <c r="E5365" s="197"/>
      <c r="F5365" s="197"/>
      <c r="G5365" s="197"/>
      <c r="H5365" s="197"/>
      <c r="I5365" s="209"/>
      <c r="J5365" s="203"/>
      <c r="K5365" s="226"/>
      <c r="L5365" s="204" t="str">
        <f>_xlfn.XLOOKUP($B5359,シフト抽出!$19:$19,シフト抽出!$29:$29,"該当なし",0,1)</f>
        <v>該当なし</v>
      </c>
    </row>
    <row r="5366" spans="1:12" ht="15.75" thickBot="1">
      <c r="A5366" s="195"/>
      <c r="B5366" s="195" t="s">
        <v>206</v>
      </c>
      <c r="C5366"/>
      <c r="D5366" s="197"/>
      <c r="E5366" s="197"/>
      <c r="F5366" s="197"/>
      <c r="G5366" s="197"/>
      <c r="H5366" s="197"/>
      <c r="I5366" s="209"/>
      <c r="K5366" s="205" t="s">
        <v>261</v>
      </c>
      <c r="L5366" s="205">
        <f>_xlfn.XLOOKUP($B5359,予定表!B:B,予定表!R:R,"該当なし",0,1)</f>
        <v>0</v>
      </c>
    </row>
    <row r="5367" spans="1:12">
      <c r="A5367" s="195"/>
      <c r="B5367" s="195" t="s">
        <v>207</v>
      </c>
      <c r="C5367"/>
      <c r="D5367" s="197"/>
      <c r="E5367" s="197"/>
      <c r="F5367" s="197"/>
      <c r="G5367" s="197"/>
      <c r="H5367" s="197"/>
      <c r="I5367" s="209"/>
      <c r="K5367" s="227" t="s">
        <v>262</v>
      </c>
      <c r="L5367" s="206">
        <f>_xlfn.XLOOKUP($B5359,予定表!$B:$B,予定表!E:E,"該当なし",0,1)</f>
        <v>0</v>
      </c>
    </row>
    <row r="5368" spans="1:12">
      <c r="A5368" s="195"/>
      <c r="B5368" s="196" t="s">
        <v>209</v>
      </c>
      <c r="C5368"/>
      <c r="D5368" s="197" t="s">
        <v>264</v>
      </c>
      <c r="E5368" s="197" t="s">
        <v>414</v>
      </c>
      <c r="F5368" s="197" t="s">
        <v>851</v>
      </c>
      <c r="G5368" s="197" t="s">
        <v>268</v>
      </c>
      <c r="H5368" s="197" t="s">
        <v>793</v>
      </c>
      <c r="I5368" s="209"/>
      <c r="K5368" s="228"/>
      <c r="L5368" s="207">
        <f>_xlfn.XLOOKUP($B5359,予定表!$B:$B,予定表!F:F,"該当なし",0,1)</f>
        <v>0</v>
      </c>
    </row>
    <row r="5369" spans="1:12">
      <c r="A5369" s="195"/>
      <c r="B5369" s="195" t="s">
        <v>205</v>
      </c>
      <c r="C5369"/>
      <c r="D5369" s="197" t="s">
        <v>793</v>
      </c>
      <c r="E5369" s="197" t="s">
        <v>414</v>
      </c>
      <c r="F5369" s="197" t="s">
        <v>851</v>
      </c>
      <c r="G5369" s="197" t="s">
        <v>268</v>
      </c>
      <c r="H5369" s="197" t="s">
        <v>973</v>
      </c>
      <c r="I5369" s="209"/>
      <c r="K5369" s="228"/>
      <c r="L5369" s="207" t="str">
        <f>_xlfn.XLOOKUP($B5359,予定表!$B:$B,予定表!G:G,"該当なし",0,1)</f>
        <v>ディーミング</v>
      </c>
    </row>
    <row r="5370" spans="1:12">
      <c r="A5370" s="195"/>
      <c r="B5370" s="195" t="s">
        <v>206</v>
      </c>
      <c r="C5370"/>
      <c r="D5370" s="197" t="s">
        <v>119</v>
      </c>
      <c r="E5370" s="197" t="s">
        <v>414</v>
      </c>
      <c r="F5370" s="197" t="s">
        <v>851</v>
      </c>
      <c r="G5370" s="197" t="s">
        <v>268</v>
      </c>
      <c r="H5370" s="197" t="s">
        <v>848</v>
      </c>
      <c r="I5370" s="209"/>
      <c r="K5370" s="228"/>
      <c r="L5370" s="207" t="str">
        <f>_xlfn.XLOOKUP($B5359,予定表!$B:$B,予定表!H:H,"該当なし",0,1)</f>
        <v>'資さん 平塚</v>
      </c>
    </row>
    <row r="5371" spans="1:12">
      <c r="A5371" s="195"/>
      <c r="B5371" s="195" t="s">
        <v>207</v>
      </c>
      <c r="C5371"/>
      <c r="D5371" s="197" t="s">
        <v>278</v>
      </c>
      <c r="E5371" s="197" t="s">
        <v>414</v>
      </c>
      <c r="F5371" s="197" t="s">
        <v>851</v>
      </c>
      <c r="G5371" s="197" t="s">
        <v>268</v>
      </c>
      <c r="H5371" s="197" t="s">
        <v>848</v>
      </c>
      <c r="I5371" s="209"/>
      <c r="K5371" s="228"/>
      <c r="L5371" s="207">
        <f>_xlfn.XLOOKUP($B5359,予定表!$B:$B,予定表!I:I,"該当なし",0,1)</f>
        <v>0</v>
      </c>
    </row>
    <row r="5372" spans="1:12">
      <c r="A5372" s="195"/>
      <c r="B5372" s="196" t="s">
        <v>212</v>
      </c>
      <c r="C5372"/>
      <c r="D5372" s="197" t="s">
        <v>213</v>
      </c>
      <c r="E5372" s="197" t="s">
        <v>862</v>
      </c>
      <c r="F5372" s="197" t="s">
        <v>851</v>
      </c>
      <c r="G5372" s="197" t="s">
        <v>268</v>
      </c>
      <c r="H5372" s="197" t="s">
        <v>848</v>
      </c>
      <c r="I5372" s="209"/>
      <c r="K5372" s="228"/>
      <c r="L5372" s="207">
        <f>_xlfn.XLOOKUP($B5359,予定表!$B:$B,予定表!J:J,"該当なし",0,1)</f>
        <v>0</v>
      </c>
    </row>
    <row r="5373" spans="1:12">
      <c r="A5373" s="195"/>
      <c r="B5373" s="195" t="s">
        <v>205</v>
      </c>
      <c r="C5373"/>
      <c r="D5373" s="197" t="s">
        <v>144</v>
      </c>
      <c r="E5373" s="197" t="s">
        <v>214</v>
      </c>
      <c r="F5373" s="197" t="s">
        <v>851</v>
      </c>
      <c r="G5373" s="197" t="s">
        <v>268</v>
      </c>
      <c r="H5373" s="197" t="s">
        <v>848</v>
      </c>
      <c r="I5373" s="209"/>
      <c r="K5373" s="228"/>
      <c r="L5373" s="207">
        <f>_xlfn.XLOOKUP($B5359,予定表!$B:$B,予定表!K:K,"該当なし",0,1)</f>
        <v>0</v>
      </c>
    </row>
    <row r="5374" spans="1:12">
      <c r="A5374" s="195"/>
      <c r="B5374" s="195" t="s">
        <v>206</v>
      </c>
      <c r="C5374"/>
      <c r="D5374" s="197" t="s">
        <v>144</v>
      </c>
      <c r="E5374" s="197" t="s">
        <v>214</v>
      </c>
      <c r="F5374" s="197" t="s">
        <v>851</v>
      </c>
      <c r="G5374" s="197" t="s">
        <v>515</v>
      </c>
      <c r="H5374" s="197" t="s">
        <v>848</v>
      </c>
      <c r="I5374" s="209"/>
      <c r="K5374" s="228"/>
      <c r="L5374" s="207">
        <f>_xlfn.XLOOKUP($B5359,予定表!$B:$B,予定表!L:L,"該当なし",0,1)</f>
        <v>0</v>
      </c>
    </row>
    <row r="5375" spans="1:12" ht="15.75" thickBot="1">
      <c r="A5375" s="195"/>
      <c r="B5375" s="195" t="s">
        <v>207</v>
      </c>
      <c r="C5375"/>
      <c r="D5375" s="197" t="s">
        <v>218</v>
      </c>
      <c r="E5375" s="197" t="s">
        <v>214</v>
      </c>
      <c r="F5375" s="197" t="s">
        <v>851</v>
      </c>
      <c r="G5375" s="197" t="s">
        <v>515</v>
      </c>
      <c r="H5375" s="197" t="s">
        <v>848</v>
      </c>
      <c r="I5375" s="209"/>
      <c r="K5375" s="229"/>
      <c r="L5375" s="204" t="str">
        <f>_xlfn.XLOOKUP($A5356,ﾘｽﾄマスタ!$U$8:$U$17,ﾘｽﾄマスタ!$V$8:$V$17,"",0)</f>
        <v/>
      </c>
    </row>
    <row r="5376" spans="1:12" ht="15.75" thickBot="1">
      <c r="A5376" s="195"/>
      <c r="B5376" s="196" t="s">
        <v>251</v>
      </c>
      <c r="C5376"/>
      <c r="D5376" s="197" t="s">
        <v>78</v>
      </c>
      <c r="E5376" s="197" t="s">
        <v>214</v>
      </c>
      <c r="F5376" s="197" t="s">
        <v>851</v>
      </c>
      <c r="G5376" s="197" t="s">
        <v>269</v>
      </c>
      <c r="H5376" s="197" t="s">
        <v>848</v>
      </c>
      <c r="I5376" s="209"/>
      <c r="K5376" s="208" t="s">
        <v>277</v>
      </c>
      <c r="L5376" s="208" t="str">
        <f>_xlfn.XLOOKUP($B5359,シフト抽出!$19:$19,シフト抽出!$30:$30,"該当なし",0,1)</f>
        <v>該当なし</v>
      </c>
    </row>
    <row r="5377" spans="1:9">
      <c r="A5377" s="195"/>
      <c r="B5377" s="195" t="s">
        <v>205</v>
      </c>
      <c r="C5377"/>
      <c r="D5377" s="197" t="s">
        <v>78</v>
      </c>
      <c r="E5377" s="197" t="s">
        <v>761</v>
      </c>
      <c r="F5377" s="197"/>
      <c r="G5377" s="197" t="s">
        <v>269</v>
      </c>
      <c r="H5377" s="197" t="s">
        <v>229</v>
      </c>
      <c r="I5377" s="209"/>
    </row>
    <row r="5378" spans="1:9">
      <c r="A5378" s="195"/>
      <c r="B5378" s="195" t="s">
        <v>206</v>
      </c>
      <c r="C5378"/>
      <c r="D5378" s="197" t="s">
        <v>146</v>
      </c>
      <c r="E5378" s="197" t="s">
        <v>761</v>
      </c>
      <c r="F5378" s="197"/>
      <c r="G5378" s="197" t="s">
        <v>269</v>
      </c>
      <c r="H5378" s="197" t="s">
        <v>229</v>
      </c>
      <c r="I5378" s="209"/>
    </row>
    <row r="5379" spans="1:9">
      <c r="A5379" s="195"/>
      <c r="B5379" s="195" t="s">
        <v>207</v>
      </c>
      <c r="C5379"/>
      <c r="D5379" s="197" t="s">
        <v>146</v>
      </c>
      <c r="E5379" s="197" t="s">
        <v>761</v>
      </c>
      <c r="F5379" s="197"/>
      <c r="G5379" s="197" t="s">
        <v>269</v>
      </c>
      <c r="H5379" s="197" t="s">
        <v>229</v>
      </c>
      <c r="I5379" s="209"/>
    </row>
    <row r="5380" spans="1:9">
      <c r="A5380" s="195"/>
      <c r="B5380" s="196" t="s">
        <v>217</v>
      </c>
      <c r="C5380"/>
      <c r="D5380" s="197" t="s">
        <v>264</v>
      </c>
      <c r="E5380" s="197" t="s">
        <v>761</v>
      </c>
      <c r="F5380" s="197" t="s">
        <v>51</v>
      </c>
      <c r="G5380" s="197" t="s">
        <v>446</v>
      </c>
      <c r="H5380" s="197" t="s">
        <v>230</v>
      </c>
      <c r="I5380" s="209"/>
    </row>
    <row r="5381" spans="1:9">
      <c r="A5381" s="195"/>
      <c r="B5381" s="195" t="s">
        <v>205</v>
      </c>
      <c r="C5381"/>
      <c r="D5381" s="197"/>
      <c r="E5381" s="197"/>
      <c r="F5381" s="197" t="s">
        <v>51</v>
      </c>
      <c r="G5381" s="197" t="s">
        <v>446</v>
      </c>
      <c r="H5381" s="197" t="s">
        <v>230</v>
      </c>
      <c r="I5381" s="209"/>
    </row>
    <row r="5382" spans="1:9">
      <c r="A5382" s="195"/>
      <c r="B5382" s="195" t="s">
        <v>206</v>
      </c>
      <c r="C5382"/>
      <c r="D5382" s="197"/>
      <c r="E5382" s="197"/>
      <c r="F5382" s="197" t="s">
        <v>51</v>
      </c>
      <c r="G5382" s="197" t="s">
        <v>114</v>
      </c>
      <c r="H5382" s="197" t="s">
        <v>230</v>
      </c>
      <c r="I5382" s="209"/>
    </row>
    <row r="5383" spans="1:9">
      <c r="A5383" s="195"/>
      <c r="B5383" s="195" t="s">
        <v>207</v>
      </c>
      <c r="C5383"/>
      <c r="D5383" s="197"/>
      <c r="E5383" s="197"/>
      <c r="F5383" s="197" t="s">
        <v>51</v>
      </c>
      <c r="G5383" s="197" t="s">
        <v>114</v>
      </c>
      <c r="H5383" s="197" t="s">
        <v>230</v>
      </c>
      <c r="I5383" s="209"/>
    </row>
    <row r="5384" spans="1:9">
      <c r="A5384" s="195"/>
      <c r="B5384" s="196" t="s">
        <v>219</v>
      </c>
      <c r="C5384"/>
      <c r="D5384" s="197"/>
      <c r="E5384" s="197"/>
      <c r="F5384" s="197"/>
      <c r="G5384" s="197"/>
      <c r="H5384" s="197"/>
      <c r="I5384" s="209"/>
    </row>
    <row r="5385" spans="1:9">
      <c r="A5385" s="195"/>
      <c r="B5385" s="195" t="s">
        <v>205</v>
      </c>
      <c r="C5385"/>
      <c r="D5385" s="197"/>
      <c r="E5385" s="197"/>
      <c r="F5385" s="197"/>
      <c r="G5385" s="197"/>
      <c r="H5385" s="197"/>
      <c r="I5385" s="209"/>
    </row>
    <row r="5386" spans="1:9">
      <c r="A5386" s="195"/>
      <c r="B5386" s="195" t="s">
        <v>206</v>
      </c>
      <c r="C5386"/>
      <c r="D5386" s="197"/>
      <c r="E5386" s="197"/>
      <c r="F5386" s="197"/>
      <c r="G5386" s="197"/>
      <c r="H5386" s="197"/>
      <c r="I5386" s="209"/>
    </row>
    <row r="5387" spans="1:9">
      <c r="A5387" s="195"/>
      <c r="B5387" s="195" t="s">
        <v>207</v>
      </c>
      <c r="C5387"/>
      <c r="D5387" s="197"/>
      <c r="E5387" s="197"/>
      <c r="F5387" s="197"/>
      <c r="G5387" s="197"/>
      <c r="H5387" s="197"/>
      <c r="I5387" s="209"/>
    </row>
    <row r="5388" spans="1:9">
      <c r="A5388" s="195"/>
      <c r="B5388" s="196" t="s">
        <v>220</v>
      </c>
      <c r="C5388"/>
      <c r="D5388" s="189" t="s">
        <v>923</v>
      </c>
      <c r="E5388" s="189"/>
      <c r="F5388" s="189"/>
      <c r="G5388" s="189" t="s">
        <v>890</v>
      </c>
      <c r="H5388" s="189"/>
      <c r="I5388" s="209"/>
    </row>
    <row r="5389" spans="1:9">
      <c r="A5389" s="195"/>
      <c r="B5389" s="195" t="s">
        <v>205</v>
      </c>
      <c r="C5389"/>
      <c r="D5389" s="197" t="s">
        <v>759</v>
      </c>
      <c r="E5389" s="197" t="s">
        <v>848</v>
      </c>
      <c r="F5389" s="197" t="s">
        <v>224</v>
      </c>
      <c r="G5389" s="197" t="s">
        <v>56</v>
      </c>
      <c r="H5389" s="197" t="s">
        <v>415</v>
      </c>
      <c r="I5389" s="209"/>
    </row>
    <row r="5390" spans="1:9">
      <c r="A5390" s="195"/>
      <c r="B5390" s="195" t="s">
        <v>206</v>
      </c>
      <c r="C5390"/>
      <c r="D5390" s="197" t="s">
        <v>759</v>
      </c>
      <c r="E5390" s="197" t="s">
        <v>848</v>
      </c>
      <c r="F5390" s="197" t="s">
        <v>224</v>
      </c>
      <c r="G5390" s="197" t="s">
        <v>56</v>
      </c>
      <c r="H5390" s="197" t="s">
        <v>415</v>
      </c>
      <c r="I5390" s="209"/>
    </row>
    <row r="5391" spans="1:9">
      <c r="A5391" s="195"/>
      <c r="B5391" s="195" t="s">
        <v>207</v>
      </c>
      <c r="C5391"/>
      <c r="D5391" s="197" t="s">
        <v>759</v>
      </c>
      <c r="E5391" s="197" t="s">
        <v>848</v>
      </c>
      <c r="F5391" s="197" t="s">
        <v>224</v>
      </c>
      <c r="G5391" s="197" t="s">
        <v>56</v>
      </c>
      <c r="H5391" s="197" t="s">
        <v>415</v>
      </c>
      <c r="I5391" s="209"/>
    </row>
    <row r="5392" spans="1:9">
      <c r="A5392" s="195"/>
      <c r="B5392" s="196" t="s">
        <v>222</v>
      </c>
      <c r="C5392"/>
      <c r="D5392" s="197" t="s">
        <v>759</v>
      </c>
      <c r="E5392" s="197" t="s">
        <v>273</v>
      </c>
      <c r="F5392" s="197" t="s">
        <v>865</v>
      </c>
      <c r="G5392" s="197"/>
      <c r="H5392" s="197" t="s">
        <v>415</v>
      </c>
      <c r="I5392" s="209"/>
    </row>
    <row r="5393" spans="1:11">
      <c r="A5393" s="195"/>
      <c r="B5393" s="195" t="s">
        <v>205</v>
      </c>
      <c r="C5393"/>
      <c r="D5393" s="197" t="s">
        <v>759</v>
      </c>
      <c r="E5393" s="197" t="s">
        <v>273</v>
      </c>
      <c r="F5393" s="197" t="s">
        <v>866</v>
      </c>
      <c r="G5393" s="197" t="s">
        <v>270</v>
      </c>
      <c r="H5393" s="197" t="s">
        <v>415</v>
      </c>
      <c r="I5393" s="209"/>
    </row>
    <row r="5394" spans="1:11">
      <c r="A5394" s="195"/>
      <c r="B5394" s="195" t="s">
        <v>206</v>
      </c>
      <c r="C5394"/>
      <c r="D5394" s="197" t="s">
        <v>216</v>
      </c>
      <c r="E5394" s="197" t="s">
        <v>273</v>
      </c>
      <c r="F5394" s="189"/>
      <c r="G5394" s="197" t="s">
        <v>270</v>
      </c>
      <c r="H5394" s="197" t="s">
        <v>415</v>
      </c>
      <c r="I5394" s="209"/>
    </row>
    <row r="5395" spans="1:11">
      <c r="A5395" s="195"/>
      <c r="B5395" s="195" t="s">
        <v>207</v>
      </c>
      <c r="C5395"/>
      <c r="D5395" s="197" t="s">
        <v>216</v>
      </c>
      <c r="E5395" s="197" t="s">
        <v>252</v>
      </c>
      <c r="F5395" s="197" t="s">
        <v>416</v>
      </c>
      <c r="G5395" s="197" t="s">
        <v>270</v>
      </c>
      <c r="H5395" s="197" t="s">
        <v>415</v>
      </c>
      <c r="I5395" s="209"/>
    </row>
    <row r="5396" spans="1:11">
      <c r="A5396" s="195"/>
      <c r="B5396" s="196" t="s">
        <v>223</v>
      </c>
      <c r="C5396"/>
      <c r="D5396" s="197" t="s">
        <v>216</v>
      </c>
      <c r="E5396" s="197" t="s">
        <v>252</v>
      </c>
      <c r="F5396" s="197" t="s">
        <v>771</v>
      </c>
      <c r="G5396" s="197" t="s">
        <v>270</v>
      </c>
      <c r="H5396" s="197" t="s">
        <v>415</v>
      </c>
      <c r="I5396" s="209"/>
    </row>
    <row r="5397" spans="1:11">
      <c r="A5397" s="195"/>
      <c r="B5397" s="195" t="s">
        <v>205</v>
      </c>
      <c r="C5397"/>
      <c r="D5397" s="197" t="s">
        <v>216</v>
      </c>
      <c r="E5397" s="197" t="s">
        <v>252</v>
      </c>
      <c r="F5397" s="197" t="s">
        <v>416</v>
      </c>
      <c r="G5397" s="197" t="s">
        <v>270</v>
      </c>
      <c r="H5397" s="197" t="s">
        <v>415</v>
      </c>
      <c r="I5397" s="209"/>
    </row>
    <row r="5398" spans="1:11">
      <c r="A5398" s="195"/>
      <c r="B5398" s="195" t="s">
        <v>206</v>
      </c>
      <c r="C5398"/>
      <c r="D5398" s="197" t="s">
        <v>216</v>
      </c>
      <c r="E5398" s="197" t="s">
        <v>252</v>
      </c>
      <c r="F5398" s="197" t="s">
        <v>416</v>
      </c>
      <c r="G5398" s="197" t="s">
        <v>270</v>
      </c>
      <c r="H5398" s="197" t="s">
        <v>415</v>
      </c>
      <c r="I5398" s="209"/>
    </row>
    <row r="5399" spans="1:11">
      <c r="A5399" s="195"/>
      <c r="B5399" s="195" t="s">
        <v>207</v>
      </c>
      <c r="C5399"/>
      <c r="D5399" s="197" t="s">
        <v>215</v>
      </c>
      <c r="E5399" s="197" t="s">
        <v>252</v>
      </c>
      <c r="F5399" s="197" t="s">
        <v>416</v>
      </c>
      <c r="G5399" s="197" t="s">
        <v>270</v>
      </c>
      <c r="H5399" s="197" t="s">
        <v>415</v>
      </c>
      <c r="I5399" s="209"/>
    </row>
    <row r="5400" spans="1:11">
      <c r="A5400" s="195"/>
      <c r="B5400" s="196" t="s">
        <v>225</v>
      </c>
      <c r="C5400"/>
      <c r="D5400" s="197" t="s">
        <v>280</v>
      </c>
      <c r="E5400" s="197" t="s">
        <v>252</v>
      </c>
      <c r="F5400" s="197" t="s">
        <v>416</v>
      </c>
      <c r="G5400" s="197" t="s">
        <v>270</v>
      </c>
      <c r="H5400" s="197" t="s">
        <v>415</v>
      </c>
      <c r="I5400" s="209"/>
    </row>
    <row r="5401" spans="1:11">
      <c r="A5401" s="195"/>
      <c r="B5401" s="195" t="s">
        <v>205</v>
      </c>
      <c r="C5401"/>
      <c r="D5401" s="197" t="s">
        <v>127</v>
      </c>
      <c r="E5401" s="197" t="s">
        <v>252</v>
      </c>
      <c r="F5401" s="197" t="s">
        <v>416</v>
      </c>
      <c r="G5401" s="197" t="s">
        <v>270</v>
      </c>
      <c r="H5401" s="209" t="s">
        <v>415</v>
      </c>
      <c r="I5401" s="209"/>
    </row>
    <row r="5402" spans="1:11">
      <c r="A5402" s="195"/>
      <c r="B5402" s="195" t="s">
        <v>206</v>
      </c>
      <c r="C5402"/>
      <c r="D5402" s="197"/>
      <c r="E5402" s="197" t="s">
        <v>252</v>
      </c>
      <c r="F5402" s="197"/>
      <c r="G5402" s="197" t="s">
        <v>270</v>
      </c>
      <c r="H5402" s="209" t="s">
        <v>415</v>
      </c>
      <c r="I5402" s="209"/>
    </row>
    <row r="5403" spans="1:11">
      <c r="A5403" s="195"/>
      <c r="B5403" s="195" t="s">
        <v>207</v>
      </c>
      <c r="C5403"/>
      <c r="D5403" s="197"/>
      <c r="E5403" s="197" t="s">
        <v>252</v>
      </c>
      <c r="F5403" s="197"/>
      <c r="G5403" s="197" t="s">
        <v>270</v>
      </c>
      <c r="H5403" s="209" t="s">
        <v>415</v>
      </c>
      <c r="I5403" s="209"/>
    </row>
    <row r="5404" spans="1:11">
      <c r="A5404" s="195"/>
      <c r="B5404" s="196" t="s">
        <v>226</v>
      </c>
      <c r="C5404"/>
      <c r="D5404" s="197"/>
      <c r="E5404" s="197"/>
      <c r="F5404" s="197"/>
      <c r="G5404" s="197" t="s">
        <v>270</v>
      </c>
      <c r="H5404" s="209" t="s">
        <v>415</v>
      </c>
      <c r="I5404" s="209"/>
    </row>
    <row r="5405" spans="1:11">
      <c r="A5405" s="195"/>
      <c r="B5405" s="195" t="s">
        <v>205</v>
      </c>
      <c r="C5405"/>
      <c r="D5405" s="197"/>
      <c r="E5405" s="197"/>
      <c r="F5405" s="197"/>
      <c r="G5405" s="197" t="s">
        <v>270</v>
      </c>
      <c r="H5405" s="209"/>
      <c r="I5405" s="209"/>
    </row>
    <row r="5406" spans="1:11">
      <c r="A5406" s="195"/>
      <c r="B5406" s="195" t="s">
        <v>206</v>
      </c>
      <c r="C5406"/>
      <c r="D5406" s="197"/>
      <c r="E5406" s="197"/>
      <c r="F5406" s="197"/>
      <c r="G5406" s="197" t="s">
        <v>270</v>
      </c>
      <c r="H5406" s="209"/>
      <c r="I5406" s="209"/>
    </row>
    <row r="5407" spans="1:11">
      <c r="A5407" s="195"/>
      <c r="B5407" s="195" t="s">
        <v>207</v>
      </c>
      <c r="C5407"/>
      <c r="D5407" s="197"/>
      <c r="E5407" s="197"/>
      <c r="F5407" s="197"/>
      <c r="G5407" s="197" t="s">
        <v>270</v>
      </c>
      <c r="H5407" s="209"/>
      <c r="I5407" s="209"/>
    </row>
    <row r="5408" spans="1:11">
      <c r="A5408" s="195"/>
      <c r="B5408" s="196" t="s">
        <v>227</v>
      </c>
      <c r="C5408"/>
      <c r="D5408" s="197"/>
      <c r="E5408" s="197"/>
      <c r="F5408" s="197"/>
      <c r="G5408" s="197"/>
      <c r="H5408" s="209"/>
      <c r="I5408" s="209"/>
      <c r="K5408"/>
    </row>
    <row r="5409" spans="1:12" ht="29.25" thickBot="1">
      <c r="A5409" s="213" t="str">
        <f>"回収シフト  第"&amp;ROUNDUP(DAY(B5412)/7,0)  &amp;"  "&amp;TEXT(B5412,"aaaa")</f>
        <v>回収シフト  第4  火曜日</v>
      </c>
      <c r="B5409" s="214"/>
      <c r="C5409" s="214"/>
      <c r="D5409" s="214"/>
      <c r="E5409" s="214"/>
      <c r="F5409" s="214"/>
      <c r="G5409" s="215"/>
      <c r="H5409" s="215"/>
      <c r="I5409" s="215"/>
      <c r="K5409" s="214"/>
      <c r="L5409" s="214"/>
    </row>
    <row r="5410" spans="1:12" ht="15.75" thickBot="1">
      <c r="A5410"/>
      <c r="B5410"/>
      <c r="C5410"/>
      <c r="D5410" s="186" t="s">
        <v>201</v>
      </c>
      <c r="E5410" s="186" t="s">
        <v>202</v>
      </c>
      <c r="F5410" s="186" t="s">
        <v>203</v>
      </c>
      <c r="G5410" s="186" t="s">
        <v>204</v>
      </c>
      <c r="H5410" s="186" t="s">
        <v>267</v>
      </c>
      <c r="I5410" s="222" t="s">
        <v>267</v>
      </c>
      <c r="K5410" s="230" t="s">
        <v>257</v>
      </c>
      <c r="L5410" s="231"/>
    </row>
    <row r="5411" spans="1:12">
      <c r="A5411" s="187"/>
      <c r="B5411" s="188">
        <v>46119</v>
      </c>
      <c r="C5411" s="187"/>
      <c r="D5411" s="189" t="s">
        <v>859</v>
      </c>
      <c r="E5411" s="189" t="s">
        <v>248</v>
      </c>
      <c r="F5411" s="189" t="s">
        <v>921</v>
      </c>
      <c r="G5411" s="189" t="s">
        <v>890</v>
      </c>
      <c r="H5411" s="189" t="s">
        <v>852</v>
      </c>
      <c r="I5411" s="189" t="s">
        <v>1016</v>
      </c>
      <c r="K5411" s="232" t="s">
        <v>258</v>
      </c>
      <c r="L5411" s="190" t="str">
        <f>_xlfn.XLOOKUP($B5412,シフト抽出!$19:$19,シフト抽出!$20:$20,"該当なし",0,1)</f>
        <v>該当なし</v>
      </c>
    </row>
    <row r="5412" spans="1:12" ht="19.5" thickBot="1">
      <c r="A5412"/>
      <c r="B5412" s="191">
        <f>B5359+1</f>
        <v>46231</v>
      </c>
      <c r="C5412" s="192"/>
      <c r="D5412" s="216"/>
      <c r="E5412" s="216"/>
      <c r="F5412" s="216"/>
      <c r="G5412" s="216"/>
      <c r="H5412" s="216"/>
      <c r="I5412" s="220"/>
      <c r="K5412" s="233"/>
      <c r="L5412" s="194" t="str">
        <f>_xlfn.XLOOKUP($B5412,シフト抽出!$19:$19,シフト抽出!$21:$21,"該当なし",0,1)</f>
        <v>該当なし</v>
      </c>
    </row>
    <row r="5413" spans="1:12">
      <c r="A5413" s="195"/>
      <c r="B5413" s="196">
        <v>0.25</v>
      </c>
      <c r="C5413"/>
      <c r="D5413" s="197"/>
      <c r="E5413" s="196"/>
      <c r="F5413" s="197"/>
      <c r="G5413" s="197"/>
      <c r="H5413" s="197"/>
      <c r="I5413" s="209"/>
      <c r="K5413" s="234" t="s">
        <v>259</v>
      </c>
      <c r="L5413" s="198" t="str">
        <f>_xlfn.XLOOKUP($B5412,シフト抽出!$19:$19,シフト抽出!$23:$23,"該当なし",0,1)</f>
        <v>該当なし</v>
      </c>
    </row>
    <row r="5414" spans="1:12" ht="15.75" thickBot="1">
      <c r="A5414" s="195"/>
      <c r="B5414" s="195" t="s">
        <v>205</v>
      </c>
      <c r="C5414"/>
      <c r="D5414" s="197"/>
      <c r="E5414" s="197"/>
      <c r="F5414" s="197"/>
      <c r="G5414" s="197"/>
      <c r="H5414" s="197"/>
      <c r="I5414" s="209"/>
      <c r="K5414" s="235"/>
      <c r="L5414" s="199" t="str">
        <f>_xlfn.XLOOKUP($B5412,シフト抽出!$19:$19,シフト抽出!$24:$24,"該当なし",0,1)</f>
        <v>該当なし</v>
      </c>
    </row>
    <row r="5415" spans="1:12">
      <c r="A5415" s="195"/>
      <c r="B5415" s="195" t="s">
        <v>206</v>
      </c>
      <c r="C5415"/>
      <c r="D5415" s="197"/>
      <c r="E5415" s="197"/>
      <c r="F5415" s="197"/>
      <c r="G5415" s="197"/>
      <c r="H5415" s="197"/>
      <c r="I5415" s="209"/>
      <c r="K5415" s="224" t="s">
        <v>260</v>
      </c>
      <c r="L5415" s="200" t="str">
        <f>_xlfn.XLOOKUP($B5412,シフト抽出!$19:$19,シフト抽出!$26:$26,"該当なし",0,1)</f>
        <v>該当なし</v>
      </c>
    </row>
    <row r="5416" spans="1:12">
      <c r="A5416" s="195"/>
      <c r="B5416" s="195" t="s">
        <v>207</v>
      </c>
      <c r="C5416"/>
      <c r="D5416" s="197"/>
      <c r="E5416" s="197"/>
      <c r="F5416" s="197"/>
      <c r="G5416" s="197"/>
      <c r="H5416" s="197"/>
      <c r="I5416" s="209"/>
      <c r="K5416" s="225"/>
      <c r="L5416" s="201" t="str">
        <f>_xlfn.XLOOKUP($B5412,シフト抽出!$19:$19,シフト抽出!$27:$27,"該当なし",0,1)</f>
        <v>該当なし</v>
      </c>
    </row>
    <row r="5417" spans="1:12">
      <c r="A5417" s="195"/>
      <c r="B5417" s="202" t="s">
        <v>208</v>
      </c>
      <c r="C5417"/>
      <c r="D5417" s="197" t="s">
        <v>4</v>
      </c>
      <c r="E5417" s="197" t="s">
        <v>4</v>
      </c>
      <c r="F5417" s="197"/>
      <c r="G5417" s="197" t="s">
        <v>4</v>
      </c>
      <c r="H5417" s="197"/>
      <c r="I5417" s="209"/>
      <c r="J5417" s="203"/>
      <c r="K5417" s="225"/>
      <c r="L5417" s="201" t="str">
        <f>_xlfn.XLOOKUP($B5412,シフト抽出!$19:$19,シフト抽出!$28:$28,"該当なし",0,1)</f>
        <v>該当なし</v>
      </c>
    </row>
    <row r="5418" spans="1:12" ht="15.75" thickBot="1">
      <c r="A5418" s="195"/>
      <c r="B5418" s="195" t="s">
        <v>205</v>
      </c>
      <c r="C5418"/>
      <c r="D5418" s="197" t="s">
        <v>414</v>
      </c>
      <c r="E5418" s="197" t="s">
        <v>420</v>
      </c>
      <c r="F5418" s="197"/>
      <c r="G5418" s="197" t="s">
        <v>22</v>
      </c>
      <c r="H5418" s="197"/>
      <c r="I5418" s="209" t="s">
        <v>851</v>
      </c>
      <c r="J5418" s="203"/>
      <c r="K5418" s="226"/>
      <c r="L5418" s="204" t="str">
        <f>_xlfn.XLOOKUP($B5412,シフト抽出!$19:$19,シフト抽出!$29:$29,"該当なし",0,1)</f>
        <v>該当なし</v>
      </c>
    </row>
    <row r="5419" spans="1:12" ht="15.75" thickBot="1">
      <c r="A5419" s="195"/>
      <c r="B5419" s="195" t="s">
        <v>206</v>
      </c>
      <c r="C5419"/>
      <c r="D5419" s="197" t="s">
        <v>414</v>
      </c>
      <c r="E5419" s="197" t="s">
        <v>420</v>
      </c>
      <c r="F5419" s="197"/>
      <c r="G5419" s="197" t="s">
        <v>22</v>
      </c>
      <c r="H5419" s="197"/>
      <c r="I5419" s="209" t="s">
        <v>851</v>
      </c>
      <c r="K5419" s="205" t="s">
        <v>261</v>
      </c>
      <c r="L5419" s="205">
        <f>_xlfn.XLOOKUP($B5412,予定表!B:B,予定表!R:R,"該当なし",0,1)</f>
        <v>0</v>
      </c>
    </row>
    <row r="5420" spans="1:12">
      <c r="A5420" s="195"/>
      <c r="B5420" s="195" t="s">
        <v>207</v>
      </c>
      <c r="C5420"/>
      <c r="D5420" s="197" t="s">
        <v>414</v>
      </c>
      <c r="E5420" s="197" t="s">
        <v>420</v>
      </c>
      <c r="F5420" s="197"/>
      <c r="G5420" s="197" t="s">
        <v>268</v>
      </c>
      <c r="H5420" s="197"/>
      <c r="I5420" s="209" t="s">
        <v>851</v>
      </c>
      <c r="K5420" s="227" t="s">
        <v>262</v>
      </c>
      <c r="L5420" s="206" t="str">
        <f>_xlfn.XLOOKUP($B5412,予定表!$B:$B,予定表!E:E,"該当なし",0,1)</f>
        <v>再生センター話合</v>
      </c>
    </row>
    <row r="5421" spans="1:12">
      <c r="A5421" s="195"/>
      <c r="B5421" s="196" t="s">
        <v>209</v>
      </c>
      <c r="C5421"/>
      <c r="D5421" s="197" t="s">
        <v>414</v>
      </c>
      <c r="E5421" s="197" t="s">
        <v>420</v>
      </c>
      <c r="F5421" s="197" t="s">
        <v>416</v>
      </c>
      <c r="G5421" s="197" t="s">
        <v>268</v>
      </c>
      <c r="H5421" s="197" t="s">
        <v>4</v>
      </c>
      <c r="I5421" s="209" t="s">
        <v>851</v>
      </c>
      <c r="K5421" s="228"/>
      <c r="L5421" s="207">
        <f>_xlfn.XLOOKUP($B5412,予定表!$B:$B,予定表!F:F,"該当なし",0,1)</f>
        <v>0</v>
      </c>
    </row>
    <row r="5422" spans="1:12">
      <c r="A5422" s="195"/>
      <c r="B5422" s="195" t="s">
        <v>205</v>
      </c>
      <c r="C5422"/>
      <c r="D5422" s="197" t="s">
        <v>414</v>
      </c>
      <c r="E5422" s="197" t="s">
        <v>420</v>
      </c>
      <c r="F5422" s="197" t="s">
        <v>1003</v>
      </c>
      <c r="G5422" s="197" t="s">
        <v>268</v>
      </c>
      <c r="H5422" s="197" t="s">
        <v>60</v>
      </c>
      <c r="I5422" s="209" t="s">
        <v>851</v>
      </c>
      <c r="K5422" s="228"/>
      <c r="L5422" s="207">
        <f>_xlfn.XLOOKUP($B5412,予定表!$B:$B,予定表!G:G,"該当なし",0,1)</f>
        <v>0</v>
      </c>
    </row>
    <row r="5423" spans="1:12">
      <c r="A5423" s="195"/>
      <c r="B5423" s="195" t="s">
        <v>206</v>
      </c>
      <c r="C5423"/>
      <c r="D5423" s="197" t="s">
        <v>214</v>
      </c>
      <c r="E5423" s="197" t="s">
        <v>273</v>
      </c>
      <c r="F5423" s="197" t="s">
        <v>416</v>
      </c>
      <c r="G5423" s="197" t="s">
        <v>268</v>
      </c>
      <c r="H5423" s="197" t="s">
        <v>60</v>
      </c>
      <c r="I5423" s="209" t="s">
        <v>851</v>
      </c>
      <c r="K5423" s="228"/>
      <c r="L5423" s="207">
        <f>_xlfn.XLOOKUP($B5412,予定表!$B:$B,予定表!H:H,"該当なし",0,1)</f>
        <v>0</v>
      </c>
    </row>
    <row r="5424" spans="1:12">
      <c r="A5424" s="195"/>
      <c r="B5424" s="195" t="s">
        <v>207</v>
      </c>
      <c r="C5424"/>
      <c r="D5424" s="197" t="s">
        <v>214</v>
      </c>
      <c r="E5424" s="197" t="s">
        <v>273</v>
      </c>
      <c r="F5424" s="197" t="s">
        <v>416</v>
      </c>
      <c r="G5424" s="197" t="s">
        <v>268</v>
      </c>
      <c r="H5424" s="197" t="s">
        <v>60</v>
      </c>
      <c r="I5424" s="209" t="s">
        <v>851</v>
      </c>
      <c r="K5424" s="228"/>
      <c r="L5424" s="207" t="str">
        <f>_xlfn.XLOOKUP($B5412,予定表!$B:$B,予定表!I:I,"該当なし",0,1)</f>
        <v>カインズPM15</v>
      </c>
    </row>
    <row r="5425" spans="1:12">
      <c r="A5425" s="195"/>
      <c r="B5425" s="196" t="s">
        <v>212</v>
      </c>
      <c r="C5425"/>
      <c r="D5425" s="197" t="s">
        <v>214</v>
      </c>
      <c r="E5425" s="197" t="s">
        <v>273</v>
      </c>
      <c r="F5425" s="197" t="s">
        <v>416</v>
      </c>
      <c r="G5425" s="197" t="s">
        <v>169</v>
      </c>
      <c r="H5425" s="197"/>
      <c r="I5425" s="209" t="s">
        <v>851</v>
      </c>
      <c r="K5425" s="228"/>
      <c r="L5425" s="207">
        <f>_xlfn.XLOOKUP($B5412,予定表!$B:$B,予定表!J:J,"該当なし",0,1)</f>
        <v>0</v>
      </c>
    </row>
    <row r="5426" spans="1:12">
      <c r="A5426" s="195"/>
      <c r="B5426" s="195" t="s">
        <v>205</v>
      </c>
      <c r="C5426"/>
      <c r="D5426" s="197" t="s">
        <v>214</v>
      </c>
      <c r="E5426" s="197" t="s">
        <v>953</v>
      </c>
      <c r="F5426" s="197" t="s">
        <v>416</v>
      </c>
      <c r="G5426" s="197" t="s">
        <v>169</v>
      </c>
      <c r="H5426" s="197" t="s">
        <v>848</v>
      </c>
      <c r="I5426" s="209" t="s">
        <v>851</v>
      </c>
      <c r="K5426" s="228"/>
      <c r="L5426" s="207">
        <f>_xlfn.XLOOKUP($B5412,予定表!$B:$B,予定表!K:K,"該当なし",0,1)</f>
        <v>0</v>
      </c>
    </row>
    <row r="5427" spans="1:12">
      <c r="A5427" s="195"/>
      <c r="B5427" s="195" t="s">
        <v>206</v>
      </c>
      <c r="C5427"/>
      <c r="D5427" s="197" t="s">
        <v>761</v>
      </c>
      <c r="E5427" s="197" t="s">
        <v>228</v>
      </c>
      <c r="F5427" s="197" t="s">
        <v>416</v>
      </c>
      <c r="G5427" s="197" t="s">
        <v>169</v>
      </c>
      <c r="H5427" s="197" t="s">
        <v>848</v>
      </c>
      <c r="I5427" s="209" t="s">
        <v>353</v>
      </c>
      <c r="K5427" s="228"/>
      <c r="L5427" s="207">
        <f>_xlfn.XLOOKUP($B5412,予定表!$B:$B,予定表!L:L,"該当なし",0,1)</f>
        <v>0</v>
      </c>
    </row>
    <row r="5428" spans="1:12" ht="15.75" thickBot="1">
      <c r="A5428" s="195"/>
      <c r="B5428" s="195" t="s">
        <v>207</v>
      </c>
      <c r="C5428"/>
      <c r="D5428" s="197" t="s">
        <v>761</v>
      </c>
      <c r="E5428" s="197" t="s">
        <v>228</v>
      </c>
      <c r="F5428" s="197" t="s">
        <v>416</v>
      </c>
      <c r="G5428" s="197" t="s">
        <v>169</v>
      </c>
      <c r="H5428" s="197" t="s">
        <v>848</v>
      </c>
      <c r="I5428" s="209" t="s">
        <v>353</v>
      </c>
      <c r="K5428" s="229"/>
      <c r="L5428" s="204" t="str">
        <f>_xlfn.XLOOKUP($A5409,ﾘｽﾄマスタ!$U$8:$U$17,ﾘｽﾄマスタ!$V$8:$V$17,"",0)</f>
        <v>東冷厚木,ﾏﾙﾅｶ</v>
      </c>
    </row>
    <row r="5429" spans="1:12" ht="15.75" thickBot="1">
      <c r="A5429" s="195"/>
      <c r="B5429" s="196" t="s">
        <v>251</v>
      </c>
      <c r="C5429"/>
      <c r="D5429" s="197" t="s">
        <v>761</v>
      </c>
      <c r="E5429" s="197" t="s">
        <v>228</v>
      </c>
      <c r="F5429" s="197" t="s">
        <v>416</v>
      </c>
      <c r="G5429" s="197" t="s">
        <v>169</v>
      </c>
      <c r="H5429" s="197" t="s">
        <v>848</v>
      </c>
      <c r="I5429" s="209" t="s">
        <v>353</v>
      </c>
      <c r="K5429" s="208" t="s">
        <v>277</v>
      </c>
      <c r="L5429" s="208" t="str">
        <f>_xlfn.XLOOKUP($B5412,シフト抽出!$19:$19,シフト抽出!$30:$30,"該当なし",0,1)</f>
        <v>該当なし</v>
      </c>
    </row>
    <row r="5430" spans="1:12">
      <c r="A5430" s="195"/>
      <c r="B5430" s="195" t="s">
        <v>205</v>
      </c>
      <c r="C5430"/>
      <c r="D5430" s="197" t="s">
        <v>88</v>
      </c>
      <c r="E5430" s="197" t="s">
        <v>228</v>
      </c>
      <c r="F5430" s="197" t="s">
        <v>416</v>
      </c>
      <c r="G5430" s="197" t="s">
        <v>279</v>
      </c>
      <c r="H5430" s="197" t="s">
        <v>848</v>
      </c>
      <c r="I5430" s="209" t="s">
        <v>62</v>
      </c>
    </row>
    <row r="5431" spans="1:12">
      <c r="A5431" s="195"/>
      <c r="B5431" s="195" t="s">
        <v>206</v>
      </c>
      <c r="C5431"/>
      <c r="D5431" s="197" t="s">
        <v>88</v>
      </c>
      <c r="E5431" s="197" t="s">
        <v>263</v>
      </c>
      <c r="F5431" s="197" t="s">
        <v>416</v>
      </c>
      <c r="G5431" s="197" t="s">
        <v>279</v>
      </c>
      <c r="H5431" s="197" t="s">
        <v>229</v>
      </c>
      <c r="I5431" s="209" t="s">
        <v>62</v>
      </c>
    </row>
    <row r="5432" spans="1:12">
      <c r="A5432" s="195"/>
      <c r="B5432" s="195" t="s">
        <v>207</v>
      </c>
      <c r="C5432"/>
      <c r="D5432" s="197" t="s">
        <v>51</v>
      </c>
      <c r="E5432" s="197" t="s">
        <v>263</v>
      </c>
      <c r="F5432" s="197" t="s">
        <v>416</v>
      </c>
      <c r="G5432" s="197" t="s">
        <v>279</v>
      </c>
      <c r="H5432" s="197" t="s">
        <v>229</v>
      </c>
      <c r="I5432" s="209" t="s">
        <v>62</v>
      </c>
    </row>
    <row r="5433" spans="1:12">
      <c r="A5433" s="195"/>
      <c r="B5433" s="196" t="s">
        <v>217</v>
      </c>
      <c r="C5433"/>
      <c r="D5433" s="197" t="s">
        <v>51</v>
      </c>
      <c r="E5433" s="197" t="s">
        <v>263</v>
      </c>
      <c r="F5433" s="197" t="s">
        <v>416</v>
      </c>
      <c r="G5433" s="197" t="s">
        <v>279</v>
      </c>
      <c r="H5433" s="197" t="s">
        <v>230</v>
      </c>
      <c r="I5433" s="209" t="s">
        <v>62</v>
      </c>
    </row>
    <row r="5434" spans="1:12">
      <c r="A5434" s="195"/>
      <c r="B5434" s="195" t="s">
        <v>205</v>
      </c>
      <c r="C5434"/>
      <c r="D5434" s="197" t="s">
        <v>51</v>
      </c>
      <c r="E5434" s="197" t="s">
        <v>263</v>
      </c>
      <c r="F5434" s="197" t="s">
        <v>416</v>
      </c>
      <c r="G5434" s="197" t="s">
        <v>279</v>
      </c>
      <c r="H5434" s="197" t="s">
        <v>230</v>
      </c>
      <c r="I5434" s="209" t="s">
        <v>62</v>
      </c>
    </row>
    <row r="5435" spans="1:12">
      <c r="A5435" s="195"/>
      <c r="B5435" s="195" t="s">
        <v>206</v>
      </c>
      <c r="C5435"/>
      <c r="D5435" s="197" t="s">
        <v>51</v>
      </c>
      <c r="E5435" s="197" t="s">
        <v>263</v>
      </c>
      <c r="F5435" s="197"/>
      <c r="G5435" s="197" t="s">
        <v>279</v>
      </c>
      <c r="H5435" s="197" t="s">
        <v>230</v>
      </c>
      <c r="I5435" s="209" t="s">
        <v>62</v>
      </c>
    </row>
    <row r="5436" spans="1:12">
      <c r="A5436" s="195"/>
      <c r="B5436" s="195" t="s">
        <v>207</v>
      </c>
      <c r="C5436"/>
      <c r="D5436" s="197"/>
      <c r="E5436" s="197" t="s">
        <v>263</v>
      </c>
      <c r="F5436" s="197"/>
      <c r="G5436" s="197" t="s">
        <v>279</v>
      </c>
      <c r="H5436" s="197" t="s">
        <v>230</v>
      </c>
      <c r="I5436" s="209" t="s">
        <v>62</v>
      </c>
    </row>
    <row r="5437" spans="1:12">
      <c r="A5437" s="195"/>
      <c r="B5437" s="196" t="s">
        <v>219</v>
      </c>
      <c r="C5437"/>
      <c r="D5437" s="197"/>
      <c r="E5437" s="197"/>
      <c r="F5437" s="197"/>
      <c r="G5437" s="197"/>
      <c r="H5437" s="197" t="s">
        <v>230</v>
      </c>
      <c r="I5437" s="209"/>
    </row>
    <row r="5438" spans="1:12">
      <c r="A5438" s="195"/>
      <c r="B5438" s="195" t="s">
        <v>205</v>
      </c>
      <c r="C5438"/>
      <c r="D5438" s="197"/>
      <c r="E5438" s="197"/>
      <c r="F5438" s="197"/>
      <c r="G5438" s="197"/>
      <c r="H5438" s="197" t="s">
        <v>230</v>
      </c>
      <c r="I5438" s="209"/>
    </row>
    <row r="5439" spans="1:12">
      <c r="A5439" s="195"/>
      <c r="B5439" s="195" t="s">
        <v>206</v>
      </c>
      <c r="C5439"/>
      <c r="D5439" s="197"/>
      <c r="E5439" s="197"/>
      <c r="F5439" s="197"/>
      <c r="G5439" s="197"/>
      <c r="H5439" s="197"/>
      <c r="I5439" s="209"/>
    </row>
    <row r="5440" spans="1:12">
      <c r="A5440" s="195"/>
      <c r="B5440" s="195" t="s">
        <v>207</v>
      </c>
      <c r="C5440"/>
      <c r="D5440" s="197"/>
      <c r="E5440" s="197"/>
      <c r="F5440" s="197"/>
      <c r="G5440" s="197"/>
      <c r="H5440" s="197"/>
      <c r="I5440" s="209"/>
    </row>
    <row r="5441" spans="1:9">
      <c r="A5441" s="195"/>
      <c r="B5441" s="196" t="s">
        <v>220</v>
      </c>
      <c r="C5441"/>
      <c r="D5441" s="189"/>
      <c r="E5441" s="197"/>
      <c r="F5441" s="197"/>
      <c r="G5441" s="197"/>
      <c r="H5441" s="197"/>
      <c r="I5441" s="209"/>
    </row>
    <row r="5442" spans="1:9">
      <c r="A5442" s="195"/>
      <c r="B5442" s="195" t="s">
        <v>205</v>
      </c>
      <c r="C5442"/>
      <c r="D5442" s="197" t="s">
        <v>114</v>
      </c>
      <c r="E5442" s="197" t="s">
        <v>233</v>
      </c>
      <c r="F5442" s="197" t="s">
        <v>416</v>
      </c>
      <c r="G5442" s="197" t="s">
        <v>56</v>
      </c>
      <c r="H5442" s="197" t="s">
        <v>390</v>
      </c>
      <c r="I5442" s="209" t="s">
        <v>416</v>
      </c>
    </row>
    <row r="5443" spans="1:9">
      <c r="A5443" s="195"/>
      <c r="B5443" s="195" t="s">
        <v>206</v>
      </c>
      <c r="C5443"/>
      <c r="D5443" s="197" t="s">
        <v>114</v>
      </c>
      <c r="E5443" s="197" t="s">
        <v>233</v>
      </c>
      <c r="F5443" s="197" t="s">
        <v>1003</v>
      </c>
      <c r="G5443" s="197" t="s">
        <v>56</v>
      </c>
      <c r="H5443" s="197" t="s">
        <v>390</v>
      </c>
      <c r="I5443" s="209" t="s">
        <v>1004</v>
      </c>
    </row>
    <row r="5444" spans="1:9">
      <c r="A5444" s="195"/>
      <c r="B5444" s="195" t="s">
        <v>207</v>
      </c>
      <c r="C5444"/>
      <c r="D5444" s="197" t="s">
        <v>129</v>
      </c>
      <c r="E5444" s="197" t="s">
        <v>233</v>
      </c>
      <c r="F5444" s="197" t="s">
        <v>416</v>
      </c>
      <c r="G5444" s="197" t="s">
        <v>56</v>
      </c>
      <c r="H5444" s="197"/>
      <c r="I5444" s="209" t="s">
        <v>416</v>
      </c>
    </row>
    <row r="5445" spans="1:9">
      <c r="A5445" s="195"/>
      <c r="B5445" s="196" t="s">
        <v>222</v>
      </c>
      <c r="C5445"/>
      <c r="D5445" s="197" t="s">
        <v>129</v>
      </c>
      <c r="E5445" s="197" t="s">
        <v>252</v>
      </c>
      <c r="F5445" s="197" t="s">
        <v>416</v>
      </c>
      <c r="G5445" s="197" t="s">
        <v>56</v>
      </c>
      <c r="H5445" s="197" t="s">
        <v>231</v>
      </c>
      <c r="I5445" s="209" t="s">
        <v>416</v>
      </c>
    </row>
    <row r="5446" spans="1:9">
      <c r="A5446" s="195"/>
      <c r="B5446" s="195" t="s">
        <v>205</v>
      </c>
      <c r="C5446"/>
      <c r="D5446" s="197" t="s">
        <v>129</v>
      </c>
      <c r="E5446" s="197" t="s">
        <v>252</v>
      </c>
      <c r="F5446" s="197" t="s">
        <v>416</v>
      </c>
      <c r="G5446" s="197"/>
      <c r="H5446" s="197" t="s">
        <v>232</v>
      </c>
      <c r="I5446" s="209" t="s">
        <v>416</v>
      </c>
    </row>
    <row r="5447" spans="1:9">
      <c r="A5447" s="195"/>
      <c r="B5447" s="195" t="s">
        <v>206</v>
      </c>
      <c r="C5447"/>
      <c r="D5447" s="197"/>
      <c r="E5447" s="197" t="s">
        <v>252</v>
      </c>
      <c r="F5447" s="197" t="s">
        <v>416</v>
      </c>
      <c r="G5447" s="197" t="s">
        <v>270</v>
      </c>
      <c r="H5447" s="197" t="s">
        <v>211</v>
      </c>
      <c r="I5447" s="209" t="s">
        <v>416</v>
      </c>
    </row>
    <row r="5448" spans="1:9">
      <c r="A5448" s="195"/>
      <c r="B5448" s="195" t="s">
        <v>207</v>
      </c>
      <c r="C5448"/>
      <c r="D5448" s="197" t="s">
        <v>515</v>
      </c>
      <c r="E5448" s="197" t="s">
        <v>252</v>
      </c>
      <c r="F5448" s="197" t="s">
        <v>416</v>
      </c>
      <c r="G5448" s="197" t="s">
        <v>270</v>
      </c>
      <c r="H5448" s="197" t="s">
        <v>211</v>
      </c>
      <c r="I5448" s="209" t="s">
        <v>416</v>
      </c>
    </row>
    <row r="5449" spans="1:9">
      <c r="A5449" s="195"/>
      <c r="B5449" s="196" t="s">
        <v>223</v>
      </c>
      <c r="C5449"/>
      <c r="D5449" s="197" t="s">
        <v>515</v>
      </c>
      <c r="E5449" s="197" t="s">
        <v>252</v>
      </c>
      <c r="F5449" s="197" t="s">
        <v>416</v>
      </c>
      <c r="G5449" s="197" t="s">
        <v>270</v>
      </c>
      <c r="H5449" s="197"/>
      <c r="I5449" s="209" t="s">
        <v>416</v>
      </c>
    </row>
    <row r="5450" spans="1:9">
      <c r="A5450" s="195"/>
      <c r="B5450" s="195" t="s">
        <v>205</v>
      </c>
      <c r="C5450"/>
      <c r="D5450" s="197" t="s">
        <v>269</v>
      </c>
      <c r="E5450" s="197" t="s">
        <v>252</v>
      </c>
      <c r="F5450" s="197" t="s">
        <v>416</v>
      </c>
      <c r="G5450" s="197" t="s">
        <v>270</v>
      </c>
      <c r="H5450" s="197" t="s">
        <v>856</v>
      </c>
      <c r="I5450" s="209" t="s">
        <v>416</v>
      </c>
    </row>
    <row r="5451" spans="1:9">
      <c r="A5451" s="195"/>
      <c r="B5451" s="195" t="s">
        <v>206</v>
      </c>
      <c r="C5451"/>
      <c r="D5451" s="197" t="s">
        <v>269</v>
      </c>
      <c r="E5451" s="197" t="s">
        <v>252</v>
      </c>
      <c r="F5451" s="197" t="s">
        <v>416</v>
      </c>
      <c r="G5451" s="197" t="s">
        <v>270</v>
      </c>
      <c r="H5451" s="197" t="s">
        <v>856</v>
      </c>
      <c r="I5451" s="209" t="s">
        <v>416</v>
      </c>
    </row>
    <row r="5452" spans="1:9">
      <c r="A5452" s="195"/>
      <c r="B5452" s="195" t="s">
        <v>207</v>
      </c>
      <c r="C5452"/>
      <c r="D5452" s="197" t="s">
        <v>269</v>
      </c>
      <c r="E5452" s="197" t="s">
        <v>252</v>
      </c>
      <c r="F5452" s="197" t="s">
        <v>416</v>
      </c>
      <c r="G5452" s="197" t="s">
        <v>270</v>
      </c>
      <c r="H5452" s="197" t="s">
        <v>856</v>
      </c>
      <c r="I5452" s="209" t="s">
        <v>416</v>
      </c>
    </row>
    <row r="5453" spans="1:9">
      <c r="A5453" s="195"/>
      <c r="B5453" s="196" t="s">
        <v>225</v>
      </c>
      <c r="C5453"/>
      <c r="D5453" s="197" t="s">
        <v>269</v>
      </c>
      <c r="E5453" s="197" t="s">
        <v>252</v>
      </c>
      <c r="F5453" s="197" t="s">
        <v>416</v>
      </c>
      <c r="G5453" s="197" t="s">
        <v>270</v>
      </c>
      <c r="H5453" s="197" t="s">
        <v>856</v>
      </c>
      <c r="I5453" s="209"/>
    </row>
    <row r="5454" spans="1:9">
      <c r="A5454" s="195"/>
      <c r="B5454" s="195" t="s">
        <v>205</v>
      </c>
      <c r="C5454"/>
      <c r="D5454" s="197" t="s">
        <v>475</v>
      </c>
      <c r="E5454" s="197" t="s">
        <v>252</v>
      </c>
      <c r="F5454" s="197" t="s">
        <v>416</v>
      </c>
      <c r="G5454" s="197" t="s">
        <v>270</v>
      </c>
      <c r="H5454" s="209" t="s">
        <v>856</v>
      </c>
      <c r="I5454" s="209"/>
    </row>
    <row r="5455" spans="1:9">
      <c r="A5455" s="195"/>
      <c r="B5455" s="195" t="s">
        <v>206</v>
      </c>
      <c r="C5455"/>
      <c r="D5455" s="197" t="s">
        <v>361</v>
      </c>
      <c r="E5455" s="197" t="s">
        <v>252</v>
      </c>
      <c r="F5455" s="197" t="s">
        <v>416</v>
      </c>
      <c r="G5455" s="197" t="s">
        <v>270</v>
      </c>
      <c r="H5455" s="209" t="s">
        <v>856</v>
      </c>
      <c r="I5455" s="209"/>
    </row>
    <row r="5456" spans="1:9">
      <c r="A5456" s="195"/>
      <c r="B5456" s="195" t="s">
        <v>207</v>
      </c>
      <c r="C5456"/>
      <c r="D5456" s="197"/>
      <c r="E5456" s="197"/>
      <c r="F5456" s="197"/>
      <c r="G5456" s="197"/>
      <c r="H5456" s="209"/>
      <c r="I5456" s="209"/>
    </row>
    <row r="5457" spans="1:12">
      <c r="A5457" s="195"/>
      <c r="B5457" s="196" t="s">
        <v>226</v>
      </c>
      <c r="C5457"/>
      <c r="D5457" s="197"/>
      <c r="E5457" s="197"/>
      <c r="F5457" s="197"/>
      <c r="G5457" s="197"/>
      <c r="H5457" s="209"/>
      <c r="I5457" s="209"/>
    </row>
    <row r="5458" spans="1:12">
      <c r="A5458" s="195"/>
      <c r="B5458" s="195" t="s">
        <v>205</v>
      </c>
      <c r="C5458"/>
      <c r="D5458" s="197"/>
      <c r="E5458" s="197"/>
      <c r="F5458" s="197"/>
      <c r="G5458" s="197"/>
      <c r="H5458" s="209"/>
      <c r="I5458" s="209"/>
    </row>
    <row r="5459" spans="1:12">
      <c r="A5459" s="195"/>
      <c r="B5459" s="195" t="s">
        <v>206</v>
      </c>
      <c r="C5459"/>
      <c r="D5459" s="197"/>
      <c r="E5459" s="197"/>
      <c r="F5459" s="197"/>
      <c r="G5459" s="197"/>
      <c r="H5459" s="209"/>
      <c r="I5459" s="209"/>
    </row>
    <row r="5460" spans="1:12">
      <c r="A5460" s="195"/>
      <c r="B5460" s="195" t="s">
        <v>207</v>
      </c>
      <c r="C5460"/>
      <c r="D5460" s="197"/>
      <c r="E5460" s="197"/>
      <c r="F5460" s="197"/>
      <c r="G5460" s="197"/>
      <c r="H5460" s="209"/>
      <c r="I5460" s="209"/>
    </row>
    <row r="5461" spans="1:12">
      <c r="A5461" s="195"/>
      <c r="B5461" s="196" t="s">
        <v>227</v>
      </c>
      <c r="C5461"/>
      <c r="D5461" s="197"/>
      <c r="E5461" s="197"/>
      <c r="F5461" s="197"/>
      <c r="G5461" s="197"/>
      <c r="H5461" s="209"/>
      <c r="I5461" s="209"/>
      <c r="K5461"/>
    </row>
    <row r="5462" spans="1:12" ht="29.25" thickBot="1">
      <c r="A5462" s="213" t="str">
        <f>"回収シフト  第"&amp;ROUNDUP(DAY(B5465)/7,0)  &amp;"  "&amp;TEXT(B5465,"aaaa")</f>
        <v>回収シフト  第5  水曜日</v>
      </c>
      <c r="B5462" s="214"/>
      <c r="C5462" s="214"/>
      <c r="D5462" s="214"/>
      <c r="E5462" s="214"/>
      <c r="F5462" s="214"/>
      <c r="G5462" s="215"/>
      <c r="H5462" s="215"/>
      <c r="I5462" s="215"/>
      <c r="K5462" s="214"/>
      <c r="L5462" s="214"/>
    </row>
    <row r="5463" spans="1:12" ht="15.75" thickBot="1">
      <c r="A5463"/>
      <c r="B5463"/>
      <c r="C5463"/>
      <c r="D5463" s="186" t="s">
        <v>201</v>
      </c>
      <c r="E5463" s="186" t="s">
        <v>202</v>
      </c>
      <c r="F5463" s="186" t="s">
        <v>203</v>
      </c>
      <c r="G5463" s="186" t="s">
        <v>204</v>
      </c>
      <c r="H5463" s="186" t="s">
        <v>267</v>
      </c>
      <c r="I5463" s="186" t="s">
        <v>987</v>
      </c>
      <c r="K5463" s="230" t="s">
        <v>257</v>
      </c>
      <c r="L5463" s="231"/>
    </row>
    <row r="5464" spans="1:12">
      <c r="A5464" s="187"/>
      <c r="B5464" s="188">
        <v>46119</v>
      </c>
      <c r="C5464" s="187"/>
      <c r="D5464" s="189" t="s">
        <v>859</v>
      </c>
      <c r="E5464" s="189" t="s">
        <v>849</v>
      </c>
      <c r="F5464" s="189" t="s">
        <v>921</v>
      </c>
      <c r="G5464" s="189" t="s">
        <v>857</v>
      </c>
      <c r="H5464" s="189" t="s">
        <v>852</v>
      </c>
      <c r="I5464" s="189" t="s">
        <v>1017</v>
      </c>
      <c r="K5464" s="232" t="s">
        <v>258</v>
      </c>
      <c r="L5464" s="190" t="str">
        <f>_xlfn.XLOOKUP($B5465,シフト抽出!$19:$19,シフト抽出!$20:$20,"該当なし",0,1)</f>
        <v>該当なし</v>
      </c>
    </row>
    <row r="5465" spans="1:12" ht="19.5" thickBot="1">
      <c r="A5465"/>
      <c r="B5465" s="191">
        <f>B5412+1</f>
        <v>46232</v>
      </c>
      <c r="C5465" s="192" t="e">
        <v>#REF!</v>
      </c>
      <c r="D5465" s="216"/>
      <c r="E5465" s="216"/>
      <c r="F5465" s="216"/>
      <c r="G5465" s="216"/>
      <c r="H5465" s="216"/>
      <c r="I5465" s="216"/>
      <c r="K5465" s="233"/>
      <c r="L5465" s="194" t="str">
        <f>_xlfn.XLOOKUP($B5465,シフト抽出!$19:$19,シフト抽出!$21:$21,"該当なし",0,1)</f>
        <v>該当なし</v>
      </c>
    </row>
    <row r="5466" spans="1:12">
      <c r="A5466" s="195"/>
      <c r="B5466" s="196">
        <v>0.25</v>
      </c>
      <c r="C5466"/>
      <c r="D5466" s="197"/>
      <c r="E5466" s="197"/>
      <c r="F5466" s="197"/>
      <c r="G5466" s="197"/>
      <c r="H5466" s="197"/>
      <c r="I5466" s="197"/>
      <c r="K5466" s="234" t="s">
        <v>259</v>
      </c>
      <c r="L5466" s="198" t="str">
        <f>_xlfn.XLOOKUP($B5465,シフト抽出!$19:$19,シフト抽出!$23:$23,"該当なし",0,1)</f>
        <v>該当なし</v>
      </c>
    </row>
    <row r="5467" spans="1:12" ht="15.75" thickBot="1">
      <c r="A5467" s="195"/>
      <c r="B5467" s="195" t="s">
        <v>205</v>
      </c>
      <c r="C5467"/>
      <c r="D5467" s="197"/>
      <c r="E5467" s="197"/>
      <c r="F5467" s="197"/>
      <c r="G5467" s="197"/>
      <c r="H5467" s="197"/>
      <c r="I5467" s="197"/>
      <c r="K5467" s="235"/>
      <c r="L5467" s="199" t="str">
        <f>_xlfn.XLOOKUP($B5465,シフト抽出!$19:$19,シフト抽出!$24:$24,"該当なし",0,1)</f>
        <v>該当なし</v>
      </c>
    </row>
    <row r="5468" spans="1:12">
      <c r="A5468" s="195"/>
      <c r="B5468" s="195" t="s">
        <v>206</v>
      </c>
      <c r="C5468"/>
      <c r="D5468" s="197"/>
      <c r="E5468" s="197"/>
      <c r="F5468" s="197"/>
      <c r="G5468" s="197"/>
      <c r="H5468" s="197"/>
      <c r="I5468" s="197"/>
      <c r="K5468" s="224" t="s">
        <v>260</v>
      </c>
      <c r="L5468" s="200" t="str">
        <f>_xlfn.XLOOKUP($B5465,シフト抽出!$19:$19,シフト抽出!$26:$26,"該当なし",0,1)</f>
        <v>該当なし</v>
      </c>
    </row>
    <row r="5469" spans="1:12">
      <c r="A5469" s="195"/>
      <c r="B5469" s="195" t="s">
        <v>207</v>
      </c>
      <c r="C5469"/>
      <c r="D5469" s="197"/>
      <c r="E5469" s="197"/>
      <c r="F5469" s="197"/>
      <c r="G5469" s="197"/>
      <c r="H5469" s="197"/>
      <c r="I5469" s="197"/>
      <c r="K5469" s="225"/>
      <c r="L5469" s="201" t="str">
        <f>_xlfn.XLOOKUP($B5465,シフト抽出!$19:$19,シフト抽出!$27:$27,"該当なし",0,1)</f>
        <v>該当なし</v>
      </c>
    </row>
    <row r="5470" spans="1:12">
      <c r="A5470" s="195"/>
      <c r="B5470" s="202" t="s">
        <v>208</v>
      </c>
      <c r="C5470"/>
      <c r="D5470" s="197"/>
      <c r="E5470" s="197"/>
      <c r="F5470" s="197"/>
      <c r="G5470" s="197"/>
      <c r="H5470" s="197"/>
      <c r="I5470" s="197"/>
      <c r="J5470" s="203"/>
      <c r="K5470" s="225"/>
      <c r="L5470" s="201" t="str">
        <f>_xlfn.XLOOKUP($B5465,シフト抽出!$19:$19,シフト抽出!$28:$28,"該当なし",0,1)</f>
        <v>該当なし</v>
      </c>
    </row>
    <row r="5471" spans="1:12" ht="15.75" thickBot="1">
      <c r="A5471" s="195"/>
      <c r="B5471" s="195" t="s">
        <v>205</v>
      </c>
      <c r="C5471"/>
      <c r="D5471" s="197"/>
      <c r="E5471" s="197"/>
      <c r="F5471" s="197"/>
      <c r="G5471" s="197"/>
      <c r="H5471" s="197"/>
      <c r="I5471" s="197"/>
      <c r="J5471" s="203"/>
      <c r="K5471" s="226"/>
      <c r="L5471" s="204" t="str">
        <f>_xlfn.XLOOKUP($B5465,シフト抽出!$19:$19,シフト抽出!$29:$29,"該当なし",0,1)</f>
        <v>該当なし</v>
      </c>
    </row>
    <row r="5472" spans="1:12" ht="15.75" thickBot="1">
      <c r="A5472" s="195"/>
      <c r="B5472" s="195" t="s">
        <v>206</v>
      </c>
      <c r="C5472"/>
      <c r="D5472" s="197"/>
      <c r="E5472" s="197"/>
      <c r="F5472" s="197"/>
      <c r="G5472" s="197"/>
      <c r="H5472" s="197"/>
      <c r="I5472" s="197"/>
      <c r="K5472" s="205" t="s">
        <v>261</v>
      </c>
      <c r="L5472" s="205">
        <f>_xlfn.XLOOKUP($B5465,予定表!B:B,予定表!R:R,"該当なし",0,1)</f>
        <v>0</v>
      </c>
    </row>
    <row r="5473" spans="1:12">
      <c r="A5473" s="195"/>
      <c r="B5473" s="195" t="s">
        <v>207</v>
      </c>
      <c r="C5473"/>
      <c r="D5473" s="197"/>
      <c r="E5473" s="197"/>
      <c r="F5473" s="197"/>
      <c r="G5473" s="197"/>
      <c r="H5473" s="197"/>
      <c r="I5473" s="197"/>
      <c r="K5473" s="227" t="s">
        <v>262</v>
      </c>
      <c r="L5473" s="206">
        <f>_xlfn.XLOOKUP($B5465,予定表!$B:$B,予定表!E:E,"該当なし",0,1)</f>
        <v>0</v>
      </c>
    </row>
    <row r="5474" spans="1:12">
      <c r="A5474" s="195"/>
      <c r="B5474" s="196" t="s">
        <v>209</v>
      </c>
      <c r="C5474"/>
      <c r="D5474" s="197" t="s">
        <v>851</v>
      </c>
      <c r="E5474" s="197" t="s">
        <v>414</v>
      </c>
      <c r="F5474" s="197" t="s">
        <v>416</v>
      </c>
      <c r="G5474" s="197" t="s">
        <v>268</v>
      </c>
      <c r="H5474" s="197" t="s">
        <v>60</v>
      </c>
      <c r="I5474" s="197" t="s">
        <v>793</v>
      </c>
      <c r="K5474" s="228"/>
      <c r="L5474" s="207">
        <f>_xlfn.XLOOKUP($B5465,予定表!$B:$B,予定表!F:F,"該当なし",0,1)</f>
        <v>0</v>
      </c>
    </row>
    <row r="5475" spans="1:12">
      <c r="A5475" s="195"/>
      <c r="B5475" s="195" t="s">
        <v>205</v>
      </c>
      <c r="C5475"/>
      <c r="D5475" s="197" t="s">
        <v>851</v>
      </c>
      <c r="E5475" s="197" t="s">
        <v>414</v>
      </c>
      <c r="F5475" s="197" t="s">
        <v>1003</v>
      </c>
      <c r="G5475" s="197" t="s">
        <v>268</v>
      </c>
      <c r="H5475" s="197" t="s">
        <v>60</v>
      </c>
      <c r="I5475" s="197" t="s">
        <v>22</v>
      </c>
      <c r="K5475" s="228"/>
      <c r="L5475" s="207" t="str">
        <f>_xlfn.XLOOKUP($B5465,予定表!$B:$B,予定表!G:G,"該当なし",0,1)</f>
        <v>ディーミング</v>
      </c>
    </row>
    <row r="5476" spans="1:12">
      <c r="A5476" s="195"/>
      <c r="B5476" s="195" t="s">
        <v>206</v>
      </c>
      <c r="C5476"/>
      <c r="D5476" s="197" t="s">
        <v>851</v>
      </c>
      <c r="E5476" s="197" t="s">
        <v>414</v>
      </c>
      <c r="F5476" s="197" t="s">
        <v>416</v>
      </c>
      <c r="G5476" s="197" t="s">
        <v>268</v>
      </c>
      <c r="H5476" s="197" t="s">
        <v>60</v>
      </c>
      <c r="I5476" s="197" t="s">
        <v>793</v>
      </c>
      <c r="K5476" s="228"/>
      <c r="L5476" s="207" t="str">
        <f>_xlfn.XLOOKUP($B5465,予定表!$B:$B,予定表!H:H,"該当なし",0,1)</f>
        <v>'資さん 平塚</v>
      </c>
    </row>
    <row r="5477" spans="1:12">
      <c r="A5477" s="195"/>
      <c r="B5477" s="195" t="s">
        <v>207</v>
      </c>
      <c r="C5477"/>
      <c r="D5477" s="197" t="s">
        <v>851</v>
      </c>
      <c r="E5477" s="197" t="s">
        <v>414</v>
      </c>
      <c r="F5477" s="197" t="s">
        <v>416</v>
      </c>
      <c r="G5477" s="197" t="s">
        <v>268</v>
      </c>
      <c r="H5477" s="197"/>
      <c r="I5477" s="197" t="s">
        <v>264</v>
      </c>
      <c r="K5477" s="228"/>
      <c r="L5477" s="207" t="str">
        <f>_xlfn.XLOOKUP($B5465,予定表!$B:$B,予定表!I:I,"該当なし",0,1)</f>
        <v>カインズPM15</v>
      </c>
    </row>
    <row r="5478" spans="1:12">
      <c r="A5478" s="195"/>
      <c r="B5478" s="196" t="s">
        <v>212</v>
      </c>
      <c r="C5478"/>
      <c r="D5478" s="197" t="s">
        <v>851</v>
      </c>
      <c r="E5478" s="197" t="s">
        <v>414</v>
      </c>
      <c r="F5478" s="197" t="s">
        <v>416</v>
      </c>
      <c r="G5478" s="197" t="s">
        <v>268</v>
      </c>
      <c r="H5478" s="197" t="s">
        <v>848</v>
      </c>
      <c r="I5478" s="197" t="s">
        <v>280</v>
      </c>
      <c r="K5478" s="228"/>
      <c r="L5478" s="207">
        <f>_xlfn.XLOOKUP($B5465,予定表!$B:$B,予定表!J:J,"該当なし",0,1)</f>
        <v>0</v>
      </c>
    </row>
    <row r="5479" spans="1:12">
      <c r="A5479" s="195"/>
      <c r="B5479" s="195" t="s">
        <v>205</v>
      </c>
      <c r="C5479"/>
      <c r="D5479" s="197" t="s">
        <v>851</v>
      </c>
      <c r="E5479" s="197" t="s">
        <v>414</v>
      </c>
      <c r="F5479" s="197" t="s">
        <v>416</v>
      </c>
      <c r="G5479" s="197" t="s">
        <v>268</v>
      </c>
      <c r="H5479" s="197" t="s">
        <v>848</v>
      </c>
      <c r="I5479" s="197" t="s">
        <v>215</v>
      </c>
      <c r="K5479" s="228"/>
      <c r="L5479" s="207">
        <f>_xlfn.XLOOKUP($B5465,予定表!$B:$B,予定表!K:K,"該当なし",0,1)</f>
        <v>0</v>
      </c>
    </row>
    <row r="5480" spans="1:12">
      <c r="A5480" s="195"/>
      <c r="B5480" s="195" t="s">
        <v>206</v>
      </c>
      <c r="C5480"/>
      <c r="D5480" s="197" t="s">
        <v>851</v>
      </c>
      <c r="E5480" s="197" t="s">
        <v>214</v>
      </c>
      <c r="F5480" s="197" t="s">
        <v>416</v>
      </c>
      <c r="G5480" s="197" t="s">
        <v>515</v>
      </c>
      <c r="H5480" s="197" t="s">
        <v>848</v>
      </c>
      <c r="I5480" s="197" t="s">
        <v>127</v>
      </c>
      <c r="K5480" s="228"/>
      <c r="L5480" s="207">
        <f>_xlfn.XLOOKUP($B5465,予定表!$B:$B,予定表!L:L,"該当なし",0,1)</f>
        <v>0</v>
      </c>
    </row>
    <row r="5481" spans="1:12" ht="15.75" thickBot="1">
      <c r="A5481" s="195"/>
      <c r="B5481" s="195" t="s">
        <v>207</v>
      </c>
      <c r="C5481"/>
      <c r="D5481" s="197" t="s">
        <v>851</v>
      </c>
      <c r="E5481" s="197" t="s">
        <v>214</v>
      </c>
      <c r="F5481" s="197" t="s">
        <v>416</v>
      </c>
      <c r="G5481" s="197" t="s">
        <v>515</v>
      </c>
      <c r="H5481" s="197" t="s">
        <v>848</v>
      </c>
      <c r="I5481" s="197" t="s">
        <v>397</v>
      </c>
      <c r="K5481" s="229"/>
      <c r="L5481" s="204" t="str">
        <f>_xlfn.XLOOKUP($A5462,ﾘｽﾄマスタ!$U$8:$U$17,ﾘｽﾄマスタ!$V$8:$V$17,"",0)</f>
        <v/>
      </c>
    </row>
    <row r="5482" spans="1:12" ht="15.75" thickBot="1">
      <c r="A5482" s="195"/>
      <c r="B5482" s="196" t="s">
        <v>251</v>
      </c>
      <c r="C5482"/>
      <c r="D5482" s="197"/>
      <c r="E5482" s="197" t="s">
        <v>214</v>
      </c>
      <c r="F5482" s="197" t="s">
        <v>416</v>
      </c>
      <c r="G5482" s="197" t="s">
        <v>515</v>
      </c>
      <c r="H5482" s="197" t="s">
        <v>848</v>
      </c>
      <c r="I5482" s="197"/>
      <c r="K5482" s="208" t="s">
        <v>277</v>
      </c>
      <c r="L5482" s="208" t="str">
        <f>_xlfn.XLOOKUP($B5465,シフト抽出!$19:$19,シフト抽出!$30:$30,"該当なし",0,1)</f>
        <v>該当なし</v>
      </c>
    </row>
    <row r="5483" spans="1:12">
      <c r="A5483" s="195"/>
      <c r="B5483" s="195" t="s">
        <v>205</v>
      </c>
      <c r="C5483"/>
      <c r="D5483" s="197" t="s">
        <v>416</v>
      </c>
      <c r="E5483" s="197" t="s">
        <v>761</v>
      </c>
      <c r="F5483" s="197" t="s">
        <v>416</v>
      </c>
      <c r="G5483" s="197" t="s">
        <v>269</v>
      </c>
      <c r="H5483" s="197" t="s">
        <v>848</v>
      </c>
      <c r="I5483" s="197" t="s">
        <v>252</v>
      </c>
    </row>
    <row r="5484" spans="1:12">
      <c r="A5484" s="195"/>
      <c r="B5484" s="195" t="s">
        <v>206</v>
      </c>
      <c r="C5484"/>
      <c r="D5484" s="197" t="s">
        <v>771</v>
      </c>
      <c r="E5484" s="197" t="s">
        <v>761</v>
      </c>
      <c r="F5484" s="197" t="s">
        <v>416</v>
      </c>
      <c r="G5484" s="197" t="s">
        <v>269</v>
      </c>
      <c r="H5484" s="197" t="s">
        <v>229</v>
      </c>
      <c r="I5484" s="197" t="s">
        <v>252</v>
      </c>
    </row>
    <row r="5485" spans="1:12">
      <c r="A5485" s="195"/>
      <c r="B5485" s="195" t="s">
        <v>207</v>
      </c>
      <c r="C5485"/>
      <c r="D5485" s="197" t="s">
        <v>416</v>
      </c>
      <c r="E5485" s="197" t="s">
        <v>761</v>
      </c>
      <c r="F5485" s="197" t="s">
        <v>416</v>
      </c>
      <c r="G5485" s="197" t="s">
        <v>446</v>
      </c>
      <c r="H5485" s="197" t="s">
        <v>229</v>
      </c>
      <c r="I5485" s="197" t="s">
        <v>252</v>
      </c>
    </row>
    <row r="5486" spans="1:12">
      <c r="A5486" s="195"/>
      <c r="B5486" s="196" t="s">
        <v>217</v>
      </c>
      <c r="C5486"/>
      <c r="D5486" s="197" t="s">
        <v>416</v>
      </c>
      <c r="E5486" s="197" t="s">
        <v>761</v>
      </c>
      <c r="F5486" s="197" t="s">
        <v>416</v>
      </c>
      <c r="G5486" s="197" t="s">
        <v>446</v>
      </c>
      <c r="H5486" s="197" t="s">
        <v>230</v>
      </c>
      <c r="I5486" s="197" t="s">
        <v>252</v>
      </c>
    </row>
    <row r="5487" spans="1:12">
      <c r="A5487" s="195"/>
      <c r="B5487" s="195" t="s">
        <v>205</v>
      </c>
      <c r="C5487"/>
      <c r="D5487" s="197" t="s">
        <v>224</v>
      </c>
      <c r="E5487" s="197" t="s">
        <v>51</v>
      </c>
      <c r="F5487" s="197" t="s">
        <v>416</v>
      </c>
      <c r="G5487" s="197" t="s">
        <v>114</v>
      </c>
      <c r="H5487" s="197" t="s">
        <v>230</v>
      </c>
      <c r="I5487" s="197" t="s">
        <v>252</v>
      </c>
    </row>
    <row r="5488" spans="1:12">
      <c r="A5488" s="195"/>
      <c r="B5488" s="195" t="s">
        <v>206</v>
      </c>
      <c r="C5488"/>
      <c r="D5488" s="197" t="s">
        <v>224</v>
      </c>
      <c r="E5488" s="197" t="s">
        <v>51</v>
      </c>
      <c r="F5488" s="197"/>
      <c r="G5488" s="197" t="s">
        <v>114</v>
      </c>
      <c r="H5488" s="197" t="s">
        <v>230</v>
      </c>
      <c r="I5488" s="197" t="s">
        <v>252</v>
      </c>
    </row>
    <row r="5489" spans="1:9">
      <c r="A5489" s="195"/>
      <c r="B5489" s="195" t="s">
        <v>207</v>
      </c>
      <c r="C5489"/>
      <c r="D5489" s="197" t="s">
        <v>224</v>
      </c>
      <c r="E5489" s="197" t="s">
        <v>51</v>
      </c>
      <c r="F5489" s="197"/>
      <c r="G5489" s="197"/>
      <c r="H5489" s="197" t="s">
        <v>230</v>
      </c>
      <c r="I5489" s="197" t="s">
        <v>252</v>
      </c>
    </row>
    <row r="5490" spans="1:9">
      <c r="A5490" s="195"/>
      <c r="B5490" s="196" t="s">
        <v>219</v>
      </c>
      <c r="C5490"/>
      <c r="D5490" s="197" t="s">
        <v>224</v>
      </c>
      <c r="E5490" s="197" t="s">
        <v>51</v>
      </c>
      <c r="F5490" s="197"/>
      <c r="G5490" s="197"/>
      <c r="H5490" s="197"/>
      <c r="I5490" s="197" t="s">
        <v>252</v>
      </c>
    </row>
    <row r="5491" spans="1:9">
      <c r="A5491" s="195"/>
      <c r="B5491" s="195" t="s">
        <v>205</v>
      </c>
      <c r="C5491"/>
      <c r="D5491" s="197"/>
      <c r="E5491" s="197"/>
      <c r="F5491" s="197"/>
      <c r="G5491" s="197"/>
      <c r="H5491" s="197"/>
      <c r="I5491" s="197" t="s">
        <v>252</v>
      </c>
    </row>
    <row r="5492" spans="1:9">
      <c r="A5492" s="195"/>
      <c r="B5492" s="195" t="s">
        <v>206</v>
      </c>
      <c r="C5492"/>
      <c r="D5492" s="197"/>
      <c r="E5492" s="197"/>
      <c r="F5492" s="197"/>
      <c r="G5492" s="197"/>
      <c r="H5492" s="197"/>
      <c r="I5492" s="197"/>
    </row>
    <row r="5493" spans="1:9">
      <c r="A5493" s="195"/>
      <c r="B5493" s="195" t="s">
        <v>207</v>
      </c>
      <c r="C5493"/>
      <c r="D5493" s="221"/>
      <c r="E5493" s="221"/>
      <c r="F5493" s="221"/>
      <c r="G5493" s="221"/>
      <c r="H5493" s="221"/>
      <c r="I5493" s="221"/>
    </row>
    <row r="5494" spans="1:9">
      <c r="A5494" s="195"/>
      <c r="B5494" s="196" t="s">
        <v>220</v>
      </c>
      <c r="C5494"/>
      <c r="D5494" s="189"/>
      <c r="E5494" s="189"/>
      <c r="F5494" s="221"/>
      <c r="G5494" s="189" t="s">
        <v>925</v>
      </c>
      <c r="H5494" s="197"/>
      <c r="I5494" s="197"/>
    </row>
    <row r="5495" spans="1:9">
      <c r="A5495" s="195"/>
      <c r="B5495" s="195" t="s">
        <v>205</v>
      </c>
      <c r="C5495"/>
      <c r="D5495" s="197" t="s">
        <v>878</v>
      </c>
      <c r="E5495" s="197" t="s">
        <v>273</v>
      </c>
      <c r="F5495" s="221" t="s">
        <v>416</v>
      </c>
      <c r="G5495" s="197" t="s">
        <v>56</v>
      </c>
      <c r="H5495" s="197" t="s">
        <v>415</v>
      </c>
      <c r="I5495" s="209" t="s">
        <v>416</v>
      </c>
    </row>
    <row r="5496" spans="1:9">
      <c r="A5496" s="195"/>
      <c r="B5496" s="195" t="s">
        <v>206</v>
      </c>
      <c r="C5496"/>
      <c r="D5496" s="197" t="s">
        <v>878</v>
      </c>
      <c r="E5496" s="197" t="s">
        <v>273</v>
      </c>
      <c r="F5496" s="221" t="s">
        <v>1003</v>
      </c>
      <c r="G5496" s="197" t="s">
        <v>56</v>
      </c>
      <c r="H5496" s="197" t="s">
        <v>415</v>
      </c>
      <c r="I5496" s="209" t="s">
        <v>1004</v>
      </c>
    </row>
    <row r="5497" spans="1:9">
      <c r="A5497" s="195"/>
      <c r="B5497" s="195" t="s">
        <v>207</v>
      </c>
      <c r="C5497"/>
      <c r="D5497" s="197" t="s">
        <v>878</v>
      </c>
      <c r="E5497" s="197" t="s">
        <v>273</v>
      </c>
      <c r="F5497" s="221" t="s">
        <v>416</v>
      </c>
      <c r="G5497" s="197" t="s">
        <v>56</v>
      </c>
      <c r="H5497" s="197" t="s">
        <v>415</v>
      </c>
      <c r="I5497" s="209" t="s">
        <v>416</v>
      </c>
    </row>
    <row r="5498" spans="1:9">
      <c r="A5498" s="195"/>
      <c r="B5498" s="196" t="s">
        <v>222</v>
      </c>
      <c r="C5498"/>
      <c r="D5498" s="197" t="s">
        <v>523</v>
      </c>
      <c r="E5498" s="197" t="s">
        <v>273</v>
      </c>
      <c r="F5498" s="221" t="s">
        <v>416</v>
      </c>
      <c r="G5498" s="197"/>
      <c r="H5498" s="197" t="s">
        <v>415</v>
      </c>
      <c r="I5498" s="209" t="s">
        <v>416</v>
      </c>
    </row>
    <row r="5499" spans="1:9">
      <c r="A5499" s="195"/>
      <c r="B5499" s="195" t="s">
        <v>205</v>
      </c>
      <c r="C5499"/>
      <c r="D5499" s="197" t="s">
        <v>523</v>
      </c>
      <c r="E5499" s="197" t="s">
        <v>186</v>
      </c>
      <c r="F5499" s="221" t="s">
        <v>416</v>
      </c>
      <c r="G5499" s="197" t="s">
        <v>270</v>
      </c>
      <c r="H5499" s="197" t="s">
        <v>415</v>
      </c>
      <c r="I5499" s="209" t="s">
        <v>1005</v>
      </c>
    </row>
    <row r="5500" spans="1:9">
      <c r="A5500" s="195"/>
      <c r="B5500" s="195" t="s">
        <v>206</v>
      </c>
      <c r="C5500"/>
      <c r="D5500" s="197" t="s">
        <v>759</v>
      </c>
      <c r="E5500" s="197" t="s">
        <v>186</v>
      </c>
      <c r="F5500" s="221" t="s">
        <v>416</v>
      </c>
      <c r="G5500" s="197" t="s">
        <v>270</v>
      </c>
      <c r="H5500" s="197" t="s">
        <v>415</v>
      </c>
      <c r="I5500" s="209" t="s">
        <v>416</v>
      </c>
    </row>
    <row r="5501" spans="1:9">
      <c r="A5501" s="195"/>
      <c r="B5501" s="195" t="s">
        <v>207</v>
      </c>
      <c r="C5501"/>
      <c r="D5501" s="197" t="s">
        <v>759</v>
      </c>
      <c r="E5501" s="197" t="s">
        <v>186</v>
      </c>
      <c r="F5501" s="221" t="s">
        <v>416</v>
      </c>
      <c r="G5501" s="197" t="s">
        <v>270</v>
      </c>
      <c r="H5501" s="197" t="s">
        <v>415</v>
      </c>
      <c r="I5501" s="209" t="s">
        <v>416</v>
      </c>
    </row>
    <row r="5502" spans="1:9">
      <c r="A5502" s="195"/>
      <c r="B5502" s="196" t="s">
        <v>223</v>
      </c>
      <c r="C5502"/>
      <c r="D5502" s="197" t="s">
        <v>366</v>
      </c>
      <c r="E5502" s="197" t="s">
        <v>252</v>
      </c>
      <c r="F5502" s="221" t="s">
        <v>416</v>
      </c>
      <c r="G5502" s="197" t="s">
        <v>270</v>
      </c>
      <c r="H5502" s="197" t="s">
        <v>415</v>
      </c>
      <c r="I5502" s="209" t="s">
        <v>416</v>
      </c>
    </row>
    <row r="5503" spans="1:9">
      <c r="A5503" s="195"/>
      <c r="B5503" s="195" t="s">
        <v>205</v>
      </c>
      <c r="C5503"/>
      <c r="D5503" s="197" t="s">
        <v>366</v>
      </c>
      <c r="E5503" s="197" t="s">
        <v>252</v>
      </c>
      <c r="F5503" s="221" t="s">
        <v>416</v>
      </c>
      <c r="G5503" s="197" t="s">
        <v>270</v>
      </c>
      <c r="H5503" s="197" t="s">
        <v>415</v>
      </c>
      <c r="I5503" s="209" t="s">
        <v>416</v>
      </c>
    </row>
    <row r="5504" spans="1:9">
      <c r="A5504" s="195"/>
      <c r="B5504" s="195" t="s">
        <v>206</v>
      </c>
      <c r="C5504"/>
      <c r="D5504" s="197" t="s">
        <v>366</v>
      </c>
      <c r="E5504" s="197" t="s">
        <v>252</v>
      </c>
      <c r="F5504" s="221" t="s">
        <v>416</v>
      </c>
      <c r="G5504" s="197" t="s">
        <v>270</v>
      </c>
      <c r="H5504" s="197" t="s">
        <v>415</v>
      </c>
      <c r="I5504" s="209" t="s">
        <v>416</v>
      </c>
    </row>
    <row r="5505" spans="1:12">
      <c r="A5505" s="195"/>
      <c r="B5505" s="195" t="s">
        <v>207</v>
      </c>
      <c r="C5505"/>
      <c r="D5505" s="197" t="s">
        <v>216</v>
      </c>
      <c r="E5505" s="197" t="s">
        <v>252</v>
      </c>
      <c r="F5505" s="197" t="s">
        <v>416</v>
      </c>
      <c r="G5505" s="197" t="s">
        <v>270</v>
      </c>
      <c r="H5505" s="197" t="s">
        <v>415</v>
      </c>
      <c r="I5505" s="209" t="s">
        <v>416</v>
      </c>
    </row>
    <row r="5506" spans="1:12">
      <c r="A5506" s="195"/>
      <c r="B5506" s="196" t="s">
        <v>225</v>
      </c>
      <c r="C5506"/>
      <c r="D5506" s="197" t="s">
        <v>216</v>
      </c>
      <c r="E5506" s="197" t="s">
        <v>252</v>
      </c>
      <c r="F5506" s="197" t="s">
        <v>416</v>
      </c>
      <c r="G5506" s="197" t="s">
        <v>270</v>
      </c>
      <c r="H5506" s="197" t="s">
        <v>415</v>
      </c>
      <c r="I5506" s="209"/>
    </row>
    <row r="5507" spans="1:12">
      <c r="A5507" s="195"/>
      <c r="B5507" s="195" t="s">
        <v>205</v>
      </c>
      <c r="C5507"/>
      <c r="D5507" s="197" t="s">
        <v>216</v>
      </c>
      <c r="E5507" s="197" t="s">
        <v>252</v>
      </c>
      <c r="F5507" s="197" t="s">
        <v>416</v>
      </c>
      <c r="G5507" s="197" t="s">
        <v>270</v>
      </c>
      <c r="H5507" s="197" t="s">
        <v>415</v>
      </c>
      <c r="I5507" s="209"/>
    </row>
    <row r="5508" spans="1:12">
      <c r="A5508" s="195"/>
      <c r="B5508" s="195" t="s">
        <v>206</v>
      </c>
      <c r="C5508"/>
      <c r="D5508" s="197" t="s">
        <v>216</v>
      </c>
      <c r="E5508" s="197" t="s">
        <v>252</v>
      </c>
      <c r="F5508" s="197" t="s">
        <v>416</v>
      </c>
      <c r="G5508" s="197" t="s">
        <v>270</v>
      </c>
      <c r="H5508" s="197" t="s">
        <v>415</v>
      </c>
      <c r="I5508" s="209"/>
    </row>
    <row r="5509" spans="1:12">
      <c r="A5509" s="195"/>
      <c r="B5509" s="195" t="s">
        <v>207</v>
      </c>
      <c r="C5509"/>
      <c r="D5509" s="197"/>
      <c r="E5509" s="197" t="s">
        <v>252</v>
      </c>
      <c r="F5509" s="197"/>
      <c r="G5509" s="197" t="s">
        <v>270</v>
      </c>
      <c r="H5509" s="197"/>
      <c r="I5509" s="209"/>
    </row>
    <row r="5510" spans="1:12">
      <c r="A5510" s="195"/>
      <c r="B5510" s="196" t="s">
        <v>226</v>
      </c>
      <c r="C5510"/>
      <c r="D5510" s="197"/>
      <c r="E5510" s="197"/>
      <c r="F5510" s="197"/>
      <c r="G5510" s="197" t="s">
        <v>270</v>
      </c>
      <c r="H5510" s="209"/>
      <c r="I5510" s="209"/>
    </row>
    <row r="5511" spans="1:12">
      <c r="A5511" s="195"/>
      <c r="B5511" s="195" t="s">
        <v>205</v>
      </c>
      <c r="C5511"/>
      <c r="D5511" s="197"/>
      <c r="E5511" s="197"/>
      <c r="F5511" s="197"/>
      <c r="G5511" s="197"/>
      <c r="H5511" s="209"/>
      <c r="I5511" s="209"/>
    </row>
    <row r="5512" spans="1:12">
      <c r="A5512" s="195"/>
      <c r="B5512" s="195" t="s">
        <v>206</v>
      </c>
      <c r="C5512"/>
      <c r="D5512" s="197"/>
      <c r="E5512" s="197"/>
      <c r="F5512" s="197"/>
      <c r="G5512" s="197"/>
      <c r="H5512" s="209"/>
      <c r="I5512" s="209"/>
    </row>
    <row r="5513" spans="1:12">
      <c r="A5513" s="195"/>
      <c r="B5513" s="195" t="s">
        <v>207</v>
      </c>
      <c r="C5513"/>
      <c r="D5513" s="197"/>
      <c r="E5513" s="197"/>
      <c r="F5513" s="197"/>
      <c r="G5513" s="197"/>
      <c r="H5513" s="209"/>
      <c r="I5513" s="209"/>
    </row>
    <row r="5514" spans="1:12">
      <c r="A5514" s="195"/>
      <c r="B5514" s="196" t="s">
        <v>227</v>
      </c>
      <c r="C5514"/>
      <c r="D5514" s="197"/>
      <c r="E5514" s="197"/>
      <c r="F5514" s="197"/>
      <c r="G5514" s="197"/>
      <c r="H5514" s="209"/>
      <c r="I5514" s="209"/>
      <c r="K5514"/>
    </row>
    <row r="5515" spans="1:12" ht="29.25" thickBot="1">
      <c r="A5515" s="213" t="str">
        <f>"回収シフト  第"&amp;ROUNDUP(DAY(B5518)/7,0)  &amp;"  "&amp;TEXT(B5518,"aaaa")</f>
        <v>回収シフト  第5  木曜日</v>
      </c>
      <c r="B5515" s="214"/>
      <c r="C5515" s="214"/>
      <c r="D5515" s="214"/>
      <c r="E5515" s="214"/>
      <c r="F5515" s="214"/>
      <c r="G5515" s="215"/>
      <c r="H5515" s="215"/>
      <c r="I5515" s="215"/>
      <c r="K5515" s="214"/>
      <c r="L5515" s="214"/>
    </row>
    <row r="5516" spans="1:12" ht="15.75" thickBot="1">
      <c r="A5516"/>
      <c r="B5516"/>
      <c r="C5516"/>
      <c r="D5516" s="186" t="s">
        <v>201</v>
      </c>
      <c r="E5516" s="186" t="s">
        <v>202</v>
      </c>
      <c r="F5516" s="186" t="s">
        <v>203</v>
      </c>
      <c r="G5516" s="186" t="s">
        <v>204</v>
      </c>
      <c r="H5516" s="186" t="s">
        <v>267</v>
      </c>
      <c r="I5516" s="186" t="s">
        <v>987</v>
      </c>
      <c r="K5516" s="230" t="s">
        <v>257</v>
      </c>
      <c r="L5516" s="231"/>
    </row>
    <row r="5517" spans="1:12">
      <c r="A5517" s="187"/>
      <c r="B5517" s="188">
        <v>46119</v>
      </c>
      <c r="C5517" s="187"/>
      <c r="D5517" s="189" t="s">
        <v>859</v>
      </c>
      <c r="E5517" s="189" t="s">
        <v>849</v>
      </c>
      <c r="F5517" s="189" t="s">
        <v>921</v>
      </c>
      <c r="G5517" s="189" t="s">
        <v>857</v>
      </c>
      <c r="H5517" s="189" t="s">
        <v>852</v>
      </c>
      <c r="I5517" s="189" t="s">
        <v>1017</v>
      </c>
      <c r="K5517" s="232" t="s">
        <v>258</v>
      </c>
      <c r="L5517" s="190" t="str">
        <f>_xlfn.XLOOKUP($B5518,シフト抽出!$19:$19,シフト抽出!$20:$20,"該当なし",0,1)</f>
        <v>該当なし</v>
      </c>
    </row>
    <row r="5518" spans="1:12" ht="19.5" thickBot="1">
      <c r="A5518"/>
      <c r="B5518" s="191">
        <f>B5465+1</f>
        <v>46233</v>
      </c>
      <c r="C5518" s="192"/>
      <c r="D5518" s="216"/>
      <c r="E5518" s="216"/>
      <c r="F5518" s="216"/>
      <c r="G5518" s="216"/>
      <c r="H5518" s="216"/>
      <c r="I5518" s="216"/>
      <c r="K5518" s="233"/>
      <c r="L5518" s="194" t="str">
        <f>_xlfn.XLOOKUP($B5518,シフト抽出!$19:$19,シフト抽出!$21:$21,"該当なし",0,1)</f>
        <v>該当なし</v>
      </c>
    </row>
    <row r="5519" spans="1:12">
      <c r="A5519" s="195"/>
      <c r="B5519" s="196">
        <v>0.25</v>
      </c>
      <c r="C5519"/>
      <c r="D5519" s="197"/>
      <c r="E5519" s="196"/>
      <c r="F5519" s="197"/>
      <c r="G5519" s="197"/>
      <c r="H5519" s="197"/>
      <c r="I5519" s="197"/>
      <c r="K5519" s="234" t="s">
        <v>259</v>
      </c>
      <c r="L5519" s="198" t="str">
        <f>_xlfn.XLOOKUP($B5518,シフト抽出!$19:$19,シフト抽出!$23:$23,"該当なし",0,1)</f>
        <v>該当なし</v>
      </c>
    </row>
    <row r="5520" spans="1:12" ht="15.75" thickBot="1">
      <c r="A5520" s="195"/>
      <c r="B5520" s="195" t="s">
        <v>205</v>
      </c>
      <c r="C5520"/>
      <c r="D5520" s="197"/>
      <c r="E5520" s="197"/>
      <c r="F5520" s="197"/>
      <c r="G5520" s="197"/>
      <c r="H5520" s="197"/>
      <c r="I5520" s="209"/>
      <c r="K5520" s="235"/>
      <c r="L5520" s="199" t="str">
        <f>_xlfn.XLOOKUP($B5518,シフト抽出!$19:$19,シフト抽出!$24:$24,"該当なし",0,1)</f>
        <v>該当なし</v>
      </c>
    </row>
    <row r="5521" spans="1:12">
      <c r="A5521" s="195"/>
      <c r="B5521" s="195" t="s">
        <v>206</v>
      </c>
      <c r="C5521"/>
      <c r="D5521" s="197"/>
      <c r="E5521" s="197"/>
      <c r="F5521" s="197"/>
      <c r="G5521" s="197"/>
      <c r="H5521" s="197"/>
      <c r="I5521" s="209"/>
      <c r="K5521" s="224" t="s">
        <v>260</v>
      </c>
      <c r="L5521" s="200" t="str">
        <f>_xlfn.XLOOKUP($B5518,シフト抽出!$19:$19,シフト抽出!$26:$26,"該当なし",0,1)</f>
        <v>該当なし</v>
      </c>
    </row>
    <row r="5522" spans="1:12">
      <c r="A5522" s="195"/>
      <c r="B5522" s="195" t="s">
        <v>207</v>
      </c>
      <c r="C5522"/>
      <c r="D5522" s="197"/>
      <c r="E5522" s="197"/>
      <c r="F5522" s="197"/>
      <c r="G5522" s="197"/>
      <c r="H5522" s="197"/>
      <c r="I5522" s="209"/>
      <c r="K5522" s="225"/>
      <c r="L5522" s="201" t="str">
        <f>_xlfn.XLOOKUP($B5518,シフト抽出!$19:$19,シフト抽出!$27:$27,"該当なし",0,1)</f>
        <v>該当なし</v>
      </c>
    </row>
    <row r="5523" spans="1:12">
      <c r="A5523" s="195"/>
      <c r="B5523" s="202" t="s">
        <v>208</v>
      </c>
      <c r="C5523"/>
      <c r="D5523" s="197" t="s">
        <v>1022</v>
      </c>
      <c r="E5523" s="197" t="s">
        <v>4</v>
      </c>
      <c r="F5523" s="197"/>
      <c r="G5523" s="197" t="s">
        <v>4</v>
      </c>
      <c r="H5523" s="197"/>
      <c r="I5523" s="209"/>
      <c r="J5523" s="203"/>
      <c r="K5523" s="225"/>
      <c r="L5523" s="201" t="str">
        <f>_xlfn.XLOOKUP($B5518,シフト抽出!$19:$19,シフト抽出!$28:$28,"該当なし",0,1)</f>
        <v>該当なし</v>
      </c>
    </row>
    <row r="5524" spans="1:12" ht="15.75" thickBot="1">
      <c r="A5524" s="195"/>
      <c r="B5524" s="195" t="s">
        <v>205</v>
      </c>
      <c r="C5524"/>
      <c r="D5524" s="197" t="s">
        <v>414</v>
      </c>
      <c r="E5524" s="197" t="s">
        <v>421</v>
      </c>
      <c r="F5524" s="197"/>
      <c r="G5524" s="197" t="s">
        <v>22</v>
      </c>
      <c r="H5524" s="197"/>
      <c r="I5524" s="209"/>
      <c r="J5524" s="203"/>
      <c r="K5524" s="226"/>
      <c r="L5524" s="204" t="str">
        <f>_xlfn.XLOOKUP($B5518,シフト抽出!$19:$19,シフト抽出!$29:$29,"該当なし",0,1)</f>
        <v>該当なし</v>
      </c>
    </row>
    <row r="5525" spans="1:12" ht="15.75" thickBot="1">
      <c r="A5525" s="195"/>
      <c r="B5525" s="195" t="s">
        <v>206</v>
      </c>
      <c r="C5525"/>
      <c r="D5525" s="197" t="s">
        <v>414</v>
      </c>
      <c r="E5525" s="197" t="s">
        <v>421</v>
      </c>
      <c r="F5525" s="197"/>
      <c r="G5525" s="197" t="s">
        <v>22</v>
      </c>
      <c r="H5525" s="197"/>
      <c r="I5525" s="209"/>
      <c r="K5525" s="205" t="s">
        <v>261</v>
      </c>
      <c r="L5525" s="205">
        <f>_xlfn.XLOOKUP($B5518,予定表!B:B,予定表!R:R,"該当なし",0,1)</f>
        <v>0</v>
      </c>
    </row>
    <row r="5526" spans="1:12">
      <c r="A5526" s="195"/>
      <c r="B5526" s="195" t="s">
        <v>207</v>
      </c>
      <c r="C5526"/>
      <c r="D5526" s="197" t="s">
        <v>414</v>
      </c>
      <c r="E5526" s="197" t="s">
        <v>421</v>
      </c>
      <c r="F5526" s="197"/>
      <c r="G5526" s="197" t="s">
        <v>22</v>
      </c>
      <c r="H5526" s="197"/>
      <c r="I5526" s="209"/>
      <c r="K5526" s="227" t="s">
        <v>262</v>
      </c>
      <c r="L5526" s="206" t="str">
        <f>_xlfn.XLOOKUP($B5518,予定表!$B:$B,予定表!E:E,"該当なし",0,1)</f>
        <v>エバネクストAM</v>
      </c>
    </row>
    <row r="5527" spans="1:12">
      <c r="A5527" s="195"/>
      <c r="B5527" s="196" t="s">
        <v>209</v>
      </c>
      <c r="C5527"/>
      <c r="D5527" s="197" t="s">
        <v>414</v>
      </c>
      <c r="E5527" s="197" t="s">
        <v>421</v>
      </c>
      <c r="F5527" s="197" t="s">
        <v>70</v>
      </c>
      <c r="G5527" s="197" t="s">
        <v>268</v>
      </c>
      <c r="H5527" s="197" t="s">
        <v>4</v>
      </c>
      <c r="I5527" s="209" t="s">
        <v>4</v>
      </c>
      <c r="K5527" s="228"/>
      <c r="L5527" s="207">
        <f>_xlfn.XLOOKUP($B5518,予定表!$B:$B,予定表!F:F,"該当なし",0,1)</f>
        <v>0</v>
      </c>
    </row>
    <row r="5528" spans="1:12">
      <c r="A5528" s="195"/>
      <c r="B5528" s="195" t="s">
        <v>205</v>
      </c>
      <c r="C5528"/>
      <c r="D5528" s="197" t="s">
        <v>414</v>
      </c>
      <c r="E5528" s="197" t="s">
        <v>421</v>
      </c>
      <c r="F5528" s="197" t="s">
        <v>70</v>
      </c>
      <c r="G5528" s="197" t="s">
        <v>268</v>
      </c>
      <c r="H5528" s="197" t="s">
        <v>60</v>
      </c>
      <c r="I5528" s="209" t="s">
        <v>851</v>
      </c>
      <c r="K5528" s="228"/>
      <c r="L5528" s="207">
        <f>_xlfn.XLOOKUP($B5518,予定表!$B:$B,予定表!G:G,"該当なし",0,1)</f>
        <v>0</v>
      </c>
    </row>
    <row r="5529" spans="1:12">
      <c r="A5529" s="195"/>
      <c r="B5529" s="195" t="s">
        <v>206</v>
      </c>
      <c r="C5529"/>
      <c r="D5529" s="197" t="s">
        <v>214</v>
      </c>
      <c r="E5529" s="197" t="s">
        <v>934</v>
      </c>
      <c r="F5529" s="197" t="s">
        <v>70</v>
      </c>
      <c r="G5529" s="197" t="s">
        <v>268</v>
      </c>
      <c r="H5529" s="197" t="s">
        <v>60</v>
      </c>
      <c r="I5529" s="209" t="s">
        <v>851</v>
      </c>
      <c r="K5529" s="228"/>
      <c r="L5529" s="207" t="str">
        <f>_xlfn.XLOOKUP($B5518,予定表!$B:$B,予定表!H:H,"該当なし",0,1)</f>
        <v>鴻池戸田15</v>
      </c>
    </row>
    <row r="5530" spans="1:12">
      <c r="A5530" s="195"/>
      <c r="B5530" s="195" t="s">
        <v>207</v>
      </c>
      <c r="C5530"/>
      <c r="D5530" s="197" t="s">
        <v>214</v>
      </c>
      <c r="E5530" s="197" t="s">
        <v>273</v>
      </c>
      <c r="F5530" s="197" t="s">
        <v>70</v>
      </c>
      <c r="G5530" s="197" t="s">
        <v>268</v>
      </c>
      <c r="H5530" s="197" t="s">
        <v>60</v>
      </c>
      <c r="I5530" s="209" t="s">
        <v>851</v>
      </c>
      <c r="K5530" s="228"/>
      <c r="L5530" s="207" t="str">
        <f>_xlfn.XLOOKUP($B5518,予定表!$B:$B,予定表!I:I,"該当なし",0,1)</f>
        <v>カインズPM15</v>
      </c>
    </row>
    <row r="5531" spans="1:12">
      <c r="A5531" s="195"/>
      <c r="B5531" s="196" t="s">
        <v>212</v>
      </c>
      <c r="C5531"/>
      <c r="D5531" s="197" t="s">
        <v>214</v>
      </c>
      <c r="E5531" s="197" t="s">
        <v>273</v>
      </c>
      <c r="F5531" s="197" t="s">
        <v>70</v>
      </c>
      <c r="G5531" s="197" t="s">
        <v>268</v>
      </c>
      <c r="H5531" s="197"/>
      <c r="I5531" s="209" t="s">
        <v>851</v>
      </c>
      <c r="K5531" s="228"/>
      <c r="L5531" s="207">
        <f>_xlfn.XLOOKUP($B5518,予定表!$B:$B,予定表!J:J,"該当なし",0,1)</f>
        <v>0</v>
      </c>
    </row>
    <row r="5532" spans="1:12">
      <c r="A5532" s="195"/>
      <c r="B5532" s="195" t="s">
        <v>205</v>
      </c>
      <c r="C5532"/>
      <c r="D5532" s="197" t="s">
        <v>761</v>
      </c>
      <c r="E5532" s="197" t="s">
        <v>228</v>
      </c>
      <c r="F5532" s="197" t="s">
        <v>70</v>
      </c>
      <c r="G5532" s="197" t="s">
        <v>268</v>
      </c>
      <c r="H5532" s="197" t="s">
        <v>230</v>
      </c>
      <c r="I5532" s="209" t="s">
        <v>851</v>
      </c>
      <c r="K5532" s="228"/>
      <c r="L5532" s="207">
        <f>_xlfn.XLOOKUP($B5518,予定表!$B:$B,予定表!K:K,"該当なし",0,1)</f>
        <v>0</v>
      </c>
    </row>
    <row r="5533" spans="1:12">
      <c r="A5533" s="195"/>
      <c r="B5533" s="195" t="s">
        <v>206</v>
      </c>
      <c r="C5533"/>
      <c r="D5533" s="197" t="s">
        <v>761</v>
      </c>
      <c r="E5533" s="197" t="s">
        <v>228</v>
      </c>
      <c r="F5533" s="197" t="s">
        <v>70</v>
      </c>
      <c r="G5533" s="197" t="s">
        <v>169</v>
      </c>
      <c r="H5533" s="197" t="s">
        <v>230</v>
      </c>
      <c r="I5533" s="209" t="s">
        <v>851</v>
      </c>
      <c r="K5533" s="228"/>
      <c r="L5533" s="207">
        <f>_xlfn.XLOOKUP($B5518,予定表!$B:$B,予定表!L:L,"該当なし",0,1)</f>
        <v>0</v>
      </c>
    </row>
    <row r="5534" spans="1:12" ht="15.75" thickBot="1">
      <c r="A5534" s="195"/>
      <c r="B5534" s="195" t="s">
        <v>207</v>
      </c>
      <c r="C5534"/>
      <c r="D5534" s="197" t="s">
        <v>761</v>
      </c>
      <c r="E5534" s="197" t="s">
        <v>959</v>
      </c>
      <c r="F5534" s="197" t="s">
        <v>70</v>
      </c>
      <c r="G5534" s="197" t="s">
        <v>169</v>
      </c>
      <c r="H5534" s="197" t="s">
        <v>230</v>
      </c>
      <c r="I5534" s="209" t="s">
        <v>851</v>
      </c>
      <c r="K5534" s="229"/>
      <c r="L5534" s="204" t="str">
        <f>_xlfn.XLOOKUP($A5515,ﾘｽﾄマスタ!$U$8:$U$17,ﾘｽﾄマスタ!$V$8:$V$17,"",0)</f>
        <v/>
      </c>
    </row>
    <row r="5535" spans="1:12" ht="15.75" thickBot="1">
      <c r="A5535" s="195"/>
      <c r="B5535" s="196" t="s">
        <v>251</v>
      </c>
      <c r="C5535"/>
      <c r="D5535" s="197" t="s">
        <v>7</v>
      </c>
      <c r="E5535" s="197" t="s">
        <v>228</v>
      </c>
      <c r="F5535" s="197" t="s">
        <v>70</v>
      </c>
      <c r="G5535" s="197" t="s">
        <v>169</v>
      </c>
      <c r="H5535" s="197" t="s">
        <v>229</v>
      </c>
      <c r="I5535" s="209" t="s">
        <v>851</v>
      </c>
      <c r="K5535" s="208" t="s">
        <v>277</v>
      </c>
      <c r="L5535" s="208" t="str">
        <f>_xlfn.XLOOKUP($B5518,シフト抽出!$19:$19,シフト抽出!$30:$30,"該当なし",0,1)</f>
        <v>該当なし</v>
      </c>
    </row>
    <row r="5536" spans="1:12">
      <c r="A5536" s="195"/>
      <c r="B5536" s="195" t="s">
        <v>205</v>
      </c>
      <c r="C5536"/>
      <c r="D5536" s="197" t="s">
        <v>129</v>
      </c>
      <c r="E5536" s="197" t="s">
        <v>228</v>
      </c>
      <c r="F5536" s="197" t="s">
        <v>70</v>
      </c>
      <c r="G5536" s="197" t="s">
        <v>169</v>
      </c>
      <c r="H5536" s="197" t="s">
        <v>229</v>
      </c>
      <c r="I5536" s="209" t="s">
        <v>851</v>
      </c>
    </row>
    <row r="5537" spans="1:9">
      <c r="A5537" s="195"/>
      <c r="B5537" s="195" t="s">
        <v>206</v>
      </c>
      <c r="C5537"/>
      <c r="D5537" s="197" t="s">
        <v>129</v>
      </c>
      <c r="E5537" s="197" t="s">
        <v>263</v>
      </c>
      <c r="F5537" s="197" t="s">
        <v>70</v>
      </c>
      <c r="G5537" s="197" t="s">
        <v>169</v>
      </c>
      <c r="H5537" s="197" t="s">
        <v>848</v>
      </c>
      <c r="I5537" s="209"/>
    </row>
    <row r="5538" spans="1:9">
      <c r="A5538" s="195"/>
      <c r="B5538" s="195" t="s">
        <v>207</v>
      </c>
      <c r="C5538"/>
      <c r="D5538" s="197" t="s">
        <v>129</v>
      </c>
      <c r="E5538" s="197" t="s">
        <v>263</v>
      </c>
      <c r="F5538" s="197" t="s">
        <v>70</v>
      </c>
      <c r="G5538" s="197" t="s">
        <v>169</v>
      </c>
      <c r="H5538" s="197" t="s">
        <v>848</v>
      </c>
      <c r="I5538" s="209"/>
    </row>
    <row r="5539" spans="1:9">
      <c r="A5539" s="195"/>
      <c r="B5539" s="196" t="s">
        <v>217</v>
      </c>
      <c r="C5539"/>
      <c r="D5539" s="197" t="s">
        <v>129</v>
      </c>
      <c r="E5539" s="197" t="s">
        <v>263</v>
      </c>
      <c r="F5539" s="197" t="s">
        <v>70</v>
      </c>
      <c r="G5539" s="197" t="s">
        <v>169</v>
      </c>
      <c r="H5539" s="197" t="s">
        <v>848</v>
      </c>
      <c r="I5539" s="209"/>
    </row>
    <row r="5540" spans="1:9">
      <c r="A5540" s="195"/>
      <c r="B5540" s="195" t="s">
        <v>205</v>
      </c>
      <c r="C5540"/>
      <c r="D5540" s="197" t="s">
        <v>51</v>
      </c>
      <c r="E5540" s="197" t="s">
        <v>848</v>
      </c>
      <c r="F5540" s="197" t="s">
        <v>70</v>
      </c>
      <c r="G5540" s="197" t="s">
        <v>169</v>
      </c>
      <c r="H5540" s="197" t="s">
        <v>848</v>
      </c>
      <c r="I5540" s="209"/>
    </row>
    <row r="5541" spans="1:9">
      <c r="A5541" s="195"/>
      <c r="B5541" s="195" t="s">
        <v>206</v>
      </c>
      <c r="C5541"/>
      <c r="D5541" s="197" t="s">
        <v>51</v>
      </c>
      <c r="E5541" s="197" t="s">
        <v>848</v>
      </c>
      <c r="F5541" s="197" t="s">
        <v>70</v>
      </c>
      <c r="G5541" s="197" t="s">
        <v>278</v>
      </c>
      <c r="H5541" s="197" t="s">
        <v>848</v>
      </c>
      <c r="I5541" s="209"/>
    </row>
    <row r="5542" spans="1:9">
      <c r="A5542" s="195"/>
      <c r="B5542" s="195" t="s">
        <v>207</v>
      </c>
      <c r="C5542"/>
      <c r="D5542" s="197" t="s">
        <v>51</v>
      </c>
      <c r="E5542" s="197" t="s">
        <v>848</v>
      </c>
      <c r="F5542" s="197" t="s">
        <v>70</v>
      </c>
      <c r="G5542" s="197" t="s">
        <v>278</v>
      </c>
      <c r="H5542" s="197" t="s">
        <v>848</v>
      </c>
      <c r="I5542" s="209"/>
    </row>
    <row r="5543" spans="1:9">
      <c r="A5543" s="195"/>
      <c r="B5543" s="196" t="s">
        <v>219</v>
      </c>
      <c r="C5543" s="197"/>
      <c r="D5543" s="197"/>
      <c r="E5543" s="197"/>
      <c r="F5543" s="197" t="s">
        <v>70</v>
      </c>
      <c r="G5543" s="197"/>
      <c r="H5543" s="197"/>
      <c r="I5543" s="209"/>
    </row>
    <row r="5544" spans="1:9">
      <c r="A5544" s="195"/>
      <c r="B5544" s="195" t="s">
        <v>205</v>
      </c>
      <c r="C5544"/>
      <c r="D5544" s="197"/>
      <c r="E5544" s="197"/>
      <c r="F5544" s="197" t="s">
        <v>70</v>
      </c>
      <c r="G5544" s="197"/>
      <c r="H5544" s="197"/>
      <c r="I5544" s="209"/>
    </row>
    <row r="5545" spans="1:9">
      <c r="A5545" s="195"/>
      <c r="B5545" s="195" t="s">
        <v>206</v>
      </c>
      <c r="C5545"/>
      <c r="D5545" s="197"/>
      <c r="E5545" s="197"/>
      <c r="F5545" s="197"/>
      <c r="G5545" s="197"/>
      <c r="H5545" s="197"/>
      <c r="I5545" s="209"/>
    </row>
    <row r="5546" spans="1:9">
      <c r="A5546" s="195"/>
      <c r="B5546" s="195" t="s">
        <v>207</v>
      </c>
      <c r="C5546"/>
      <c r="D5546" s="197"/>
      <c r="E5546" s="197"/>
      <c r="F5546" s="197"/>
      <c r="G5546" s="197"/>
      <c r="H5546" s="197"/>
      <c r="I5546" s="209"/>
    </row>
    <row r="5547" spans="1:9">
      <c r="A5547" s="195"/>
      <c r="B5547" s="196" t="s">
        <v>220</v>
      </c>
      <c r="C5547"/>
      <c r="D5547" s="189"/>
      <c r="E5547" s="189"/>
      <c r="F5547" s="189" t="s">
        <v>1001</v>
      </c>
      <c r="G5547" s="197"/>
      <c r="H5547" s="197"/>
      <c r="I5547" s="223" t="s">
        <v>970</v>
      </c>
    </row>
    <row r="5548" spans="1:9">
      <c r="A5548" s="195"/>
      <c r="B5548" s="195" t="s">
        <v>205</v>
      </c>
      <c r="C5548"/>
      <c r="D5548" s="197" t="s">
        <v>114</v>
      </c>
      <c r="E5548" s="197" t="s">
        <v>95</v>
      </c>
      <c r="F5548" s="197" t="s">
        <v>252</v>
      </c>
      <c r="G5548" s="197" t="s">
        <v>56</v>
      </c>
      <c r="H5548" s="197" t="s">
        <v>416</v>
      </c>
      <c r="I5548" s="209" t="s">
        <v>416</v>
      </c>
    </row>
    <row r="5549" spans="1:9">
      <c r="A5549" s="195"/>
      <c r="B5549" s="195" t="s">
        <v>206</v>
      </c>
      <c r="C5549"/>
      <c r="D5549" s="197" t="s">
        <v>114</v>
      </c>
      <c r="E5549" s="197" t="s">
        <v>95</v>
      </c>
      <c r="F5549" s="197" t="s">
        <v>252</v>
      </c>
      <c r="G5549" s="197" t="s">
        <v>56</v>
      </c>
      <c r="H5549" s="197" t="s">
        <v>1018</v>
      </c>
      <c r="I5549" s="209" t="s">
        <v>1004</v>
      </c>
    </row>
    <row r="5550" spans="1:9">
      <c r="A5550" s="195"/>
      <c r="B5550" s="195" t="s">
        <v>207</v>
      </c>
      <c r="C5550"/>
      <c r="D5550" s="197" t="s">
        <v>515</v>
      </c>
      <c r="E5550" s="197" t="s">
        <v>95</v>
      </c>
      <c r="F5550" s="197" t="s">
        <v>252</v>
      </c>
      <c r="G5550" s="197" t="s">
        <v>1021</v>
      </c>
      <c r="H5550" s="197" t="s">
        <v>416</v>
      </c>
      <c r="I5550" s="209" t="s">
        <v>416</v>
      </c>
    </row>
    <row r="5551" spans="1:9">
      <c r="A5551" s="195"/>
      <c r="B5551" s="196" t="s">
        <v>222</v>
      </c>
      <c r="C5551"/>
      <c r="D5551" s="197" t="s">
        <v>515</v>
      </c>
      <c r="E5551" s="197" t="s">
        <v>95</v>
      </c>
      <c r="F5551" s="197" t="s">
        <v>252</v>
      </c>
      <c r="G5551" s="197" t="s">
        <v>56</v>
      </c>
      <c r="H5551" s="197" t="s">
        <v>416</v>
      </c>
      <c r="I5551" s="209" t="s">
        <v>416</v>
      </c>
    </row>
    <row r="5552" spans="1:9">
      <c r="A5552" s="195"/>
      <c r="B5552" s="195" t="s">
        <v>205</v>
      </c>
      <c r="C5552"/>
      <c r="D5552" s="197" t="s">
        <v>515</v>
      </c>
      <c r="E5552" s="197" t="s">
        <v>95</v>
      </c>
      <c r="F5552" s="197" t="s">
        <v>252</v>
      </c>
      <c r="G5552" s="197"/>
      <c r="H5552" s="197"/>
      <c r="I5552" s="209" t="s">
        <v>416</v>
      </c>
    </row>
    <row r="5553" spans="1:12">
      <c r="A5553" s="195"/>
      <c r="B5553" s="195" t="s">
        <v>206</v>
      </c>
      <c r="C5553"/>
      <c r="D5553" s="197" t="s">
        <v>269</v>
      </c>
      <c r="E5553" s="197" t="s">
        <v>95</v>
      </c>
      <c r="F5553" s="197" t="s">
        <v>252</v>
      </c>
      <c r="G5553" s="197" t="s">
        <v>270</v>
      </c>
      <c r="H5553" s="197" t="s">
        <v>415</v>
      </c>
      <c r="I5553" s="209" t="s">
        <v>416</v>
      </c>
    </row>
    <row r="5554" spans="1:12">
      <c r="A5554" s="195"/>
      <c r="B5554" s="195" t="s">
        <v>207</v>
      </c>
      <c r="C5554"/>
      <c r="D5554" s="197" t="s">
        <v>269</v>
      </c>
      <c r="E5554" s="197" t="s">
        <v>95</v>
      </c>
      <c r="F5554" s="197" t="s">
        <v>252</v>
      </c>
      <c r="G5554" s="197" t="s">
        <v>270</v>
      </c>
      <c r="H5554" s="197" t="s">
        <v>415</v>
      </c>
      <c r="I5554" s="209" t="s">
        <v>416</v>
      </c>
    </row>
    <row r="5555" spans="1:12">
      <c r="A5555" s="195"/>
      <c r="B5555" s="196" t="s">
        <v>223</v>
      </c>
      <c r="C5555"/>
      <c r="D5555" s="197" t="s">
        <v>362</v>
      </c>
      <c r="E5555" s="197" t="s">
        <v>252</v>
      </c>
      <c r="F5555" s="197" t="s">
        <v>252</v>
      </c>
      <c r="G5555" s="197" t="s">
        <v>270</v>
      </c>
      <c r="H5555" s="197" t="s">
        <v>538</v>
      </c>
      <c r="I5555" s="209" t="s">
        <v>416</v>
      </c>
    </row>
    <row r="5556" spans="1:12">
      <c r="A5556" s="195"/>
      <c r="B5556" s="195" t="s">
        <v>205</v>
      </c>
      <c r="C5556"/>
      <c r="D5556" s="197" t="s">
        <v>237</v>
      </c>
      <c r="E5556" s="197" t="s">
        <v>252</v>
      </c>
      <c r="F5556" s="197" t="s">
        <v>252</v>
      </c>
      <c r="G5556" s="197" t="s">
        <v>1020</v>
      </c>
      <c r="H5556" s="197" t="s">
        <v>1006</v>
      </c>
      <c r="I5556" s="209" t="s">
        <v>416</v>
      </c>
    </row>
    <row r="5557" spans="1:12">
      <c r="A5557" s="195"/>
      <c r="B5557" s="195" t="s">
        <v>206</v>
      </c>
      <c r="C5557"/>
      <c r="D5557" s="197" t="s">
        <v>236</v>
      </c>
      <c r="E5557" s="197" t="s">
        <v>252</v>
      </c>
      <c r="F5557" s="197" t="s">
        <v>252</v>
      </c>
      <c r="G5557" s="197" t="s">
        <v>270</v>
      </c>
      <c r="H5557" s="197" t="s">
        <v>416</v>
      </c>
      <c r="I5557" s="209" t="s">
        <v>416</v>
      </c>
    </row>
    <row r="5558" spans="1:12">
      <c r="A5558" s="195"/>
      <c r="B5558" s="195" t="s">
        <v>207</v>
      </c>
      <c r="C5558"/>
      <c r="D5558" s="197" t="s">
        <v>193</v>
      </c>
      <c r="E5558" s="197" t="s">
        <v>252</v>
      </c>
      <c r="F5558" s="197" t="s">
        <v>252</v>
      </c>
      <c r="G5558" s="197" t="s">
        <v>270</v>
      </c>
      <c r="H5558" s="197"/>
      <c r="I5558" s="209" t="s">
        <v>416</v>
      </c>
    </row>
    <row r="5559" spans="1:12">
      <c r="A5559" s="195"/>
      <c r="B5559" s="196" t="s">
        <v>225</v>
      </c>
      <c r="C5559"/>
      <c r="D5559" s="197"/>
      <c r="E5559" s="197" t="s">
        <v>252</v>
      </c>
      <c r="F5559" s="197" t="s">
        <v>252</v>
      </c>
      <c r="G5559" s="197" t="s">
        <v>270</v>
      </c>
      <c r="H5559" s="197" t="s">
        <v>415</v>
      </c>
      <c r="I5559" s="209" t="s">
        <v>416</v>
      </c>
    </row>
    <row r="5560" spans="1:12">
      <c r="A5560" s="195"/>
      <c r="B5560" s="195" t="s">
        <v>205</v>
      </c>
      <c r="C5560"/>
      <c r="D5560" s="197"/>
      <c r="E5560" s="197" t="s">
        <v>395</v>
      </c>
      <c r="F5560" s="197" t="s">
        <v>252</v>
      </c>
      <c r="G5560" s="197" t="s">
        <v>270</v>
      </c>
      <c r="H5560" s="197" t="s">
        <v>415</v>
      </c>
      <c r="I5560" s="209" t="s">
        <v>416</v>
      </c>
    </row>
    <row r="5561" spans="1:12">
      <c r="A5561" s="195"/>
      <c r="B5561" s="195" t="s">
        <v>206</v>
      </c>
      <c r="C5561"/>
      <c r="D5561" s="197"/>
      <c r="E5561" s="197"/>
      <c r="F5561" s="197"/>
      <c r="G5561" s="197" t="s">
        <v>270</v>
      </c>
      <c r="H5561" s="197" t="s">
        <v>415</v>
      </c>
      <c r="I5561" s="209"/>
    </row>
    <row r="5562" spans="1:12">
      <c r="A5562" s="195"/>
      <c r="B5562" s="195" t="s">
        <v>207</v>
      </c>
      <c r="C5562"/>
      <c r="D5562" s="197"/>
      <c r="E5562" s="197"/>
      <c r="F5562" s="197"/>
      <c r="G5562" s="197" t="s">
        <v>270</v>
      </c>
      <c r="H5562" s="197" t="s">
        <v>415</v>
      </c>
      <c r="I5562" s="209"/>
    </row>
    <row r="5563" spans="1:12">
      <c r="A5563" s="195"/>
      <c r="B5563" s="196" t="s">
        <v>226</v>
      </c>
      <c r="C5563"/>
      <c r="D5563" s="197"/>
      <c r="E5563" s="197"/>
      <c r="F5563" s="197"/>
      <c r="G5563" s="197"/>
      <c r="H5563" s="209"/>
      <c r="I5563" s="209"/>
    </row>
    <row r="5564" spans="1:12">
      <c r="A5564" s="195"/>
      <c r="B5564" s="195" t="s">
        <v>205</v>
      </c>
      <c r="C5564"/>
      <c r="D5564" s="197"/>
      <c r="E5564" s="197"/>
      <c r="F5564" s="197"/>
      <c r="G5564" s="197"/>
      <c r="H5564" s="209"/>
      <c r="I5564" s="209"/>
    </row>
    <row r="5565" spans="1:12">
      <c r="A5565" s="195"/>
      <c r="B5565" s="195" t="s">
        <v>206</v>
      </c>
      <c r="C5565"/>
      <c r="D5565" s="197"/>
      <c r="E5565" s="197"/>
      <c r="F5565" s="197"/>
      <c r="G5565" s="197"/>
      <c r="H5565" s="209"/>
      <c r="I5565" s="209"/>
    </row>
    <row r="5566" spans="1:12">
      <c r="A5566" s="195"/>
      <c r="B5566" s="195" t="s">
        <v>207</v>
      </c>
      <c r="C5566"/>
      <c r="D5566" s="197"/>
      <c r="E5566" s="197"/>
      <c r="F5566" s="197"/>
      <c r="G5566" s="197"/>
      <c r="H5566" s="209"/>
      <c r="I5566" s="209"/>
    </row>
    <row r="5567" spans="1:12">
      <c r="A5567" s="195"/>
      <c r="B5567" s="196" t="s">
        <v>227</v>
      </c>
      <c r="C5567"/>
      <c r="D5567" s="197"/>
      <c r="E5567" s="197"/>
      <c r="F5567" s="197"/>
      <c r="G5567" s="197"/>
      <c r="H5567" s="209"/>
      <c r="I5567" s="209"/>
      <c r="K5567"/>
    </row>
    <row r="5568" spans="1:12" ht="29.25" thickBot="1">
      <c r="A5568" s="213" t="str">
        <f>"回収シフト  第"&amp;ROUNDUP(DAY(B5571)/7,0)  &amp;"  "&amp;TEXT(B5571,"aaaa")</f>
        <v>回収シフト  第5  金曜日</v>
      </c>
      <c r="B5568" s="214"/>
      <c r="C5568" s="214"/>
      <c r="D5568" s="214"/>
      <c r="E5568" s="214"/>
      <c r="F5568" s="214"/>
      <c r="G5568" s="215"/>
      <c r="H5568" s="215"/>
      <c r="I5568" s="215"/>
      <c r="K5568" s="214"/>
      <c r="L5568" s="214"/>
    </row>
    <row r="5569" spans="1:12" ht="15.75" thickBot="1">
      <c r="A5569"/>
      <c r="B5569"/>
      <c r="C5569"/>
      <c r="D5569" s="186" t="s">
        <v>201</v>
      </c>
      <c r="E5569" s="186" t="s">
        <v>202</v>
      </c>
      <c r="F5569" s="186" t="s">
        <v>203</v>
      </c>
      <c r="G5569" s="186" t="s">
        <v>204</v>
      </c>
      <c r="H5569" s="186" t="s">
        <v>267</v>
      </c>
      <c r="I5569" s="186" t="s">
        <v>267</v>
      </c>
      <c r="K5569" s="230" t="s">
        <v>257</v>
      </c>
      <c r="L5569" s="231"/>
    </row>
    <row r="5570" spans="1:12">
      <c r="A5570" s="187"/>
      <c r="B5570" s="188">
        <v>46119</v>
      </c>
      <c r="C5570" s="187"/>
      <c r="D5570" s="189" t="s">
        <v>890</v>
      </c>
      <c r="E5570" s="189" t="s">
        <v>874</v>
      </c>
      <c r="F5570" s="189" t="s">
        <v>921</v>
      </c>
      <c r="G5570" s="189" t="s">
        <v>248</v>
      </c>
      <c r="H5570" s="189" t="s">
        <v>972</v>
      </c>
      <c r="I5570" s="223" t="s">
        <v>1024</v>
      </c>
      <c r="K5570" s="232" t="s">
        <v>258</v>
      </c>
      <c r="L5570" s="190" t="str">
        <f>_xlfn.XLOOKUP($B5571,シフト抽出!$19:$19,シフト抽出!$20:$20,"該当なし",0,1)</f>
        <v>該当なし</v>
      </c>
    </row>
    <row r="5571" spans="1:12" ht="19.5" thickBot="1">
      <c r="A5571"/>
      <c r="B5571" s="191">
        <f>B5518+1</f>
        <v>46234</v>
      </c>
      <c r="C5571" s="192"/>
      <c r="D5571" s="216"/>
      <c r="E5571" s="216"/>
      <c r="F5571" s="216"/>
      <c r="G5571" s="216"/>
      <c r="H5571" s="216"/>
      <c r="I5571" s="216"/>
      <c r="K5571" s="233"/>
      <c r="L5571" s="194" t="str">
        <f>_xlfn.XLOOKUP($B5571,シフト抽出!$19:$19,シフト抽出!$21:$21,"該当なし",0,1)</f>
        <v>該当なし</v>
      </c>
    </row>
    <row r="5572" spans="1:12">
      <c r="A5572" s="195"/>
      <c r="B5572" s="196">
        <v>0.25</v>
      </c>
      <c r="C5572"/>
      <c r="D5572" s="197"/>
      <c r="E5572" s="196"/>
      <c r="F5572" s="197"/>
      <c r="G5572" s="197"/>
      <c r="H5572" s="197"/>
      <c r="I5572" s="209"/>
      <c r="K5572" s="234" t="s">
        <v>259</v>
      </c>
      <c r="L5572" s="198" t="str">
        <f>_xlfn.XLOOKUP($B5571,シフト抽出!$19:$19,シフト抽出!$23:$23,"該当なし",0,1)</f>
        <v>該当なし</v>
      </c>
    </row>
    <row r="5573" spans="1:12" ht="15.75" thickBot="1">
      <c r="A5573" s="195"/>
      <c r="B5573" s="195" t="s">
        <v>205</v>
      </c>
      <c r="C5573"/>
      <c r="D5573" s="197"/>
      <c r="E5573" s="197" t="s">
        <v>4</v>
      </c>
      <c r="F5573" s="197"/>
      <c r="G5573" s="197"/>
      <c r="H5573" s="197"/>
      <c r="I5573" s="209"/>
      <c r="K5573" s="235"/>
      <c r="L5573" s="199" t="str">
        <f>_xlfn.XLOOKUP($B5571,シフト抽出!$19:$19,シフト抽出!$24:$24,"該当なし",0,1)</f>
        <v>該当なし</v>
      </c>
    </row>
    <row r="5574" spans="1:12">
      <c r="A5574" s="195"/>
      <c r="B5574" s="195" t="s">
        <v>206</v>
      </c>
      <c r="C5574"/>
      <c r="D5574" s="197"/>
      <c r="E5574" s="197"/>
      <c r="F5574" s="197" t="s">
        <v>238</v>
      </c>
      <c r="G5574" s="197"/>
      <c r="H5574" s="197"/>
      <c r="I5574" s="209"/>
      <c r="J5574" s="197" t="s">
        <v>238</v>
      </c>
      <c r="K5574" s="224" t="s">
        <v>260</v>
      </c>
      <c r="L5574" s="200" t="str">
        <f>_xlfn.XLOOKUP($B5571,シフト抽出!$19:$19,シフト抽出!$26:$26,"該当なし",0,1)</f>
        <v>該当なし</v>
      </c>
    </row>
    <row r="5575" spans="1:12">
      <c r="A5575" s="195"/>
      <c r="B5575" s="195" t="s">
        <v>207</v>
      </c>
      <c r="C5575"/>
      <c r="D5575" s="197"/>
      <c r="E5575" s="197"/>
      <c r="F5575" s="197" t="s">
        <v>238</v>
      </c>
      <c r="G5575" s="197"/>
      <c r="H5575" s="197"/>
      <c r="I5575" s="209"/>
      <c r="J5575" s="197" t="s">
        <v>238</v>
      </c>
      <c r="K5575" s="225"/>
      <c r="L5575" s="201" t="str">
        <f>_xlfn.XLOOKUP($B5571,シフト抽出!$19:$19,シフト抽出!$27:$27,"該当なし",0,1)</f>
        <v>該当なし</v>
      </c>
    </row>
    <row r="5576" spans="1:12">
      <c r="A5576" s="195"/>
      <c r="B5576" s="202" t="s">
        <v>208</v>
      </c>
      <c r="C5576"/>
      <c r="D5576" s="197"/>
      <c r="E5576" s="197" t="s">
        <v>420</v>
      </c>
      <c r="F5576" s="197" t="s">
        <v>238</v>
      </c>
      <c r="G5576" s="197" t="s">
        <v>22</v>
      </c>
      <c r="H5576" s="197"/>
      <c r="I5576" s="209"/>
      <c r="J5576" s="197" t="s">
        <v>238</v>
      </c>
      <c r="K5576" s="225"/>
      <c r="L5576" s="201" t="str">
        <f>_xlfn.XLOOKUP($B5571,シフト抽出!$19:$19,シフト抽出!$28:$28,"該当なし",0,1)</f>
        <v>該当なし</v>
      </c>
    </row>
    <row r="5577" spans="1:12" ht="15.75" thickBot="1">
      <c r="A5577" s="195"/>
      <c r="B5577" s="195" t="s">
        <v>205</v>
      </c>
      <c r="C5577"/>
      <c r="D5577" s="197"/>
      <c r="E5577" s="197" t="s">
        <v>420</v>
      </c>
      <c r="F5577" s="197" t="s">
        <v>238</v>
      </c>
      <c r="G5577" s="197" t="s">
        <v>22</v>
      </c>
      <c r="H5577" s="197"/>
      <c r="I5577" s="209"/>
      <c r="J5577" s="197" t="s">
        <v>238</v>
      </c>
      <c r="K5577" s="226"/>
      <c r="L5577" s="204" t="str">
        <f>_xlfn.XLOOKUP($B5571,シフト抽出!$19:$19,シフト抽出!$29:$29,"該当なし",0,1)</f>
        <v>該当なし</v>
      </c>
    </row>
    <row r="5578" spans="1:12" ht="15.75" thickBot="1">
      <c r="A5578" s="195"/>
      <c r="B5578" s="195" t="s">
        <v>206</v>
      </c>
      <c r="C5578"/>
      <c r="D5578" s="197"/>
      <c r="E5578" s="197" t="s">
        <v>420</v>
      </c>
      <c r="F5578" s="197" t="s">
        <v>238</v>
      </c>
      <c r="G5578" s="197" t="s">
        <v>788</v>
      </c>
      <c r="H5578" s="197"/>
      <c r="I5578" s="209"/>
      <c r="K5578" s="205" t="s">
        <v>261</v>
      </c>
      <c r="L5578" s="205">
        <f>_xlfn.XLOOKUP($B5571,予定表!B:B,予定表!R:R,"該当なし",0,1)</f>
        <v>0</v>
      </c>
    </row>
    <row r="5579" spans="1:12">
      <c r="A5579" s="195"/>
      <c r="B5579" s="195" t="s">
        <v>207</v>
      </c>
      <c r="C5579"/>
      <c r="D5579" s="197"/>
      <c r="E5579" s="197" t="s">
        <v>420</v>
      </c>
      <c r="F5579" s="197"/>
      <c r="G5579" s="197" t="s">
        <v>788</v>
      </c>
      <c r="H5579" s="189"/>
      <c r="I5579" s="209"/>
      <c r="K5579" s="227" t="s">
        <v>262</v>
      </c>
      <c r="L5579" s="206" t="str">
        <f>_xlfn.XLOOKUP($B5571,予定表!$B:$B,予定表!E:E,"該当なし",0,1)</f>
        <v/>
      </c>
    </row>
    <row r="5580" spans="1:12">
      <c r="A5580" s="195"/>
      <c r="B5580" s="196" t="s">
        <v>209</v>
      </c>
      <c r="C5580"/>
      <c r="D5580" s="197" t="s">
        <v>264</v>
      </c>
      <c r="E5580" s="197" t="s">
        <v>414</v>
      </c>
      <c r="F5580" s="197" t="s">
        <v>398</v>
      </c>
      <c r="G5580" s="197" t="s">
        <v>268</v>
      </c>
      <c r="H5580" s="197" t="s">
        <v>793</v>
      </c>
      <c r="I5580" s="209" t="s">
        <v>851</v>
      </c>
      <c r="K5580" s="228"/>
      <c r="L5580" s="207" t="str">
        <f>_xlfn.XLOOKUP($B5571,予定表!$B:$B,予定表!F:F,"該当なし",0,1)</f>
        <v>IWD(㈱大勝)</v>
      </c>
    </row>
    <row r="5581" spans="1:12">
      <c r="A5581" s="195"/>
      <c r="B5581" s="195" t="s">
        <v>205</v>
      </c>
      <c r="C5581"/>
      <c r="D5581" s="197" t="s">
        <v>239</v>
      </c>
      <c r="E5581" s="197" t="s">
        <v>414</v>
      </c>
      <c r="F5581" s="197" t="s">
        <v>398</v>
      </c>
      <c r="G5581" s="197" t="s">
        <v>268</v>
      </c>
      <c r="H5581" s="197" t="s">
        <v>977</v>
      </c>
      <c r="I5581" s="209" t="s">
        <v>851</v>
      </c>
      <c r="K5581" s="228"/>
      <c r="L5581" s="207" t="str">
        <f>_xlfn.XLOOKUP($B5571,予定表!$B:$B,予定表!G:G,"該当なし",0,1)</f>
        <v>ディーミング</v>
      </c>
    </row>
    <row r="5582" spans="1:12">
      <c r="A5582" s="195"/>
      <c r="B5582" s="195" t="s">
        <v>206</v>
      </c>
      <c r="C5582"/>
      <c r="D5582" s="197" t="s">
        <v>239</v>
      </c>
      <c r="E5582" s="197" t="s">
        <v>414</v>
      </c>
      <c r="F5582" s="197" t="s">
        <v>398</v>
      </c>
      <c r="G5582" s="197" t="s">
        <v>268</v>
      </c>
      <c r="H5582" s="197" t="s">
        <v>60</v>
      </c>
      <c r="I5582" s="209" t="s">
        <v>851</v>
      </c>
      <c r="K5582" s="228"/>
      <c r="L5582" s="207" t="str">
        <f>_xlfn.XLOOKUP($B5571,予定表!$B:$B,予定表!H:H,"該当なし",0,1)</f>
        <v>'資さん 平塚</v>
      </c>
    </row>
    <row r="5583" spans="1:12">
      <c r="A5583" s="195"/>
      <c r="B5583" s="195" t="s">
        <v>207</v>
      </c>
      <c r="C5583"/>
      <c r="D5583" s="197" t="s">
        <v>240</v>
      </c>
      <c r="E5583" s="197" t="s">
        <v>854</v>
      </c>
      <c r="F5583" s="197" t="s">
        <v>398</v>
      </c>
      <c r="G5583" s="197" t="s">
        <v>268</v>
      </c>
      <c r="H5583" s="197" t="s">
        <v>60</v>
      </c>
      <c r="I5583" s="209" t="s">
        <v>851</v>
      </c>
      <c r="K5583" s="228"/>
      <c r="L5583" s="207" t="str">
        <f>_xlfn.XLOOKUP($B5571,予定表!$B:$B,予定表!I:I,"該当なし",0,1)</f>
        <v>カインズPM15</v>
      </c>
    </row>
    <row r="5584" spans="1:12">
      <c r="A5584" s="195"/>
      <c r="B5584" s="196" t="s">
        <v>212</v>
      </c>
      <c r="C5584"/>
      <c r="D5584" s="197" t="s">
        <v>240</v>
      </c>
      <c r="E5584" s="197" t="s">
        <v>854</v>
      </c>
      <c r="F5584" s="197" t="s">
        <v>398</v>
      </c>
      <c r="G5584" s="197" t="s">
        <v>268</v>
      </c>
      <c r="H5584" s="197" t="s">
        <v>60</v>
      </c>
      <c r="I5584" s="209" t="s">
        <v>851</v>
      </c>
      <c r="K5584" s="228"/>
      <c r="L5584" s="207">
        <f>_xlfn.XLOOKUP($B5571,予定表!$B:$B,予定表!J:J,"該当なし",0,1)</f>
        <v>0</v>
      </c>
    </row>
    <row r="5585" spans="1:12">
      <c r="A5585" s="195"/>
      <c r="B5585" s="195" t="s">
        <v>205</v>
      </c>
      <c r="C5585"/>
      <c r="D5585" s="197" t="s">
        <v>353</v>
      </c>
      <c r="E5585" s="197" t="s">
        <v>854</v>
      </c>
      <c r="F5585" s="197" t="s">
        <v>398</v>
      </c>
      <c r="G5585" s="197" t="s">
        <v>268</v>
      </c>
      <c r="H5585" s="197" t="s">
        <v>60</v>
      </c>
      <c r="I5585" s="209" t="s">
        <v>851</v>
      </c>
      <c r="K5585" s="228"/>
      <c r="L5585" s="207">
        <f>_xlfn.XLOOKUP($B5571,予定表!$B:$B,予定表!K:K,"該当なし",0,1)</f>
        <v>0</v>
      </c>
    </row>
    <row r="5586" spans="1:12">
      <c r="A5586" s="195"/>
      <c r="B5586" s="195" t="s">
        <v>206</v>
      </c>
      <c r="C5586"/>
      <c r="D5586" s="197" t="s">
        <v>353</v>
      </c>
      <c r="E5586" s="197" t="s">
        <v>854</v>
      </c>
      <c r="F5586" s="197" t="s">
        <v>398</v>
      </c>
      <c r="G5586" s="197" t="s">
        <v>515</v>
      </c>
      <c r="H5586" s="197"/>
      <c r="I5586" s="209" t="s">
        <v>851</v>
      </c>
      <c r="K5586" s="228"/>
      <c r="L5586" s="207">
        <f>_xlfn.XLOOKUP($B5571,予定表!$B:$B,予定表!L:L,"該当なし",0,1)</f>
        <v>0</v>
      </c>
    </row>
    <row r="5587" spans="1:12" ht="15.75" thickBot="1">
      <c r="A5587" s="195"/>
      <c r="B5587" s="195" t="s">
        <v>207</v>
      </c>
      <c r="C5587"/>
      <c r="D5587" s="197" t="s">
        <v>353</v>
      </c>
      <c r="E5587" s="197" t="s">
        <v>216</v>
      </c>
      <c r="F5587" s="197" t="s">
        <v>398</v>
      </c>
      <c r="G5587" s="197" t="s">
        <v>515</v>
      </c>
      <c r="H5587" s="197" t="s">
        <v>848</v>
      </c>
      <c r="I5587" s="209" t="s">
        <v>851</v>
      </c>
      <c r="K5587" s="229"/>
      <c r="L5587" s="204" t="str">
        <f>_xlfn.XLOOKUP($A5568,ﾘｽﾄマスタ!$U$8:$U$17,ﾘｽﾄマスタ!$V$8:$V$17,"",0)</f>
        <v/>
      </c>
    </row>
    <row r="5588" spans="1:12" ht="15.75" thickBot="1">
      <c r="A5588" s="195"/>
      <c r="B5588" s="196" t="s">
        <v>251</v>
      </c>
      <c r="C5588"/>
      <c r="D5588" s="197" t="s">
        <v>761</v>
      </c>
      <c r="E5588" s="197" t="s">
        <v>216</v>
      </c>
      <c r="F5588" s="197" t="s">
        <v>398</v>
      </c>
      <c r="G5588" s="197" t="s">
        <v>515</v>
      </c>
      <c r="H5588" s="197" t="s">
        <v>848</v>
      </c>
      <c r="I5588" s="209" t="s">
        <v>851</v>
      </c>
      <c r="K5588" s="208" t="s">
        <v>277</v>
      </c>
      <c r="L5588" s="208" t="str">
        <f>_xlfn.XLOOKUP($B5571,シフト抽出!$19:$19,シフト抽出!$30:$30,"該当なし",0,1)</f>
        <v>該当なし</v>
      </c>
    </row>
    <row r="5589" spans="1:12">
      <c r="A5589" s="195"/>
      <c r="B5589" s="195" t="s">
        <v>205</v>
      </c>
      <c r="C5589"/>
      <c r="D5589" s="197" t="s">
        <v>761</v>
      </c>
      <c r="E5589" s="197" t="s">
        <v>216</v>
      </c>
      <c r="F5589" s="197" t="s">
        <v>398</v>
      </c>
      <c r="G5589" s="197" t="s">
        <v>269</v>
      </c>
      <c r="H5589" s="197" t="s">
        <v>848</v>
      </c>
      <c r="I5589" s="209" t="s">
        <v>851</v>
      </c>
    </row>
    <row r="5590" spans="1:12">
      <c r="A5590" s="195"/>
      <c r="B5590" s="195" t="s">
        <v>206</v>
      </c>
      <c r="C5590"/>
      <c r="D5590" s="197" t="s">
        <v>215</v>
      </c>
      <c r="E5590" s="197" t="s">
        <v>216</v>
      </c>
      <c r="F5590" s="197" t="s">
        <v>398</v>
      </c>
      <c r="G5590" s="197" t="s">
        <v>269</v>
      </c>
      <c r="H5590" s="197" t="s">
        <v>848</v>
      </c>
      <c r="I5590" s="209"/>
    </row>
    <row r="5591" spans="1:12">
      <c r="A5591" s="195"/>
      <c r="B5591" s="195" t="s">
        <v>207</v>
      </c>
      <c r="C5591"/>
      <c r="D5591" s="197" t="s">
        <v>280</v>
      </c>
      <c r="E5591" s="197" t="s">
        <v>214</v>
      </c>
      <c r="F5591" s="197" t="s">
        <v>398</v>
      </c>
      <c r="G5591" s="197" t="s">
        <v>446</v>
      </c>
      <c r="H5591" s="197" t="s">
        <v>848</v>
      </c>
      <c r="I5591" s="209" t="s">
        <v>51</v>
      </c>
    </row>
    <row r="5592" spans="1:12">
      <c r="A5592" s="195"/>
      <c r="B5592" s="196" t="s">
        <v>217</v>
      </c>
      <c r="C5592"/>
      <c r="D5592" s="197" t="s">
        <v>88</v>
      </c>
      <c r="E5592" s="197" t="s">
        <v>214</v>
      </c>
      <c r="F5592" s="197" t="s">
        <v>398</v>
      </c>
      <c r="G5592" s="197" t="s">
        <v>446</v>
      </c>
      <c r="H5592" s="197" t="s">
        <v>848</v>
      </c>
      <c r="I5592" s="209" t="s">
        <v>51</v>
      </c>
    </row>
    <row r="5593" spans="1:12">
      <c r="A5593" s="195"/>
      <c r="B5593" s="195" t="s">
        <v>205</v>
      </c>
      <c r="C5593"/>
      <c r="D5593" s="197"/>
      <c r="E5593" s="197" t="s">
        <v>214</v>
      </c>
      <c r="F5593" s="197" t="s">
        <v>398</v>
      </c>
      <c r="G5593" s="197" t="s">
        <v>114</v>
      </c>
      <c r="H5593" s="197" t="s">
        <v>848</v>
      </c>
      <c r="I5593" s="209" t="s">
        <v>51</v>
      </c>
    </row>
    <row r="5594" spans="1:12">
      <c r="A5594" s="195"/>
      <c r="B5594" s="195" t="s">
        <v>206</v>
      </c>
      <c r="C5594"/>
      <c r="D5594" s="197"/>
      <c r="E5594" s="197" t="s">
        <v>214</v>
      </c>
      <c r="F5594" s="197" t="s">
        <v>398</v>
      </c>
      <c r="G5594" s="197" t="s">
        <v>114</v>
      </c>
      <c r="H5594" s="197" t="s">
        <v>848</v>
      </c>
      <c r="I5594" s="209"/>
    </row>
    <row r="5595" spans="1:12">
      <c r="A5595" s="195"/>
      <c r="B5595" s="195" t="s">
        <v>207</v>
      </c>
      <c r="C5595"/>
      <c r="D5595" s="197"/>
      <c r="E5595" s="197"/>
      <c r="F5595" s="197"/>
      <c r="G5595" s="197"/>
      <c r="H5595" s="197"/>
      <c r="I5595" s="209"/>
    </row>
    <row r="5596" spans="1:12">
      <c r="A5596" s="195"/>
      <c r="B5596" s="196" t="s">
        <v>219</v>
      </c>
      <c r="C5596"/>
      <c r="D5596" s="197"/>
      <c r="E5596" s="197"/>
      <c r="F5596" s="197"/>
      <c r="G5596" s="197"/>
      <c r="H5596" s="197"/>
      <c r="I5596" s="209"/>
    </row>
    <row r="5597" spans="1:12">
      <c r="A5597" s="195"/>
      <c r="B5597" s="195" t="s">
        <v>205</v>
      </c>
      <c r="C5597"/>
      <c r="D5597" s="197"/>
      <c r="E5597" s="197"/>
      <c r="F5597" s="197"/>
      <c r="G5597" s="197"/>
      <c r="H5597" s="197"/>
      <c r="I5597" s="209"/>
    </row>
    <row r="5598" spans="1:12">
      <c r="A5598" s="195"/>
      <c r="B5598" s="195" t="s">
        <v>206</v>
      </c>
      <c r="C5598"/>
      <c r="D5598" s="197"/>
      <c r="E5598" s="197"/>
      <c r="F5598" s="197"/>
      <c r="G5598" s="197"/>
      <c r="H5598" s="197"/>
      <c r="I5598" s="209"/>
    </row>
    <row r="5599" spans="1:12">
      <c r="A5599" s="195"/>
      <c r="B5599" s="195" t="s">
        <v>207</v>
      </c>
      <c r="C5599"/>
      <c r="D5599" s="197"/>
      <c r="E5599" s="197"/>
      <c r="F5599" s="197"/>
      <c r="G5599" s="197"/>
      <c r="H5599" s="197" t="s">
        <v>231</v>
      </c>
      <c r="I5599" s="209"/>
    </row>
    <row r="5600" spans="1:12">
      <c r="A5600" s="195"/>
      <c r="B5600" s="196" t="s">
        <v>220</v>
      </c>
      <c r="C5600"/>
      <c r="D5600" s="189" t="s">
        <v>970</v>
      </c>
      <c r="E5600" s="197"/>
      <c r="F5600" s="189" t="s">
        <v>1025</v>
      </c>
      <c r="G5600" s="197"/>
      <c r="H5600" s="197" t="s">
        <v>231</v>
      </c>
      <c r="I5600" s="189" t="s">
        <v>864</v>
      </c>
    </row>
    <row r="5601" spans="1:9">
      <c r="A5601" s="195"/>
      <c r="B5601" s="195" t="s">
        <v>205</v>
      </c>
      <c r="C5601"/>
      <c r="D5601" s="197" t="s">
        <v>759</v>
      </c>
      <c r="E5601" s="197" t="s">
        <v>273</v>
      </c>
      <c r="F5601" s="197" t="s">
        <v>416</v>
      </c>
      <c r="G5601" s="197" t="s">
        <v>56</v>
      </c>
      <c r="H5601" s="197" t="s">
        <v>211</v>
      </c>
      <c r="I5601" s="209" t="s">
        <v>416</v>
      </c>
    </row>
    <row r="5602" spans="1:9">
      <c r="A5602" s="195"/>
      <c r="B5602" s="195" t="s">
        <v>206</v>
      </c>
      <c r="C5602"/>
      <c r="D5602" s="197" t="s">
        <v>759</v>
      </c>
      <c r="E5602" s="197" t="s">
        <v>273</v>
      </c>
      <c r="F5602" s="197" t="s">
        <v>771</v>
      </c>
      <c r="G5602" s="197" t="s">
        <v>56</v>
      </c>
      <c r="H5602" s="197" t="s">
        <v>211</v>
      </c>
      <c r="I5602" s="209" t="s">
        <v>1004</v>
      </c>
    </row>
    <row r="5603" spans="1:9">
      <c r="A5603" s="195"/>
      <c r="B5603" s="195" t="s">
        <v>207</v>
      </c>
      <c r="C5603"/>
      <c r="D5603" s="197" t="s">
        <v>759</v>
      </c>
      <c r="E5603" s="197" t="s">
        <v>273</v>
      </c>
      <c r="F5603" s="197" t="s">
        <v>416</v>
      </c>
      <c r="G5603" s="197" t="s">
        <v>56</v>
      </c>
      <c r="H5603" s="197" t="s">
        <v>211</v>
      </c>
      <c r="I5603" s="209" t="s">
        <v>416</v>
      </c>
    </row>
    <row r="5604" spans="1:9">
      <c r="A5604" s="195"/>
      <c r="B5604" s="196" t="s">
        <v>222</v>
      </c>
      <c r="C5604"/>
      <c r="D5604" s="197" t="s">
        <v>759</v>
      </c>
      <c r="E5604" s="197" t="s">
        <v>266</v>
      </c>
      <c r="F5604" s="197" t="s">
        <v>416</v>
      </c>
      <c r="G5604" s="197"/>
      <c r="H5604" s="197"/>
      <c r="I5604" s="209" t="s">
        <v>416</v>
      </c>
    </row>
    <row r="5605" spans="1:9">
      <c r="A5605" s="195"/>
      <c r="B5605" s="195" t="s">
        <v>205</v>
      </c>
      <c r="C5605"/>
      <c r="D5605" s="197"/>
      <c r="E5605" s="197" t="s">
        <v>266</v>
      </c>
      <c r="F5605" s="197" t="s">
        <v>416</v>
      </c>
      <c r="G5605" s="197" t="s">
        <v>270</v>
      </c>
      <c r="H5605" s="197" t="s">
        <v>856</v>
      </c>
      <c r="I5605" s="209" t="s">
        <v>416</v>
      </c>
    </row>
    <row r="5606" spans="1:9">
      <c r="A5606" s="195"/>
      <c r="B5606" s="195" t="s">
        <v>206</v>
      </c>
      <c r="C5606"/>
      <c r="D5606" s="197" t="s">
        <v>416</v>
      </c>
      <c r="E5606" s="197" t="s">
        <v>266</v>
      </c>
      <c r="F5606" s="197" t="s">
        <v>416</v>
      </c>
      <c r="G5606" s="197" t="s">
        <v>270</v>
      </c>
      <c r="H5606" s="197" t="s">
        <v>856</v>
      </c>
      <c r="I5606" s="209" t="s">
        <v>416</v>
      </c>
    </row>
    <row r="5607" spans="1:9">
      <c r="A5607" s="195"/>
      <c r="B5607" s="195" t="s">
        <v>207</v>
      </c>
      <c r="C5607"/>
      <c r="D5607" s="197" t="s">
        <v>416</v>
      </c>
      <c r="E5607" s="197" t="s">
        <v>266</v>
      </c>
      <c r="F5607" s="197" t="s">
        <v>416</v>
      </c>
      <c r="G5607" s="197" t="s">
        <v>270</v>
      </c>
      <c r="H5607" s="197" t="s">
        <v>856</v>
      </c>
      <c r="I5607" s="209" t="s">
        <v>416</v>
      </c>
    </row>
    <row r="5608" spans="1:9">
      <c r="A5608" s="195"/>
      <c r="B5608" s="196" t="s">
        <v>223</v>
      </c>
      <c r="C5608"/>
      <c r="D5608" s="197" t="s">
        <v>954</v>
      </c>
      <c r="E5608" s="197" t="s">
        <v>252</v>
      </c>
      <c r="F5608" s="197" t="s">
        <v>224</v>
      </c>
      <c r="G5608" s="197" t="s">
        <v>270</v>
      </c>
      <c r="H5608" s="197" t="s">
        <v>856</v>
      </c>
      <c r="I5608" s="209" t="s">
        <v>416</v>
      </c>
    </row>
    <row r="5609" spans="1:9">
      <c r="A5609" s="195"/>
      <c r="B5609" s="195" t="s">
        <v>205</v>
      </c>
      <c r="C5609"/>
      <c r="D5609" s="197" t="s">
        <v>1019</v>
      </c>
      <c r="E5609" s="197" t="s">
        <v>252</v>
      </c>
      <c r="F5609" s="197" t="s">
        <v>224</v>
      </c>
      <c r="G5609" s="197" t="s">
        <v>270</v>
      </c>
      <c r="H5609" s="197" t="s">
        <v>856</v>
      </c>
      <c r="I5609" s="209" t="s">
        <v>416</v>
      </c>
    </row>
    <row r="5610" spans="1:9">
      <c r="A5610" s="195"/>
      <c r="B5610" s="195" t="s">
        <v>206</v>
      </c>
      <c r="C5610"/>
      <c r="D5610" s="197" t="s">
        <v>416</v>
      </c>
      <c r="E5610" s="197" t="s">
        <v>252</v>
      </c>
      <c r="F5610" s="197" t="s">
        <v>62</v>
      </c>
      <c r="G5610" s="197" t="s">
        <v>270</v>
      </c>
      <c r="H5610" s="197" t="s">
        <v>856</v>
      </c>
      <c r="I5610" s="209" t="s">
        <v>416</v>
      </c>
    </row>
    <row r="5611" spans="1:9">
      <c r="A5611" s="195"/>
      <c r="B5611" s="195" t="s">
        <v>207</v>
      </c>
      <c r="C5611"/>
      <c r="D5611" s="197" t="s">
        <v>423</v>
      </c>
      <c r="E5611" s="197" t="s">
        <v>252</v>
      </c>
      <c r="F5611" s="197" t="s">
        <v>62</v>
      </c>
      <c r="G5611" s="197" t="s">
        <v>270</v>
      </c>
      <c r="H5611" s="197" t="s">
        <v>856</v>
      </c>
      <c r="I5611" s="209" t="s">
        <v>416</v>
      </c>
    </row>
    <row r="5612" spans="1:9">
      <c r="A5612" s="195"/>
      <c r="B5612" s="196" t="s">
        <v>225</v>
      </c>
      <c r="C5612"/>
      <c r="D5612" s="197" t="s">
        <v>588</v>
      </c>
      <c r="E5612" s="197" t="s">
        <v>252</v>
      </c>
      <c r="F5612" s="197" t="s">
        <v>62</v>
      </c>
      <c r="G5612" s="197" t="s">
        <v>270</v>
      </c>
      <c r="H5612" s="197" t="s">
        <v>415</v>
      </c>
      <c r="I5612" s="209" t="s">
        <v>416</v>
      </c>
    </row>
    <row r="5613" spans="1:9">
      <c r="A5613" s="195"/>
      <c r="B5613" s="195" t="s">
        <v>205</v>
      </c>
      <c r="C5613"/>
      <c r="D5613" s="197" t="s">
        <v>127</v>
      </c>
      <c r="E5613" s="197" t="s">
        <v>252</v>
      </c>
      <c r="F5613" s="197" t="s">
        <v>62</v>
      </c>
      <c r="G5613" s="197" t="s">
        <v>270</v>
      </c>
      <c r="H5613" s="209" t="s">
        <v>415</v>
      </c>
      <c r="I5613" s="209" t="s">
        <v>416</v>
      </c>
    </row>
    <row r="5614" spans="1:9">
      <c r="A5614" s="195"/>
      <c r="B5614" s="195" t="s">
        <v>206</v>
      </c>
      <c r="C5614"/>
      <c r="D5614" s="197"/>
      <c r="E5614" s="197" t="s">
        <v>252</v>
      </c>
      <c r="F5614" s="197" t="s">
        <v>62</v>
      </c>
      <c r="G5614" s="197" t="s">
        <v>270</v>
      </c>
      <c r="H5614" s="209" t="s">
        <v>415</v>
      </c>
      <c r="I5614" s="209"/>
    </row>
    <row r="5615" spans="1:9">
      <c r="A5615" s="195"/>
      <c r="B5615" s="195" t="s">
        <v>207</v>
      </c>
      <c r="C5615"/>
      <c r="D5615" s="197"/>
      <c r="E5615" s="197" t="s">
        <v>252</v>
      </c>
      <c r="F5615" s="197"/>
      <c r="G5615" s="197" t="s">
        <v>270</v>
      </c>
      <c r="H5615" s="209" t="s">
        <v>415</v>
      </c>
      <c r="I5615" s="209"/>
    </row>
    <row r="5616" spans="1:9">
      <c r="A5616" s="195"/>
      <c r="B5616" s="196" t="s">
        <v>226</v>
      </c>
      <c r="C5616"/>
      <c r="D5616" s="197"/>
      <c r="E5616" s="197"/>
      <c r="F5616" s="197"/>
      <c r="G5616" s="197" t="s">
        <v>270</v>
      </c>
      <c r="H5616" s="209"/>
      <c r="I5616" s="209"/>
    </row>
    <row r="5617" spans="1:12">
      <c r="A5617" s="195"/>
      <c r="B5617" s="195" t="s">
        <v>205</v>
      </c>
      <c r="C5617"/>
      <c r="D5617" s="197"/>
      <c r="E5617" s="197"/>
      <c r="F5617" s="197"/>
      <c r="G5617" s="197" t="s">
        <v>270</v>
      </c>
      <c r="H5617" s="209"/>
      <c r="I5617" s="209"/>
    </row>
    <row r="5618" spans="1:12">
      <c r="A5618" s="195"/>
      <c r="B5618" s="195" t="s">
        <v>206</v>
      </c>
      <c r="C5618"/>
      <c r="D5618" s="197"/>
      <c r="E5618" s="197"/>
      <c r="F5618" s="197"/>
      <c r="G5618" s="197" t="s">
        <v>270</v>
      </c>
      <c r="H5618" s="209"/>
      <c r="I5618" s="209"/>
    </row>
    <row r="5619" spans="1:12">
      <c r="A5619" s="195"/>
      <c r="B5619" s="195" t="s">
        <v>207</v>
      </c>
      <c r="C5619"/>
      <c r="D5619" s="197"/>
      <c r="E5619" s="197"/>
      <c r="F5619" s="197"/>
      <c r="G5619" s="197" t="s">
        <v>270</v>
      </c>
      <c r="H5619" s="209"/>
      <c r="I5619" s="209"/>
    </row>
    <row r="5620" spans="1:12">
      <c r="A5620" s="195"/>
      <c r="B5620" s="196" t="s">
        <v>227</v>
      </c>
      <c r="C5620"/>
      <c r="D5620" s="197"/>
      <c r="E5620" s="197"/>
      <c r="F5620" s="197"/>
      <c r="G5620" s="197"/>
      <c r="H5620" s="209"/>
      <c r="I5620" s="209"/>
      <c r="K5620"/>
    </row>
    <row r="5621" spans="1:12" ht="29.25" thickBot="1">
      <c r="A5621" s="213" t="str">
        <f>"回収シフト  第"&amp;ROUNDUP(DAY(B5624)/7,0)  &amp;"  "&amp;TEXT(B5624,"aaaa")</f>
        <v>回収シフト  第1  土曜日</v>
      </c>
      <c r="B5621" s="214"/>
      <c r="C5621" s="214"/>
      <c r="D5621" s="214"/>
      <c r="E5621" s="214"/>
      <c r="F5621" s="214"/>
      <c r="G5621" s="215"/>
      <c r="H5621" s="215"/>
      <c r="I5621" s="215"/>
      <c r="K5621" s="214"/>
      <c r="L5621" s="214"/>
    </row>
    <row r="5622" spans="1:12" ht="15.75" thickBot="1">
      <c r="A5622"/>
      <c r="B5622"/>
      <c r="C5622"/>
      <c r="D5622" s="186" t="s">
        <v>201</v>
      </c>
      <c r="E5622" s="186" t="s">
        <v>202</v>
      </c>
      <c r="F5622" s="186" t="s">
        <v>203</v>
      </c>
      <c r="G5622" s="186" t="s">
        <v>204</v>
      </c>
      <c r="H5622" s="186" t="s">
        <v>267</v>
      </c>
      <c r="I5622" s="186" t="s">
        <v>267</v>
      </c>
      <c r="K5622" s="230" t="s">
        <v>257</v>
      </c>
      <c r="L5622" s="231"/>
    </row>
    <row r="5623" spans="1:12">
      <c r="A5623" s="187"/>
      <c r="B5623" s="188">
        <v>46119</v>
      </c>
      <c r="C5623" s="187"/>
      <c r="D5623" s="189" t="s">
        <v>1027</v>
      </c>
      <c r="E5623" s="189" t="s">
        <v>1028</v>
      </c>
      <c r="F5623" s="189" t="s">
        <v>1026</v>
      </c>
      <c r="G5623" s="189"/>
      <c r="H5623" s="189"/>
      <c r="I5623" s="223"/>
      <c r="K5623" s="232" t="s">
        <v>258</v>
      </c>
      <c r="L5623" s="190" t="str">
        <f>_xlfn.XLOOKUP($B5624,シフト抽出!$19:$19,シフト抽出!$20:$20,"該当なし",0,1)</f>
        <v>該当なし</v>
      </c>
    </row>
    <row r="5624" spans="1:12" ht="19.5" thickBot="1">
      <c r="A5624"/>
      <c r="B5624" s="191">
        <f>B5571+1</f>
        <v>46235</v>
      </c>
      <c r="C5624" s="192"/>
      <c r="D5624" s="216"/>
      <c r="E5624" s="216"/>
      <c r="F5624" s="216"/>
      <c r="G5624" s="216"/>
      <c r="H5624" s="216"/>
      <c r="I5624" s="220"/>
      <c r="K5624" s="233"/>
      <c r="L5624" s="194" t="str">
        <f>_xlfn.XLOOKUP($B5624,シフト抽出!$19:$19,シフト抽出!$21:$21,"該当なし",0,1)</f>
        <v>該当なし</v>
      </c>
    </row>
    <row r="5625" spans="1:12">
      <c r="A5625" s="195"/>
      <c r="B5625" s="196">
        <v>0.25</v>
      </c>
      <c r="C5625"/>
      <c r="D5625" s="197"/>
      <c r="E5625" s="196"/>
      <c r="F5625" s="197"/>
      <c r="G5625" s="197"/>
      <c r="H5625" s="197"/>
      <c r="I5625" s="209"/>
      <c r="K5625" s="234" t="s">
        <v>259</v>
      </c>
      <c r="L5625" s="198" t="str">
        <f>_xlfn.XLOOKUP($B5624,シフト抽出!$19:$19,シフト抽出!$23:$23,"該当なし",0,1)</f>
        <v>該当なし</v>
      </c>
    </row>
    <row r="5626" spans="1:12" ht="15.75" thickBot="1">
      <c r="A5626" s="195"/>
      <c r="B5626" s="195" t="s">
        <v>205</v>
      </c>
      <c r="C5626"/>
      <c r="D5626" s="197"/>
      <c r="E5626" s="197"/>
      <c r="F5626" s="197"/>
      <c r="G5626" s="197"/>
      <c r="H5626" s="197"/>
      <c r="I5626" s="209"/>
      <c r="K5626" s="235"/>
      <c r="L5626" s="199" t="str">
        <f>_xlfn.XLOOKUP($B5624,シフト抽出!$19:$19,シフト抽出!$24:$24,"該当なし",0,1)</f>
        <v>該当なし</v>
      </c>
    </row>
    <row r="5627" spans="1:12">
      <c r="A5627" s="195"/>
      <c r="B5627" s="195" t="s">
        <v>206</v>
      </c>
      <c r="C5627"/>
      <c r="D5627" s="197"/>
      <c r="E5627" s="197"/>
      <c r="F5627" s="197"/>
      <c r="G5627" s="197"/>
      <c r="H5627" s="197"/>
      <c r="I5627" s="209"/>
      <c r="K5627" s="224" t="s">
        <v>260</v>
      </c>
      <c r="L5627" s="200" t="str">
        <f>_xlfn.XLOOKUP($B5624,シフト抽出!$19:$19,シフト抽出!$26:$26,"該当なし",0,1)</f>
        <v>該当なし</v>
      </c>
    </row>
    <row r="5628" spans="1:12">
      <c r="A5628" s="195"/>
      <c r="B5628" s="195" t="s">
        <v>207</v>
      </c>
      <c r="C5628"/>
      <c r="D5628" s="197"/>
      <c r="E5628" s="197"/>
      <c r="F5628" s="197"/>
      <c r="G5628" s="197"/>
      <c r="H5628" s="197"/>
      <c r="I5628" s="209"/>
      <c r="K5628" s="225"/>
      <c r="L5628" s="201" t="str">
        <f>_xlfn.XLOOKUP($B5624,シフト抽出!$19:$19,シフト抽出!$27:$27,"該当なし",0,1)</f>
        <v>該当なし</v>
      </c>
    </row>
    <row r="5629" spans="1:12">
      <c r="A5629" s="195"/>
      <c r="B5629" s="202" t="s">
        <v>208</v>
      </c>
      <c r="C5629"/>
      <c r="D5629" s="197"/>
      <c r="E5629" s="197"/>
      <c r="F5629" s="197"/>
      <c r="G5629" s="197"/>
      <c r="H5629" s="197"/>
      <c r="I5629" s="209"/>
      <c r="J5629" s="203"/>
      <c r="K5629" s="225"/>
      <c r="L5629" s="201" t="str">
        <f>_xlfn.XLOOKUP($B5624,シフト抽出!$19:$19,シフト抽出!$28:$28,"該当なし",0,1)</f>
        <v>該当なし</v>
      </c>
    </row>
    <row r="5630" spans="1:12" ht="15.75" thickBot="1">
      <c r="A5630" s="195"/>
      <c r="B5630" s="195" t="s">
        <v>205</v>
      </c>
      <c r="C5630"/>
      <c r="D5630" s="197"/>
      <c r="E5630" s="197"/>
      <c r="F5630" s="197"/>
      <c r="G5630" s="197"/>
      <c r="H5630" s="197"/>
      <c r="I5630" s="209"/>
      <c r="J5630" s="203"/>
      <c r="K5630" s="226"/>
      <c r="L5630" s="204" t="str">
        <f>_xlfn.XLOOKUP($B5624,シフト抽出!$19:$19,シフト抽出!$29:$29,"該当なし",0,1)</f>
        <v>該当なし</v>
      </c>
    </row>
    <row r="5631" spans="1:12" ht="15.75" thickBot="1">
      <c r="A5631" s="195"/>
      <c r="B5631" s="195" t="s">
        <v>206</v>
      </c>
      <c r="C5631"/>
      <c r="D5631" s="197"/>
      <c r="E5631" s="197"/>
      <c r="F5631" s="197"/>
      <c r="G5631" s="197"/>
      <c r="H5631" s="197"/>
      <c r="I5631" s="209"/>
      <c r="K5631" s="205" t="s">
        <v>261</v>
      </c>
      <c r="L5631" s="205">
        <f>_xlfn.XLOOKUP($B5624,予定表!B:B,予定表!R:R,"該当なし",0,1)</f>
        <v>0</v>
      </c>
    </row>
    <row r="5632" spans="1:12">
      <c r="A5632" s="195"/>
      <c r="B5632" s="195" t="s">
        <v>207</v>
      </c>
      <c r="C5632"/>
      <c r="D5632" s="197"/>
      <c r="E5632" s="197"/>
      <c r="F5632" s="197"/>
      <c r="G5632" s="197"/>
      <c r="H5632" s="197"/>
      <c r="I5632" s="209"/>
      <c r="K5632" s="227" t="s">
        <v>262</v>
      </c>
      <c r="L5632" s="206">
        <f>_xlfn.XLOOKUP($B5624,予定表!$B:$B,予定表!E:E,"該当なし",0,1)</f>
        <v>0</v>
      </c>
    </row>
    <row r="5633" spans="1:12">
      <c r="A5633" s="195"/>
      <c r="B5633" s="196" t="s">
        <v>209</v>
      </c>
      <c r="C5633"/>
      <c r="D5633" s="197" t="s">
        <v>4</v>
      </c>
      <c r="E5633" s="197" t="s">
        <v>4</v>
      </c>
      <c r="F5633" s="197"/>
      <c r="G5633" s="197"/>
      <c r="H5633" s="197"/>
      <c r="I5633" s="209"/>
      <c r="K5633" s="228"/>
      <c r="L5633" s="207">
        <f>_xlfn.XLOOKUP($B5624,予定表!$B:$B,予定表!F:F,"該当なし",0,1)</f>
        <v>0</v>
      </c>
    </row>
    <row r="5634" spans="1:12">
      <c r="A5634" s="195"/>
      <c r="B5634" s="195" t="s">
        <v>205</v>
      </c>
      <c r="C5634"/>
      <c r="D5634" s="197" t="s">
        <v>268</v>
      </c>
      <c r="E5634" s="197" t="s">
        <v>793</v>
      </c>
      <c r="F5634" s="197"/>
      <c r="G5634" s="197"/>
      <c r="H5634" s="197"/>
      <c r="I5634" s="209"/>
      <c r="K5634" s="228"/>
      <c r="L5634" s="207">
        <f>_xlfn.XLOOKUP($B5624,予定表!$B:$B,予定表!G:G,"該当なし",0,1)</f>
        <v>0</v>
      </c>
    </row>
    <row r="5635" spans="1:12">
      <c r="A5635" s="195"/>
      <c r="B5635" s="195" t="s">
        <v>206</v>
      </c>
      <c r="C5635"/>
      <c r="D5635" s="197" t="s">
        <v>268</v>
      </c>
      <c r="E5635" s="197" t="s">
        <v>989</v>
      </c>
      <c r="F5635" s="197"/>
      <c r="G5635" s="197"/>
      <c r="H5635" s="197"/>
      <c r="I5635" s="209"/>
      <c r="K5635" s="228"/>
      <c r="L5635" s="207">
        <f>_xlfn.XLOOKUP($B5624,予定表!$B:$B,予定表!H:H,"該当なし",0,1)</f>
        <v>0</v>
      </c>
    </row>
    <row r="5636" spans="1:12">
      <c r="A5636" s="195"/>
      <c r="B5636" s="195" t="s">
        <v>207</v>
      </c>
      <c r="C5636"/>
      <c r="D5636" s="197" t="s">
        <v>268</v>
      </c>
      <c r="E5636" s="197" t="s">
        <v>22</v>
      </c>
      <c r="F5636" s="197"/>
      <c r="G5636" s="197"/>
      <c r="H5636" s="197"/>
      <c r="I5636" s="209"/>
      <c r="K5636" s="228"/>
      <c r="L5636" s="207" t="str">
        <f>_xlfn.XLOOKUP($B5624,予定表!$B:$B,予定表!I:I,"該当なし",0,1)</f>
        <v>カインズPM14</v>
      </c>
    </row>
    <row r="5637" spans="1:12">
      <c r="A5637" s="195"/>
      <c r="B5637" s="196" t="s">
        <v>212</v>
      </c>
      <c r="C5637"/>
      <c r="D5637" s="197" t="s">
        <v>268</v>
      </c>
      <c r="E5637" s="197" t="s">
        <v>22</v>
      </c>
      <c r="F5637" s="197"/>
      <c r="G5637" s="197"/>
      <c r="H5637" s="197"/>
      <c r="I5637" s="209"/>
      <c r="K5637" s="228"/>
      <c r="L5637" s="207">
        <f>_xlfn.XLOOKUP($B5624,予定表!$B:$B,予定表!J:J,"該当なし",0,1)</f>
        <v>0</v>
      </c>
    </row>
    <row r="5638" spans="1:12">
      <c r="A5638" s="195"/>
      <c r="B5638" s="195" t="s">
        <v>205</v>
      </c>
      <c r="C5638"/>
      <c r="D5638" s="197" t="s">
        <v>268</v>
      </c>
      <c r="E5638" s="197" t="s">
        <v>793</v>
      </c>
      <c r="F5638" s="197"/>
      <c r="G5638" s="197"/>
      <c r="H5638" s="197"/>
      <c r="I5638" s="209"/>
      <c r="K5638" s="228"/>
      <c r="L5638" s="207">
        <f>_xlfn.XLOOKUP($B5624,予定表!$B:$B,予定表!K:K,"該当なし",0,1)</f>
        <v>0</v>
      </c>
    </row>
    <row r="5639" spans="1:12">
      <c r="A5639" s="195"/>
      <c r="B5639" s="195" t="s">
        <v>206</v>
      </c>
      <c r="C5639"/>
      <c r="D5639" s="197" t="s">
        <v>515</v>
      </c>
      <c r="E5639" s="197" t="s">
        <v>241</v>
      </c>
      <c r="F5639" s="197"/>
      <c r="G5639" s="197"/>
      <c r="H5639" s="197"/>
      <c r="I5639" s="209"/>
      <c r="K5639" s="228"/>
      <c r="L5639" s="207">
        <f>_xlfn.XLOOKUP($B5624,予定表!$B:$B,予定表!L:L,"該当なし",0,1)</f>
        <v>0</v>
      </c>
    </row>
    <row r="5640" spans="1:12" ht="15.75" thickBot="1">
      <c r="A5640" s="195"/>
      <c r="B5640" s="195" t="s">
        <v>207</v>
      </c>
      <c r="C5640"/>
      <c r="D5640" s="197" t="s">
        <v>515</v>
      </c>
      <c r="E5640" s="197" t="s">
        <v>241</v>
      </c>
      <c r="F5640" s="197"/>
      <c r="G5640" s="197"/>
      <c r="H5640" s="197"/>
      <c r="I5640" s="209"/>
      <c r="K5640" s="229"/>
      <c r="L5640" s="204" t="str">
        <f>_xlfn.XLOOKUP($A5621,ﾘｽﾄマスタ!$U$8:$U$17,ﾘｽﾄマスタ!$V$8:$V$17,"",0)</f>
        <v/>
      </c>
    </row>
    <row r="5641" spans="1:12" ht="15.75" thickBot="1">
      <c r="A5641" s="195"/>
      <c r="B5641" s="196" t="s">
        <v>251</v>
      </c>
      <c r="C5641"/>
      <c r="D5641" s="197" t="s">
        <v>515</v>
      </c>
      <c r="E5641" s="197" t="s">
        <v>114</v>
      </c>
      <c r="F5641" s="197"/>
      <c r="G5641" s="197"/>
      <c r="H5641" s="197"/>
      <c r="I5641" s="209"/>
      <c r="K5641" s="208" t="s">
        <v>277</v>
      </c>
      <c r="L5641" s="208" t="str">
        <f>_xlfn.XLOOKUP($B5624,シフト抽出!$19:$19,シフト抽出!$30:$30,"該当なし",0,1)</f>
        <v>該当なし</v>
      </c>
    </row>
    <row r="5642" spans="1:12">
      <c r="A5642" s="195"/>
      <c r="B5642" s="195" t="s">
        <v>205</v>
      </c>
      <c r="C5642"/>
      <c r="D5642" s="197" t="s">
        <v>242</v>
      </c>
      <c r="E5642" s="197" t="s">
        <v>114</v>
      </c>
      <c r="F5642" s="197"/>
      <c r="G5642" s="197"/>
      <c r="H5642" s="197"/>
      <c r="I5642" s="209"/>
    </row>
    <row r="5643" spans="1:12">
      <c r="A5643" s="195"/>
      <c r="B5643" s="195" t="s">
        <v>206</v>
      </c>
      <c r="C5643"/>
      <c r="D5643" s="197" t="s">
        <v>242</v>
      </c>
      <c r="E5643" s="197"/>
      <c r="F5643" s="197"/>
      <c r="G5643" s="197"/>
      <c r="H5643" s="197"/>
      <c r="I5643" s="209"/>
    </row>
    <row r="5644" spans="1:12">
      <c r="A5644" s="195"/>
      <c r="B5644" s="195" t="s">
        <v>207</v>
      </c>
      <c r="C5644"/>
      <c r="D5644" s="197" t="s">
        <v>242</v>
      </c>
      <c r="E5644" s="197" t="s">
        <v>244</v>
      </c>
      <c r="F5644" s="197"/>
      <c r="G5644" s="197"/>
      <c r="H5644" s="197"/>
      <c r="I5644" s="209"/>
    </row>
    <row r="5645" spans="1:12">
      <c r="A5645" s="195"/>
      <c r="B5645" s="196" t="s">
        <v>217</v>
      </c>
      <c r="C5645"/>
      <c r="D5645" s="197" t="s">
        <v>242</v>
      </c>
      <c r="E5645" s="197" t="s">
        <v>851</v>
      </c>
      <c r="F5645" s="197"/>
      <c r="G5645" s="197"/>
      <c r="H5645" s="197"/>
      <c r="I5645" s="209"/>
    </row>
    <row r="5646" spans="1:12">
      <c r="A5646" s="195"/>
      <c r="B5646" s="195" t="s">
        <v>205</v>
      </c>
      <c r="C5646"/>
      <c r="D5646" s="197" t="s">
        <v>242</v>
      </c>
      <c r="E5646" s="197" t="s">
        <v>851</v>
      </c>
      <c r="F5646" s="197"/>
      <c r="G5646" s="197"/>
      <c r="H5646" s="197"/>
      <c r="I5646" s="209"/>
    </row>
    <row r="5647" spans="1:12">
      <c r="A5647" s="195"/>
      <c r="B5647" s="195" t="s">
        <v>206</v>
      </c>
      <c r="C5647"/>
      <c r="D5647" s="197" t="s">
        <v>242</v>
      </c>
      <c r="E5647" s="197" t="s">
        <v>851</v>
      </c>
      <c r="F5647" s="197"/>
      <c r="G5647" s="197"/>
      <c r="H5647" s="197"/>
      <c r="I5647" s="209"/>
    </row>
    <row r="5648" spans="1:12">
      <c r="A5648" s="195"/>
      <c r="B5648" s="195" t="s">
        <v>207</v>
      </c>
      <c r="C5648"/>
      <c r="D5648" s="197" t="s">
        <v>242</v>
      </c>
      <c r="E5648" s="197" t="s">
        <v>851</v>
      </c>
      <c r="F5648" s="197"/>
      <c r="G5648" s="197"/>
      <c r="H5648" s="197"/>
      <c r="I5648" s="209"/>
    </row>
    <row r="5649" spans="1:9">
      <c r="A5649" s="195"/>
      <c r="B5649" s="196" t="s">
        <v>219</v>
      </c>
      <c r="C5649"/>
      <c r="D5649" s="197"/>
      <c r="E5649" s="197" t="s">
        <v>851</v>
      </c>
      <c r="F5649" s="197" t="s">
        <v>416</v>
      </c>
      <c r="G5649" s="197"/>
      <c r="H5649" s="197"/>
      <c r="I5649" s="209"/>
    </row>
    <row r="5650" spans="1:9">
      <c r="A5650" s="195"/>
      <c r="B5650" s="195" t="s">
        <v>205</v>
      </c>
      <c r="C5650"/>
      <c r="D5650" s="197"/>
      <c r="E5650" s="197" t="s">
        <v>851</v>
      </c>
      <c r="F5650" s="197" t="s">
        <v>416</v>
      </c>
      <c r="G5650" s="197"/>
      <c r="H5650" s="197"/>
      <c r="I5650" s="209"/>
    </row>
    <row r="5651" spans="1:9">
      <c r="A5651" s="195"/>
      <c r="B5651" s="195" t="s">
        <v>206</v>
      </c>
      <c r="C5651"/>
      <c r="D5651" s="197"/>
      <c r="E5651" s="197"/>
      <c r="F5651" s="197" t="s">
        <v>416</v>
      </c>
      <c r="G5651" s="197"/>
      <c r="H5651" s="197"/>
      <c r="I5651" s="209"/>
    </row>
    <row r="5652" spans="1:9">
      <c r="A5652" s="195"/>
      <c r="B5652" s="195" t="s">
        <v>207</v>
      </c>
      <c r="C5652"/>
      <c r="D5652" s="197"/>
      <c r="E5652" s="197"/>
      <c r="F5652" s="197" t="s">
        <v>1004</v>
      </c>
      <c r="G5652" s="197"/>
      <c r="H5652" s="197"/>
      <c r="I5652" s="209"/>
    </row>
    <row r="5653" spans="1:9">
      <c r="A5653" s="195"/>
      <c r="B5653" s="196" t="s">
        <v>220</v>
      </c>
      <c r="C5653"/>
      <c r="D5653" s="197" t="s">
        <v>7</v>
      </c>
      <c r="E5653" s="197" t="s">
        <v>7</v>
      </c>
      <c r="F5653" s="197" t="s">
        <v>416</v>
      </c>
      <c r="G5653" s="189"/>
      <c r="H5653" s="197"/>
      <c r="I5653" s="209"/>
    </row>
    <row r="5654" spans="1:9">
      <c r="A5654" s="195"/>
      <c r="B5654" s="195" t="s">
        <v>205</v>
      </c>
      <c r="C5654"/>
      <c r="D5654" s="197" t="s">
        <v>886</v>
      </c>
      <c r="E5654" s="197" t="s">
        <v>228</v>
      </c>
      <c r="F5654" s="197" t="s">
        <v>416</v>
      </c>
      <c r="G5654" s="197"/>
      <c r="H5654" s="197"/>
      <c r="I5654" s="209"/>
    </row>
    <row r="5655" spans="1:9">
      <c r="A5655" s="195"/>
      <c r="B5655" s="195" t="s">
        <v>206</v>
      </c>
      <c r="C5655"/>
      <c r="D5655" s="197" t="s">
        <v>886</v>
      </c>
      <c r="E5655" s="197" t="s">
        <v>228</v>
      </c>
      <c r="F5655" s="197" t="s">
        <v>416</v>
      </c>
      <c r="G5655" s="197"/>
      <c r="H5655" s="197"/>
      <c r="I5655" s="209"/>
    </row>
    <row r="5656" spans="1:9">
      <c r="A5656" s="195"/>
      <c r="B5656" s="195" t="s">
        <v>207</v>
      </c>
      <c r="C5656"/>
      <c r="D5656" s="197" t="s">
        <v>886</v>
      </c>
      <c r="E5656" s="197" t="s">
        <v>228</v>
      </c>
      <c r="F5656" s="197" t="s">
        <v>416</v>
      </c>
      <c r="G5656" s="197"/>
      <c r="H5656" s="197"/>
      <c r="I5656" s="209"/>
    </row>
    <row r="5657" spans="1:9">
      <c r="A5657" s="195"/>
      <c r="B5657" s="196" t="s">
        <v>222</v>
      </c>
      <c r="C5657"/>
      <c r="D5657" s="197" t="s">
        <v>886</v>
      </c>
      <c r="E5657" s="197" t="s">
        <v>228</v>
      </c>
      <c r="F5657" s="197" t="s">
        <v>416</v>
      </c>
      <c r="G5657" s="197"/>
      <c r="H5657" s="197"/>
      <c r="I5657" s="209"/>
    </row>
    <row r="5658" spans="1:9">
      <c r="A5658" s="195"/>
      <c r="B5658" s="195" t="s">
        <v>205</v>
      </c>
      <c r="C5658"/>
      <c r="D5658" s="197"/>
      <c r="E5658" s="197" t="s">
        <v>228</v>
      </c>
      <c r="F5658" s="197" t="s">
        <v>416</v>
      </c>
      <c r="G5658" s="197"/>
      <c r="H5658" s="197"/>
      <c r="I5658" s="209"/>
    </row>
    <row r="5659" spans="1:9">
      <c r="A5659" s="195"/>
      <c r="B5659" s="195" t="s">
        <v>206</v>
      </c>
      <c r="C5659"/>
      <c r="D5659" s="197" t="s">
        <v>270</v>
      </c>
      <c r="E5659" s="197" t="s">
        <v>228</v>
      </c>
      <c r="F5659" s="197" t="s">
        <v>416</v>
      </c>
      <c r="G5659" s="197"/>
      <c r="H5659" s="197"/>
      <c r="I5659" s="209"/>
    </row>
    <row r="5660" spans="1:9">
      <c r="A5660" s="195"/>
      <c r="B5660" s="195" t="s">
        <v>207</v>
      </c>
      <c r="C5660"/>
      <c r="D5660" s="197" t="s">
        <v>270</v>
      </c>
      <c r="E5660" s="197" t="s">
        <v>228</v>
      </c>
      <c r="F5660" s="197" t="s">
        <v>416</v>
      </c>
      <c r="G5660" s="197"/>
      <c r="H5660" s="197"/>
      <c r="I5660" s="209"/>
    </row>
    <row r="5661" spans="1:9">
      <c r="A5661" s="195"/>
      <c r="B5661" s="196" t="s">
        <v>223</v>
      </c>
      <c r="C5661"/>
      <c r="D5661" s="197" t="s">
        <v>270</v>
      </c>
      <c r="E5661" s="197" t="s">
        <v>228</v>
      </c>
      <c r="F5661" s="197"/>
      <c r="G5661" s="197"/>
      <c r="H5661" s="197"/>
      <c r="I5661" s="209"/>
    </row>
    <row r="5662" spans="1:9">
      <c r="A5662" s="195"/>
      <c r="B5662" s="195" t="s">
        <v>205</v>
      </c>
      <c r="C5662"/>
      <c r="D5662" s="197" t="s">
        <v>270</v>
      </c>
      <c r="E5662" s="197" t="s">
        <v>273</v>
      </c>
      <c r="F5662" s="197"/>
      <c r="G5662" s="197"/>
      <c r="H5662" s="197"/>
      <c r="I5662" s="209"/>
    </row>
    <row r="5663" spans="1:9">
      <c r="A5663" s="195"/>
      <c r="B5663" s="195" t="s">
        <v>206</v>
      </c>
      <c r="C5663"/>
      <c r="D5663" s="197" t="s">
        <v>270</v>
      </c>
      <c r="E5663" s="197" t="s">
        <v>273</v>
      </c>
      <c r="F5663" s="197"/>
      <c r="G5663" s="197"/>
      <c r="H5663" s="197"/>
      <c r="I5663" s="209"/>
    </row>
    <row r="5664" spans="1:9">
      <c r="A5664" s="195"/>
      <c r="B5664" s="195" t="s">
        <v>207</v>
      </c>
      <c r="C5664"/>
      <c r="D5664" s="197" t="s">
        <v>270</v>
      </c>
      <c r="E5664" s="197" t="s">
        <v>273</v>
      </c>
      <c r="F5664" s="197"/>
      <c r="G5664" s="197"/>
      <c r="H5664" s="197"/>
      <c r="I5664" s="209"/>
    </row>
    <row r="5665" spans="1:12">
      <c r="A5665" s="195"/>
      <c r="B5665" s="196" t="s">
        <v>225</v>
      </c>
      <c r="C5665"/>
      <c r="D5665" s="197" t="s">
        <v>270</v>
      </c>
      <c r="E5665" s="197" t="s">
        <v>263</v>
      </c>
      <c r="F5665" s="197"/>
      <c r="G5665" s="197"/>
      <c r="H5665" s="197"/>
      <c r="I5665" s="209"/>
    </row>
    <row r="5666" spans="1:12">
      <c r="A5666" s="195"/>
      <c r="B5666" s="195" t="s">
        <v>205</v>
      </c>
      <c r="C5666"/>
      <c r="D5666" s="197" t="s">
        <v>270</v>
      </c>
      <c r="E5666" s="197" t="s">
        <v>263</v>
      </c>
      <c r="F5666" s="197"/>
      <c r="G5666" s="197"/>
      <c r="H5666" s="209"/>
      <c r="I5666" s="209"/>
    </row>
    <row r="5667" spans="1:12">
      <c r="A5667" s="195"/>
      <c r="B5667" s="195" t="s">
        <v>206</v>
      </c>
      <c r="C5667"/>
      <c r="D5667" s="197" t="s">
        <v>270</v>
      </c>
      <c r="E5667" s="197" t="s">
        <v>263</v>
      </c>
      <c r="F5667" s="197"/>
      <c r="G5667" s="197"/>
      <c r="H5667" s="209"/>
      <c r="I5667" s="209"/>
    </row>
    <row r="5668" spans="1:12">
      <c r="A5668" s="195"/>
      <c r="B5668" s="195" t="s">
        <v>207</v>
      </c>
      <c r="C5668"/>
      <c r="D5668" s="197" t="s">
        <v>270</v>
      </c>
      <c r="E5668" s="197" t="s">
        <v>263</v>
      </c>
      <c r="F5668" s="197"/>
      <c r="G5668" s="197"/>
      <c r="H5668" s="209"/>
      <c r="I5668" s="209"/>
    </row>
    <row r="5669" spans="1:12">
      <c r="A5669" s="195"/>
      <c r="B5669" s="196" t="s">
        <v>226</v>
      </c>
      <c r="C5669"/>
      <c r="D5669" s="197" t="s">
        <v>270</v>
      </c>
      <c r="E5669" s="197"/>
      <c r="F5669" s="197"/>
      <c r="G5669" s="197"/>
      <c r="H5669" s="209"/>
      <c r="I5669" s="209"/>
    </row>
    <row r="5670" spans="1:12">
      <c r="A5670" s="195"/>
      <c r="B5670" s="195" t="s">
        <v>205</v>
      </c>
      <c r="C5670"/>
      <c r="D5670" s="197" t="s">
        <v>270</v>
      </c>
      <c r="E5670" s="197"/>
      <c r="F5670" s="197"/>
      <c r="G5670" s="197"/>
      <c r="H5670" s="209"/>
      <c r="I5670" s="209"/>
    </row>
    <row r="5671" spans="1:12">
      <c r="A5671" s="195"/>
      <c r="B5671" s="195" t="s">
        <v>206</v>
      </c>
      <c r="C5671"/>
      <c r="D5671" s="197" t="s">
        <v>270</v>
      </c>
      <c r="E5671" s="197"/>
      <c r="F5671" s="197"/>
      <c r="G5671" s="197"/>
      <c r="H5671" s="209"/>
      <c r="I5671" s="209"/>
    </row>
    <row r="5672" spans="1:12">
      <c r="A5672" s="195"/>
      <c r="B5672" s="195" t="s">
        <v>207</v>
      </c>
      <c r="C5672"/>
      <c r="D5672" s="197" t="s">
        <v>270</v>
      </c>
      <c r="E5672" s="197"/>
      <c r="F5672" s="197"/>
      <c r="G5672" s="197"/>
      <c r="H5672" s="209"/>
      <c r="I5672" s="209"/>
    </row>
    <row r="5673" spans="1:12">
      <c r="A5673" s="195"/>
      <c r="B5673" s="196" t="s">
        <v>227</v>
      </c>
      <c r="C5673"/>
      <c r="D5673" s="197"/>
      <c r="E5673" s="197"/>
      <c r="F5673" s="197"/>
      <c r="G5673" s="197"/>
      <c r="H5673" s="209"/>
      <c r="I5673" s="209"/>
      <c r="K5673"/>
    </row>
    <row r="5674" spans="1:12" ht="29.25" thickBot="1">
      <c r="A5674" s="213" t="str">
        <f>"回収シフト  第"&amp;ROUNDUP(DAY(B5677)/7,0)  &amp;"  "&amp;TEXT(B5677,"aaaa")</f>
        <v>回収シフト  第1  日曜日</v>
      </c>
      <c r="B5674" s="214"/>
      <c r="C5674" s="214"/>
      <c r="D5674" s="214"/>
      <c r="E5674" s="214"/>
      <c r="F5674" s="214"/>
      <c r="G5674" s="215"/>
      <c r="H5674" s="215"/>
      <c r="K5674" s="214"/>
      <c r="L5674" s="214"/>
    </row>
    <row r="5675" spans="1:12" ht="15.75" thickBot="1">
      <c r="A5675"/>
      <c r="B5675"/>
      <c r="C5675"/>
      <c r="D5675" s="186" t="s">
        <v>201</v>
      </c>
      <c r="E5675" s="186" t="s">
        <v>202</v>
      </c>
      <c r="F5675" s="186" t="s">
        <v>203</v>
      </c>
      <c r="G5675" s="186" t="s">
        <v>204</v>
      </c>
      <c r="H5675" s="186" t="s">
        <v>267</v>
      </c>
      <c r="K5675" s="230" t="s">
        <v>257</v>
      </c>
      <c r="L5675" s="231"/>
    </row>
    <row r="5676" spans="1:12">
      <c r="A5676" s="187"/>
      <c r="B5676" s="188">
        <v>46119</v>
      </c>
      <c r="C5676" s="187"/>
      <c r="D5676" s="189"/>
      <c r="E5676" s="189"/>
      <c r="F5676" s="189"/>
      <c r="G5676" s="189"/>
      <c r="H5676" s="189"/>
      <c r="K5676" s="232" t="s">
        <v>258</v>
      </c>
      <c r="L5676" s="190" t="str">
        <f>_xlfn.XLOOKUP($B5677,シフト抽出!$19:$19,シフト抽出!$20:$20,"該当なし",0,1)</f>
        <v>該当なし</v>
      </c>
    </row>
    <row r="5677" spans="1:12" ht="19.5" thickBot="1">
      <c r="A5677"/>
      <c r="B5677" s="191">
        <f>B5624+1</f>
        <v>46236</v>
      </c>
      <c r="C5677" s="192"/>
      <c r="D5677" s="216"/>
      <c r="E5677" s="216"/>
      <c r="F5677" s="216"/>
      <c r="G5677" s="216"/>
      <c r="H5677" s="216"/>
      <c r="K5677" s="233"/>
      <c r="L5677" s="194" t="str">
        <f>_xlfn.XLOOKUP($B5677,シフト抽出!$19:$19,シフト抽出!$21:$21,"該当なし",0,1)</f>
        <v>該当なし</v>
      </c>
    </row>
    <row r="5678" spans="1:12">
      <c r="A5678" s="195"/>
      <c r="B5678" s="196">
        <v>0.25</v>
      </c>
      <c r="C5678"/>
      <c r="D5678" s="197"/>
      <c r="E5678" s="196"/>
      <c r="F5678" s="197"/>
      <c r="G5678" s="197"/>
      <c r="H5678" s="197"/>
      <c r="K5678" s="234" t="s">
        <v>259</v>
      </c>
      <c r="L5678" s="198" t="str">
        <f>_xlfn.XLOOKUP($B5677,シフト抽出!$19:$19,シフト抽出!$23:$23,"該当なし",0,1)</f>
        <v>該当なし</v>
      </c>
    </row>
    <row r="5679" spans="1:12" ht="15.75" thickBot="1">
      <c r="A5679" s="195"/>
      <c r="B5679" s="195" t="s">
        <v>205</v>
      </c>
      <c r="C5679"/>
      <c r="D5679" s="197"/>
      <c r="E5679" s="197"/>
      <c r="F5679" s="197"/>
      <c r="G5679" s="197"/>
      <c r="H5679" s="197"/>
      <c r="K5679" s="235"/>
      <c r="L5679" s="199" t="str">
        <f>_xlfn.XLOOKUP($B5677,シフト抽出!$19:$19,シフト抽出!$24:$24,"該当なし",0,1)</f>
        <v>該当なし</v>
      </c>
    </row>
    <row r="5680" spans="1:12">
      <c r="A5680" s="195"/>
      <c r="B5680" s="195" t="s">
        <v>206</v>
      </c>
      <c r="C5680"/>
      <c r="D5680" s="197"/>
      <c r="E5680" s="197"/>
      <c r="F5680" s="197"/>
      <c r="G5680" s="197"/>
      <c r="H5680" s="197"/>
      <c r="K5680" s="224" t="s">
        <v>260</v>
      </c>
      <c r="L5680" s="200" t="str">
        <f>_xlfn.XLOOKUP($B5677,シフト抽出!$19:$19,シフト抽出!$26:$26,"該当なし",0,1)</f>
        <v>該当なし</v>
      </c>
    </row>
    <row r="5681" spans="1:12">
      <c r="A5681" s="195"/>
      <c r="B5681" s="195" t="s">
        <v>207</v>
      </c>
      <c r="C5681"/>
      <c r="D5681" s="197"/>
      <c r="E5681" s="197"/>
      <c r="F5681" s="197"/>
      <c r="G5681" s="197"/>
      <c r="H5681" s="197"/>
      <c r="K5681" s="225"/>
      <c r="L5681" s="201" t="str">
        <f>_xlfn.XLOOKUP($B5677,シフト抽出!$19:$19,シフト抽出!$27:$27,"該当なし",0,1)</f>
        <v>該当なし</v>
      </c>
    </row>
    <row r="5682" spans="1:12">
      <c r="A5682" s="195"/>
      <c r="B5682" s="202" t="s">
        <v>208</v>
      </c>
      <c r="C5682"/>
      <c r="D5682" s="197"/>
      <c r="E5682" s="197"/>
      <c r="F5682" s="197"/>
      <c r="G5682" s="197"/>
      <c r="H5682" s="197"/>
      <c r="J5682" s="203"/>
      <c r="K5682" s="225"/>
      <c r="L5682" s="201" t="str">
        <f>_xlfn.XLOOKUP($B5677,シフト抽出!$19:$19,シフト抽出!$28:$28,"該当なし",0,1)</f>
        <v>該当なし</v>
      </c>
    </row>
    <row r="5683" spans="1:12" ht="15.75" thickBot="1">
      <c r="A5683" s="195"/>
      <c r="B5683" s="195" t="s">
        <v>205</v>
      </c>
      <c r="C5683"/>
      <c r="D5683" s="197"/>
      <c r="E5683" s="197"/>
      <c r="F5683" s="197"/>
      <c r="G5683" s="197"/>
      <c r="H5683" s="197"/>
      <c r="J5683" s="203"/>
      <c r="K5683" s="226"/>
      <c r="L5683" s="204" t="str">
        <f>_xlfn.XLOOKUP($B5677,シフト抽出!$19:$19,シフト抽出!$29:$29,"該当なし",0,1)</f>
        <v>該当なし</v>
      </c>
    </row>
    <row r="5684" spans="1:12" ht="15.75" thickBot="1">
      <c r="A5684" s="195"/>
      <c r="B5684" s="195" t="s">
        <v>206</v>
      </c>
      <c r="C5684"/>
      <c r="D5684" s="197"/>
      <c r="E5684" s="197"/>
      <c r="F5684" s="197"/>
      <c r="G5684" s="197"/>
      <c r="H5684" s="197"/>
      <c r="K5684" s="205" t="s">
        <v>261</v>
      </c>
      <c r="L5684" s="205">
        <f>_xlfn.XLOOKUP($B5677,予定表!B:B,予定表!R:R,"該当なし",0,1)</f>
        <v>0</v>
      </c>
    </row>
    <row r="5685" spans="1:12">
      <c r="A5685" s="195"/>
      <c r="B5685" s="195" t="s">
        <v>207</v>
      </c>
      <c r="C5685"/>
      <c r="D5685" s="197"/>
      <c r="E5685" s="197"/>
      <c r="F5685" s="197"/>
      <c r="G5685" s="197"/>
      <c r="H5685" s="197"/>
      <c r="K5685" s="227" t="s">
        <v>262</v>
      </c>
      <c r="L5685" s="206">
        <f>_xlfn.XLOOKUP($B5677,予定表!$B:$B,予定表!E:E,"該当なし",0,1)</f>
        <v>0</v>
      </c>
    </row>
    <row r="5686" spans="1:12">
      <c r="A5686" s="195"/>
      <c r="B5686" s="196" t="s">
        <v>209</v>
      </c>
      <c r="C5686"/>
      <c r="D5686" s="197"/>
      <c r="E5686" s="197"/>
      <c r="F5686" s="197"/>
      <c r="G5686" s="197"/>
      <c r="H5686" s="197"/>
      <c r="K5686" s="228"/>
      <c r="L5686" s="207" t="str">
        <f>_xlfn.XLOOKUP($B5677,予定表!$B:$B,予定表!F:F,"該当なし",0,1)</f>
        <v>パスコ</v>
      </c>
    </row>
    <row r="5687" spans="1:12">
      <c r="A5687" s="195"/>
      <c r="B5687" s="195" t="s">
        <v>205</v>
      </c>
      <c r="C5687"/>
      <c r="D5687" s="197"/>
      <c r="E5687" s="197"/>
      <c r="F5687" s="197"/>
      <c r="G5687" s="197"/>
      <c r="H5687" s="197"/>
      <c r="K5687" s="228"/>
      <c r="L5687" s="207">
        <f>_xlfn.XLOOKUP($B5677,予定表!$B:$B,予定表!G:G,"該当なし",0,1)</f>
        <v>0</v>
      </c>
    </row>
    <row r="5688" spans="1:12">
      <c r="A5688" s="195"/>
      <c r="B5688" s="195" t="s">
        <v>206</v>
      </c>
      <c r="C5688"/>
      <c r="D5688" s="197"/>
      <c r="E5688" s="197"/>
      <c r="F5688" s="197"/>
      <c r="G5688" s="197"/>
      <c r="H5688" s="197"/>
      <c r="K5688" s="228"/>
      <c r="L5688" s="207" t="str">
        <f>_xlfn.XLOOKUP($B5677,予定表!$B:$B,予定表!H:H,"該当なし",0,1)</f>
        <v>'資さん 平塚</v>
      </c>
    </row>
    <row r="5689" spans="1:12">
      <c r="A5689" s="195"/>
      <c r="B5689" s="195" t="s">
        <v>207</v>
      </c>
      <c r="C5689"/>
      <c r="D5689" s="197"/>
      <c r="E5689" s="197"/>
      <c r="F5689" s="197"/>
      <c r="G5689" s="197"/>
      <c r="H5689" s="197"/>
      <c r="K5689" s="228"/>
      <c r="L5689" s="207" t="str">
        <f>_xlfn.XLOOKUP($B5677,予定表!$B:$B,予定表!I:I,"該当なし",0,1)</f>
        <v>カインズPM12</v>
      </c>
    </row>
    <row r="5690" spans="1:12">
      <c r="A5690" s="195"/>
      <c r="B5690" s="196" t="s">
        <v>212</v>
      </c>
      <c r="C5690"/>
      <c r="D5690" s="197"/>
      <c r="E5690" s="197"/>
      <c r="F5690" s="197"/>
      <c r="G5690" s="197"/>
      <c r="H5690" s="197"/>
      <c r="K5690" s="228"/>
      <c r="L5690" s="207">
        <f>_xlfn.XLOOKUP($B5677,予定表!$B:$B,予定表!J:J,"該当なし",0,1)</f>
        <v>0</v>
      </c>
    </row>
    <row r="5691" spans="1:12">
      <c r="A5691" s="195"/>
      <c r="B5691" s="195" t="s">
        <v>205</v>
      </c>
      <c r="C5691"/>
      <c r="D5691" s="197"/>
      <c r="E5691" s="197"/>
      <c r="F5691" s="197"/>
      <c r="G5691" s="197"/>
      <c r="H5691" s="197"/>
      <c r="K5691" s="228"/>
      <c r="L5691" s="207">
        <f>_xlfn.XLOOKUP($B5677,予定表!$B:$B,予定表!K:K,"該当なし",0,1)</f>
        <v>0</v>
      </c>
    </row>
    <row r="5692" spans="1:12">
      <c r="A5692" s="195"/>
      <c r="B5692" s="195" t="s">
        <v>206</v>
      </c>
      <c r="C5692"/>
      <c r="D5692" s="197"/>
      <c r="E5692" s="197"/>
      <c r="F5692" s="197"/>
      <c r="G5692" s="197"/>
      <c r="H5692" s="197"/>
      <c r="K5692" s="228"/>
      <c r="L5692" s="207">
        <f>_xlfn.XLOOKUP($B5677,予定表!$B:$B,予定表!L:L,"該当なし",0,1)</f>
        <v>0</v>
      </c>
    </row>
    <row r="5693" spans="1:12" ht="15.75" thickBot="1">
      <c r="A5693" s="195"/>
      <c r="B5693" s="195" t="s">
        <v>207</v>
      </c>
      <c r="C5693"/>
      <c r="D5693" s="197"/>
      <c r="E5693" s="197"/>
      <c r="F5693" s="197"/>
      <c r="G5693" s="197"/>
      <c r="H5693" s="197"/>
      <c r="K5693" s="229"/>
      <c r="L5693" s="204" t="str">
        <f>_xlfn.XLOOKUP($A5674,ﾘｽﾄマスタ!$U$8:$U$17,ﾘｽﾄマスタ!$V$8:$V$17,"",0)</f>
        <v/>
      </c>
    </row>
    <row r="5694" spans="1:12" ht="15.75" thickBot="1">
      <c r="A5694" s="195"/>
      <c r="B5694" s="196" t="s">
        <v>251</v>
      </c>
      <c r="C5694"/>
      <c r="D5694" s="197"/>
      <c r="E5694" s="197"/>
      <c r="F5694" s="197"/>
      <c r="G5694" s="197"/>
      <c r="H5694" s="197"/>
      <c r="K5694" s="208" t="s">
        <v>277</v>
      </c>
      <c r="L5694" s="208" t="str">
        <f>_xlfn.XLOOKUP($B5677,シフト抽出!$19:$19,シフト抽出!$30:$30,"該当なし",0,1)</f>
        <v>該当なし</v>
      </c>
    </row>
    <row r="5695" spans="1:12">
      <c r="A5695" s="195"/>
      <c r="B5695" s="195" t="s">
        <v>205</v>
      </c>
      <c r="C5695"/>
      <c r="D5695" s="197"/>
      <c r="E5695" s="197"/>
      <c r="F5695" s="197"/>
      <c r="G5695" s="197"/>
      <c r="H5695" s="197"/>
    </row>
    <row r="5696" spans="1:12">
      <c r="A5696" s="195"/>
      <c r="B5696" s="195" t="s">
        <v>206</v>
      </c>
      <c r="C5696"/>
      <c r="D5696" s="197"/>
      <c r="E5696" s="197"/>
      <c r="F5696" s="197"/>
      <c r="G5696" s="197"/>
      <c r="H5696" s="197"/>
    </row>
    <row r="5697" spans="1:8">
      <c r="A5697" s="195"/>
      <c r="B5697" s="195" t="s">
        <v>207</v>
      </c>
      <c r="C5697"/>
      <c r="D5697" s="197"/>
      <c r="E5697" s="197"/>
      <c r="F5697" s="197"/>
      <c r="G5697" s="197"/>
      <c r="H5697" s="197"/>
    </row>
    <row r="5698" spans="1:8">
      <c r="A5698" s="195"/>
      <c r="B5698" s="196" t="s">
        <v>217</v>
      </c>
      <c r="C5698"/>
      <c r="D5698" s="197" t="s">
        <v>416</v>
      </c>
      <c r="E5698" s="197"/>
      <c r="F5698" s="197"/>
      <c r="G5698" s="197"/>
      <c r="H5698" s="197"/>
    </row>
    <row r="5699" spans="1:8">
      <c r="A5699" s="195"/>
      <c r="B5699" s="195" t="s">
        <v>205</v>
      </c>
      <c r="C5699"/>
      <c r="D5699" s="197" t="s">
        <v>999</v>
      </c>
      <c r="E5699" s="197"/>
      <c r="F5699" s="197"/>
      <c r="G5699" s="197"/>
      <c r="H5699" s="197"/>
    </row>
    <row r="5700" spans="1:8">
      <c r="A5700" s="195"/>
      <c r="B5700" s="195" t="s">
        <v>206</v>
      </c>
      <c r="C5700"/>
      <c r="D5700" s="197" t="s">
        <v>416</v>
      </c>
      <c r="E5700" s="197"/>
      <c r="F5700" s="197"/>
      <c r="G5700" s="197"/>
      <c r="H5700" s="197"/>
    </row>
    <row r="5701" spans="1:8">
      <c r="A5701" s="195"/>
      <c r="B5701" s="195" t="s">
        <v>207</v>
      </c>
      <c r="C5701"/>
      <c r="D5701" s="197" t="s">
        <v>416</v>
      </c>
      <c r="E5701" s="197"/>
      <c r="F5701" s="197"/>
      <c r="G5701" s="197"/>
      <c r="H5701" s="197"/>
    </row>
    <row r="5702" spans="1:8">
      <c r="A5702" s="195"/>
      <c r="B5702" s="196" t="s">
        <v>219</v>
      </c>
      <c r="C5702"/>
      <c r="D5702" s="197" t="s">
        <v>416</v>
      </c>
      <c r="E5702" s="197"/>
      <c r="F5702" s="197"/>
      <c r="G5702" s="197"/>
      <c r="H5702" s="197"/>
    </row>
    <row r="5703" spans="1:8">
      <c r="A5703" s="195"/>
      <c r="B5703" s="195" t="s">
        <v>205</v>
      </c>
      <c r="C5703"/>
      <c r="D5703" s="197" t="s">
        <v>416</v>
      </c>
      <c r="E5703" s="197"/>
      <c r="F5703" s="197"/>
      <c r="G5703" s="197"/>
      <c r="H5703" s="197"/>
    </row>
    <row r="5704" spans="1:8">
      <c r="A5704" s="195"/>
      <c r="B5704" s="195" t="s">
        <v>206</v>
      </c>
      <c r="C5704"/>
      <c r="D5704" s="197" t="s">
        <v>416</v>
      </c>
      <c r="E5704" s="197"/>
      <c r="F5704" s="197"/>
      <c r="G5704" s="197"/>
      <c r="H5704" s="197"/>
    </row>
    <row r="5705" spans="1:8">
      <c r="A5705" s="195"/>
      <c r="B5705" s="195" t="s">
        <v>207</v>
      </c>
      <c r="C5705"/>
      <c r="D5705" s="197" t="s">
        <v>416</v>
      </c>
      <c r="E5705" s="197"/>
      <c r="F5705" s="197"/>
      <c r="G5705" s="197"/>
      <c r="H5705" s="197"/>
    </row>
    <row r="5706" spans="1:8">
      <c r="A5706" s="195"/>
      <c r="B5706" s="196" t="s">
        <v>220</v>
      </c>
      <c r="C5706"/>
      <c r="D5706" s="197" t="s">
        <v>416</v>
      </c>
      <c r="E5706" s="197"/>
      <c r="F5706" s="197"/>
      <c r="G5706" s="189"/>
      <c r="H5706" s="197"/>
    </row>
    <row r="5707" spans="1:8">
      <c r="A5707" s="195"/>
      <c r="B5707" s="195" t="s">
        <v>205</v>
      </c>
      <c r="C5707"/>
      <c r="D5707" s="197"/>
      <c r="E5707" s="197"/>
      <c r="F5707" s="197"/>
      <c r="G5707" s="197"/>
      <c r="H5707" s="197"/>
    </row>
    <row r="5708" spans="1:8">
      <c r="A5708" s="195"/>
      <c r="B5708" s="195" t="s">
        <v>206</v>
      </c>
      <c r="C5708"/>
      <c r="D5708" s="197"/>
      <c r="E5708" s="197"/>
      <c r="F5708" s="197"/>
      <c r="G5708" s="197"/>
      <c r="H5708" s="197"/>
    </row>
    <row r="5709" spans="1:8">
      <c r="A5709" s="195"/>
      <c r="B5709" s="195" t="s">
        <v>207</v>
      </c>
      <c r="C5709"/>
      <c r="D5709" s="197"/>
      <c r="E5709" s="197"/>
      <c r="F5709" s="197"/>
      <c r="G5709" s="197"/>
      <c r="H5709" s="197"/>
    </row>
    <row r="5710" spans="1:8">
      <c r="A5710" s="195"/>
      <c r="B5710" s="196" t="s">
        <v>222</v>
      </c>
      <c r="C5710"/>
      <c r="D5710" s="197"/>
      <c r="E5710" s="197"/>
      <c r="F5710" s="197"/>
      <c r="G5710" s="197"/>
      <c r="H5710" s="197"/>
    </row>
    <row r="5711" spans="1:8">
      <c r="A5711" s="195"/>
      <c r="B5711" s="195" t="s">
        <v>205</v>
      </c>
      <c r="C5711"/>
      <c r="D5711" s="197"/>
      <c r="E5711" s="197"/>
      <c r="F5711" s="197"/>
      <c r="G5711" s="197"/>
      <c r="H5711" s="197"/>
    </row>
    <row r="5712" spans="1:8">
      <c r="A5712" s="195"/>
      <c r="B5712" s="195" t="s">
        <v>206</v>
      </c>
      <c r="C5712"/>
      <c r="D5712" s="197"/>
      <c r="E5712" s="197"/>
      <c r="F5712" s="197"/>
      <c r="G5712" s="197"/>
      <c r="H5712" s="197"/>
    </row>
    <row r="5713" spans="1:12">
      <c r="A5713" s="195"/>
      <c r="B5713" s="195" t="s">
        <v>207</v>
      </c>
      <c r="C5713"/>
      <c r="D5713" s="197"/>
      <c r="E5713" s="197"/>
      <c r="F5713" s="197"/>
      <c r="G5713" s="197"/>
      <c r="H5713" s="197"/>
    </row>
    <row r="5714" spans="1:12">
      <c r="A5714" s="195"/>
      <c r="B5714" s="196" t="s">
        <v>223</v>
      </c>
      <c r="C5714"/>
      <c r="D5714" s="197"/>
      <c r="E5714" s="197"/>
      <c r="F5714" s="197"/>
      <c r="G5714" s="197"/>
      <c r="H5714" s="197"/>
    </row>
    <row r="5715" spans="1:12">
      <c r="A5715" s="195"/>
      <c r="B5715" s="195" t="s">
        <v>205</v>
      </c>
      <c r="C5715"/>
      <c r="D5715" s="197"/>
      <c r="E5715" s="197"/>
      <c r="F5715" s="197"/>
      <c r="G5715" s="197"/>
      <c r="H5715" s="197"/>
    </row>
    <row r="5716" spans="1:12">
      <c r="A5716" s="195"/>
      <c r="B5716" s="195" t="s">
        <v>206</v>
      </c>
      <c r="C5716"/>
      <c r="D5716" s="197"/>
      <c r="E5716" s="197"/>
      <c r="F5716" s="197"/>
      <c r="G5716" s="197"/>
      <c r="H5716" s="197"/>
    </row>
    <row r="5717" spans="1:12">
      <c r="A5717" s="195"/>
      <c r="B5717" s="195" t="s">
        <v>207</v>
      </c>
      <c r="C5717"/>
      <c r="D5717" s="197"/>
      <c r="E5717" s="197"/>
      <c r="F5717" s="197"/>
      <c r="G5717" s="197"/>
      <c r="H5717" s="197"/>
    </row>
    <row r="5718" spans="1:12">
      <c r="A5718" s="195"/>
      <c r="B5718" s="196" t="s">
        <v>225</v>
      </c>
      <c r="C5718"/>
      <c r="D5718" s="197"/>
      <c r="E5718" s="197"/>
      <c r="F5718" s="197"/>
      <c r="G5718" s="197"/>
      <c r="H5718" s="197"/>
    </row>
    <row r="5719" spans="1:12">
      <c r="A5719" s="195"/>
      <c r="B5719" s="195" t="s">
        <v>205</v>
      </c>
      <c r="C5719"/>
      <c r="D5719" s="197"/>
      <c r="E5719" s="197"/>
      <c r="F5719" s="197"/>
      <c r="G5719" s="197"/>
      <c r="H5719" s="209"/>
    </row>
    <row r="5720" spans="1:12">
      <c r="A5720" s="195"/>
      <c r="B5720" s="195" t="s">
        <v>206</v>
      </c>
      <c r="C5720"/>
      <c r="D5720" s="197"/>
      <c r="E5720" s="197"/>
      <c r="F5720" s="197"/>
      <c r="G5720" s="197"/>
      <c r="H5720" s="209"/>
    </row>
    <row r="5721" spans="1:12">
      <c r="A5721" s="195"/>
      <c r="B5721" s="195" t="s">
        <v>207</v>
      </c>
      <c r="C5721"/>
      <c r="D5721" s="197"/>
      <c r="E5721" s="197"/>
      <c r="F5721" s="197"/>
      <c r="G5721" s="197"/>
      <c r="H5721" s="209"/>
    </row>
    <row r="5722" spans="1:12">
      <c r="A5722" s="195"/>
      <c r="B5722" s="196" t="s">
        <v>226</v>
      </c>
      <c r="C5722"/>
      <c r="D5722" s="197"/>
      <c r="E5722" s="197"/>
      <c r="F5722" s="197"/>
      <c r="G5722" s="197"/>
      <c r="H5722" s="209"/>
    </row>
    <row r="5723" spans="1:12">
      <c r="A5723" s="195"/>
      <c r="B5723" s="195" t="s">
        <v>205</v>
      </c>
      <c r="C5723"/>
      <c r="D5723" s="197"/>
      <c r="E5723" s="197"/>
      <c r="F5723" s="197"/>
      <c r="G5723" s="197"/>
      <c r="H5723" s="209"/>
    </row>
    <row r="5724" spans="1:12">
      <c r="A5724" s="195"/>
      <c r="B5724" s="195" t="s">
        <v>206</v>
      </c>
      <c r="C5724"/>
      <c r="D5724" s="197"/>
      <c r="E5724" s="197"/>
      <c r="F5724" s="197"/>
      <c r="G5724" s="197"/>
      <c r="H5724" s="209"/>
    </row>
    <row r="5725" spans="1:12">
      <c r="A5725" s="195"/>
      <c r="B5725" s="195" t="s">
        <v>207</v>
      </c>
      <c r="C5725"/>
      <c r="D5725" s="197"/>
      <c r="E5725" s="197"/>
      <c r="F5725" s="197"/>
      <c r="G5725" s="197"/>
      <c r="H5725" s="209"/>
    </row>
    <row r="5726" spans="1:12">
      <c r="A5726" s="195"/>
      <c r="B5726" s="196" t="s">
        <v>227</v>
      </c>
      <c r="C5726"/>
      <c r="D5726" s="197"/>
      <c r="E5726" s="197"/>
      <c r="F5726" s="197"/>
      <c r="G5726" s="197"/>
      <c r="H5726" s="209"/>
      <c r="K5726"/>
    </row>
    <row r="5727" spans="1:12" ht="29.25" thickBot="1">
      <c r="A5727" s="182" t="str">
        <f>"回収シフト  第"&amp;ROUNDUP(DAY(B5730)/7,0)  &amp;"  "&amp;TEXT(B5730,"aaaa")</f>
        <v>回収シフト  第1  月曜日</v>
      </c>
      <c r="B5727" s="183"/>
      <c r="C5727" s="183"/>
      <c r="D5727" s="183"/>
      <c r="E5727" s="183"/>
      <c r="F5727" s="183"/>
      <c r="G5727" s="184"/>
      <c r="H5727" s="184"/>
      <c r="I5727" s="184"/>
      <c r="K5727" s="183"/>
      <c r="L5727" s="183"/>
    </row>
    <row r="5728" spans="1:12" ht="15.75" thickBot="1">
      <c r="A5728"/>
      <c r="B5728"/>
      <c r="C5728"/>
      <c r="D5728" s="186" t="s">
        <v>201</v>
      </c>
      <c r="E5728" s="186" t="s">
        <v>202</v>
      </c>
      <c r="F5728" s="186" t="s">
        <v>203</v>
      </c>
      <c r="G5728" s="186" t="s">
        <v>204</v>
      </c>
      <c r="H5728" s="186" t="s">
        <v>267</v>
      </c>
      <c r="I5728" s="217" t="s">
        <v>267</v>
      </c>
      <c r="K5728" s="230" t="s">
        <v>257</v>
      </c>
      <c r="L5728" s="231"/>
    </row>
    <row r="5729" spans="1:12">
      <c r="A5729" s="187"/>
      <c r="B5729" s="188">
        <v>45495</v>
      </c>
      <c r="C5729" s="187"/>
      <c r="D5729" s="189" t="s">
        <v>998</v>
      </c>
      <c r="E5729" s="189" t="s">
        <v>937</v>
      </c>
      <c r="F5729" s="189" t="s">
        <v>891</v>
      </c>
      <c r="G5729" s="189" t="s">
        <v>859</v>
      </c>
      <c r="H5729" s="189" t="s">
        <v>852</v>
      </c>
      <c r="I5729" s="218" t="s">
        <v>890</v>
      </c>
      <c r="K5729" s="232" t="s">
        <v>258</v>
      </c>
      <c r="L5729" s="190" t="str">
        <f>_xlfn.XLOOKUP($B5730,シフト抽出!$19:$19,シフト抽出!$20:$20,"該当なし",0,1)</f>
        <v>該当なし</v>
      </c>
    </row>
    <row r="5730" spans="1:12" ht="19.5" thickBot="1">
      <c r="A5730"/>
      <c r="B5730" s="191">
        <f>B5677+1</f>
        <v>46237</v>
      </c>
      <c r="C5730" s="192" t="e">
        <v>#REF!</v>
      </c>
      <c r="D5730" s="193"/>
      <c r="E5730" s="193"/>
      <c r="F5730" s="193"/>
      <c r="G5730" s="193"/>
      <c r="H5730" s="193"/>
      <c r="I5730" s="219"/>
      <c r="K5730" s="233"/>
      <c r="L5730" s="194" t="str">
        <f>_xlfn.XLOOKUP($B5730,シフト抽出!$19:$19,シフト抽出!$21:$21,"該当なし",0,1)</f>
        <v>該当なし</v>
      </c>
    </row>
    <row r="5731" spans="1:12">
      <c r="A5731" s="195"/>
      <c r="B5731" s="196">
        <v>0.25</v>
      </c>
      <c r="C5731"/>
      <c r="D5731" s="197"/>
      <c r="E5731" s="196"/>
      <c r="F5731" s="197"/>
      <c r="G5731" s="197"/>
      <c r="H5731" s="197"/>
      <c r="I5731" s="209"/>
      <c r="K5731" s="234" t="s">
        <v>259</v>
      </c>
      <c r="L5731" s="198" t="str">
        <f>_xlfn.XLOOKUP($B5730,シフト抽出!$19:$19,シフト抽出!$23:$23,"該当なし",0,1)</f>
        <v>該当なし</v>
      </c>
    </row>
    <row r="5732" spans="1:12" ht="15.75" thickBot="1">
      <c r="A5732" s="195"/>
      <c r="B5732" s="195" t="s">
        <v>205</v>
      </c>
      <c r="C5732"/>
      <c r="D5732" s="197"/>
      <c r="E5732" s="197"/>
      <c r="F5732" s="197"/>
      <c r="G5732" s="197"/>
      <c r="H5732" s="197"/>
      <c r="I5732" s="209"/>
      <c r="K5732" s="235"/>
      <c r="L5732" s="199" t="str">
        <f>_xlfn.XLOOKUP($B5730,シフト抽出!$19:$19,シフト抽出!$24:$24,"該当なし",0,1)</f>
        <v>該当なし</v>
      </c>
    </row>
    <row r="5733" spans="1:12">
      <c r="A5733" s="195"/>
      <c r="B5733" s="195" t="s">
        <v>206</v>
      </c>
      <c r="C5733"/>
      <c r="D5733" s="197"/>
      <c r="E5733" s="197" t="s">
        <v>860</v>
      </c>
      <c r="F5733" s="197"/>
      <c r="G5733" s="197"/>
      <c r="H5733" s="197"/>
      <c r="I5733" s="209"/>
      <c r="K5733" s="224" t="s">
        <v>260</v>
      </c>
      <c r="L5733" s="200" t="str">
        <f>_xlfn.XLOOKUP($B5730,シフト抽出!$19:$19,シフト抽出!$26:$26,"該当なし",0,1)</f>
        <v>該当なし</v>
      </c>
    </row>
    <row r="5734" spans="1:12">
      <c r="A5734" s="195"/>
      <c r="B5734" s="195" t="s">
        <v>207</v>
      </c>
      <c r="C5734"/>
      <c r="D5734" s="197"/>
      <c r="E5734" s="197"/>
      <c r="F5734" s="197"/>
      <c r="G5734" s="197"/>
      <c r="H5734" s="197"/>
      <c r="I5734" s="209"/>
      <c r="K5734" s="225"/>
      <c r="L5734" s="201" t="str">
        <f>_xlfn.XLOOKUP($B5730,シフト抽出!$19:$19,シフト抽出!$27:$27,"該当なし",0,1)</f>
        <v>該当なし</v>
      </c>
    </row>
    <row r="5735" spans="1:12">
      <c r="A5735" s="195"/>
      <c r="B5735" s="202" t="s">
        <v>208</v>
      </c>
      <c r="C5735"/>
      <c r="D5735" s="197"/>
      <c r="E5735" s="197"/>
      <c r="F5735" s="197"/>
      <c r="G5735" s="197"/>
      <c r="H5735" s="197"/>
      <c r="I5735" s="209"/>
      <c r="J5735" s="203"/>
      <c r="K5735" s="225"/>
      <c r="L5735" s="201" t="str">
        <f>_xlfn.XLOOKUP($B5730,シフト抽出!$19:$19,シフト抽出!$28:$28,"該当なし",0,1)</f>
        <v>該当なし</v>
      </c>
    </row>
    <row r="5736" spans="1:12" ht="15.75" thickBot="1">
      <c r="A5736" s="195"/>
      <c r="B5736" s="195" t="s">
        <v>205</v>
      </c>
      <c r="C5736"/>
      <c r="D5736" s="197"/>
      <c r="E5736" s="197"/>
      <c r="F5736" s="197"/>
      <c r="G5736" s="197"/>
      <c r="H5736" s="197"/>
      <c r="I5736" s="209"/>
      <c r="J5736" s="203"/>
      <c r="K5736" s="226"/>
      <c r="L5736" s="204" t="str">
        <f>_xlfn.XLOOKUP($B5730,シフト抽出!$19:$19,シフト抽出!$29:$29,"該当なし",0,1)</f>
        <v>該当なし</v>
      </c>
    </row>
    <row r="5737" spans="1:12" ht="15.75" thickBot="1">
      <c r="A5737" s="195"/>
      <c r="B5737" s="195" t="s">
        <v>206</v>
      </c>
      <c r="C5737"/>
      <c r="D5737" s="197"/>
      <c r="E5737" s="197"/>
      <c r="F5737" s="197"/>
      <c r="G5737" s="197"/>
      <c r="H5737" s="197"/>
      <c r="I5737" s="209"/>
      <c r="K5737" s="205" t="s">
        <v>261</v>
      </c>
      <c r="L5737" s="205">
        <f>_xlfn.XLOOKUP($B5730,予定表!B:B,予定表!R:R,"該当なし",0,1)</f>
        <v>0</v>
      </c>
    </row>
    <row r="5738" spans="1:12">
      <c r="A5738" s="195"/>
      <c r="B5738" s="195" t="s">
        <v>207</v>
      </c>
      <c r="C5738"/>
      <c r="D5738" s="197"/>
      <c r="E5738" s="197"/>
      <c r="F5738" s="197"/>
      <c r="G5738" s="197"/>
      <c r="H5738" s="197"/>
      <c r="I5738" s="209"/>
      <c r="K5738" s="227" t="s">
        <v>262</v>
      </c>
      <c r="L5738" s="206">
        <f>_xlfn.XLOOKUP($B5730,予定表!$B:$B,予定表!E:E,"該当なし",0,1)</f>
        <v>0</v>
      </c>
    </row>
    <row r="5739" spans="1:12">
      <c r="A5739" s="195"/>
      <c r="B5739" s="196" t="s">
        <v>209</v>
      </c>
      <c r="C5739"/>
      <c r="D5739" s="197" t="s">
        <v>851</v>
      </c>
      <c r="E5739" s="197" t="s">
        <v>414</v>
      </c>
      <c r="F5739" s="197" t="s">
        <v>264</v>
      </c>
      <c r="G5739" s="197" t="s">
        <v>268</v>
      </c>
      <c r="H5739" s="197" t="s">
        <v>848</v>
      </c>
      <c r="I5739" s="209" t="s">
        <v>793</v>
      </c>
      <c r="K5739" s="228"/>
      <c r="L5739" s="207">
        <f>_xlfn.XLOOKUP($B5730,予定表!$B:$B,予定表!F:F,"該当なし",0,1)</f>
        <v>0</v>
      </c>
    </row>
    <row r="5740" spans="1:12">
      <c r="A5740" s="195"/>
      <c r="B5740" s="195" t="s">
        <v>205</v>
      </c>
      <c r="C5740"/>
      <c r="D5740" s="197" t="s">
        <v>851</v>
      </c>
      <c r="E5740" s="197" t="s">
        <v>414</v>
      </c>
      <c r="F5740" s="197" t="s">
        <v>471</v>
      </c>
      <c r="G5740" s="197" t="s">
        <v>268</v>
      </c>
      <c r="H5740" s="197" t="s">
        <v>848</v>
      </c>
      <c r="I5740" s="209" t="s">
        <v>973</v>
      </c>
      <c r="K5740" s="228"/>
      <c r="L5740" s="207" t="str">
        <f>_xlfn.XLOOKUP($B5730,予定表!$B:$B,予定表!G:G,"該当なし",0,1)</f>
        <v>ディーミング</v>
      </c>
    </row>
    <row r="5741" spans="1:12">
      <c r="A5741" s="195"/>
      <c r="B5741" s="195" t="s">
        <v>206</v>
      </c>
      <c r="C5741"/>
      <c r="D5741" s="197" t="s">
        <v>851</v>
      </c>
      <c r="E5741" s="197" t="s">
        <v>414</v>
      </c>
      <c r="F5741" s="197" t="s">
        <v>793</v>
      </c>
      <c r="G5741" s="197" t="s">
        <v>268</v>
      </c>
      <c r="H5741" s="197" t="s">
        <v>848</v>
      </c>
      <c r="I5741" s="209" t="s">
        <v>416</v>
      </c>
      <c r="K5741" s="228"/>
      <c r="L5741" s="207" t="str">
        <f>_xlfn.XLOOKUP($B5730,予定表!$B:$B,予定表!H:H,"該当なし",0,1)</f>
        <v>'資さん 平塚</v>
      </c>
    </row>
    <row r="5742" spans="1:12">
      <c r="A5742" s="195"/>
      <c r="B5742" s="195" t="s">
        <v>207</v>
      </c>
      <c r="C5742"/>
      <c r="D5742" s="197" t="s">
        <v>851</v>
      </c>
      <c r="E5742" s="197" t="s">
        <v>414</v>
      </c>
      <c r="F5742" s="197" t="s">
        <v>119</v>
      </c>
      <c r="G5742" s="197" t="s">
        <v>268</v>
      </c>
      <c r="H5742" s="197" t="s">
        <v>848</v>
      </c>
      <c r="I5742" s="209" t="s">
        <v>999</v>
      </c>
      <c r="K5742" s="228"/>
      <c r="L5742" s="207" t="str">
        <f>_xlfn.XLOOKUP($B5730,予定表!$B:$B,予定表!I:I,"該当なし",0,1)</f>
        <v>カインズAM8</v>
      </c>
    </row>
    <row r="5743" spans="1:12">
      <c r="A5743" s="195"/>
      <c r="B5743" s="196" t="s">
        <v>212</v>
      </c>
      <c r="C5743"/>
      <c r="D5743" s="197" t="s">
        <v>851</v>
      </c>
      <c r="E5743" s="197" t="s">
        <v>414</v>
      </c>
      <c r="F5743" s="197" t="s">
        <v>278</v>
      </c>
      <c r="G5743" s="197" t="s">
        <v>268</v>
      </c>
      <c r="H5743" s="197" t="s">
        <v>848</v>
      </c>
      <c r="I5743" s="209" t="s">
        <v>416</v>
      </c>
      <c r="K5743" s="228"/>
      <c r="L5743" s="207">
        <f>_xlfn.XLOOKUP($B5730,予定表!$B:$B,予定表!J:J,"該当なし",0,1)</f>
        <v>0</v>
      </c>
    </row>
    <row r="5744" spans="1:12">
      <c r="A5744" s="195"/>
      <c r="B5744" s="195" t="s">
        <v>205</v>
      </c>
      <c r="C5744"/>
      <c r="D5744" s="197" t="s">
        <v>851</v>
      </c>
      <c r="E5744" s="197" t="s">
        <v>414</v>
      </c>
      <c r="F5744" s="197" t="s">
        <v>213</v>
      </c>
      <c r="G5744" s="197" t="s">
        <v>268</v>
      </c>
      <c r="H5744" s="197" t="s">
        <v>848</v>
      </c>
      <c r="I5744" s="209" t="s">
        <v>416</v>
      </c>
      <c r="K5744" s="228"/>
      <c r="L5744" s="207">
        <f>_xlfn.XLOOKUP($B5730,予定表!$B:$B,予定表!K:K,"該当なし",0,1)</f>
        <v>0</v>
      </c>
    </row>
    <row r="5745" spans="1:12">
      <c r="A5745" s="195"/>
      <c r="B5745" s="195" t="s">
        <v>206</v>
      </c>
      <c r="C5745"/>
      <c r="D5745" s="197" t="s">
        <v>851</v>
      </c>
      <c r="E5745" s="197" t="s">
        <v>414</v>
      </c>
      <c r="F5745" s="197" t="s">
        <v>144</v>
      </c>
      <c r="G5745" s="197" t="s">
        <v>515</v>
      </c>
      <c r="H5745" s="197" t="s">
        <v>848</v>
      </c>
      <c r="I5745" s="209" t="s">
        <v>416</v>
      </c>
      <c r="K5745" s="228"/>
      <c r="L5745" s="207">
        <f>_xlfn.XLOOKUP($B5730,予定表!$B:$B,予定表!L:L,"該当なし",0,1)</f>
        <v>0</v>
      </c>
    </row>
    <row r="5746" spans="1:12" ht="15.75" thickBot="1">
      <c r="A5746" s="195"/>
      <c r="B5746" s="195" t="s">
        <v>207</v>
      </c>
      <c r="C5746"/>
      <c r="D5746" s="197" t="s">
        <v>851</v>
      </c>
      <c r="E5746" s="197" t="s">
        <v>862</v>
      </c>
      <c r="F5746" s="197" t="s">
        <v>144</v>
      </c>
      <c r="G5746" s="197" t="s">
        <v>515</v>
      </c>
      <c r="H5746" s="197" t="s">
        <v>848</v>
      </c>
      <c r="I5746" s="209" t="s">
        <v>416</v>
      </c>
      <c r="K5746" s="229"/>
      <c r="L5746" s="204" t="str">
        <f>_xlfn.XLOOKUP($A5727,ﾘｽﾄマスタ!$U$8:$U$17,ﾘｽﾄマスタ!$V$8:$V$17,"",0)</f>
        <v>㈱ｱｸﾃｨｵ・春うららか</v>
      </c>
    </row>
    <row r="5747" spans="1:12" ht="15.75" thickBot="1">
      <c r="A5747" s="195"/>
      <c r="B5747" s="196" t="s">
        <v>251</v>
      </c>
      <c r="C5747"/>
      <c r="D5747" s="197" t="s">
        <v>851</v>
      </c>
      <c r="E5747" s="197" t="s">
        <v>862</v>
      </c>
      <c r="F5747" s="197" t="s">
        <v>144</v>
      </c>
      <c r="G5747" s="197" t="s">
        <v>269</v>
      </c>
      <c r="H5747" s="197" t="s">
        <v>848</v>
      </c>
      <c r="I5747" s="209" t="s">
        <v>416</v>
      </c>
      <c r="K5747" s="208" t="s">
        <v>277</v>
      </c>
      <c r="L5747" s="208" t="str">
        <f>_xlfn.XLOOKUP($B5730,シフト抽出!$19:$19,シフト抽出!$30:$30,"該当なし",0,1)</f>
        <v>該当なし</v>
      </c>
    </row>
    <row r="5748" spans="1:12">
      <c r="A5748" s="195"/>
      <c r="B5748" s="195" t="s">
        <v>205</v>
      </c>
      <c r="C5748"/>
      <c r="D5748" s="197"/>
      <c r="E5748" s="197" t="s">
        <v>214</v>
      </c>
      <c r="F5748" s="197"/>
      <c r="G5748" s="197" t="s">
        <v>269</v>
      </c>
      <c r="H5748" s="197" t="s">
        <v>229</v>
      </c>
      <c r="I5748" s="209" t="s">
        <v>416</v>
      </c>
    </row>
    <row r="5749" spans="1:12">
      <c r="A5749" s="195"/>
      <c r="B5749" s="195" t="s">
        <v>206</v>
      </c>
      <c r="C5749"/>
      <c r="D5749" s="197" t="s">
        <v>215</v>
      </c>
      <c r="E5749" s="197" t="s">
        <v>214</v>
      </c>
      <c r="F5749" s="197" t="s">
        <v>51</v>
      </c>
      <c r="G5749" s="197" t="s">
        <v>269</v>
      </c>
      <c r="H5749" s="197" t="s">
        <v>229</v>
      </c>
      <c r="I5749" s="209" t="s">
        <v>416</v>
      </c>
    </row>
    <row r="5750" spans="1:12">
      <c r="A5750" s="195"/>
      <c r="B5750" s="195" t="s">
        <v>207</v>
      </c>
      <c r="C5750"/>
      <c r="D5750" s="197" t="s">
        <v>280</v>
      </c>
      <c r="E5750" s="197" t="s">
        <v>214</v>
      </c>
      <c r="F5750" s="197" t="s">
        <v>51</v>
      </c>
      <c r="G5750" s="197" t="s">
        <v>269</v>
      </c>
      <c r="H5750" s="197" t="s">
        <v>229</v>
      </c>
      <c r="I5750" s="209" t="s">
        <v>78</v>
      </c>
    </row>
    <row r="5751" spans="1:12">
      <c r="A5751" s="195"/>
      <c r="B5751" s="196" t="s">
        <v>217</v>
      </c>
      <c r="C5751"/>
      <c r="D5751" s="197" t="s">
        <v>127</v>
      </c>
      <c r="E5751" s="197" t="s">
        <v>214</v>
      </c>
      <c r="F5751" s="197" t="s">
        <v>51</v>
      </c>
      <c r="G5751" s="197" t="s">
        <v>446</v>
      </c>
      <c r="H5751" s="197" t="s">
        <v>230</v>
      </c>
      <c r="I5751" s="209" t="s">
        <v>218</v>
      </c>
    </row>
    <row r="5752" spans="1:12">
      <c r="A5752" s="195"/>
      <c r="B5752" s="195" t="s">
        <v>205</v>
      </c>
      <c r="C5752"/>
      <c r="D5752" s="197"/>
      <c r="E5752" s="197" t="s">
        <v>761</v>
      </c>
      <c r="F5752" s="197"/>
      <c r="G5752" s="197" t="s">
        <v>446</v>
      </c>
      <c r="H5752" s="197" t="s">
        <v>230</v>
      </c>
      <c r="I5752" s="209" t="s">
        <v>146</v>
      </c>
    </row>
    <row r="5753" spans="1:12">
      <c r="A5753" s="195"/>
      <c r="B5753" s="195" t="s">
        <v>206</v>
      </c>
      <c r="C5753"/>
      <c r="D5753" s="197"/>
      <c r="E5753" s="197" t="s">
        <v>761</v>
      </c>
      <c r="F5753" s="197"/>
      <c r="G5753" s="197" t="s">
        <v>114</v>
      </c>
      <c r="H5753" s="197" t="s">
        <v>230</v>
      </c>
      <c r="I5753" s="209" t="s">
        <v>146</v>
      </c>
    </row>
    <row r="5754" spans="1:12">
      <c r="A5754" s="195"/>
      <c r="B5754" s="195" t="s">
        <v>207</v>
      </c>
      <c r="C5754"/>
      <c r="D5754" s="197"/>
      <c r="E5754" s="197" t="s">
        <v>761</v>
      </c>
      <c r="F5754" s="197"/>
      <c r="G5754" s="197" t="s">
        <v>114</v>
      </c>
      <c r="H5754" s="197" t="s">
        <v>230</v>
      </c>
      <c r="I5754" s="209" t="s">
        <v>146</v>
      </c>
    </row>
    <row r="5755" spans="1:12">
      <c r="A5755" s="195"/>
      <c r="B5755" s="196" t="s">
        <v>219</v>
      </c>
      <c r="C5755"/>
      <c r="D5755" s="197"/>
      <c r="E5755" s="197"/>
      <c r="F5755" s="197"/>
      <c r="G5755" s="197"/>
      <c r="H5755" s="197" t="s">
        <v>230</v>
      </c>
      <c r="I5755" s="209"/>
    </row>
    <row r="5756" spans="1:12">
      <c r="A5756" s="195"/>
      <c r="B5756" s="195" t="s">
        <v>205</v>
      </c>
      <c r="C5756"/>
      <c r="D5756" s="197"/>
      <c r="E5756" s="197"/>
      <c r="F5756" s="197"/>
      <c r="G5756" s="197"/>
      <c r="H5756" s="197" t="s">
        <v>230</v>
      </c>
      <c r="I5756" s="209"/>
    </row>
    <row r="5757" spans="1:12">
      <c r="A5757" s="195"/>
      <c r="B5757" s="195" t="s">
        <v>206</v>
      </c>
      <c r="C5757"/>
      <c r="D5757" s="197"/>
      <c r="E5757" s="197"/>
      <c r="F5757" s="197"/>
      <c r="G5757" s="197"/>
      <c r="H5757" s="197"/>
      <c r="I5757" s="209"/>
    </row>
    <row r="5758" spans="1:12">
      <c r="A5758" s="195"/>
      <c r="B5758" s="195" t="s">
        <v>207</v>
      </c>
      <c r="C5758"/>
      <c r="D5758" s="197"/>
      <c r="E5758" s="197"/>
      <c r="F5758" s="197"/>
      <c r="G5758" s="197"/>
      <c r="H5758" s="197"/>
      <c r="I5758" s="209"/>
    </row>
    <row r="5759" spans="1:12">
      <c r="A5759" s="195"/>
      <c r="B5759" s="196" t="s">
        <v>220</v>
      </c>
      <c r="C5759"/>
      <c r="D5759" s="189"/>
      <c r="E5759" s="189"/>
      <c r="F5759" s="218" t="s">
        <v>857</v>
      </c>
      <c r="G5759" s="189"/>
      <c r="H5759" s="189"/>
      <c r="I5759" s="209"/>
    </row>
    <row r="5760" spans="1:12">
      <c r="A5760" s="195"/>
      <c r="B5760" s="195" t="s">
        <v>205</v>
      </c>
      <c r="C5760"/>
      <c r="D5760" s="197" t="s">
        <v>759</v>
      </c>
      <c r="E5760" s="197" t="s">
        <v>848</v>
      </c>
      <c r="F5760" s="197" t="s">
        <v>224</v>
      </c>
      <c r="G5760" s="197" t="s">
        <v>56</v>
      </c>
      <c r="H5760" s="197" t="s">
        <v>415</v>
      </c>
      <c r="I5760" s="209" t="s">
        <v>62</v>
      </c>
    </row>
    <row r="5761" spans="1:9">
      <c r="A5761" s="195"/>
      <c r="B5761" s="195" t="s">
        <v>206</v>
      </c>
      <c r="C5761"/>
      <c r="D5761" s="197" t="s">
        <v>759</v>
      </c>
      <c r="E5761" s="197" t="s">
        <v>848</v>
      </c>
      <c r="F5761" s="197" t="s">
        <v>224</v>
      </c>
      <c r="G5761" s="197" t="s">
        <v>56</v>
      </c>
      <c r="H5761" s="197" t="s">
        <v>415</v>
      </c>
      <c r="I5761" s="209" t="s">
        <v>62</v>
      </c>
    </row>
    <row r="5762" spans="1:9">
      <c r="A5762" s="195"/>
      <c r="B5762" s="195" t="s">
        <v>207</v>
      </c>
      <c r="C5762"/>
      <c r="D5762" s="197" t="s">
        <v>759</v>
      </c>
      <c r="E5762" s="197" t="s">
        <v>848</v>
      </c>
      <c r="F5762" s="197" t="s">
        <v>224</v>
      </c>
      <c r="G5762" s="197" t="s">
        <v>56</v>
      </c>
      <c r="H5762" s="197" t="s">
        <v>415</v>
      </c>
      <c r="I5762" s="209" t="s">
        <v>62</v>
      </c>
    </row>
    <row r="5763" spans="1:9">
      <c r="A5763" s="195"/>
      <c r="B5763" s="196" t="s">
        <v>222</v>
      </c>
      <c r="C5763"/>
      <c r="D5763" s="197" t="s">
        <v>759</v>
      </c>
      <c r="E5763" s="197" t="s">
        <v>273</v>
      </c>
      <c r="F5763" s="197" t="s">
        <v>865</v>
      </c>
      <c r="G5763" s="197"/>
      <c r="H5763" s="197" t="s">
        <v>221</v>
      </c>
      <c r="I5763" s="209" t="s">
        <v>62</v>
      </c>
    </row>
    <row r="5764" spans="1:9">
      <c r="A5764" s="195"/>
      <c r="B5764" s="195" t="s">
        <v>205</v>
      </c>
      <c r="C5764"/>
      <c r="D5764" s="197" t="s">
        <v>759</v>
      </c>
      <c r="E5764" s="197" t="s">
        <v>273</v>
      </c>
      <c r="F5764" s="197" t="s">
        <v>866</v>
      </c>
      <c r="G5764" s="197" t="s">
        <v>270</v>
      </c>
      <c r="H5764" s="197" t="s">
        <v>221</v>
      </c>
      <c r="I5764" s="209" t="s">
        <v>62</v>
      </c>
    </row>
    <row r="5765" spans="1:9">
      <c r="A5765" s="195"/>
      <c r="B5765" s="195" t="s">
        <v>206</v>
      </c>
      <c r="C5765"/>
      <c r="D5765" s="197" t="s">
        <v>216</v>
      </c>
      <c r="E5765" s="197" t="s">
        <v>273</v>
      </c>
      <c r="F5765" s="197" t="s">
        <v>416</v>
      </c>
      <c r="G5765" s="197" t="s">
        <v>270</v>
      </c>
      <c r="H5765" s="197" t="s">
        <v>221</v>
      </c>
      <c r="I5765" s="209" t="s">
        <v>62</v>
      </c>
    </row>
    <row r="5766" spans="1:9">
      <c r="A5766" s="195"/>
      <c r="B5766" s="195" t="s">
        <v>207</v>
      </c>
      <c r="C5766"/>
      <c r="D5766" s="197" t="s">
        <v>216</v>
      </c>
      <c r="E5766" s="197" t="s">
        <v>252</v>
      </c>
      <c r="F5766" s="197" t="s">
        <v>771</v>
      </c>
      <c r="G5766" s="197" t="s">
        <v>270</v>
      </c>
      <c r="H5766" s="197" t="s">
        <v>221</v>
      </c>
      <c r="I5766" s="209" t="s">
        <v>62</v>
      </c>
    </row>
    <row r="5767" spans="1:9">
      <c r="A5767" s="195"/>
      <c r="B5767" s="196" t="s">
        <v>223</v>
      </c>
      <c r="C5767"/>
      <c r="D5767" s="197" t="s">
        <v>216</v>
      </c>
      <c r="E5767" s="197" t="s">
        <v>252</v>
      </c>
      <c r="F5767" s="197" t="s">
        <v>416</v>
      </c>
      <c r="G5767" s="197" t="s">
        <v>270</v>
      </c>
      <c r="H5767" s="197" t="s">
        <v>415</v>
      </c>
      <c r="I5767" s="209" t="s">
        <v>62</v>
      </c>
    </row>
    <row r="5768" spans="1:9">
      <c r="A5768" s="195"/>
      <c r="B5768" s="195" t="s">
        <v>205</v>
      </c>
      <c r="C5768"/>
      <c r="D5768" s="197" t="s">
        <v>216</v>
      </c>
      <c r="E5768" s="197" t="s">
        <v>252</v>
      </c>
      <c r="F5768" s="197" t="s">
        <v>416</v>
      </c>
      <c r="G5768" s="197" t="s">
        <v>270</v>
      </c>
      <c r="H5768" s="197" t="s">
        <v>415</v>
      </c>
      <c r="I5768" s="209" t="s">
        <v>62</v>
      </c>
    </row>
    <row r="5769" spans="1:9">
      <c r="A5769" s="195"/>
      <c r="B5769" s="195" t="s">
        <v>206</v>
      </c>
      <c r="C5769"/>
      <c r="D5769" s="197" t="s">
        <v>216</v>
      </c>
      <c r="E5769" s="197" t="s">
        <v>252</v>
      </c>
      <c r="F5769" s="197" t="s">
        <v>416</v>
      </c>
      <c r="G5769" s="197" t="s">
        <v>270</v>
      </c>
      <c r="H5769" s="197" t="s">
        <v>415</v>
      </c>
      <c r="I5769" s="209" t="s">
        <v>62</v>
      </c>
    </row>
    <row r="5770" spans="1:9">
      <c r="A5770" s="195"/>
      <c r="B5770" s="195" t="s">
        <v>207</v>
      </c>
      <c r="C5770"/>
      <c r="D5770" s="197"/>
      <c r="E5770" s="197" t="s">
        <v>252</v>
      </c>
      <c r="F5770" s="197" t="s">
        <v>416</v>
      </c>
      <c r="G5770" s="197" t="s">
        <v>270</v>
      </c>
      <c r="H5770" s="197" t="s">
        <v>415</v>
      </c>
      <c r="I5770" s="209" t="s">
        <v>62</v>
      </c>
    </row>
    <row r="5771" spans="1:9">
      <c r="A5771" s="195"/>
      <c r="B5771" s="196" t="s">
        <v>225</v>
      </c>
      <c r="C5771"/>
      <c r="D5771" s="197"/>
      <c r="E5771" s="197" t="s">
        <v>252</v>
      </c>
      <c r="F5771" s="197"/>
      <c r="G5771" s="197" t="s">
        <v>270</v>
      </c>
      <c r="H5771" s="197" t="s">
        <v>415</v>
      </c>
      <c r="I5771" s="209" t="s">
        <v>62</v>
      </c>
    </row>
    <row r="5772" spans="1:9">
      <c r="A5772" s="195"/>
      <c r="B5772" s="195" t="s">
        <v>205</v>
      </c>
      <c r="C5772"/>
      <c r="D5772" s="197"/>
      <c r="E5772" s="197" t="s">
        <v>252</v>
      </c>
      <c r="F5772" s="197"/>
      <c r="G5772" s="197" t="s">
        <v>270</v>
      </c>
      <c r="H5772" s="209" t="s">
        <v>415</v>
      </c>
      <c r="I5772" s="209" t="s">
        <v>62</v>
      </c>
    </row>
    <row r="5773" spans="1:9">
      <c r="A5773" s="195"/>
      <c r="B5773" s="195" t="s">
        <v>206</v>
      </c>
      <c r="C5773"/>
      <c r="D5773" s="197"/>
      <c r="E5773" s="197" t="s">
        <v>252</v>
      </c>
      <c r="F5773" s="197"/>
      <c r="G5773" s="197" t="s">
        <v>270</v>
      </c>
      <c r="H5773" s="209" t="s">
        <v>415</v>
      </c>
      <c r="I5773" s="209" t="s">
        <v>62</v>
      </c>
    </row>
    <row r="5774" spans="1:9">
      <c r="A5774" s="195"/>
      <c r="B5774" s="195" t="s">
        <v>207</v>
      </c>
      <c r="C5774"/>
      <c r="D5774" s="197"/>
      <c r="E5774" s="197" t="s">
        <v>252</v>
      </c>
      <c r="F5774" s="197"/>
      <c r="G5774" s="197" t="s">
        <v>270</v>
      </c>
      <c r="H5774" s="209" t="s">
        <v>415</v>
      </c>
      <c r="I5774" s="209" t="s">
        <v>62</v>
      </c>
    </row>
    <row r="5775" spans="1:9">
      <c r="A5775" s="195"/>
      <c r="B5775" s="196" t="s">
        <v>226</v>
      </c>
      <c r="C5775"/>
      <c r="D5775" s="197"/>
      <c r="E5775" s="197"/>
      <c r="F5775" s="197"/>
      <c r="G5775" s="197" t="s">
        <v>270</v>
      </c>
      <c r="H5775" s="209" t="s">
        <v>415</v>
      </c>
      <c r="I5775" s="209"/>
    </row>
    <row r="5776" spans="1:9">
      <c r="A5776" s="195"/>
      <c r="B5776" s="195" t="s">
        <v>205</v>
      </c>
      <c r="C5776"/>
      <c r="D5776" s="197"/>
      <c r="E5776" s="197"/>
      <c r="F5776" s="197"/>
      <c r="G5776" s="197" t="s">
        <v>270</v>
      </c>
      <c r="H5776" s="209"/>
      <c r="I5776" s="209"/>
    </row>
    <row r="5777" spans="1:12">
      <c r="A5777" s="195"/>
      <c r="B5777" s="195" t="s">
        <v>206</v>
      </c>
      <c r="C5777"/>
      <c r="D5777" s="197"/>
      <c r="E5777" s="197"/>
      <c r="F5777" s="197"/>
      <c r="G5777" s="197" t="s">
        <v>270</v>
      </c>
      <c r="H5777" s="209"/>
      <c r="I5777" s="209"/>
    </row>
    <row r="5778" spans="1:12">
      <c r="A5778" s="195"/>
      <c r="B5778" s="195" t="s">
        <v>207</v>
      </c>
      <c r="C5778"/>
      <c r="D5778" s="197"/>
      <c r="E5778" s="197"/>
      <c r="F5778" s="197"/>
      <c r="G5778" s="197" t="s">
        <v>270</v>
      </c>
      <c r="H5778" s="209"/>
      <c r="I5778" s="209"/>
    </row>
    <row r="5779" spans="1:12">
      <c r="A5779" s="195"/>
      <c r="B5779" s="196" t="s">
        <v>227</v>
      </c>
      <c r="C5779"/>
      <c r="D5779" s="197"/>
      <c r="E5779" s="197"/>
      <c r="F5779" s="197"/>
      <c r="G5779" s="197"/>
      <c r="H5779" s="209"/>
      <c r="I5779" s="209"/>
      <c r="K5779"/>
    </row>
    <row r="5780" spans="1:12" ht="29.25" thickBot="1">
      <c r="A5780" s="182" t="str">
        <f>"回収シフト  第"&amp;ROUNDUP(DAY(B5783)/7,0)  &amp;"  "&amp;TEXT(B5783,"aaaa")</f>
        <v>回収シフト  第1  火曜日</v>
      </c>
      <c r="B5780" s="183"/>
      <c r="C5780" s="183"/>
      <c r="D5780" s="183"/>
      <c r="E5780" s="183"/>
      <c r="F5780" s="183"/>
      <c r="G5780" s="184"/>
      <c r="H5780" s="184"/>
      <c r="I5780" s="184"/>
      <c r="K5780" s="183"/>
      <c r="L5780" s="183"/>
    </row>
    <row r="5781" spans="1:12" ht="15.75" thickBot="1">
      <c r="A5781"/>
      <c r="B5781"/>
      <c r="C5781"/>
      <c r="D5781" s="186" t="s">
        <v>201</v>
      </c>
      <c r="E5781" s="186" t="s">
        <v>202</v>
      </c>
      <c r="F5781" s="186" t="s">
        <v>203</v>
      </c>
      <c r="G5781" s="186" t="s">
        <v>204</v>
      </c>
      <c r="H5781" s="186" t="s">
        <v>267</v>
      </c>
      <c r="I5781" s="217" t="s">
        <v>267</v>
      </c>
      <c r="K5781" s="230" t="s">
        <v>257</v>
      </c>
      <c r="L5781" s="231"/>
    </row>
    <row r="5782" spans="1:12">
      <c r="A5782" s="187"/>
      <c r="B5782" s="188">
        <v>46119</v>
      </c>
      <c r="C5782" s="187"/>
      <c r="D5782" s="189" t="s">
        <v>874</v>
      </c>
      <c r="E5782" s="189" t="s">
        <v>1001</v>
      </c>
      <c r="F5782" s="189" t="s">
        <v>248</v>
      </c>
      <c r="G5782" s="189" t="s">
        <v>864</v>
      </c>
      <c r="H5782" s="189" t="s">
        <v>852</v>
      </c>
      <c r="I5782" s="218" t="s">
        <v>850</v>
      </c>
      <c r="K5782" s="232" t="s">
        <v>258</v>
      </c>
      <c r="L5782" s="190" t="str">
        <f>_xlfn.XLOOKUP($B5783,シフト抽出!$19:$19,シフト抽出!$20:$20,"該当なし",0,1)</f>
        <v>該当なし</v>
      </c>
    </row>
    <row r="5783" spans="1:12" ht="19.5" thickBot="1">
      <c r="A5783"/>
      <c r="B5783" s="191">
        <f>B5730+1</f>
        <v>46238</v>
      </c>
      <c r="C5783" s="192"/>
      <c r="D5783" s="193"/>
      <c r="E5783" s="193"/>
      <c r="F5783" s="193"/>
      <c r="G5783" s="193"/>
      <c r="H5783" s="193"/>
      <c r="I5783" s="219"/>
      <c r="K5783" s="233"/>
      <c r="L5783" s="194" t="str">
        <f>_xlfn.XLOOKUP($B5783,シフト抽出!$19:$19,シフト抽出!$21:$21,"該当なし",0,1)</f>
        <v>該当なし</v>
      </c>
    </row>
    <row r="5784" spans="1:12">
      <c r="A5784" s="195"/>
      <c r="B5784" s="196">
        <v>0.25</v>
      </c>
      <c r="C5784"/>
      <c r="D5784" s="197"/>
      <c r="E5784" s="196"/>
      <c r="F5784" s="197"/>
      <c r="G5784" s="197"/>
      <c r="H5784" s="197"/>
      <c r="I5784" s="209"/>
      <c r="K5784" s="234" t="s">
        <v>259</v>
      </c>
      <c r="L5784" s="198" t="str">
        <f>_xlfn.XLOOKUP($B5783,シフト抽出!$19:$19,シフト抽出!$23:$23,"該当なし",0,1)</f>
        <v>該当なし</v>
      </c>
    </row>
    <row r="5785" spans="1:12" ht="15.75" thickBot="1">
      <c r="A5785" s="195"/>
      <c r="B5785" s="195" t="s">
        <v>205</v>
      </c>
      <c r="C5785"/>
      <c r="D5785" s="197"/>
      <c r="E5785" s="197"/>
      <c r="F5785" s="197"/>
      <c r="G5785" s="197"/>
      <c r="H5785" s="197"/>
      <c r="I5785" s="209"/>
      <c r="K5785" s="235"/>
      <c r="L5785" s="199" t="str">
        <f>_xlfn.XLOOKUP($B5783,シフト抽出!$19:$19,シフト抽出!$24:$24,"該当なし",0,1)</f>
        <v>該当なし</v>
      </c>
    </row>
    <row r="5786" spans="1:12">
      <c r="A5786" s="195"/>
      <c r="B5786" s="195" t="s">
        <v>206</v>
      </c>
      <c r="C5786"/>
      <c r="D5786" s="197"/>
      <c r="E5786" s="197"/>
      <c r="F5786" s="197"/>
      <c r="G5786" s="197"/>
      <c r="H5786" s="197"/>
      <c r="I5786" s="209"/>
      <c r="K5786" s="224" t="s">
        <v>260</v>
      </c>
      <c r="L5786" s="200" t="str">
        <f>_xlfn.XLOOKUP($B5783,シフト抽出!$19:$19,シフト抽出!$26:$26,"該当なし",0,1)</f>
        <v>該当なし</v>
      </c>
    </row>
    <row r="5787" spans="1:12">
      <c r="A5787" s="195"/>
      <c r="B5787" s="195" t="s">
        <v>207</v>
      </c>
      <c r="C5787"/>
      <c r="D5787" s="197"/>
      <c r="E5787" s="197"/>
      <c r="F5787" s="197"/>
      <c r="G5787" s="197"/>
      <c r="H5787" s="197"/>
      <c r="I5787" s="209"/>
      <c r="K5787" s="225"/>
      <c r="L5787" s="201" t="str">
        <f>_xlfn.XLOOKUP($B5783,シフト抽出!$19:$19,シフト抽出!$27:$27,"該当なし",0,1)</f>
        <v>該当なし</v>
      </c>
    </row>
    <row r="5788" spans="1:12">
      <c r="A5788" s="195"/>
      <c r="B5788" s="202" t="s">
        <v>208</v>
      </c>
      <c r="C5788"/>
      <c r="D5788" s="197"/>
      <c r="E5788" s="197" t="s">
        <v>4</v>
      </c>
      <c r="F5788" s="197"/>
      <c r="G5788" s="197" t="s">
        <v>4</v>
      </c>
      <c r="H5788" s="197"/>
      <c r="I5788" s="209"/>
      <c r="J5788" s="203"/>
      <c r="K5788" s="225"/>
      <c r="L5788" s="201" t="str">
        <f>_xlfn.XLOOKUP($B5783,シフト抽出!$19:$19,シフト抽出!$28:$28,"該当なし",0,1)</f>
        <v>該当なし</v>
      </c>
    </row>
    <row r="5789" spans="1:12" ht="15.75" thickBot="1">
      <c r="A5789" s="195"/>
      <c r="B5789" s="195" t="s">
        <v>205</v>
      </c>
      <c r="C5789"/>
      <c r="D5789" s="197"/>
      <c r="E5789" s="197" t="s">
        <v>420</v>
      </c>
      <c r="F5789" s="197"/>
      <c r="G5789" s="197" t="s">
        <v>22</v>
      </c>
      <c r="H5789" s="197"/>
      <c r="I5789" s="209"/>
      <c r="J5789" s="203"/>
      <c r="K5789" s="226"/>
      <c r="L5789" s="204" t="str">
        <f>_xlfn.XLOOKUP($B5783,シフト抽出!$19:$19,シフト抽出!$29:$29,"該当なし",0,1)</f>
        <v>該当なし</v>
      </c>
    </row>
    <row r="5790" spans="1:12" ht="15.75" thickBot="1">
      <c r="A5790" s="195"/>
      <c r="B5790" s="195" t="s">
        <v>206</v>
      </c>
      <c r="C5790"/>
      <c r="D5790" s="197"/>
      <c r="E5790" s="197" t="s">
        <v>420</v>
      </c>
      <c r="F5790" s="197"/>
      <c r="G5790" s="197" t="s">
        <v>22</v>
      </c>
      <c r="H5790" s="197"/>
      <c r="I5790" s="209"/>
      <c r="K5790" s="205" t="s">
        <v>261</v>
      </c>
      <c r="L5790" s="205">
        <f>_xlfn.XLOOKUP($B5783,予定表!B:B,予定表!R:R,"該当なし",0,1)</f>
        <v>0</v>
      </c>
    </row>
    <row r="5791" spans="1:12">
      <c r="A5791" s="195"/>
      <c r="B5791" s="195" t="s">
        <v>207</v>
      </c>
      <c r="C5791"/>
      <c r="D5791" s="197"/>
      <c r="E5791" s="197" t="s">
        <v>420</v>
      </c>
      <c r="F5791" s="197"/>
      <c r="G5791" s="197" t="s">
        <v>22</v>
      </c>
      <c r="H5791" s="197"/>
      <c r="I5791" s="209"/>
      <c r="K5791" s="227" t="s">
        <v>262</v>
      </c>
      <c r="L5791" s="206">
        <f>_xlfn.XLOOKUP($B5783,予定表!$B:$B,予定表!E:E,"該当なし",0,1)</f>
        <v>0</v>
      </c>
    </row>
    <row r="5792" spans="1:12">
      <c r="A5792" s="195"/>
      <c r="B5792" s="196" t="s">
        <v>209</v>
      </c>
      <c r="C5792"/>
      <c r="D5792" s="197" t="s">
        <v>4</v>
      </c>
      <c r="E5792" s="197" t="s">
        <v>420</v>
      </c>
      <c r="F5792" s="197" t="s">
        <v>4</v>
      </c>
      <c r="G5792" s="197" t="s">
        <v>268</v>
      </c>
      <c r="H5792" s="197" t="s">
        <v>4</v>
      </c>
      <c r="I5792" s="209"/>
      <c r="K5792" s="228"/>
      <c r="L5792" s="207">
        <f>_xlfn.XLOOKUP($B5783,予定表!$B:$B,予定表!F:F,"該当なし",0,1)</f>
        <v>0</v>
      </c>
    </row>
    <row r="5793" spans="1:12">
      <c r="A5793" s="195"/>
      <c r="B5793" s="195" t="s">
        <v>205</v>
      </c>
      <c r="C5793"/>
      <c r="D5793" s="197" t="s">
        <v>414</v>
      </c>
      <c r="E5793" s="197" t="s">
        <v>420</v>
      </c>
      <c r="F5793" s="197" t="s">
        <v>851</v>
      </c>
      <c r="G5793" s="197" t="s">
        <v>268</v>
      </c>
      <c r="H5793" s="197" t="s">
        <v>60</v>
      </c>
      <c r="I5793" s="209" t="s">
        <v>416</v>
      </c>
      <c r="K5793" s="228"/>
      <c r="L5793" s="207">
        <f>_xlfn.XLOOKUP($B5783,予定表!$B:$B,予定表!G:G,"該当なし",0,1)</f>
        <v>0</v>
      </c>
    </row>
    <row r="5794" spans="1:12">
      <c r="A5794" s="195"/>
      <c r="B5794" s="195" t="s">
        <v>206</v>
      </c>
      <c r="C5794"/>
      <c r="D5794" s="197" t="s">
        <v>414</v>
      </c>
      <c r="E5794" s="197" t="s">
        <v>273</v>
      </c>
      <c r="F5794" s="197" t="s">
        <v>851</v>
      </c>
      <c r="G5794" s="197" t="s">
        <v>268</v>
      </c>
      <c r="H5794" s="197" t="s">
        <v>60</v>
      </c>
      <c r="I5794" s="209" t="s">
        <v>416</v>
      </c>
      <c r="K5794" s="228"/>
      <c r="L5794" s="207">
        <f>_xlfn.XLOOKUP($B5783,予定表!$B:$B,予定表!H:H,"該当なし",0,1)</f>
        <v>0</v>
      </c>
    </row>
    <row r="5795" spans="1:12">
      <c r="A5795" s="195"/>
      <c r="B5795" s="195" t="s">
        <v>207</v>
      </c>
      <c r="C5795"/>
      <c r="D5795" s="197" t="s">
        <v>414</v>
      </c>
      <c r="E5795" s="197" t="s">
        <v>273</v>
      </c>
      <c r="F5795" s="197" t="s">
        <v>851</v>
      </c>
      <c r="G5795" s="197" t="s">
        <v>268</v>
      </c>
      <c r="H5795" s="197" t="s">
        <v>60</v>
      </c>
      <c r="I5795" s="209" t="s">
        <v>999</v>
      </c>
      <c r="K5795" s="228"/>
      <c r="L5795" s="207" t="str">
        <f>_xlfn.XLOOKUP($B5783,予定表!$B:$B,予定表!I:I,"該当なし",0,1)</f>
        <v>カインズAM8</v>
      </c>
    </row>
    <row r="5796" spans="1:12">
      <c r="A5796" s="195"/>
      <c r="B5796" s="196" t="s">
        <v>212</v>
      </c>
      <c r="C5796"/>
      <c r="D5796" s="197" t="s">
        <v>414</v>
      </c>
      <c r="E5796" s="197" t="s">
        <v>273</v>
      </c>
      <c r="F5796" s="197" t="s">
        <v>851</v>
      </c>
      <c r="G5796" s="197" t="s">
        <v>268</v>
      </c>
      <c r="H5796" s="197"/>
      <c r="I5796" s="209" t="s">
        <v>416</v>
      </c>
      <c r="K5796" s="228"/>
      <c r="L5796" s="207">
        <f>_xlfn.XLOOKUP($B5783,予定表!$B:$B,予定表!J:J,"該当なし",0,1)</f>
        <v>0</v>
      </c>
    </row>
    <row r="5797" spans="1:12">
      <c r="A5797" s="195"/>
      <c r="B5797" s="195" t="s">
        <v>205</v>
      </c>
      <c r="C5797"/>
      <c r="D5797" s="197" t="s">
        <v>414</v>
      </c>
      <c r="E5797" s="197" t="s">
        <v>953</v>
      </c>
      <c r="F5797" s="197" t="s">
        <v>851</v>
      </c>
      <c r="G5797" s="197" t="s">
        <v>169</v>
      </c>
      <c r="H5797" s="197" t="s">
        <v>848</v>
      </c>
      <c r="I5797" s="209" t="s">
        <v>416</v>
      </c>
      <c r="K5797" s="228"/>
      <c r="L5797" s="207">
        <f>_xlfn.XLOOKUP($B5783,予定表!$B:$B,予定表!K:K,"該当なし",0,1)</f>
        <v>0</v>
      </c>
    </row>
    <row r="5798" spans="1:12">
      <c r="A5798" s="195"/>
      <c r="B5798" s="195" t="s">
        <v>206</v>
      </c>
      <c r="C5798"/>
      <c r="D5798" s="197" t="s">
        <v>214</v>
      </c>
      <c r="E5798" s="197" t="s">
        <v>228</v>
      </c>
      <c r="F5798" s="197" t="s">
        <v>851</v>
      </c>
      <c r="G5798" s="197" t="s">
        <v>169</v>
      </c>
      <c r="H5798" s="197" t="s">
        <v>848</v>
      </c>
      <c r="I5798" s="209" t="s">
        <v>416</v>
      </c>
      <c r="K5798" s="228"/>
      <c r="L5798" s="207">
        <f>_xlfn.XLOOKUP($B5783,予定表!$B:$B,予定表!L:L,"該当なし",0,1)</f>
        <v>0</v>
      </c>
    </row>
    <row r="5799" spans="1:12" ht="15.75" thickBot="1">
      <c r="A5799" s="195"/>
      <c r="B5799" s="195" t="s">
        <v>207</v>
      </c>
      <c r="C5799"/>
      <c r="D5799" s="197" t="s">
        <v>214</v>
      </c>
      <c r="E5799" s="197" t="s">
        <v>228</v>
      </c>
      <c r="F5799" s="197" t="s">
        <v>851</v>
      </c>
      <c r="G5799" s="197" t="s">
        <v>169</v>
      </c>
      <c r="H5799" s="197" t="s">
        <v>848</v>
      </c>
      <c r="I5799" s="209" t="s">
        <v>416</v>
      </c>
      <c r="K5799" s="229"/>
      <c r="L5799" s="204" t="str">
        <f>_xlfn.XLOOKUP($A5780,ﾘｽﾄマスタ!$U$8:$U$17,ﾘｽﾄマスタ!$V$8:$V$17,"",0)</f>
        <v xml:space="preserve"> ﾃﾞｼﾞﾌﾟﾛ(偶数月)</v>
      </c>
    </row>
    <row r="5800" spans="1:12" ht="15.75" thickBot="1">
      <c r="A5800" s="195"/>
      <c r="B5800" s="196" t="s">
        <v>251</v>
      </c>
      <c r="C5800"/>
      <c r="D5800" s="197" t="s">
        <v>214</v>
      </c>
      <c r="E5800" s="197" t="s">
        <v>228</v>
      </c>
      <c r="F5800" s="197" t="s">
        <v>851</v>
      </c>
      <c r="G5800" s="197" t="s">
        <v>75</v>
      </c>
      <c r="H5800" s="197" t="s">
        <v>848</v>
      </c>
      <c r="I5800" s="209" t="s">
        <v>416</v>
      </c>
      <c r="K5800" s="208" t="s">
        <v>277</v>
      </c>
      <c r="L5800" s="208" t="str">
        <f>_xlfn.XLOOKUP($B5783,シフト抽出!$19:$19,シフト抽出!$30:$30,"該当なし",0,1)</f>
        <v>該当なし</v>
      </c>
    </row>
    <row r="5801" spans="1:12">
      <c r="A5801" s="195"/>
      <c r="B5801" s="195" t="s">
        <v>205</v>
      </c>
      <c r="C5801"/>
      <c r="D5801" s="197" t="s">
        <v>761</v>
      </c>
      <c r="E5801" s="197" t="s">
        <v>228</v>
      </c>
      <c r="F5801" s="197" t="s">
        <v>353</v>
      </c>
      <c r="G5801" s="197" t="s">
        <v>169</v>
      </c>
      <c r="H5801" s="197" t="s">
        <v>848</v>
      </c>
      <c r="I5801" s="209" t="s">
        <v>416</v>
      </c>
    </row>
    <row r="5802" spans="1:12">
      <c r="A5802" s="195"/>
      <c r="B5802" s="195" t="s">
        <v>206</v>
      </c>
      <c r="C5802"/>
      <c r="D5802" s="197" t="s">
        <v>761</v>
      </c>
      <c r="E5802" s="197" t="s">
        <v>263</v>
      </c>
      <c r="F5802" s="197" t="s">
        <v>353</v>
      </c>
      <c r="G5802" s="197" t="s">
        <v>169</v>
      </c>
      <c r="H5802" s="197" t="s">
        <v>229</v>
      </c>
      <c r="I5802" s="209" t="s">
        <v>416</v>
      </c>
    </row>
    <row r="5803" spans="1:12">
      <c r="A5803" s="195"/>
      <c r="B5803" s="195" t="s">
        <v>207</v>
      </c>
      <c r="C5803"/>
      <c r="D5803" s="197" t="s">
        <v>761</v>
      </c>
      <c r="E5803" s="197" t="s">
        <v>263</v>
      </c>
      <c r="F5803" s="197" t="s">
        <v>353</v>
      </c>
      <c r="G5803" s="197" t="s">
        <v>279</v>
      </c>
      <c r="H5803" s="197" t="s">
        <v>229</v>
      </c>
      <c r="I5803" s="209" t="s">
        <v>416</v>
      </c>
    </row>
    <row r="5804" spans="1:12">
      <c r="A5804" s="195"/>
      <c r="B5804" s="196" t="s">
        <v>217</v>
      </c>
      <c r="C5804"/>
      <c r="D5804" s="197" t="s">
        <v>988</v>
      </c>
      <c r="E5804" s="197" t="s">
        <v>263</v>
      </c>
      <c r="F5804" s="197"/>
      <c r="G5804" s="197" t="s">
        <v>279</v>
      </c>
      <c r="H5804" s="197" t="s">
        <v>230</v>
      </c>
      <c r="I5804" s="209" t="s">
        <v>416</v>
      </c>
    </row>
    <row r="5805" spans="1:12">
      <c r="A5805" s="195"/>
      <c r="B5805" s="195" t="s">
        <v>205</v>
      </c>
      <c r="C5805"/>
      <c r="D5805" s="197" t="s">
        <v>88</v>
      </c>
      <c r="E5805" s="197" t="s">
        <v>263</v>
      </c>
      <c r="F5805" s="197" t="s">
        <v>51</v>
      </c>
      <c r="G5805" s="197" t="s">
        <v>279</v>
      </c>
      <c r="H5805" s="197" t="s">
        <v>230</v>
      </c>
      <c r="I5805" s="209" t="s">
        <v>416</v>
      </c>
    </row>
    <row r="5806" spans="1:12">
      <c r="A5806" s="195"/>
      <c r="B5806" s="195" t="s">
        <v>206</v>
      </c>
      <c r="C5806"/>
      <c r="D5806" s="197"/>
      <c r="E5806" s="197" t="s">
        <v>426</v>
      </c>
      <c r="F5806" s="197" t="s">
        <v>51</v>
      </c>
      <c r="G5806" s="197" t="s">
        <v>279</v>
      </c>
      <c r="H5806" s="197" t="s">
        <v>230</v>
      </c>
      <c r="I5806" s="209"/>
    </row>
    <row r="5807" spans="1:12">
      <c r="A5807" s="195"/>
      <c r="B5807" s="195" t="s">
        <v>207</v>
      </c>
      <c r="C5807"/>
      <c r="D5807" s="197"/>
      <c r="E5807" s="197" t="s">
        <v>426</v>
      </c>
      <c r="F5807" s="197" t="s">
        <v>51</v>
      </c>
      <c r="G5807" s="197" t="s">
        <v>279</v>
      </c>
      <c r="H5807" s="197" t="s">
        <v>230</v>
      </c>
      <c r="I5807" s="209"/>
    </row>
    <row r="5808" spans="1:12">
      <c r="A5808" s="195"/>
      <c r="B5808" s="196" t="s">
        <v>219</v>
      </c>
      <c r="C5808"/>
      <c r="D5808" s="197"/>
      <c r="E5808" s="197"/>
      <c r="F5808" s="197" t="s">
        <v>51</v>
      </c>
      <c r="G5808" s="197"/>
      <c r="H5808" s="197" t="s">
        <v>230</v>
      </c>
      <c r="I5808" s="209"/>
    </row>
    <row r="5809" spans="1:9">
      <c r="A5809" s="195"/>
      <c r="B5809" s="195" t="s">
        <v>205</v>
      </c>
      <c r="C5809"/>
      <c r="D5809" s="197"/>
      <c r="E5809" s="197"/>
      <c r="F5809" s="197"/>
      <c r="G5809" s="197"/>
      <c r="H5809" s="197"/>
      <c r="I5809" s="209"/>
    </row>
    <row r="5810" spans="1:9">
      <c r="A5810" s="195"/>
      <c r="B5810" s="195" t="s">
        <v>206</v>
      </c>
      <c r="C5810"/>
      <c r="D5810" s="197"/>
      <c r="E5810" s="197"/>
      <c r="F5810" s="197"/>
      <c r="G5810" s="197"/>
      <c r="H5810" s="197"/>
      <c r="I5810" s="209"/>
    </row>
    <row r="5811" spans="1:9">
      <c r="A5811" s="195"/>
      <c r="B5811" s="195" t="s">
        <v>207</v>
      </c>
      <c r="C5811"/>
      <c r="D5811" s="197"/>
      <c r="E5811" s="197"/>
      <c r="F5811" s="197"/>
      <c r="G5811" s="197"/>
      <c r="H5811" s="197"/>
      <c r="I5811" s="209"/>
    </row>
    <row r="5812" spans="1:9">
      <c r="A5812" s="195"/>
      <c r="B5812" s="196" t="s">
        <v>220</v>
      </c>
      <c r="C5812"/>
      <c r="D5812" s="189"/>
      <c r="E5812" s="189" t="s">
        <v>937</v>
      </c>
      <c r="F5812" s="197"/>
      <c r="G5812" s="197"/>
      <c r="H5812" s="197"/>
      <c r="I5812" s="209"/>
    </row>
    <row r="5813" spans="1:9">
      <c r="A5813" s="195"/>
      <c r="B5813" s="195" t="s">
        <v>205</v>
      </c>
      <c r="C5813"/>
      <c r="D5813" s="197" t="s">
        <v>114</v>
      </c>
      <c r="E5813" s="197" t="s">
        <v>233</v>
      </c>
      <c r="F5813" s="197" t="s">
        <v>62</v>
      </c>
      <c r="G5813" s="197" t="s">
        <v>56</v>
      </c>
      <c r="H5813" s="197" t="s">
        <v>390</v>
      </c>
      <c r="I5813" s="197" t="s">
        <v>62</v>
      </c>
    </row>
    <row r="5814" spans="1:9">
      <c r="A5814" s="195"/>
      <c r="B5814" s="195" t="s">
        <v>206</v>
      </c>
      <c r="C5814"/>
      <c r="D5814" s="197" t="s">
        <v>114</v>
      </c>
      <c r="E5814" s="197" t="s">
        <v>233</v>
      </c>
      <c r="F5814" s="197" t="s">
        <v>62</v>
      </c>
      <c r="G5814" s="197" t="s">
        <v>56</v>
      </c>
      <c r="H5814" s="197" t="s">
        <v>390</v>
      </c>
      <c r="I5814" s="197" t="s">
        <v>62</v>
      </c>
    </row>
    <row r="5815" spans="1:9">
      <c r="A5815" s="195"/>
      <c r="B5815" s="195" t="s">
        <v>207</v>
      </c>
      <c r="C5815"/>
      <c r="D5815" s="197" t="s">
        <v>129</v>
      </c>
      <c r="E5815" s="197" t="s">
        <v>233</v>
      </c>
      <c r="F5815" s="197" t="s">
        <v>62</v>
      </c>
      <c r="G5815" s="197" t="s">
        <v>56</v>
      </c>
      <c r="H5815" s="197"/>
      <c r="I5815" s="197" t="s">
        <v>62</v>
      </c>
    </row>
    <row r="5816" spans="1:9">
      <c r="A5816" s="195"/>
      <c r="B5816" s="196" t="s">
        <v>222</v>
      </c>
      <c r="C5816"/>
      <c r="D5816" s="197" t="s">
        <v>129</v>
      </c>
      <c r="E5816" s="197" t="s">
        <v>252</v>
      </c>
      <c r="F5816" s="197" t="s">
        <v>62</v>
      </c>
      <c r="G5816" s="197"/>
      <c r="H5816" s="197" t="s">
        <v>231</v>
      </c>
      <c r="I5816" s="197" t="s">
        <v>62</v>
      </c>
    </row>
    <row r="5817" spans="1:9">
      <c r="A5817" s="195"/>
      <c r="B5817" s="195" t="s">
        <v>205</v>
      </c>
      <c r="C5817"/>
      <c r="D5817" s="197" t="s">
        <v>129</v>
      </c>
      <c r="E5817" s="197" t="s">
        <v>252</v>
      </c>
      <c r="F5817" s="197" t="s">
        <v>62</v>
      </c>
      <c r="G5817" s="197" t="s">
        <v>270</v>
      </c>
      <c r="H5817" s="197" t="s">
        <v>232</v>
      </c>
      <c r="I5817" s="197" t="s">
        <v>62</v>
      </c>
    </row>
    <row r="5818" spans="1:9">
      <c r="A5818" s="195"/>
      <c r="B5818" s="195" t="s">
        <v>206</v>
      </c>
      <c r="C5818"/>
      <c r="D5818" s="197"/>
      <c r="E5818" s="197" t="s">
        <v>252</v>
      </c>
      <c r="F5818" s="197" t="s">
        <v>62</v>
      </c>
      <c r="G5818" s="197" t="s">
        <v>270</v>
      </c>
      <c r="H5818" s="197" t="s">
        <v>211</v>
      </c>
      <c r="I5818" s="197" t="s">
        <v>62</v>
      </c>
    </row>
    <row r="5819" spans="1:9">
      <c r="A5819" s="195"/>
      <c r="B5819" s="195" t="s">
        <v>207</v>
      </c>
      <c r="C5819"/>
      <c r="D5819" s="197" t="s">
        <v>515</v>
      </c>
      <c r="E5819" s="197" t="s">
        <v>252</v>
      </c>
      <c r="F5819" s="197" t="s">
        <v>62</v>
      </c>
      <c r="G5819" s="197" t="s">
        <v>270</v>
      </c>
      <c r="H5819" s="197" t="s">
        <v>211</v>
      </c>
      <c r="I5819" s="197" t="s">
        <v>62</v>
      </c>
    </row>
    <row r="5820" spans="1:9">
      <c r="A5820" s="195"/>
      <c r="B5820" s="196" t="s">
        <v>223</v>
      </c>
      <c r="C5820"/>
      <c r="D5820" s="197" t="s">
        <v>515</v>
      </c>
      <c r="E5820" s="197" t="s">
        <v>252</v>
      </c>
      <c r="F5820" s="197" t="s">
        <v>62</v>
      </c>
      <c r="G5820" s="197" t="s">
        <v>270</v>
      </c>
      <c r="H5820" s="197"/>
      <c r="I5820" s="197" t="s">
        <v>62</v>
      </c>
    </row>
    <row r="5821" spans="1:9">
      <c r="A5821" s="195"/>
      <c r="B5821" s="195" t="s">
        <v>205</v>
      </c>
      <c r="C5821"/>
      <c r="D5821" s="197" t="s">
        <v>269</v>
      </c>
      <c r="E5821" s="197" t="s">
        <v>252</v>
      </c>
      <c r="F5821" s="197" t="s">
        <v>62</v>
      </c>
      <c r="G5821" s="197" t="s">
        <v>270</v>
      </c>
      <c r="H5821" s="197" t="s">
        <v>856</v>
      </c>
      <c r="I5821" s="197" t="s">
        <v>62</v>
      </c>
    </row>
    <row r="5822" spans="1:9">
      <c r="A5822" s="195"/>
      <c r="B5822" s="195" t="s">
        <v>206</v>
      </c>
      <c r="C5822"/>
      <c r="D5822" s="197" t="s">
        <v>269</v>
      </c>
      <c r="E5822" s="197" t="s">
        <v>252</v>
      </c>
      <c r="F5822" s="197" t="s">
        <v>62</v>
      </c>
      <c r="G5822" s="197" t="s">
        <v>270</v>
      </c>
      <c r="H5822" s="197" t="s">
        <v>856</v>
      </c>
      <c r="I5822" s="197" t="s">
        <v>62</v>
      </c>
    </row>
    <row r="5823" spans="1:9">
      <c r="A5823" s="195"/>
      <c r="B5823" s="195" t="s">
        <v>207</v>
      </c>
      <c r="C5823"/>
      <c r="D5823" s="197" t="s">
        <v>269</v>
      </c>
      <c r="E5823" s="197" t="s">
        <v>252</v>
      </c>
      <c r="F5823" s="197" t="s">
        <v>62</v>
      </c>
      <c r="G5823" s="197" t="s">
        <v>270</v>
      </c>
      <c r="H5823" s="197" t="s">
        <v>856</v>
      </c>
      <c r="I5823" s="197" t="s">
        <v>62</v>
      </c>
    </row>
    <row r="5824" spans="1:9">
      <c r="A5824" s="195"/>
      <c r="B5824" s="196" t="s">
        <v>225</v>
      </c>
      <c r="C5824"/>
      <c r="D5824" s="197" t="s">
        <v>269</v>
      </c>
      <c r="E5824" s="197" t="s">
        <v>252</v>
      </c>
      <c r="F5824" s="197" t="s">
        <v>62</v>
      </c>
      <c r="G5824" s="197" t="s">
        <v>270</v>
      </c>
      <c r="H5824" s="197" t="s">
        <v>856</v>
      </c>
      <c r="I5824" s="197" t="s">
        <v>62</v>
      </c>
    </row>
    <row r="5825" spans="1:12">
      <c r="A5825" s="195"/>
      <c r="B5825" s="195" t="s">
        <v>205</v>
      </c>
      <c r="C5825"/>
      <c r="D5825" s="197" t="s">
        <v>475</v>
      </c>
      <c r="E5825" s="197" t="s">
        <v>252</v>
      </c>
      <c r="F5825" s="197" t="s">
        <v>62</v>
      </c>
      <c r="G5825" s="197" t="s">
        <v>270</v>
      </c>
      <c r="H5825" s="209" t="s">
        <v>856</v>
      </c>
      <c r="I5825" s="197" t="s">
        <v>62</v>
      </c>
    </row>
    <row r="5826" spans="1:12">
      <c r="A5826" s="195"/>
      <c r="B5826" s="195" t="s">
        <v>206</v>
      </c>
      <c r="C5826"/>
      <c r="D5826" s="197" t="s">
        <v>361</v>
      </c>
      <c r="E5826" s="197" t="s">
        <v>252</v>
      </c>
      <c r="F5826" s="197" t="s">
        <v>62</v>
      </c>
      <c r="G5826" s="197" t="s">
        <v>270</v>
      </c>
      <c r="H5826" s="209" t="s">
        <v>856</v>
      </c>
      <c r="I5826" s="197" t="s">
        <v>62</v>
      </c>
    </row>
    <row r="5827" spans="1:12">
      <c r="A5827" s="195"/>
      <c r="B5827" s="195" t="s">
        <v>207</v>
      </c>
      <c r="C5827"/>
      <c r="D5827" s="197"/>
      <c r="E5827" s="197"/>
      <c r="F5827" s="197"/>
      <c r="G5827" s="197"/>
      <c r="H5827" s="209"/>
      <c r="I5827" s="209"/>
    </row>
    <row r="5828" spans="1:12">
      <c r="A5828" s="195"/>
      <c r="B5828" s="196" t="s">
        <v>226</v>
      </c>
      <c r="C5828"/>
      <c r="D5828" s="197"/>
      <c r="E5828" s="197"/>
      <c r="F5828" s="197"/>
      <c r="G5828" s="197"/>
      <c r="H5828" s="209"/>
      <c r="I5828" s="209"/>
    </row>
    <row r="5829" spans="1:12">
      <c r="A5829" s="195"/>
      <c r="B5829" s="195" t="s">
        <v>205</v>
      </c>
      <c r="C5829"/>
      <c r="D5829" s="197"/>
      <c r="E5829" s="197"/>
      <c r="F5829" s="197"/>
      <c r="G5829" s="197"/>
      <c r="H5829" s="209"/>
      <c r="I5829" s="209"/>
    </row>
    <row r="5830" spans="1:12">
      <c r="A5830" s="195"/>
      <c r="B5830" s="195" t="s">
        <v>206</v>
      </c>
      <c r="C5830"/>
      <c r="D5830" s="197"/>
      <c r="E5830" s="197"/>
      <c r="F5830" s="197"/>
      <c r="G5830" s="197"/>
      <c r="H5830" s="209"/>
      <c r="I5830" s="209"/>
    </row>
    <row r="5831" spans="1:12">
      <c r="A5831" s="195"/>
      <c r="B5831" s="195" t="s">
        <v>207</v>
      </c>
      <c r="C5831"/>
      <c r="D5831" s="197"/>
      <c r="E5831" s="197"/>
      <c r="F5831" s="197"/>
      <c r="G5831" s="197"/>
      <c r="H5831" s="209"/>
      <c r="I5831" s="209"/>
    </row>
    <row r="5832" spans="1:12">
      <c r="A5832" s="195"/>
      <c r="B5832" s="196" t="s">
        <v>227</v>
      </c>
      <c r="C5832"/>
      <c r="D5832" s="197"/>
      <c r="E5832" s="197"/>
      <c r="F5832" s="197"/>
      <c r="G5832" s="197"/>
      <c r="H5832" s="209"/>
      <c r="I5832" s="209"/>
      <c r="K5832"/>
    </row>
    <row r="5833" spans="1:12" ht="29.25" thickBot="1">
      <c r="A5833" s="182" t="str">
        <f>"回収シフト  第"&amp;ROUNDUP(DAY(B5836)/7,0)  &amp;"  "&amp;TEXT(B5836,"aaaa")</f>
        <v>回収シフト  第1  水曜日</v>
      </c>
      <c r="B5833" s="183"/>
      <c r="C5833" s="183"/>
      <c r="D5833" s="183"/>
      <c r="E5833" s="183"/>
      <c r="F5833" s="183"/>
      <c r="G5833" s="184"/>
      <c r="H5833" s="184"/>
      <c r="I5833" s="184"/>
      <c r="K5833" s="183"/>
      <c r="L5833" s="183"/>
    </row>
    <row r="5834" spans="1:12" ht="15.75" thickBot="1">
      <c r="A5834"/>
      <c r="B5834"/>
      <c r="C5834"/>
      <c r="D5834" s="186" t="s">
        <v>201</v>
      </c>
      <c r="E5834" s="186" t="s">
        <v>202</v>
      </c>
      <c r="F5834" s="186" t="s">
        <v>203</v>
      </c>
      <c r="G5834" s="186" t="s">
        <v>204</v>
      </c>
      <c r="H5834" s="186" t="s">
        <v>267</v>
      </c>
      <c r="I5834" s="217" t="s">
        <v>267</v>
      </c>
      <c r="K5834" s="230" t="s">
        <v>257</v>
      </c>
      <c r="L5834" s="231"/>
    </row>
    <row r="5835" spans="1:12">
      <c r="A5835" s="187"/>
      <c r="B5835" s="188">
        <v>46119</v>
      </c>
      <c r="C5835" s="187"/>
      <c r="D5835" s="189" t="s">
        <v>874</v>
      </c>
      <c r="E5835" s="189" t="s">
        <v>248</v>
      </c>
      <c r="F5835" s="189" t="s">
        <v>1001</v>
      </c>
      <c r="G5835" s="189" t="s">
        <v>979</v>
      </c>
      <c r="H5835" s="189" t="s">
        <v>1029</v>
      </c>
      <c r="I5835" s="218" t="s">
        <v>1030</v>
      </c>
      <c r="K5835" s="232" t="s">
        <v>258</v>
      </c>
      <c r="L5835" s="190" t="str">
        <f>_xlfn.XLOOKUP($B5836,シフト抽出!$19:$19,シフト抽出!$20:$20,"該当なし",0,1)</f>
        <v>該当なし</v>
      </c>
    </row>
    <row r="5836" spans="1:12" ht="19.5" thickBot="1">
      <c r="A5836"/>
      <c r="B5836" s="191">
        <f>B5783+1</f>
        <v>46239</v>
      </c>
      <c r="C5836" s="192" t="e">
        <v>#REF!</v>
      </c>
      <c r="D5836" s="193"/>
      <c r="E5836" s="193"/>
      <c r="F5836" s="193"/>
      <c r="G5836" s="193"/>
      <c r="H5836" s="193"/>
      <c r="I5836" s="219"/>
      <c r="K5836" s="233"/>
      <c r="L5836" s="194" t="str">
        <f>_xlfn.XLOOKUP($B5836,シフト抽出!$19:$19,シフト抽出!$21:$21,"該当なし",0,1)</f>
        <v>該当なし</v>
      </c>
    </row>
    <row r="5837" spans="1:12">
      <c r="A5837" s="195"/>
      <c r="B5837" s="196">
        <v>0.25</v>
      </c>
      <c r="C5837"/>
      <c r="D5837" s="197"/>
      <c r="E5837" s="196"/>
      <c r="F5837" s="197"/>
      <c r="G5837" s="197"/>
      <c r="H5837" s="197"/>
      <c r="I5837" s="209"/>
      <c r="K5837" s="234" t="s">
        <v>259</v>
      </c>
      <c r="L5837" s="198" t="str">
        <f>_xlfn.XLOOKUP($B5836,シフト抽出!$19:$19,シフト抽出!$23:$23,"該当なし",0,1)</f>
        <v>該当なし</v>
      </c>
    </row>
    <row r="5838" spans="1:12" ht="15.75" thickBot="1">
      <c r="A5838" s="195"/>
      <c r="B5838" s="195" t="s">
        <v>205</v>
      </c>
      <c r="C5838"/>
      <c r="D5838" s="197"/>
      <c r="E5838" s="197"/>
      <c r="F5838" s="197"/>
      <c r="G5838" s="197"/>
      <c r="H5838" s="197"/>
      <c r="I5838" s="209"/>
      <c r="K5838" s="235"/>
      <c r="L5838" s="199" t="str">
        <f>_xlfn.XLOOKUP($B5836,シフト抽出!$19:$19,シフト抽出!$24:$24,"該当なし",0,1)</f>
        <v>該当なし</v>
      </c>
    </row>
    <row r="5839" spans="1:12">
      <c r="A5839" s="195"/>
      <c r="B5839" s="195" t="s">
        <v>206</v>
      </c>
      <c r="C5839"/>
      <c r="D5839" s="197"/>
      <c r="E5839" s="197"/>
      <c r="F5839" s="197"/>
      <c r="G5839" s="197"/>
      <c r="H5839" s="197"/>
      <c r="I5839" s="209"/>
      <c r="K5839" s="224" t="s">
        <v>260</v>
      </c>
      <c r="L5839" s="200" t="str">
        <f>_xlfn.XLOOKUP($B5836,シフト抽出!$19:$19,シフト抽出!$26:$26,"該当なし",0,1)</f>
        <v>該当なし</v>
      </c>
    </row>
    <row r="5840" spans="1:12">
      <c r="A5840" s="195"/>
      <c r="B5840" s="195" t="s">
        <v>207</v>
      </c>
      <c r="C5840"/>
      <c r="D5840" s="197"/>
      <c r="E5840" s="197"/>
      <c r="F5840" s="197"/>
      <c r="G5840" s="197"/>
      <c r="H5840" s="197"/>
      <c r="I5840" s="209"/>
      <c r="K5840" s="225"/>
      <c r="L5840" s="201" t="str">
        <f>_xlfn.XLOOKUP($B5836,シフト抽出!$19:$19,シフト抽出!$27:$27,"該当なし",0,1)</f>
        <v>該当なし</v>
      </c>
    </row>
    <row r="5841" spans="1:12">
      <c r="A5841" s="195"/>
      <c r="B5841" s="202" t="s">
        <v>208</v>
      </c>
      <c r="C5841"/>
      <c r="D5841" s="197" t="s">
        <v>414</v>
      </c>
      <c r="E5841" s="197" t="s">
        <v>106</v>
      </c>
      <c r="F5841" s="197" t="s">
        <v>851</v>
      </c>
      <c r="G5841" s="197" t="s">
        <v>22</v>
      </c>
      <c r="H5841" s="197"/>
      <c r="I5841" s="209"/>
      <c r="J5841" s="203"/>
      <c r="K5841" s="225"/>
      <c r="L5841" s="201" t="str">
        <f>_xlfn.XLOOKUP($B5836,シフト抽出!$19:$19,シフト抽出!$28:$28,"該当なし",0,1)</f>
        <v>該当なし</v>
      </c>
    </row>
    <row r="5842" spans="1:12" ht="15.75" thickBot="1">
      <c r="A5842" s="195"/>
      <c r="B5842" s="195" t="s">
        <v>205</v>
      </c>
      <c r="C5842"/>
      <c r="D5842" s="197" t="s">
        <v>414</v>
      </c>
      <c r="E5842" s="197" t="s">
        <v>106</v>
      </c>
      <c r="F5842" s="197" t="s">
        <v>851</v>
      </c>
      <c r="G5842" s="197" t="s">
        <v>22</v>
      </c>
      <c r="H5842" s="197"/>
      <c r="I5842" s="209"/>
      <c r="J5842" s="203"/>
      <c r="K5842" s="226"/>
      <c r="L5842" s="204" t="str">
        <f>_xlfn.XLOOKUP($B5836,シフト抽出!$19:$19,シフト抽出!$29:$29,"該当なし",0,1)</f>
        <v>該当なし</v>
      </c>
    </row>
    <row r="5843" spans="1:12" ht="15.75" thickBot="1">
      <c r="A5843" s="195"/>
      <c r="B5843" s="195" t="s">
        <v>206</v>
      </c>
      <c r="C5843"/>
      <c r="D5843" s="197" t="s">
        <v>414</v>
      </c>
      <c r="E5843" s="197" t="s">
        <v>106</v>
      </c>
      <c r="F5843" s="197" t="s">
        <v>851</v>
      </c>
      <c r="G5843" s="197" t="s">
        <v>788</v>
      </c>
      <c r="H5843" s="197"/>
      <c r="I5843" s="209"/>
      <c r="K5843" s="205" t="s">
        <v>261</v>
      </c>
      <c r="L5843" s="205">
        <f>_xlfn.XLOOKUP($B5836,予定表!B:B,予定表!R:R,"該当なし",0,1)</f>
        <v>0</v>
      </c>
    </row>
    <row r="5844" spans="1:12">
      <c r="A5844" s="195"/>
      <c r="B5844" s="195" t="s">
        <v>207</v>
      </c>
      <c r="C5844"/>
      <c r="D5844" s="197" t="s">
        <v>414</v>
      </c>
      <c r="E5844" s="197" t="s">
        <v>106</v>
      </c>
      <c r="F5844" s="197" t="s">
        <v>851</v>
      </c>
      <c r="G5844" s="197" t="s">
        <v>788</v>
      </c>
      <c r="H5844" s="197"/>
      <c r="I5844" s="209"/>
      <c r="K5844" s="227" t="s">
        <v>262</v>
      </c>
      <c r="L5844" s="206">
        <f>_xlfn.XLOOKUP($B5836,予定表!$B:$B,予定表!E:E,"該当なし",0,1)</f>
        <v>0</v>
      </c>
    </row>
    <row r="5845" spans="1:12">
      <c r="A5845" s="195"/>
      <c r="B5845" s="196" t="s">
        <v>209</v>
      </c>
      <c r="C5845"/>
      <c r="D5845" s="197" t="s">
        <v>414</v>
      </c>
      <c r="E5845" s="197" t="s">
        <v>106</v>
      </c>
      <c r="F5845" s="197" t="s">
        <v>851</v>
      </c>
      <c r="G5845" s="197" t="s">
        <v>268</v>
      </c>
      <c r="H5845" s="197" t="s">
        <v>793</v>
      </c>
      <c r="I5845" s="209" t="s">
        <v>416</v>
      </c>
      <c r="K5845" s="228"/>
      <c r="L5845" s="207">
        <f>_xlfn.XLOOKUP($B5836,予定表!$B:$B,予定表!F:F,"該当なし",0,1)</f>
        <v>0</v>
      </c>
    </row>
    <row r="5846" spans="1:12">
      <c r="A5846" s="195"/>
      <c r="B5846" s="195" t="s">
        <v>205</v>
      </c>
      <c r="C5846"/>
      <c r="D5846" s="197" t="s">
        <v>414</v>
      </c>
      <c r="E5846" s="197" t="s">
        <v>106</v>
      </c>
      <c r="F5846" s="197" t="s">
        <v>851</v>
      </c>
      <c r="G5846" s="197" t="s">
        <v>268</v>
      </c>
      <c r="H5846" s="197" t="s">
        <v>973</v>
      </c>
      <c r="I5846" s="209" t="s">
        <v>416</v>
      </c>
      <c r="K5846" s="228"/>
      <c r="L5846" s="207" t="str">
        <f>_xlfn.XLOOKUP($B5836,予定表!$B:$B,予定表!G:G,"該当なし",0,1)</f>
        <v>ディーミング</v>
      </c>
    </row>
    <row r="5847" spans="1:12">
      <c r="A5847" s="195"/>
      <c r="B5847" s="195" t="s">
        <v>206</v>
      </c>
      <c r="C5847"/>
      <c r="D5847" s="197" t="s">
        <v>214</v>
      </c>
      <c r="E5847" s="197" t="s">
        <v>106</v>
      </c>
      <c r="F5847" s="197" t="s">
        <v>851</v>
      </c>
      <c r="G5847" s="197" t="s">
        <v>268</v>
      </c>
      <c r="H5847" s="197"/>
      <c r="I5847" s="209" t="s">
        <v>416</v>
      </c>
      <c r="K5847" s="228"/>
      <c r="L5847" s="207" t="str">
        <f>_xlfn.XLOOKUP($B5836,予定表!$B:$B,予定表!H:H,"該当なし",0,1)</f>
        <v>'資さん 平塚</v>
      </c>
    </row>
    <row r="5848" spans="1:12">
      <c r="A5848" s="195"/>
      <c r="B5848" s="195" t="s">
        <v>207</v>
      </c>
      <c r="C5848"/>
      <c r="D5848" s="197" t="s">
        <v>214</v>
      </c>
      <c r="E5848" s="197" t="s">
        <v>106</v>
      </c>
      <c r="F5848" s="197" t="s">
        <v>851</v>
      </c>
      <c r="G5848" s="197" t="s">
        <v>268</v>
      </c>
      <c r="H5848" s="197" t="s">
        <v>416</v>
      </c>
      <c r="I5848" s="209" t="s">
        <v>999</v>
      </c>
      <c r="K5848" s="228"/>
      <c r="L5848" s="207" t="str">
        <f>_xlfn.XLOOKUP($B5836,予定表!$B:$B,予定表!I:I,"該当なし",0,1)</f>
        <v>カインズAM8</v>
      </c>
    </row>
    <row r="5849" spans="1:12">
      <c r="A5849" s="195"/>
      <c r="B5849" s="196" t="s">
        <v>212</v>
      </c>
      <c r="C5849"/>
      <c r="D5849" s="197" t="s">
        <v>214</v>
      </c>
      <c r="E5849" s="197" t="s">
        <v>106</v>
      </c>
      <c r="F5849" s="197" t="s">
        <v>851</v>
      </c>
      <c r="G5849" s="197" t="s">
        <v>268</v>
      </c>
      <c r="H5849" s="197" t="s">
        <v>416</v>
      </c>
      <c r="I5849" s="209" t="s">
        <v>416</v>
      </c>
      <c r="K5849" s="228"/>
      <c r="L5849" s="207">
        <f>_xlfn.XLOOKUP($B5836,予定表!$B:$B,予定表!J:J,"該当なし",0,1)</f>
        <v>0</v>
      </c>
    </row>
    <row r="5850" spans="1:12">
      <c r="A5850" s="195"/>
      <c r="B5850" s="195" t="s">
        <v>205</v>
      </c>
      <c r="C5850"/>
      <c r="D5850" s="197" t="s">
        <v>214</v>
      </c>
      <c r="E5850" s="197" t="s">
        <v>106</v>
      </c>
      <c r="F5850" s="197" t="s">
        <v>851</v>
      </c>
      <c r="G5850" s="197" t="s">
        <v>268</v>
      </c>
      <c r="H5850" s="197" t="s">
        <v>919</v>
      </c>
      <c r="I5850" s="209" t="s">
        <v>416</v>
      </c>
      <c r="K5850" s="228"/>
      <c r="L5850" s="207">
        <f>_xlfn.XLOOKUP($B5836,予定表!$B:$B,予定表!K:K,"該当なし",0,1)</f>
        <v>0</v>
      </c>
    </row>
    <row r="5851" spans="1:12">
      <c r="A5851" s="195"/>
      <c r="B5851" s="195" t="s">
        <v>206</v>
      </c>
      <c r="C5851"/>
      <c r="D5851" s="197" t="s">
        <v>761</v>
      </c>
      <c r="E5851" s="197" t="s">
        <v>106</v>
      </c>
      <c r="F5851" s="197" t="s">
        <v>851</v>
      </c>
      <c r="G5851" s="197" t="s">
        <v>515</v>
      </c>
      <c r="H5851" s="197" t="s">
        <v>416</v>
      </c>
      <c r="I5851" s="209" t="s">
        <v>416</v>
      </c>
      <c r="K5851" s="228"/>
      <c r="L5851" s="207">
        <f>_xlfn.XLOOKUP($B5836,予定表!$B:$B,予定表!L:L,"該当なし",0,1)</f>
        <v>0</v>
      </c>
    </row>
    <row r="5852" spans="1:12" ht="15.75" thickBot="1">
      <c r="A5852" s="195"/>
      <c r="B5852" s="195" t="s">
        <v>207</v>
      </c>
      <c r="C5852"/>
      <c r="D5852" s="197" t="s">
        <v>761</v>
      </c>
      <c r="E5852" s="197" t="s">
        <v>106</v>
      </c>
      <c r="F5852" s="197" t="s">
        <v>264</v>
      </c>
      <c r="G5852" s="197" t="s">
        <v>515</v>
      </c>
      <c r="H5852" s="197" t="s">
        <v>416</v>
      </c>
      <c r="I5852" s="209" t="s">
        <v>416</v>
      </c>
      <c r="K5852" s="229"/>
      <c r="L5852" s="204" t="str">
        <f>_xlfn.XLOOKUP($A5833,ﾘｽﾄマスタ!$U$8:$U$17,ﾘｽﾄマスタ!$V$8:$V$17,"",0)</f>
        <v/>
      </c>
    </row>
    <row r="5853" spans="1:12" ht="15.75" thickBot="1">
      <c r="A5853" s="195"/>
      <c r="B5853" s="196" t="s">
        <v>251</v>
      </c>
      <c r="C5853"/>
      <c r="D5853" s="197" t="s">
        <v>761</v>
      </c>
      <c r="E5853" s="197" t="s">
        <v>106</v>
      </c>
      <c r="F5853" s="197" t="s">
        <v>264</v>
      </c>
      <c r="G5853" s="197" t="s">
        <v>269</v>
      </c>
      <c r="H5853" s="197" t="s">
        <v>416</v>
      </c>
      <c r="I5853" s="209" t="s">
        <v>416</v>
      </c>
      <c r="K5853" s="208" t="s">
        <v>277</v>
      </c>
      <c r="L5853" s="208" t="str">
        <f>_xlfn.XLOOKUP($B5836,シフト抽出!$19:$19,シフト抽出!$30:$30,"該当なし",0,1)</f>
        <v>該当なし</v>
      </c>
    </row>
    <row r="5854" spans="1:12">
      <c r="A5854" s="195"/>
      <c r="B5854" s="195" t="s">
        <v>205</v>
      </c>
      <c r="C5854"/>
      <c r="D5854" s="197" t="s">
        <v>127</v>
      </c>
      <c r="E5854" s="197" t="s">
        <v>106</v>
      </c>
      <c r="F5854" s="197"/>
      <c r="G5854" s="197" t="s">
        <v>269</v>
      </c>
      <c r="H5854" s="197" t="s">
        <v>416</v>
      </c>
      <c r="I5854" s="209" t="s">
        <v>416</v>
      </c>
    </row>
    <row r="5855" spans="1:12">
      <c r="A5855" s="195"/>
      <c r="B5855" s="195" t="s">
        <v>206</v>
      </c>
      <c r="C5855"/>
      <c r="D5855" s="197" t="s">
        <v>280</v>
      </c>
      <c r="E5855" s="197" t="s">
        <v>106</v>
      </c>
      <c r="F5855" s="197"/>
      <c r="G5855" s="197" t="s">
        <v>269</v>
      </c>
      <c r="H5855" s="197" t="s">
        <v>416</v>
      </c>
      <c r="I5855" s="209" t="s">
        <v>416</v>
      </c>
    </row>
    <row r="5856" spans="1:12">
      <c r="A5856" s="195"/>
      <c r="B5856" s="195" t="s">
        <v>207</v>
      </c>
      <c r="C5856"/>
      <c r="D5856" s="197" t="s">
        <v>280</v>
      </c>
      <c r="E5856" s="197" t="s">
        <v>106</v>
      </c>
      <c r="F5856" s="197"/>
      <c r="G5856" s="197" t="s">
        <v>446</v>
      </c>
      <c r="H5856" s="197" t="s">
        <v>416</v>
      </c>
      <c r="I5856" s="209" t="s">
        <v>416</v>
      </c>
    </row>
    <row r="5857" spans="1:9">
      <c r="A5857" s="195"/>
      <c r="B5857" s="196" t="s">
        <v>217</v>
      </c>
      <c r="C5857"/>
      <c r="D5857" s="197" t="s">
        <v>215</v>
      </c>
      <c r="E5857" s="197" t="s">
        <v>106</v>
      </c>
      <c r="F5857" s="197" t="s">
        <v>51</v>
      </c>
      <c r="G5857" s="197" t="s">
        <v>114</v>
      </c>
      <c r="H5857" s="197" t="s">
        <v>416</v>
      </c>
      <c r="I5857" s="209"/>
    </row>
    <row r="5858" spans="1:9">
      <c r="A5858" s="195"/>
      <c r="B5858" s="195" t="s">
        <v>205</v>
      </c>
      <c r="C5858"/>
      <c r="D5858" s="197" t="s">
        <v>215</v>
      </c>
      <c r="E5858" s="197" t="s">
        <v>106</v>
      </c>
      <c r="F5858" s="197" t="s">
        <v>51</v>
      </c>
      <c r="G5858" s="197" t="s">
        <v>114</v>
      </c>
      <c r="H5858" s="197" t="s">
        <v>416</v>
      </c>
      <c r="I5858" s="209"/>
    </row>
    <row r="5859" spans="1:9">
      <c r="A5859" s="195"/>
      <c r="B5859" s="195" t="s">
        <v>206</v>
      </c>
      <c r="C5859"/>
      <c r="D5859" s="197"/>
      <c r="E5859" s="197" t="s">
        <v>106</v>
      </c>
      <c r="F5859" s="197" t="s">
        <v>51</v>
      </c>
      <c r="G5859" s="197" t="s">
        <v>114</v>
      </c>
      <c r="H5859" s="197"/>
      <c r="I5859" s="209"/>
    </row>
    <row r="5860" spans="1:9">
      <c r="A5860" s="195"/>
      <c r="B5860" s="195" t="s">
        <v>207</v>
      </c>
      <c r="C5860"/>
      <c r="D5860" s="197"/>
      <c r="E5860" s="197" t="s">
        <v>106</v>
      </c>
      <c r="F5860" s="197" t="s">
        <v>51</v>
      </c>
      <c r="G5860" s="197" t="s">
        <v>114</v>
      </c>
      <c r="H5860" s="197"/>
      <c r="I5860" s="209"/>
    </row>
    <row r="5861" spans="1:9">
      <c r="A5861" s="195"/>
      <c r="B5861" s="196" t="s">
        <v>219</v>
      </c>
      <c r="C5861"/>
      <c r="D5861" s="197"/>
      <c r="E5861" s="197"/>
      <c r="F5861" s="197"/>
      <c r="G5861" s="197"/>
      <c r="H5861" s="197"/>
      <c r="I5861" s="209"/>
    </row>
    <row r="5862" spans="1:9">
      <c r="A5862" s="195"/>
      <c r="B5862" s="195" t="s">
        <v>205</v>
      </c>
      <c r="C5862"/>
      <c r="D5862" s="197"/>
      <c r="E5862" s="197"/>
      <c r="F5862" s="197"/>
      <c r="G5862" s="197"/>
      <c r="H5862" s="197"/>
      <c r="I5862" s="209"/>
    </row>
    <row r="5863" spans="1:9">
      <c r="A5863" s="195"/>
      <c r="B5863" s="195" t="s">
        <v>206</v>
      </c>
      <c r="C5863"/>
      <c r="D5863" s="197"/>
      <c r="E5863" s="197"/>
      <c r="F5863" s="197"/>
      <c r="G5863" s="197"/>
      <c r="H5863" s="197"/>
      <c r="I5863" s="209"/>
    </row>
    <row r="5864" spans="1:9">
      <c r="A5864" s="195"/>
      <c r="B5864" s="195" t="s">
        <v>207</v>
      </c>
      <c r="C5864"/>
      <c r="D5864" s="197"/>
      <c r="E5864" s="197"/>
      <c r="F5864" s="197"/>
      <c r="G5864" s="197"/>
      <c r="H5864" s="197"/>
      <c r="I5864" s="209"/>
    </row>
    <row r="5865" spans="1:9">
      <c r="A5865" s="195"/>
      <c r="B5865" s="196" t="s">
        <v>220</v>
      </c>
      <c r="C5865"/>
      <c r="D5865" s="189" t="s">
        <v>937</v>
      </c>
      <c r="E5865" s="189" t="s">
        <v>926</v>
      </c>
      <c r="F5865" s="197"/>
      <c r="G5865" s="189"/>
      <c r="H5865" s="189" t="s">
        <v>852</v>
      </c>
      <c r="I5865" s="189" t="s">
        <v>1031</v>
      </c>
    </row>
    <row r="5866" spans="1:9">
      <c r="A5866" s="195"/>
      <c r="B5866" s="195" t="s">
        <v>205</v>
      </c>
      <c r="C5866"/>
      <c r="D5866" s="197" t="s">
        <v>759</v>
      </c>
      <c r="E5866" s="197" t="s">
        <v>273</v>
      </c>
      <c r="F5866" s="197" t="s">
        <v>397</v>
      </c>
      <c r="G5866" s="197" t="s">
        <v>56</v>
      </c>
      <c r="H5866" s="197" t="s">
        <v>848</v>
      </c>
      <c r="I5866" s="209" t="s">
        <v>62</v>
      </c>
    </row>
    <row r="5867" spans="1:9">
      <c r="A5867" s="195"/>
      <c r="B5867" s="195" t="s">
        <v>206</v>
      </c>
      <c r="C5867"/>
      <c r="D5867" s="197" t="s">
        <v>759</v>
      </c>
      <c r="E5867" s="197" t="s">
        <v>273</v>
      </c>
      <c r="F5867" s="197" t="s">
        <v>224</v>
      </c>
      <c r="G5867" s="197" t="s">
        <v>56</v>
      </c>
      <c r="H5867" s="197" t="s">
        <v>848</v>
      </c>
      <c r="I5867" s="209" t="s">
        <v>62</v>
      </c>
    </row>
    <row r="5868" spans="1:9">
      <c r="A5868" s="195"/>
      <c r="B5868" s="195" t="s">
        <v>207</v>
      </c>
      <c r="C5868"/>
      <c r="D5868" s="197" t="s">
        <v>759</v>
      </c>
      <c r="E5868" s="197" t="s">
        <v>273</v>
      </c>
      <c r="F5868" s="197" t="s">
        <v>224</v>
      </c>
      <c r="G5868" s="197" t="s">
        <v>56</v>
      </c>
      <c r="H5868" s="197" t="s">
        <v>848</v>
      </c>
      <c r="I5868" s="209" t="s">
        <v>62</v>
      </c>
    </row>
    <row r="5869" spans="1:9">
      <c r="A5869" s="195"/>
      <c r="B5869" s="196" t="s">
        <v>222</v>
      </c>
      <c r="C5869"/>
      <c r="D5869" s="197" t="s">
        <v>759</v>
      </c>
      <c r="E5869" s="197" t="s">
        <v>273</v>
      </c>
      <c r="F5869" s="197" t="s">
        <v>865</v>
      </c>
      <c r="G5869" s="197" t="s">
        <v>4</v>
      </c>
      <c r="H5869" s="197" t="s">
        <v>848</v>
      </c>
      <c r="I5869" s="209" t="s">
        <v>62</v>
      </c>
    </row>
    <row r="5870" spans="1:9">
      <c r="A5870" s="195"/>
      <c r="B5870" s="195" t="s">
        <v>205</v>
      </c>
      <c r="C5870"/>
      <c r="D5870" s="197" t="s">
        <v>216</v>
      </c>
      <c r="E5870" s="197" t="s">
        <v>186</v>
      </c>
      <c r="F5870" s="197" t="s">
        <v>866</v>
      </c>
      <c r="G5870" s="197" t="s">
        <v>270</v>
      </c>
      <c r="H5870" s="197" t="s">
        <v>848</v>
      </c>
      <c r="I5870" s="209" t="s">
        <v>62</v>
      </c>
    </row>
    <row r="5871" spans="1:9">
      <c r="A5871" s="195"/>
      <c r="B5871" s="195" t="s">
        <v>206</v>
      </c>
      <c r="C5871"/>
      <c r="D5871" s="197" t="s">
        <v>216</v>
      </c>
      <c r="E5871" s="197" t="s">
        <v>186</v>
      </c>
      <c r="F5871" s="197" t="s">
        <v>416</v>
      </c>
      <c r="G5871" s="197" t="s">
        <v>270</v>
      </c>
      <c r="H5871" s="197" t="s">
        <v>229</v>
      </c>
      <c r="I5871" s="209" t="s">
        <v>62</v>
      </c>
    </row>
    <row r="5872" spans="1:9">
      <c r="A5872" s="195"/>
      <c r="B5872" s="195" t="s">
        <v>207</v>
      </c>
      <c r="C5872"/>
      <c r="D5872" s="197" t="s">
        <v>216</v>
      </c>
      <c r="E5872" s="197" t="s">
        <v>252</v>
      </c>
      <c r="F5872" s="197" t="s">
        <v>771</v>
      </c>
      <c r="G5872" s="197" t="s">
        <v>270</v>
      </c>
      <c r="H5872" s="197" t="s">
        <v>229</v>
      </c>
      <c r="I5872" s="209" t="s">
        <v>62</v>
      </c>
    </row>
    <row r="5873" spans="1:12">
      <c r="A5873" s="195"/>
      <c r="B5873" s="196" t="s">
        <v>223</v>
      </c>
      <c r="C5873"/>
      <c r="D5873" s="197" t="s">
        <v>216</v>
      </c>
      <c r="E5873" s="197" t="s">
        <v>252</v>
      </c>
      <c r="F5873" s="197" t="s">
        <v>416</v>
      </c>
      <c r="G5873" s="197" t="s">
        <v>270</v>
      </c>
      <c r="H5873" s="197" t="s">
        <v>230</v>
      </c>
      <c r="I5873" s="209" t="s">
        <v>62</v>
      </c>
    </row>
    <row r="5874" spans="1:12">
      <c r="A5874" s="195"/>
      <c r="B5874" s="195" t="s">
        <v>205</v>
      </c>
      <c r="C5874"/>
      <c r="D5874" s="197" t="s">
        <v>216</v>
      </c>
      <c r="E5874" s="197" t="s">
        <v>252</v>
      </c>
      <c r="F5874" s="197" t="s">
        <v>416</v>
      </c>
      <c r="G5874" s="197" t="s">
        <v>270</v>
      </c>
      <c r="H5874" s="197" t="s">
        <v>230</v>
      </c>
      <c r="I5874" s="209" t="s">
        <v>62</v>
      </c>
    </row>
    <row r="5875" spans="1:12">
      <c r="A5875" s="195"/>
      <c r="B5875" s="195" t="s">
        <v>206</v>
      </c>
      <c r="C5875"/>
      <c r="D5875" s="197" t="s">
        <v>523</v>
      </c>
      <c r="E5875" s="197" t="s">
        <v>252</v>
      </c>
      <c r="F5875" s="197" t="s">
        <v>416</v>
      </c>
      <c r="G5875" s="197" t="s">
        <v>270</v>
      </c>
      <c r="H5875" s="197" t="s">
        <v>230</v>
      </c>
      <c r="I5875" s="209" t="s">
        <v>62</v>
      </c>
    </row>
    <row r="5876" spans="1:12">
      <c r="A5876" s="195"/>
      <c r="B5876" s="195" t="s">
        <v>207</v>
      </c>
      <c r="C5876"/>
      <c r="D5876" s="197" t="s">
        <v>523</v>
      </c>
      <c r="E5876" s="197" t="s">
        <v>252</v>
      </c>
      <c r="F5876" s="197" t="s">
        <v>416</v>
      </c>
      <c r="G5876" s="197" t="s">
        <v>270</v>
      </c>
      <c r="H5876" s="197" t="s">
        <v>230</v>
      </c>
      <c r="I5876" s="209" t="s">
        <v>62</v>
      </c>
    </row>
    <row r="5877" spans="1:12">
      <c r="A5877" s="195"/>
      <c r="B5877" s="196" t="s">
        <v>225</v>
      </c>
      <c r="C5877"/>
      <c r="D5877" s="197"/>
      <c r="E5877" s="197" t="s">
        <v>252</v>
      </c>
      <c r="F5877" s="197" t="s">
        <v>416</v>
      </c>
      <c r="G5877" s="197" t="s">
        <v>270</v>
      </c>
      <c r="H5877" s="197" t="s">
        <v>230</v>
      </c>
      <c r="I5877" s="209" t="s">
        <v>62</v>
      </c>
    </row>
    <row r="5878" spans="1:12">
      <c r="A5878" s="195"/>
      <c r="B5878" s="195" t="s">
        <v>205</v>
      </c>
      <c r="C5878"/>
      <c r="D5878" s="197"/>
      <c r="E5878" s="197" t="s">
        <v>252</v>
      </c>
      <c r="F5878" s="197" t="s">
        <v>416</v>
      </c>
      <c r="G5878" s="197" t="s">
        <v>270</v>
      </c>
      <c r="H5878" s="209" t="s">
        <v>415</v>
      </c>
      <c r="I5878" s="209" t="s">
        <v>62</v>
      </c>
    </row>
    <row r="5879" spans="1:12">
      <c r="A5879" s="195"/>
      <c r="B5879" s="195" t="s">
        <v>206</v>
      </c>
      <c r="C5879"/>
      <c r="D5879" s="197"/>
      <c r="E5879" s="197" t="s">
        <v>252</v>
      </c>
      <c r="F5879" s="197" t="s">
        <v>416</v>
      </c>
      <c r="G5879" s="197" t="s">
        <v>270</v>
      </c>
      <c r="H5879" s="209" t="s">
        <v>415</v>
      </c>
      <c r="I5879" s="209" t="s">
        <v>62</v>
      </c>
    </row>
    <row r="5880" spans="1:12">
      <c r="A5880" s="195"/>
      <c r="B5880" s="195" t="s">
        <v>207</v>
      </c>
      <c r="C5880"/>
      <c r="D5880" s="197"/>
      <c r="E5880" s="197" t="s">
        <v>252</v>
      </c>
      <c r="F5880" s="197" t="s">
        <v>416</v>
      </c>
      <c r="G5880" s="197" t="s">
        <v>270</v>
      </c>
      <c r="H5880" s="209" t="s">
        <v>415</v>
      </c>
      <c r="I5880" s="209" t="s">
        <v>62</v>
      </c>
    </row>
    <row r="5881" spans="1:12">
      <c r="A5881" s="195"/>
      <c r="B5881" s="196" t="s">
        <v>226</v>
      </c>
      <c r="C5881"/>
      <c r="D5881" s="197"/>
      <c r="E5881" s="197"/>
      <c r="F5881" s="197"/>
      <c r="G5881" s="197"/>
      <c r="H5881" s="209"/>
      <c r="I5881" s="209"/>
    </row>
    <row r="5882" spans="1:12">
      <c r="A5882" s="195"/>
      <c r="B5882" s="195" t="s">
        <v>205</v>
      </c>
      <c r="C5882"/>
      <c r="D5882" s="197"/>
      <c r="E5882" s="197"/>
      <c r="F5882" s="197"/>
      <c r="G5882" s="197"/>
      <c r="H5882" s="209"/>
      <c r="I5882" s="209"/>
    </row>
    <row r="5883" spans="1:12">
      <c r="A5883" s="195"/>
      <c r="B5883" s="195" t="s">
        <v>206</v>
      </c>
      <c r="C5883"/>
      <c r="D5883" s="197"/>
      <c r="E5883" s="197"/>
      <c r="F5883" s="197"/>
      <c r="G5883" s="197"/>
      <c r="H5883" s="209"/>
      <c r="I5883" s="209"/>
    </row>
    <row r="5884" spans="1:12">
      <c r="A5884" s="195"/>
      <c r="B5884" s="195" t="s">
        <v>207</v>
      </c>
      <c r="C5884"/>
      <c r="D5884" s="197"/>
      <c r="E5884" s="197"/>
      <c r="F5884" s="197"/>
      <c r="G5884" s="197"/>
      <c r="H5884" s="209"/>
      <c r="I5884" s="209"/>
    </row>
    <row r="5885" spans="1:12">
      <c r="A5885" s="195"/>
      <c r="B5885" s="196" t="s">
        <v>227</v>
      </c>
      <c r="C5885"/>
      <c r="D5885" s="197"/>
      <c r="E5885" s="197"/>
      <c r="F5885" s="197"/>
      <c r="G5885" s="197"/>
      <c r="H5885" s="209"/>
      <c r="I5885" s="209"/>
      <c r="K5885"/>
    </row>
    <row r="5886" spans="1:12" ht="29.25" thickBot="1">
      <c r="A5886" s="182" t="str">
        <f>"回収シフト  第"&amp;ROUNDUP(DAY(B5889)/7,0)  &amp;"  "&amp;TEXT(B5889,"aaaa")</f>
        <v>回収シフト  第1  木曜日</v>
      </c>
      <c r="B5886" s="183"/>
      <c r="C5886" s="183"/>
      <c r="D5886" s="183"/>
      <c r="E5886" s="183"/>
      <c r="F5886" s="183"/>
      <c r="G5886" s="184"/>
      <c r="H5886" s="184"/>
      <c r="I5886" s="184"/>
      <c r="K5886" s="183"/>
      <c r="L5886" s="183"/>
    </row>
    <row r="5887" spans="1:12" ht="15.75" thickBot="1">
      <c r="A5887"/>
      <c r="B5887"/>
      <c r="C5887"/>
      <c r="D5887" s="186" t="s">
        <v>201</v>
      </c>
      <c r="E5887" s="186" t="s">
        <v>202</v>
      </c>
      <c r="F5887" s="186" t="s">
        <v>203</v>
      </c>
      <c r="G5887" s="186" t="s">
        <v>204</v>
      </c>
      <c r="H5887" s="186" t="s">
        <v>267</v>
      </c>
      <c r="I5887" s="217" t="s">
        <v>267</v>
      </c>
      <c r="K5887" s="230" t="s">
        <v>257</v>
      </c>
      <c r="L5887" s="231"/>
    </row>
    <row r="5888" spans="1:12">
      <c r="A5888" s="187"/>
      <c r="B5888" s="188">
        <v>46119</v>
      </c>
      <c r="C5888" s="187"/>
      <c r="D5888" s="189" t="s">
        <v>998</v>
      </c>
      <c r="E5888" s="189" t="s">
        <v>937</v>
      </c>
      <c r="F5888" s="189" t="s">
        <v>926</v>
      </c>
      <c r="G5888" s="189" t="s">
        <v>864</v>
      </c>
      <c r="H5888" s="189" t="s">
        <v>852</v>
      </c>
      <c r="I5888" s="218" t="s">
        <v>850</v>
      </c>
      <c r="K5888" s="232" t="s">
        <v>258</v>
      </c>
      <c r="L5888" s="190" t="str">
        <f>_xlfn.XLOOKUP($B5889,シフト抽出!$19:$19,シフト抽出!$20:$20,"該当なし",0,1)</f>
        <v>該当なし</v>
      </c>
    </row>
    <row r="5889" spans="1:12" ht="19.5" thickBot="1">
      <c r="A5889"/>
      <c r="B5889" s="191">
        <f>B5836+1</f>
        <v>46240</v>
      </c>
      <c r="C5889" s="192"/>
      <c r="D5889" s="193"/>
      <c r="E5889" s="193"/>
      <c r="F5889" s="193"/>
      <c r="G5889" s="193"/>
      <c r="H5889" s="193"/>
      <c r="I5889" s="219"/>
      <c r="K5889" s="233"/>
      <c r="L5889" s="194" t="str">
        <f>_xlfn.XLOOKUP($B5889,シフト抽出!$19:$19,シフト抽出!$21:$21,"該当なし",0,1)</f>
        <v>該当なし</v>
      </c>
    </row>
    <row r="5890" spans="1:12">
      <c r="A5890" s="195"/>
      <c r="B5890" s="196">
        <v>0.25</v>
      </c>
      <c r="C5890"/>
      <c r="D5890" s="197"/>
      <c r="E5890" s="196"/>
      <c r="F5890" s="197"/>
      <c r="G5890" s="197"/>
      <c r="H5890" s="197"/>
      <c r="I5890" s="209"/>
      <c r="K5890" s="234" t="s">
        <v>259</v>
      </c>
      <c r="L5890" s="198" t="str">
        <f>_xlfn.XLOOKUP($B5889,シフト抽出!$19:$19,シフト抽出!$23:$23,"該当なし",0,1)</f>
        <v>該当なし</v>
      </c>
    </row>
    <row r="5891" spans="1:12" ht="15.75" thickBot="1">
      <c r="A5891" s="195"/>
      <c r="B5891" s="195" t="s">
        <v>205</v>
      </c>
      <c r="C5891"/>
      <c r="D5891" s="197"/>
      <c r="E5891" s="197"/>
      <c r="F5891" s="197"/>
      <c r="G5891" s="197"/>
      <c r="H5891" s="197"/>
      <c r="I5891" s="209"/>
      <c r="K5891" s="235"/>
      <c r="L5891" s="199" t="str">
        <f>_xlfn.XLOOKUP($B5889,シフト抽出!$19:$19,シフト抽出!$24:$24,"該当なし",0,1)</f>
        <v>該当なし</v>
      </c>
    </row>
    <row r="5892" spans="1:12">
      <c r="A5892" s="195"/>
      <c r="B5892" s="195" t="s">
        <v>206</v>
      </c>
      <c r="C5892"/>
      <c r="D5892" s="197"/>
      <c r="E5892" s="197"/>
      <c r="F5892" s="197"/>
      <c r="G5892" s="197"/>
      <c r="H5892" s="197"/>
      <c r="I5892" s="209"/>
      <c r="K5892" s="224" t="s">
        <v>260</v>
      </c>
      <c r="L5892" s="200" t="str">
        <f>_xlfn.XLOOKUP($B5889,シフト抽出!$19:$19,シフト抽出!$26:$26,"該当なし",0,1)</f>
        <v>該当なし</v>
      </c>
    </row>
    <row r="5893" spans="1:12">
      <c r="A5893" s="195"/>
      <c r="B5893" s="195" t="s">
        <v>207</v>
      </c>
      <c r="C5893"/>
      <c r="D5893" s="197"/>
      <c r="E5893" s="197"/>
      <c r="F5893" s="197"/>
      <c r="G5893" s="197"/>
      <c r="H5893" s="197"/>
      <c r="I5893" s="209"/>
      <c r="K5893" s="225"/>
      <c r="L5893" s="201" t="str">
        <f>_xlfn.XLOOKUP($B5889,シフト抽出!$19:$19,シフト抽出!$27:$27,"該当なし",0,1)</f>
        <v>該当なし</v>
      </c>
    </row>
    <row r="5894" spans="1:12">
      <c r="A5894" s="195"/>
      <c r="B5894" s="202" t="s">
        <v>208</v>
      </c>
      <c r="C5894"/>
      <c r="D5894" s="197" t="s">
        <v>4</v>
      </c>
      <c r="E5894" s="197" t="s">
        <v>4</v>
      </c>
      <c r="F5894" s="197" t="s">
        <v>4</v>
      </c>
      <c r="G5894" s="197" t="s">
        <v>4</v>
      </c>
      <c r="H5894" s="197"/>
      <c r="I5894" s="209"/>
      <c r="J5894" s="203"/>
      <c r="K5894" s="225"/>
      <c r="L5894" s="201" t="str">
        <f>_xlfn.XLOOKUP($B5889,シフト抽出!$19:$19,シフト抽出!$28:$28,"該当なし",0,1)</f>
        <v>該当なし</v>
      </c>
    </row>
    <row r="5895" spans="1:12" ht="15.75" thickBot="1">
      <c r="A5895" s="195"/>
      <c r="B5895" s="195" t="s">
        <v>205</v>
      </c>
      <c r="C5895"/>
      <c r="D5895" s="197" t="s">
        <v>414</v>
      </c>
      <c r="E5895" s="197" t="s">
        <v>421</v>
      </c>
      <c r="F5895" s="197" t="s">
        <v>851</v>
      </c>
      <c r="G5895" s="197" t="s">
        <v>22</v>
      </c>
      <c r="H5895" s="197"/>
      <c r="I5895" s="209" t="s">
        <v>416</v>
      </c>
      <c r="J5895" s="203"/>
      <c r="K5895" s="226"/>
      <c r="L5895" s="204" t="str">
        <f>_xlfn.XLOOKUP($B5889,シフト抽出!$19:$19,シフト抽出!$29:$29,"該当なし",0,1)</f>
        <v>該当なし</v>
      </c>
    </row>
    <row r="5896" spans="1:12" ht="15.75" thickBot="1">
      <c r="A5896" s="195"/>
      <c r="B5896" s="195" t="s">
        <v>206</v>
      </c>
      <c r="C5896"/>
      <c r="D5896" s="197" t="s">
        <v>414</v>
      </c>
      <c r="E5896" s="197" t="s">
        <v>421</v>
      </c>
      <c r="F5896" s="197" t="s">
        <v>851</v>
      </c>
      <c r="G5896" s="197" t="s">
        <v>22</v>
      </c>
      <c r="H5896" s="197"/>
      <c r="I5896" s="209" t="s">
        <v>416</v>
      </c>
      <c r="K5896" s="205" t="s">
        <v>261</v>
      </c>
      <c r="L5896" s="205">
        <f>_xlfn.XLOOKUP($B5889,予定表!B:B,予定表!R:R,"該当なし",0,1)</f>
        <v>0</v>
      </c>
    </row>
    <row r="5897" spans="1:12">
      <c r="A5897" s="195"/>
      <c r="B5897" s="195" t="s">
        <v>207</v>
      </c>
      <c r="C5897"/>
      <c r="D5897" s="197" t="s">
        <v>414</v>
      </c>
      <c r="E5897" s="197" t="s">
        <v>421</v>
      </c>
      <c r="F5897" s="197" t="s">
        <v>851</v>
      </c>
      <c r="G5897" s="197" t="s">
        <v>22</v>
      </c>
      <c r="H5897" s="197"/>
      <c r="I5897" s="209" t="s">
        <v>416</v>
      </c>
      <c r="K5897" s="227" t="s">
        <v>262</v>
      </c>
      <c r="L5897" s="206">
        <f>_xlfn.XLOOKUP($B5889,予定表!$B:$B,予定表!E:E,"該当なし",0,1)</f>
        <v>0</v>
      </c>
    </row>
    <row r="5898" spans="1:12">
      <c r="A5898" s="195"/>
      <c r="B5898" s="196" t="s">
        <v>209</v>
      </c>
      <c r="C5898"/>
      <c r="D5898" s="197" t="s">
        <v>414</v>
      </c>
      <c r="E5898" s="197" t="s">
        <v>421</v>
      </c>
      <c r="F5898" s="197" t="s">
        <v>851</v>
      </c>
      <c r="G5898" s="197" t="s">
        <v>268</v>
      </c>
      <c r="H5898" s="197" t="s">
        <v>4</v>
      </c>
      <c r="I5898" s="209" t="s">
        <v>416</v>
      </c>
      <c r="K5898" s="228"/>
      <c r="L5898" s="207">
        <f>_xlfn.XLOOKUP($B5889,予定表!$B:$B,予定表!F:F,"該当なし",0,1)</f>
        <v>0</v>
      </c>
    </row>
    <row r="5899" spans="1:12">
      <c r="A5899" s="195"/>
      <c r="B5899" s="195" t="s">
        <v>205</v>
      </c>
      <c r="C5899"/>
      <c r="D5899" s="197" t="s">
        <v>414</v>
      </c>
      <c r="E5899" s="197" t="s">
        <v>421</v>
      </c>
      <c r="F5899" s="197" t="s">
        <v>851</v>
      </c>
      <c r="G5899" s="197" t="s">
        <v>268</v>
      </c>
      <c r="H5899" s="197" t="s">
        <v>60</v>
      </c>
      <c r="I5899" s="209" t="s">
        <v>416</v>
      </c>
      <c r="K5899" s="228"/>
      <c r="L5899" s="207">
        <f>_xlfn.XLOOKUP($B5889,予定表!$B:$B,予定表!G:G,"該当なし",0,1)</f>
        <v>0</v>
      </c>
    </row>
    <row r="5900" spans="1:12">
      <c r="A5900" s="195"/>
      <c r="B5900" s="195" t="s">
        <v>206</v>
      </c>
      <c r="C5900"/>
      <c r="D5900" s="197" t="s">
        <v>214</v>
      </c>
      <c r="E5900" s="197" t="s">
        <v>273</v>
      </c>
      <c r="F5900" s="197" t="s">
        <v>642</v>
      </c>
      <c r="G5900" s="197" t="s">
        <v>268</v>
      </c>
      <c r="H5900" s="197" t="s">
        <v>60</v>
      </c>
      <c r="I5900" s="209" t="s">
        <v>416</v>
      </c>
      <c r="K5900" s="228"/>
      <c r="L5900" s="207" t="str">
        <f>_xlfn.XLOOKUP($B5889,予定表!$B:$B,予定表!H:H,"該当なし",0,1)</f>
        <v>鴻池戸田15</v>
      </c>
    </row>
    <row r="5901" spans="1:12">
      <c r="A5901" s="195"/>
      <c r="B5901" s="195" t="s">
        <v>207</v>
      </c>
      <c r="C5901"/>
      <c r="D5901" s="197" t="s">
        <v>214</v>
      </c>
      <c r="E5901" s="197" t="s">
        <v>273</v>
      </c>
      <c r="F5901" s="197" t="s">
        <v>851</v>
      </c>
      <c r="G5901" s="197" t="s">
        <v>268</v>
      </c>
      <c r="H5901" s="197" t="s">
        <v>60</v>
      </c>
      <c r="I5901" s="209" t="s">
        <v>999</v>
      </c>
      <c r="K5901" s="228"/>
      <c r="L5901" s="207" t="str">
        <f>_xlfn.XLOOKUP($B5889,予定表!$B:$B,予定表!I:I,"該当なし",0,1)</f>
        <v>カインズAM8</v>
      </c>
    </row>
    <row r="5902" spans="1:12">
      <c r="A5902" s="195"/>
      <c r="B5902" s="196" t="s">
        <v>212</v>
      </c>
      <c r="C5902"/>
      <c r="D5902" s="197" t="s">
        <v>214</v>
      </c>
      <c r="E5902" s="197" t="s">
        <v>273</v>
      </c>
      <c r="F5902" s="197" t="s">
        <v>851</v>
      </c>
      <c r="G5902" s="197" t="s">
        <v>268</v>
      </c>
      <c r="H5902" s="197"/>
      <c r="I5902" s="209" t="s">
        <v>416</v>
      </c>
      <c r="K5902" s="228"/>
      <c r="L5902" s="207">
        <f>_xlfn.XLOOKUP($B5889,予定表!$B:$B,予定表!J:J,"該当なし",0,1)</f>
        <v>0</v>
      </c>
    </row>
    <row r="5903" spans="1:12">
      <c r="A5903" s="195"/>
      <c r="B5903" s="195" t="s">
        <v>205</v>
      </c>
      <c r="C5903"/>
      <c r="D5903" s="197" t="s">
        <v>761</v>
      </c>
      <c r="E5903" s="197" t="s">
        <v>228</v>
      </c>
      <c r="F5903" s="197" t="s">
        <v>851</v>
      </c>
      <c r="G5903" s="197" t="s">
        <v>268</v>
      </c>
      <c r="H5903" s="197" t="s">
        <v>230</v>
      </c>
      <c r="I5903" s="209" t="s">
        <v>416</v>
      </c>
      <c r="K5903" s="228"/>
      <c r="L5903" s="207">
        <f>_xlfn.XLOOKUP($B5889,予定表!$B:$B,予定表!K:K,"該当なし",0,1)</f>
        <v>0</v>
      </c>
    </row>
    <row r="5904" spans="1:12">
      <c r="A5904" s="195"/>
      <c r="B5904" s="195" t="s">
        <v>206</v>
      </c>
      <c r="C5904"/>
      <c r="D5904" s="197" t="s">
        <v>761</v>
      </c>
      <c r="E5904" s="197" t="s">
        <v>228</v>
      </c>
      <c r="F5904" s="197"/>
      <c r="G5904" s="197" t="s">
        <v>169</v>
      </c>
      <c r="H5904" s="197" t="s">
        <v>230</v>
      </c>
      <c r="I5904" s="209" t="s">
        <v>416</v>
      </c>
      <c r="K5904" s="228"/>
      <c r="L5904" s="207">
        <f>_xlfn.XLOOKUP($B5889,予定表!$B:$B,予定表!L:L,"該当なし",0,1)</f>
        <v>0</v>
      </c>
    </row>
    <row r="5905" spans="1:12" ht="15.75" thickBot="1">
      <c r="A5905" s="195"/>
      <c r="B5905" s="195" t="s">
        <v>207</v>
      </c>
      <c r="C5905"/>
      <c r="D5905" s="197" t="s">
        <v>761</v>
      </c>
      <c r="E5905" s="197" t="s">
        <v>959</v>
      </c>
      <c r="F5905" s="197"/>
      <c r="G5905" s="197" t="s">
        <v>169</v>
      </c>
      <c r="H5905" s="197" t="s">
        <v>230</v>
      </c>
      <c r="I5905" s="209" t="s">
        <v>416</v>
      </c>
      <c r="K5905" s="229"/>
      <c r="L5905" s="204" t="str">
        <f>_xlfn.XLOOKUP($A5886,ﾘｽﾄマスタ!$U$8:$U$17,ﾘｽﾄマスタ!$V$8:$V$17,"",0)</f>
        <v/>
      </c>
    </row>
    <row r="5906" spans="1:12" ht="15.75" thickBot="1">
      <c r="A5906" s="195"/>
      <c r="B5906" s="196" t="s">
        <v>251</v>
      </c>
      <c r="C5906"/>
      <c r="D5906" s="197"/>
      <c r="E5906" s="197" t="s">
        <v>228</v>
      </c>
      <c r="F5906" s="197"/>
      <c r="G5906" s="197" t="s">
        <v>169</v>
      </c>
      <c r="H5906" s="197" t="s">
        <v>229</v>
      </c>
      <c r="I5906" s="209" t="s">
        <v>416</v>
      </c>
      <c r="K5906" s="208" t="s">
        <v>277</v>
      </c>
      <c r="L5906" s="208" t="str">
        <f>_xlfn.XLOOKUP($B5889,シフト抽出!$19:$19,シフト抽出!$30:$30,"該当なし",0,1)</f>
        <v>該当なし</v>
      </c>
    </row>
    <row r="5907" spans="1:12">
      <c r="A5907" s="195"/>
      <c r="B5907" s="195" t="s">
        <v>205</v>
      </c>
      <c r="C5907"/>
      <c r="D5907" s="197" t="s">
        <v>8</v>
      </c>
      <c r="E5907" s="197" t="s">
        <v>228</v>
      </c>
      <c r="F5907" s="197" t="s">
        <v>215</v>
      </c>
      <c r="G5907" s="197" t="s">
        <v>169</v>
      </c>
      <c r="H5907" s="197" t="s">
        <v>229</v>
      </c>
      <c r="I5907" s="209" t="s">
        <v>416</v>
      </c>
    </row>
    <row r="5908" spans="1:12">
      <c r="A5908" s="195"/>
      <c r="B5908" s="195" t="s">
        <v>206</v>
      </c>
      <c r="C5908"/>
      <c r="D5908" s="197" t="s">
        <v>129</v>
      </c>
      <c r="E5908" s="197" t="s">
        <v>263</v>
      </c>
      <c r="F5908" s="197" t="s">
        <v>215</v>
      </c>
      <c r="G5908" s="197" t="s">
        <v>169</v>
      </c>
      <c r="H5908" s="197" t="s">
        <v>848</v>
      </c>
      <c r="I5908" s="209"/>
    </row>
    <row r="5909" spans="1:12">
      <c r="A5909" s="195"/>
      <c r="B5909" s="195" t="s">
        <v>207</v>
      </c>
      <c r="C5909"/>
      <c r="D5909" s="197" t="s">
        <v>129</v>
      </c>
      <c r="E5909" s="197" t="s">
        <v>263</v>
      </c>
      <c r="F5909" s="197" t="s">
        <v>215</v>
      </c>
      <c r="G5909" s="197" t="s">
        <v>169</v>
      </c>
      <c r="H5909" s="197" t="s">
        <v>848</v>
      </c>
      <c r="I5909" s="209"/>
    </row>
    <row r="5910" spans="1:12">
      <c r="A5910" s="195"/>
      <c r="B5910" s="196" t="s">
        <v>217</v>
      </c>
      <c r="C5910"/>
      <c r="D5910" s="197" t="s">
        <v>129</v>
      </c>
      <c r="E5910" s="197" t="s">
        <v>263</v>
      </c>
      <c r="F5910" s="197" t="s">
        <v>51</v>
      </c>
      <c r="G5910" s="197" t="s">
        <v>278</v>
      </c>
      <c r="H5910" s="197" t="s">
        <v>848</v>
      </c>
      <c r="I5910" s="209"/>
    </row>
    <row r="5911" spans="1:12">
      <c r="A5911" s="195"/>
      <c r="B5911" s="195" t="s">
        <v>205</v>
      </c>
      <c r="C5911"/>
      <c r="D5911" s="197" t="s">
        <v>129</v>
      </c>
      <c r="E5911" s="197" t="s">
        <v>848</v>
      </c>
      <c r="F5911" s="197" t="s">
        <v>51</v>
      </c>
      <c r="G5911" s="197" t="s">
        <v>278</v>
      </c>
      <c r="H5911" s="197" t="s">
        <v>848</v>
      </c>
      <c r="I5911" s="209"/>
    </row>
    <row r="5912" spans="1:12">
      <c r="A5912" s="195"/>
      <c r="B5912" s="195" t="s">
        <v>206</v>
      </c>
      <c r="C5912"/>
      <c r="D5912" s="197" t="s">
        <v>129</v>
      </c>
      <c r="E5912" s="197" t="s">
        <v>848</v>
      </c>
      <c r="F5912" s="197" t="s">
        <v>51</v>
      </c>
      <c r="G5912" s="197" t="s">
        <v>278</v>
      </c>
      <c r="H5912" s="197" t="s">
        <v>848</v>
      </c>
      <c r="I5912" s="209"/>
    </row>
    <row r="5913" spans="1:12">
      <c r="A5913" s="195"/>
      <c r="B5913" s="195" t="s">
        <v>207</v>
      </c>
      <c r="C5913"/>
      <c r="D5913" s="197" t="s">
        <v>129</v>
      </c>
      <c r="E5913" s="197" t="s">
        <v>848</v>
      </c>
      <c r="F5913" s="197" t="s">
        <v>51</v>
      </c>
      <c r="G5913" s="197" t="s">
        <v>278</v>
      </c>
      <c r="H5913" s="197" t="s">
        <v>848</v>
      </c>
      <c r="I5913" s="209"/>
    </row>
    <row r="5914" spans="1:12">
      <c r="A5914" s="195"/>
      <c r="B5914" s="196" t="s">
        <v>219</v>
      </c>
      <c r="C5914" s="197"/>
      <c r="D5914" s="197"/>
      <c r="E5914" s="197"/>
      <c r="F5914" s="197"/>
      <c r="G5914" s="197"/>
      <c r="H5914" s="197"/>
      <c r="I5914" s="209"/>
    </row>
    <row r="5915" spans="1:12">
      <c r="A5915" s="195"/>
      <c r="B5915" s="195" t="s">
        <v>205</v>
      </c>
      <c r="C5915"/>
      <c r="D5915" s="197"/>
      <c r="E5915" s="197"/>
      <c r="F5915" s="197"/>
      <c r="G5915" s="197"/>
      <c r="H5915" s="197"/>
      <c r="I5915" s="209"/>
    </row>
    <row r="5916" spans="1:12">
      <c r="A5916" s="195"/>
      <c r="B5916" s="195" t="s">
        <v>206</v>
      </c>
      <c r="C5916"/>
      <c r="D5916" s="197"/>
      <c r="E5916" s="197"/>
      <c r="F5916" s="197"/>
      <c r="G5916" s="197"/>
      <c r="H5916" s="197"/>
      <c r="I5916" s="209"/>
    </row>
    <row r="5917" spans="1:12">
      <c r="A5917" s="195"/>
      <c r="B5917" s="195" t="s">
        <v>207</v>
      </c>
      <c r="C5917"/>
      <c r="D5917" s="197"/>
      <c r="E5917" s="197"/>
      <c r="F5917" s="197"/>
      <c r="G5917" s="197"/>
      <c r="H5917" s="197"/>
      <c r="I5917" s="209"/>
    </row>
    <row r="5918" spans="1:12">
      <c r="A5918" s="195"/>
      <c r="B5918" s="196" t="s">
        <v>220</v>
      </c>
      <c r="C5918"/>
      <c r="D5918" s="197"/>
      <c r="E5918" s="197"/>
      <c r="F5918" s="197"/>
      <c r="G5918" s="197"/>
      <c r="H5918" s="197"/>
      <c r="I5918" s="209"/>
    </row>
    <row r="5919" spans="1:12">
      <c r="A5919" s="195"/>
      <c r="B5919" s="195" t="s">
        <v>205</v>
      </c>
      <c r="C5919"/>
      <c r="D5919" s="197" t="s">
        <v>114</v>
      </c>
      <c r="E5919" s="197" t="s">
        <v>95</v>
      </c>
      <c r="F5919" s="197" t="s">
        <v>252</v>
      </c>
      <c r="G5919" s="197" t="s">
        <v>56</v>
      </c>
      <c r="H5919" s="197" t="s">
        <v>415</v>
      </c>
      <c r="I5919" s="209" t="s">
        <v>62</v>
      </c>
    </row>
    <row r="5920" spans="1:12">
      <c r="A5920" s="195"/>
      <c r="B5920" s="195" t="s">
        <v>206</v>
      </c>
      <c r="C5920"/>
      <c r="D5920" s="197" t="s">
        <v>114</v>
      </c>
      <c r="E5920" s="197" t="s">
        <v>95</v>
      </c>
      <c r="F5920" s="197" t="s">
        <v>252</v>
      </c>
      <c r="G5920" s="197" t="s">
        <v>56</v>
      </c>
      <c r="H5920" s="197" t="s">
        <v>415</v>
      </c>
      <c r="I5920" s="209" t="s">
        <v>62</v>
      </c>
    </row>
    <row r="5921" spans="1:9">
      <c r="A5921" s="195"/>
      <c r="B5921" s="195" t="s">
        <v>207</v>
      </c>
      <c r="C5921"/>
      <c r="D5921" s="197" t="s">
        <v>515</v>
      </c>
      <c r="E5921" s="197" t="s">
        <v>95</v>
      </c>
      <c r="F5921" s="197" t="s">
        <v>252</v>
      </c>
      <c r="G5921" s="197" t="s">
        <v>56</v>
      </c>
      <c r="H5921" s="197" t="s">
        <v>415</v>
      </c>
      <c r="I5921" s="209" t="s">
        <v>62</v>
      </c>
    </row>
    <row r="5922" spans="1:9">
      <c r="A5922" s="195"/>
      <c r="B5922" s="196" t="s">
        <v>222</v>
      </c>
      <c r="C5922"/>
      <c r="D5922" s="197" t="s">
        <v>515</v>
      </c>
      <c r="E5922" s="197" t="s">
        <v>95</v>
      </c>
      <c r="F5922" s="197" t="s">
        <v>252</v>
      </c>
      <c r="G5922" s="197" t="s">
        <v>56</v>
      </c>
      <c r="H5922" s="197" t="s">
        <v>415</v>
      </c>
      <c r="I5922" s="209" t="s">
        <v>62</v>
      </c>
    </row>
    <row r="5923" spans="1:9">
      <c r="A5923" s="195"/>
      <c r="B5923" s="195" t="s">
        <v>205</v>
      </c>
      <c r="C5923"/>
      <c r="D5923" s="197" t="s">
        <v>515</v>
      </c>
      <c r="E5923" s="197" t="s">
        <v>95</v>
      </c>
      <c r="F5923" s="197" t="s">
        <v>252</v>
      </c>
      <c r="G5923" s="197"/>
      <c r="H5923" s="197" t="s">
        <v>415</v>
      </c>
      <c r="I5923" s="209" t="s">
        <v>62</v>
      </c>
    </row>
    <row r="5924" spans="1:9">
      <c r="A5924" s="195"/>
      <c r="B5924" s="195" t="s">
        <v>206</v>
      </c>
      <c r="C5924"/>
      <c r="D5924" s="197" t="s">
        <v>269</v>
      </c>
      <c r="E5924" s="197" t="s">
        <v>95</v>
      </c>
      <c r="F5924" s="197" t="s">
        <v>252</v>
      </c>
      <c r="G5924" s="197" t="s">
        <v>270</v>
      </c>
      <c r="H5924" s="197" t="s">
        <v>415</v>
      </c>
      <c r="I5924" s="209" t="s">
        <v>62</v>
      </c>
    </row>
    <row r="5925" spans="1:9">
      <c r="A5925" s="195"/>
      <c r="B5925" s="195" t="s">
        <v>207</v>
      </c>
      <c r="C5925"/>
      <c r="D5925" s="197" t="s">
        <v>269</v>
      </c>
      <c r="E5925" s="197" t="s">
        <v>95</v>
      </c>
      <c r="F5925" s="197" t="s">
        <v>252</v>
      </c>
      <c r="G5925" s="197" t="s">
        <v>270</v>
      </c>
      <c r="H5925" s="197" t="s">
        <v>95</v>
      </c>
      <c r="I5925" s="209" t="s">
        <v>62</v>
      </c>
    </row>
    <row r="5926" spans="1:9">
      <c r="A5926" s="195"/>
      <c r="B5926" s="196" t="s">
        <v>223</v>
      </c>
      <c r="C5926"/>
      <c r="D5926" s="197" t="s">
        <v>237</v>
      </c>
      <c r="E5926" s="197" t="s">
        <v>95</v>
      </c>
      <c r="F5926" s="197" t="s">
        <v>252</v>
      </c>
      <c r="G5926" s="197" t="s">
        <v>270</v>
      </c>
      <c r="H5926" s="197" t="s">
        <v>95</v>
      </c>
      <c r="I5926" s="209" t="s">
        <v>62</v>
      </c>
    </row>
    <row r="5927" spans="1:9">
      <c r="A5927" s="195"/>
      <c r="B5927" s="195" t="s">
        <v>205</v>
      </c>
      <c r="C5927"/>
      <c r="D5927" s="197" t="s">
        <v>237</v>
      </c>
      <c r="E5927" s="197" t="s">
        <v>252</v>
      </c>
      <c r="F5927" s="197" t="s">
        <v>252</v>
      </c>
      <c r="G5927" s="197" t="s">
        <v>270</v>
      </c>
      <c r="H5927" s="197" t="s">
        <v>1006</v>
      </c>
      <c r="I5927" s="209" t="s">
        <v>62</v>
      </c>
    </row>
    <row r="5928" spans="1:9">
      <c r="A5928" s="195"/>
      <c r="B5928" s="195" t="s">
        <v>206</v>
      </c>
      <c r="C5928"/>
      <c r="D5928" s="197" t="s">
        <v>236</v>
      </c>
      <c r="E5928" s="197" t="s">
        <v>252</v>
      </c>
      <c r="F5928" s="197" t="s">
        <v>252</v>
      </c>
      <c r="G5928" s="197" t="s">
        <v>270</v>
      </c>
      <c r="H5928" s="197" t="s">
        <v>851</v>
      </c>
      <c r="I5928" s="209" t="s">
        <v>62</v>
      </c>
    </row>
    <row r="5929" spans="1:9">
      <c r="A5929" s="195"/>
      <c r="B5929" s="195" t="s">
        <v>207</v>
      </c>
      <c r="C5929"/>
      <c r="D5929" s="197" t="s">
        <v>193</v>
      </c>
      <c r="E5929" s="197" t="s">
        <v>252</v>
      </c>
      <c r="F5929" s="197" t="s">
        <v>252</v>
      </c>
      <c r="G5929" s="197" t="s">
        <v>270</v>
      </c>
      <c r="H5929" s="197" t="s">
        <v>851</v>
      </c>
      <c r="I5929" s="209" t="s">
        <v>62</v>
      </c>
    </row>
    <row r="5930" spans="1:9">
      <c r="A5930" s="195"/>
      <c r="B5930" s="196" t="s">
        <v>225</v>
      </c>
      <c r="C5930"/>
      <c r="D5930" s="197"/>
      <c r="E5930" s="197" t="s">
        <v>252</v>
      </c>
      <c r="F5930" s="197" t="s">
        <v>252</v>
      </c>
      <c r="G5930" s="197" t="s">
        <v>270</v>
      </c>
      <c r="H5930" s="197" t="s">
        <v>851</v>
      </c>
      <c r="I5930" s="209" t="s">
        <v>62</v>
      </c>
    </row>
    <row r="5931" spans="1:9">
      <c r="A5931" s="195"/>
      <c r="B5931" s="195" t="s">
        <v>205</v>
      </c>
      <c r="C5931"/>
      <c r="D5931" s="197"/>
      <c r="E5931" s="197" t="s">
        <v>395</v>
      </c>
      <c r="F5931" s="197" t="s">
        <v>252</v>
      </c>
      <c r="G5931" s="197" t="s">
        <v>270</v>
      </c>
      <c r="H5931" s="197" t="s">
        <v>851</v>
      </c>
      <c r="I5931" s="209" t="s">
        <v>62</v>
      </c>
    </row>
    <row r="5932" spans="1:9">
      <c r="A5932" s="195"/>
      <c r="B5932" s="195" t="s">
        <v>206</v>
      </c>
      <c r="C5932"/>
      <c r="D5932" s="197"/>
      <c r="E5932" s="197"/>
      <c r="F5932" s="197"/>
      <c r="G5932" s="197" t="s">
        <v>270</v>
      </c>
      <c r="H5932" s="197" t="s">
        <v>111</v>
      </c>
      <c r="I5932" s="209"/>
    </row>
    <row r="5933" spans="1:9">
      <c r="A5933" s="195"/>
      <c r="B5933" s="195" t="s">
        <v>207</v>
      </c>
      <c r="C5933"/>
      <c r="D5933" s="197"/>
      <c r="E5933" s="197"/>
      <c r="F5933" s="197"/>
      <c r="G5933" s="197" t="s">
        <v>270</v>
      </c>
      <c r="H5933" s="197" t="s">
        <v>111</v>
      </c>
      <c r="I5933" s="209"/>
    </row>
    <row r="5934" spans="1:9">
      <c r="A5934" s="195"/>
      <c r="B5934" s="196" t="s">
        <v>226</v>
      </c>
      <c r="C5934"/>
      <c r="D5934" s="197"/>
      <c r="E5934" s="197"/>
      <c r="F5934" s="197"/>
      <c r="G5934" s="197"/>
      <c r="H5934" s="197" t="s">
        <v>111</v>
      </c>
      <c r="I5934" s="209"/>
    </row>
    <row r="5935" spans="1:9">
      <c r="A5935" s="195"/>
      <c r="B5935" s="195" t="s">
        <v>205</v>
      </c>
      <c r="C5935"/>
      <c r="D5935" s="197"/>
      <c r="E5935" s="197"/>
      <c r="F5935" s="197"/>
      <c r="G5935" s="197"/>
      <c r="H5935" s="197" t="s">
        <v>111</v>
      </c>
      <c r="I5935" s="209"/>
    </row>
    <row r="5936" spans="1:9">
      <c r="A5936" s="195"/>
      <c r="B5936" s="195" t="s">
        <v>206</v>
      </c>
      <c r="C5936"/>
      <c r="D5936" s="197"/>
      <c r="E5936" s="197"/>
      <c r="F5936" s="197"/>
      <c r="G5936" s="197"/>
      <c r="H5936" s="197"/>
      <c r="I5936" s="209"/>
    </row>
    <row r="5937" spans="1:12">
      <c r="A5937" s="195"/>
      <c r="B5937" s="195" t="s">
        <v>207</v>
      </c>
      <c r="C5937"/>
      <c r="D5937" s="197"/>
      <c r="E5937" s="197"/>
      <c r="F5937" s="197"/>
      <c r="G5937" s="197"/>
      <c r="H5937" s="197"/>
      <c r="I5937" s="209"/>
    </row>
    <row r="5938" spans="1:12">
      <c r="A5938" s="195"/>
      <c r="B5938" s="196" t="s">
        <v>227</v>
      </c>
      <c r="C5938"/>
      <c r="D5938" s="197"/>
      <c r="E5938" s="197"/>
      <c r="F5938" s="197"/>
      <c r="G5938" s="197"/>
      <c r="H5938" s="209"/>
      <c r="I5938" s="209"/>
      <c r="K5938"/>
    </row>
    <row r="5939" spans="1:12" ht="29.25" thickBot="1">
      <c r="A5939" s="182" t="str">
        <f>"回収シフト  第"&amp;ROUNDUP(DAY(B5942)/7,0)  &amp;"  "&amp;TEXT(B5942,"aaaa")</f>
        <v>回収シフト  第1  金曜日</v>
      </c>
      <c r="B5939" s="183"/>
      <c r="C5939" s="183"/>
      <c r="D5939" s="183"/>
      <c r="E5939" s="183"/>
      <c r="F5939" s="183"/>
      <c r="G5939" s="184"/>
      <c r="H5939" s="184"/>
      <c r="I5939" s="184"/>
      <c r="K5939" s="183"/>
      <c r="L5939" s="183"/>
    </row>
    <row r="5940" spans="1:12" ht="15.75" thickBot="1">
      <c r="A5940"/>
      <c r="B5940"/>
      <c r="C5940"/>
      <c r="D5940" s="186" t="s">
        <v>201</v>
      </c>
      <c r="E5940" s="186" t="s">
        <v>202</v>
      </c>
      <c r="F5940" s="186" t="s">
        <v>203</v>
      </c>
      <c r="G5940" s="186" t="s">
        <v>204</v>
      </c>
      <c r="H5940" s="186" t="s">
        <v>267</v>
      </c>
      <c r="I5940" s="217" t="s">
        <v>267</v>
      </c>
      <c r="K5940" s="230" t="s">
        <v>257</v>
      </c>
      <c r="L5940" s="231"/>
    </row>
    <row r="5941" spans="1:12">
      <c r="A5941" s="187"/>
      <c r="B5941" s="188">
        <v>46119</v>
      </c>
      <c r="C5941" s="187"/>
      <c r="D5941" s="189" t="s">
        <v>874</v>
      </c>
      <c r="E5941" s="189" t="s">
        <v>1001</v>
      </c>
      <c r="F5941" s="189" t="s">
        <v>248</v>
      </c>
      <c r="G5941" s="189" t="s">
        <v>864</v>
      </c>
      <c r="H5941" s="189" t="s">
        <v>852</v>
      </c>
      <c r="I5941" s="218" t="s">
        <v>850</v>
      </c>
      <c r="K5941" s="232" t="s">
        <v>258</v>
      </c>
      <c r="L5941" s="190" t="str">
        <f>_xlfn.XLOOKUP($B5942,シフト抽出!$19:$19,シフト抽出!$20:$20,"該当なし",0,1)</f>
        <v>該当なし</v>
      </c>
    </row>
    <row r="5942" spans="1:12" ht="19.5" thickBot="1">
      <c r="A5942"/>
      <c r="B5942" s="191">
        <f>B5889+1</f>
        <v>46241</v>
      </c>
      <c r="C5942" s="192"/>
      <c r="D5942" s="193"/>
      <c r="E5942" s="193"/>
      <c r="F5942" s="193"/>
      <c r="G5942" s="193"/>
      <c r="H5942" s="193"/>
      <c r="I5942" s="219"/>
      <c r="K5942" s="233"/>
      <c r="L5942" s="194" t="str">
        <f>_xlfn.XLOOKUP($B5942,シフト抽出!$19:$19,シフト抽出!$21:$21,"該当なし",0,1)</f>
        <v>該当なし</v>
      </c>
    </row>
    <row r="5943" spans="1:12">
      <c r="A5943" s="195"/>
      <c r="B5943" s="196">
        <v>0.25</v>
      </c>
      <c r="C5943"/>
      <c r="D5943" s="197"/>
      <c r="E5943" s="196"/>
      <c r="F5943" s="197"/>
      <c r="G5943" s="197"/>
      <c r="H5943" s="197"/>
      <c r="I5943" s="209"/>
      <c r="K5943" s="234" t="s">
        <v>259</v>
      </c>
      <c r="L5943" s="198" t="str">
        <f>_xlfn.XLOOKUP($B5942,シフト抽出!$19:$19,シフト抽出!$23:$23,"該当なし",0,1)</f>
        <v>該当なし</v>
      </c>
    </row>
    <row r="5944" spans="1:12" ht="15.75" thickBot="1">
      <c r="A5944" s="195"/>
      <c r="B5944" s="195" t="s">
        <v>205</v>
      </c>
      <c r="C5944"/>
      <c r="D5944" s="197"/>
      <c r="E5944" s="197" t="s">
        <v>4</v>
      </c>
      <c r="F5944" s="197"/>
      <c r="G5944" s="197"/>
      <c r="H5944" s="197"/>
      <c r="I5944" s="209"/>
      <c r="K5944" s="235"/>
      <c r="L5944" s="199" t="str">
        <f>_xlfn.XLOOKUP($B5942,シフト抽出!$19:$19,シフト抽出!$24:$24,"該当なし",0,1)</f>
        <v>該当なし</v>
      </c>
    </row>
    <row r="5945" spans="1:12">
      <c r="A5945" s="195"/>
      <c r="B5945" s="195" t="s">
        <v>206</v>
      </c>
      <c r="C5945"/>
      <c r="D5945" s="197"/>
      <c r="E5945" s="197"/>
      <c r="F5945" s="197" t="s">
        <v>238</v>
      </c>
      <c r="G5945" s="197"/>
      <c r="H5945" s="197"/>
      <c r="I5945" s="197"/>
      <c r="J5945" s="197" t="s">
        <v>238</v>
      </c>
      <c r="K5945" s="224" t="s">
        <v>260</v>
      </c>
      <c r="L5945" s="200" t="str">
        <f>_xlfn.XLOOKUP($B5942,シフト抽出!$19:$19,シフト抽出!$26:$26,"該当なし",0,1)</f>
        <v>該当なし</v>
      </c>
    </row>
    <row r="5946" spans="1:12">
      <c r="A5946" s="195"/>
      <c r="B5946" s="195" t="s">
        <v>207</v>
      </c>
      <c r="C5946"/>
      <c r="D5946" s="197"/>
      <c r="E5946" s="197"/>
      <c r="F5946" s="197" t="s">
        <v>238</v>
      </c>
      <c r="G5946" s="197"/>
      <c r="H5946" s="197"/>
      <c r="I5946" s="197"/>
      <c r="J5946" s="197" t="s">
        <v>238</v>
      </c>
      <c r="K5946" s="225"/>
      <c r="L5946" s="201" t="str">
        <f>_xlfn.XLOOKUP($B5942,シフト抽出!$19:$19,シフト抽出!$27:$27,"該当なし",0,1)</f>
        <v>該当なし</v>
      </c>
    </row>
    <row r="5947" spans="1:12">
      <c r="A5947" s="195"/>
      <c r="B5947" s="202" t="s">
        <v>208</v>
      </c>
      <c r="C5947"/>
      <c r="D5947" s="197" t="s">
        <v>851</v>
      </c>
      <c r="E5947" s="197" t="s">
        <v>420</v>
      </c>
      <c r="F5947" s="197" t="s">
        <v>238</v>
      </c>
      <c r="G5947" s="197" t="s">
        <v>22</v>
      </c>
      <c r="H5947" s="197"/>
      <c r="I5947" s="209" t="s">
        <v>788</v>
      </c>
      <c r="J5947" s="197" t="s">
        <v>238</v>
      </c>
      <c r="K5947" s="225"/>
      <c r="L5947" s="201" t="str">
        <f>_xlfn.XLOOKUP($B5942,シフト抽出!$19:$19,シフト抽出!$28:$28,"該当なし",0,1)</f>
        <v>該当なし</v>
      </c>
    </row>
    <row r="5948" spans="1:12" ht="15.75" thickBot="1">
      <c r="A5948" s="195"/>
      <c r="B5948" s="195" t="s">
        <v>205</v>
      </c>
      <c r="C5948"/>
      <c r="D5948" s="197" t="s">
        <v>851</v>
      </c>
      <c r="E5948" s="197" t="s">
        <v>420</v>
      </c>
      <c r="F5948" s="197" t="s">
        <v>238</v>
      </c>
      <c r="G5948" s="197" t="s">
        <v>22</v>
      </c>
      <c r="H5948" s="197"/>
      <c r="I5948" s="209" t="s">
        <v>989</v>
      </c>
      <c r="J5948" s="197" t="s">
        <v>238</v>
      </c>
      <c r="K5948" s="226"/>
      <c r="L5948" s="204" t="str">
        <f>_xlfn.XLOOKUP($B5942,シフト抽出!$19:$19,シフト抽出!$29:$29,"該当なし",0,1)</f>
        <v>該当なし</v>
      </c>
    </row>
    <row r="5949" spans="1:12" ht="15.75" thickBot="1">
      <c r="A5949" s="195"/>
      <c r="B5949" s="195" t="s">
        <v>206</v>
      </c>
      <c r="C5949"/>
      <c r="D5949" s="197" t="s">
        <v>851</v>
      </c>
      <c r="E5949" s="197" t="s">
        <v>420</v>
      </c>
      <c r="F5949" s="197" t="s">
        <v>238</v>
      </c>
      <c r="G5949" s="197" t="s">
        <v>22</v>
      </c>
      <c r="H5949" s="197"/>
      <c r="I5949" s="209" t="s">
        <v>416</v>
      </c>
      <c r="K5949" s="205" t="s">
        <v>261</v>
      </c>
      <c r="L5949" s="205">
        <f>_xlfn.XLOOKUP($B5942,予定表!B:B,予定表!R:R,"該当なし",0,1)</f>
        <v>0</v>
      </c>
    </row>
    <row r="5950" spans="1:12">
      <c r="A5950" s="195"/>
      <c r="B5950" s="195" t="s">
        <v>207</v>
      </c>
      <c r="C5950"/>
      <c r="D5950" s="197" t="s">
        <v>851</v>
      </c>
      <c r="E5950" s="197" t="s">
        <v>420</v>
      </c>
      <c r="F5950" s="197" t="s">
        <v>238</v>
      </c>
      <c r="G5950" s="197" t="s">
        <v>788</v>
      </c>
      <c r="H5950" s="189"/>
      <c r="I5950" s="209" t="s">
        <v>999</v>
      </c>
      <c r="K5950" s="227" t="s">
        <v>262</v>
      </c>
      <c r="L5950" s="206" t="str">
        <f>_xlfn.XLOOKUP($B5942,予定表!$B:$B,予定表!E:E,"該当なし",0,1)</f>
        <v>ジャクソン</v>
      </c>
    </row>
    <row r="5951" spans="1:12">
      <c r="A5951" s="195"/>
      <c r="B5951" s="196" t="s">
        <v>209</v>
      </c>
      <c r="C5951"/>
      <c r="D5951" s="197" t="s">
        <v>851</v>
      </c>
      <c r="E5951" s="197" t="s">
        <v>420</v>
      </c>
      <c r="F5951" s="197"/>
      <c r="G5951" s="197" t="s">
        <v>788</v>
      </c>
      <c r="H5951" s="197" t="s">
        <v>4</v>
      </c>
      <c r="I5951" s="209" t="s">
        <v>416</v>
      </c>
      <c r="K5951" s="228"/>
      <c r="L5951" s="207" t="str">
        <f>_xlfn.XLOOKUP($B5942,予定表!$B:$B,予定表!F:F,"該当なし",0,1)</f>
        <v>IWD(㈱大勝)</v>
      </c>
    </row>
    <row r="5952" spans="1:12">
      <c r="A5952" s="195"/>
      <c r="B5952" s="195" t="s">
        <v>205</v>
      </c>
      <c r="C5952"/>
      <c r="D5952" s="197" t="s">
        <v>851</v>
      </c>
      <c r="E5952" s="197" t="s">
        <v>420</v>
      </c>
      <c r="F5952" s="197" t="s">
        <v>264</v>
      </c>
      <c r="G5952" s="197" t="s">
        <v>268</v>
      </c>
      <c r="H5952" s="197" t="s">
        <v>60</v>
      </c>
      <c r="I5952" s="209" t="s">
        <v>416</v>
      </c>
      <c r="K5952" s="228"/>
      <c r="L5952" s="207" t="str">
        <f>_xlfn.XLOOKUP($B5942,予定表!$B:$B,予定表!G:G,"該当なし",0,1)</f>
        <v>ディーミング</v>
      </c>
    </row>
    <row r="5953" spans="1:12">
      <c r="A5953" s="195"/>
      <c r="B5953" s="195" t="s">
        <v>206</v>
      </c>
      <c r="C5953"/>
      <c r="D5953" s="197" t="s">
        <v>353</v>
      </c>
      <c r="E5953" s="197" t="s">
        <v>414</v>
      </c>
      <c r="F5953" s="197" t="s">
        <v>88</v>
      </c>
      <c r="G5953" s="197" t="s">
        <v>268</v>
      </c>
      <c r="H5953" s="197" t="s">
        <v>60</v>
      </c>
      <c r="I5953" s="209" t="s">
        <v>416</v>
      </c>
      <c r="K5953" s="228"/>
      <c r="L5953" s="207" t="str">
        <f>_xlfn.XLOOKUP($B5942,予定表!$B:$B,予定表!H:H,"該当なし",0,1)</f>
        <v>'資さん 平塚</v>
      </c>
    </row>
    <row r="5954" spans="1:12">
      <c r="A5954" s="195"/>
      <c r="B5954" s="195" t="s">
        <v>207</v>
      </c>
      <c r="C5954"/>
      <c r="D5954" s="197" t="s">
        <v>353</v>
      </c>
      <c r="E5954" s="197" t="s">
        <v>414</v>
      </c>
      <c r="F5954" s="197" t="s">
        <v>280</v>
      </c>
      <c r="G5954" s="197" t="s">
        <v>268</v>
      </c>
      <c r="H5954" s="197" t="s">
        <v>60</v>
      </c>
      <c r="I5954" s="209" t="s">
        <v>416</v>
      </c>
      <c r="K5954" s="228"/>
      <c r="L5954" s="207" t="str">
        <f>_xlfn.XLOOKUP($B5942,予定表!$B:$B,予定表!I:I,"該当なし",0,1)</f>
        <v>カインズAM8</v>
      </c>
    </row>
    <row r="5955" spans="1:12">
      <c r="A5955" s="195"/>
      <c r="B5955" s="196" t="s">
        <v>212</v>
      </c>
      <c r="C5955"/>
      <c r="D5955" s="197"/>
      <c r="E5955" s="197" t="s">
        <v>414</v>
      </c>
      <c r="F5955" s="197" t="s">
        <v>395</v>
      </c>
      <c r="G5955" s="197" t="s">
        <v>268</v>
      </c>
      <c r="H5955" s="197"/>
      <c r="I5955" s="209" t="s">
        <v>416</v>
      </c>
      <c r="K5955" s="228"/>
      <c r="L5955" s="207" t="str">
        <f>_xlfn.XLOOKUP($B5942,予定表!$B:$B,予定表!J:J,"該当なし",0,1)</f>
        <v>IWD(南海辰村建設)</v>
      </c>
    </row>
    <row r="5956" spans="1:12">
      <c r="A5956" s="195"/>
      <c r="B5956" s="195" t="s">
        <v>205</v>
      </c>
      <c r="C5956"/>
      <c r="D5956" s="197" t="s">
        <v>239</v>
      </c>
      <c r="E5956" s="197" t="s">
        <v>414</v>
      </c>
      <c r="F5956" s="197" t="s">
        <v>395</v>
      </c>
      <c r="G5956" s="197" t="s">
        <v>268</v>
      </c>
      <c r="H5956" s="197" t="s">
        <v>848</v>
      </c>
      <c r="I5956" s="209" t="s">
        <v>416</v>
      </c>
      <c r="K5956" s="228"/>
      <c r="L5956" s="207">
        <f>_xlfn.XLOOKUP($B5942,予定表!$B:$B,予定表!K:K,"該当なし",0,1)</f>
        <v>0</v>
      </c>
    </row>
    <row r="5957" spans="1:12">
      <c r="A5957" s="195"/>
      <c r="B5957" s="195" t="s">
        <v>206</v>
      </c>
      <c r="C5957"/>
      <c r="D5957" s="197" t="s">
        <v>239</v>
      </c>
      <c r="E5957" s="197" t="s">
        <v>854</v>
      </c>
      <c r="F5957" s="197" t="s">
        <v>395</v>
      </c>
      <c r="G5957" s="197" t="s">
        <v>515</v>
      </c>
      <c r="H5957" s="197" t="s">
        <v>848</v>
      </c>
      <c r="I5957" s="209" t="s">
        <v>416</v>
      </c>
      <c r="K5957" s="228"/>
      <c r="L5957" s="207">
        <f>_xlfn.XLOOKUP($B5942,予定表!$B:$B,予定表!L:L,"該当なし",0,1)</f>
        <v>0</v>
      </c>
    </row>
    <row r="5958" spans="1:12" ht="15.75" thickBot="1">
      <c r="A5958" s="195"/>
      <c r="B5958" s="195" t="s">
        <v>207</v>
      </c>
      <c r="C5958"/>
      <c r="D5958" s="197" t="s">
        <v>240</v>
      </c>
      <c r="E5958" s="197" t="s">
        <v>854</v>
      </c>
      <c r="F5958" s="197" t="s">
        <v>395</v>
      </c>
      <c r="G5958" s="197" t="s">
        <v>515</v>
      </c>
      <c r="H5958" s="197" t="s">
        <v>848</v>
      </c>
      <c r="I5958" s="209" t="s">
        <v>416</v>
      </c>
      <c r="K5958" s="229"/>
      <c r="L5958" s="204" t="str">
        <f>_xlfn.XLOOKUP($A5939,ﾘｽﾄマスタ!$U$8:$U$17,ﾘｽﾄマスタ!$V$8:$V$17,"",0)</f>
        <v/>
      </c>
    </row>
    <row r="5959" spans="1:12" ht="15.75" thickBot="1">
      <c r="A5959" s="195"/>
      <c r="B5959" s="196" t="s">
        <v>251</v>
      </c>
      <c r="C5959"/>
      <c r="D5959" s="197" t="s">
        <v>425</v>
      </c>
      <c r="E5959" s="197" t="s">
        <v>854</v>
      </c>
      <c r="F5959" s="197" t="s">
        <v>395</v>
      </c>
      <c r="G5959" s="197" t="s">
        <v>515</v>
      </c>
      <c r="H5959" s="197" t="s">
        <v>848</v>
      </c>
      <c r="I5959" s="209" t="s">
        <v>416</v>
      </c>
      <c r="K5959" s="208" t="s">
        <v>277</v>
      </c>
      <c r="L5959" s="208" t="str">
        <f>_xlfn.XLOOKUP($B5942,シフト抽出!$19:$19,シフト抽出!$30:$30,"該当なし",0,1)</f>
        <v>該当なし</v>
      </c>
    </row>
    <row r="5960" spans="1:12">
      <c r="A5960" s="195"/>
      <c r="B5960" s="195" t="s">
        <v>205</v>
      </c>
      <c r="C5960"/>
      <c r="D5960" s="197" t="s">
        <v>761</v>
      </c>
      <c r="E5960" s="197" t="s">
        <v>854</v>
      </c>
      <c r="F5960" s="197" t="s">
        <v>252</v>
      </c>
      <c r="G5960" s="197" t="s">
        <v>269</v>
      </c>
      <c r="H5960" s="197" t="s">
        <v>848</v>
      </c>
      <c r="I5960" s="209" t="s">
        <v>423</v>
      </c>
    </row>
    <row r="5961" spans="1:12">
      <c r="A5961" s="195"/>
      <c r="B5961" s="195" t="s">
        <v>206</v>
      </c>
      <c r="C5961"/>
      <c r="D5961" s="197" t="s">
        <v>761</v>
      </c>
      <c r="E5961" s="197" t="s">
        <v>216</v>
      </c>
      <c r="F5961" s="197" t="s">
        <v>252</v>
      </c>
      <c r="G5961" s="197" t="s">
        <v>269</v>
      </c>
      <c r="H5961" s="197" t="s">
        <v>848</v>
      </c>
      <c r="I5961" s="209" t="s">
        <v>423</v>
      </c>
    </row>
    <row r="5962" spans="1:12">
      <c r="A5962" s="195"/>
      <c r="B5962" s="195" t="s">
        <v>207</v>
      </c>
      <c r="C5962"/>
      <c r="D5962" s="197" t="s">
        <v>761</v>
      </c>
      <c r="E5962" s="197" t="s">
        <v>216</v>
      </c>
      <c r="F5962" s="197" t="s">
        <v>252</v>
      </c>
      <c r="G5962" s="197" t="s">
        <v>446</v>
      </c>
      <c r="H5962" s="197" t="s">
        <v>848</v>
      </c>
      <c r="I5962" s="209" t="s">
        <v>588</v>
      </c>
    </row>
    <row r="5963" spans="1:12">
      <c r="A5963" s="195"/>
      <c r="B5963" s="196" t="s">
        <v>217</v>
      </c>
      <c r="C5963"/>
      <c r="D5963" s="197" t="s">
        <v>761</v>
      </c>
      <c r="E5963" s="197" t="s">
        <v>216</v>
      </c>
      <c r="F5963" s="197" t="s">
        <v>252</v>
      </c>
      <c r="G5963" s="197" t="s">
        <v>446</v>
      </c>
      <c r="H5963" s="197" t="s">
        <v>848</v>
      </c>
      <c r="I5963" s="209" t="s">
        <v>588</v>
      </c>
    </row>
    <row r="5964" spans="1:12">
      <c r="A5964" s="195"/>
      <c r="B5964" s="195" t="s">
        <v>205</v>
      </c>
      <c r="C5964"/>
      <c r="D5964" s="197" t="s">
        <v>51</v>
      </c>
      <c r="E5964" s="197" t="s">
        <v>216</v>
      </c>
      <c r="F5964" s="197" t="s">
        <v>252</v>
      </c>
      <c r="G5964" s="197" t="s">
        <v>114</v>
      </c>
      <c r="H5964" s="197" t="s">
        <v>848</v>
      </c>
      <c r="I5964" s="209" t="s">
        <v>127</v>
      </c>
    </row>
    <row r="5965" spans="1:12">
      <c r="A5965" s="195"/>
      <c r="B5965" s="195" t="s">
        <v>206</v>
      </c>
      <c r="C5965"/>
      <c r="D5965" s="197" t="s">
        <v>51</v>
      </c>
      <c r="E5965" s="197" t="s">
        <v>216</v>
      </c>
      <c r="F5965" s="197" t="s">
        <v>252</v>
      </c>
      <c r="G5965" s="197" t="s">
        <v>114</v>
      </c>
      <c r="H5965" s="197" t="s">
        <v>848</v>
      </c>
      <c r="I5965" s="209"/>
    </row>
    <row r="5966" spans="1:12">
      <c r="A5966" s="195"/>
      <c r="B5966" s="195" t="s">
        <v>207</v>
      </c>
      <c r="C5966"/>
      <c r="D5966" s="197" t="s">
        <v>51</v>
      </c>
      <c r="E5966" s="197" t="s">
        <v>216</v>
      </c>
      <c r="F5966" s="197" t="s">
        <v>252</v>
      </c>
      <c r="G5966" s="197" t="s">
        <v>114</v>
      </c>
      <c r="H5966" s="197" t="s">
        <v>848</v>
      </c>
      <c r="I5966" s="209"/>
    </row>
    <row r="5967" spans="1:12">
      <c r="A5967" s="195"/>
      <c r="B5967" s="196" t="s">
        <v>219</v>
      </c>
      <c r="C5967"/>
      <c r="D5967" s="197"/>
      <c r="E5967" s="197"/>
      <c r="F5967" s="197"/>
      <c r="G5967" s="197"/>
      <c r="H5967" s="197"/>
      <c r="I5967" s="209"/>
    </row>
    <row r="5968" spans="1:12">
      <c r="A5968" s="195"/>
      <c r="B5968" s="195" t="s">
        <v>205</v>
      </c>
      <c r="C5968"/>
      <c r="D5968" s="197"/>
      <c r="E5968" s="197"/>
      <c r="F5968" s="197"/>
      <c r="G5968" s="197"/>
      <c r="H5968" s="197"/>
      <c r="I5968" s="209"/>
    </row>
    <row r="5969" spans="1:9">
      <c r="A5969" s="195"/>
      <c r="B5969" s="195" t="s">
        <v>206</v>
      </c>
      <c r="C5969"/>
      <c r="D5969" s="197"/>
      <c r="E5969" s="197"/>
      <c r="F5969" s="197"/>
      <c r="G5969" s="197"/>
      <c r="H5969" s="197"/>
      <c r="I5969" s="209"/>
    </row>
    <row r="5970" spans="1:9">
      <c r="A5970" s="195"/>
      <c r="B5970" s="195" t="s">
        <v>207</v>
      </c>
      <c r="C5970"/>
      <c r="D5970" s="197"/>
      <c r="E5970" s="197"/>
      <c r="F5970" s="197"/>
      <c r="G5970" s="197"/>
      <c r="H5970" s="197"/>
      <c r="I5970" s="209"/>
    </row>
    <row r="5971" spans="1:9">
      <c r="A5971" s="195"/>
      <c r="B5971" s="196" t="s">
        <v>220</v>
      </c>
      <c r="C5971"/>
      <c r="D5971" s="189" t="s">
        <v>874</v>
      </c>
      <c r="E5971" s="189" t="s">
        <v>937</v>
      </c>
      <c r="F5971" s="189" t="s">
        <v>1032</v>
      </c>
      <c r="G5971" s="197"/>
      <c r="H5971" s="197" t="s">
        <v>231</v>
      </c>
      <c r="I5971" s="189" t="s">
        <v>1017</v>
      </c>
    </row>
    <row r="5972" spans="1:9">
      <c r="A5972" s="195"/>
      <c r="B5972" s="195" t="s">
        <v>205</v>
      </c>
      <c r="C5972"/>
      <c r="D5972" s="197" t="s">
        <v>224</v>
      </c>
      <c r="E5972" s="197" t="s">
        <v>273</v>
      </c>
      <c r="F5972" s="197" t="s">
        <v>759</v>
      </c>
      <c r="G5972" s="197" t="s">
        <v>56</v>
      </c>
      <c r="H5972" s="197" t="s">
        <v>231</v>
      </c>
      <c r="I5972" s="209" t="s">
        <v>851</v>
      </c>
    </row>
    <row r="5973" spans="1:9">
      <c r="A5973" s="195"/>
      <c r="B5973" s="195" t="s">
        <v>206</v>
      </c>
      <c r="C5973"/>
      <c r="D5973" s="197" t="s">
        <v>224</v>
      </c>
      <c r="E5973" s="197" t="s">
        <v>273</v>
      </c>
      <c r="F5973" s="197" t="s">
        <v>759</v>
      </c>
      <c r="G5973" s="197" t="s">
        <v>56</v>
      </c>
      <c r="H5973" s="197" t="s">
        <v>211</v>
      </c>
      <c r="I5973" s="209" t="s">
        <v>851</v>
      </c>
    </row>
    <row r="5974" spans="1:9">
      <c r="A5974" s="195"/>
      <c r="B5974" s="195" t="s">
        <v>207</v>
      </c>
      <c r="C5974"/>
      <c r="D5974" s="197" t="s">
        <v>224</v>
      </c>
      <c r="E5974" s="197" t="s">
        <v>266</v>
      </c>
      <c r="F5974" s="197" t="s">
        <v>759</v>
      </c>
      <c r="G5974" s="197" t="s">
        <v>56</v>
      </c>
      <c r="H5974" s="197" t="s">
        <v>211</v>
      </c>
      <c r="I5974" s="209" t="s">
        <v>851</v>
      </c>
    </row>
    <row r="5975" spans="1:9">
      <c r="A5975" s="195"/>
      <c r="B5975" s="196" t="s">
        <v>222</v>
      </c>
      <c r="C5975"/>
      <c r="D5975" s="197" t="s">
        <v>416</v>
      </c>
      <c r="E5975" s="197" t="s">
        <v>266</v>
      </c>
      <c r="F5975" s="197" t="s">
        <v>416</v>
      </c>
      <c r="G5975" s="197" t="s">
        <v>56</v>
      </c>
      <c r="H5975" s="197"/>
      <c r="I5975" s="209" t="s">
        <v>851</v>
      </c>
    </row>
    <row r="5976" spans="1:9">
      <c r="A5976" s="195"/>
      <c r="B5976" s="195" t="s">
        <v>205</v>
      </c>
      <c r="C5976"/>
      <c r="D5976" s="197" t="s">
        <v>771</v>
      </c>
      <c r="E5976" s="197" t="s">
        <v>252</v>
      </c>
      <c r="F5976" s="197" t="s">
        <v>416</v>
      </c>
      <c r="G5976" s="197"/>
      <c r="H5976" s="197" t="s">
        <v>856</v>
      </c>
      <c r="I5976" s="209" t="s">
        <v>851</v>
      </c>
    </row>
    <row r="5977" spans="1:9">
      <c r="A5977" s="195"/>
      <c r="B5977" s="195" t="s">
        <v>206</v>
      </c>
      <c r="C5977"/>
      <c r="D5977" s="197" t="s">
        <v>416</v>
      </c>
      <c r="E5977" s="197" t="s">
        <v>252</v>
      </c>
      <c r="F5977" s="197" t="s">
        <v>954</v>
      </c>
      <c r="G5977" s="197" t="s">
        <v>270</v>
      </c>
      <c r="H5977" s="197" t="s">
        <v>856</v>
      </c>
      <c r="I5977" s="209" t="s">
        <v>851</v>
      </c>
    </row>
    <row r="5978" spans="1:9">
      <c r="A5978" s="195"/>
      <c r="B5978" s="195" t="s">
        <v>207</v>
      </c>
      <c r="C5978"/>
      <c r="D5978" s="197" t="s">
        <v>416</v>
      </c>
      <c r="E5978" s="197" t="s">
        <v>252</v>
      </c>
      <c r="F5978" s="197" t="s">
        <v>416</v>
      </c>
      <c r="G5978" s="197" t="s">
        <v>270</v>
      </c>
      <c r="H5978" s="197" t="s">
        <v>856</v>
      </c>
      <c r="I5978" s="209" t="s">
        <v>851</v>
      </c>
    </row>
    <row r="5979" spans="1:9">
      <c r="A5979" s="195"/>
      <c r="B5979" s="196" t="s">
        <v>223</v>
      </c>
      <c r="C5979"/>
      <c r="D5979" s="197" t="s">
        <v>214</v>
      </c>
      <c r="E5979" s="197" t="s">
        <v>252</v>
      </c>
      <c r="F5979" s="197" t="s">
        <v>951</v>
      </c>
      <c r="G5979" s="197" t="s">
        <v>270</v>
      </c>
      <c r="H5979" s="197" t="s">
        <v>856</v>
      </c>
      <c r="I5979" s="209" t="s">
        <v>851</v>
      </c>
    </row>
    <row r="5980" spans="1:9">
      <c r="A5980" s="195"/>
      <c r="B5980" s="195" t="s">
        <v>205</v>
      </c>
      <c r="C5980"/>
      <c r="D5980" s="197" t="s">
        <v>214</v>
      </c>
      <c r="E5980" s="197" t="s">
        <v>252</v>
      </c>
      <c r="F5980" s="197" t="s">
        <v>416</v>
      </c>
      <c r="G5980" s="197" t="s">
        <v>270</v>
      </c>
      <c r="H5980" s="197" t="s">
        <v>856</v>
      </c>
      <c r="I5980" s="209" t="s">
        <v>851</v>
      </c>
    </row>
    <row r="5981" spans="1:9">
      <c r="A5981" s="195"/>
      <c r="B5981" s="195" t="s">
        <v>206</v>
      </c>
      <c r="C5981"/>
      <c r="D5981" s="197" t="s">
        <v>214</v>
      </c>
      <c r="E5981" s="197" t="s">
        <v>395</v>
      </c>
      <c r="F5981" s="197"/>
      <c r="G5981" s="197" t="s">
        <v>270</v>
      </c>
      <c r="H5981" s="197" t="s">
        <v>856</v>
      </c>
      <c r="I5981" s="209" t="s">
        <v>851</v>
      </c>
    </row>
    <row r="5982" spans="1:9">
      <c r="A5982" s="195"/>
      <c r="B5982" s="195" t="s">
        <v>207</v>
      </c>
      <c r="C5982"/>
      <c r="D5982" s="197" t="s">
        <v>214</v>
      </c>
      <c r="E5982" s="197" t="s">
        <v>395</v>
      </c>
      <c r="F5982" s="197"/>
      <c r="G5982" s="197" t="s">
        <v>270</v>
      </c>
      <c r="H5982" s="197" t="s">
        <v>856</v>
      </c>
      <c r="I5982" s="209" t="s">
        <v>851</v>
      </c>
    </row>
    <row r="5983" spans="1:9">
      <c r="A5983" s="195"/>
      <c r="B5983" s="196" t="s">
        <v>225</v>
      </c>
      <c r="C5983"/>
      <c r="D5983" s="197" t="s">
        <v>214</v>
      </c>
      <c r="E5983" s="197" t="s">
        <v>395</v>
      </c>
      <c r="F5983" s="197"/>
      <c r="G5983" s="197" t="s">
        <v>270</v>
      </c>
      <c r="H5983" s="197" t="s">
        <v>415</v>
      </c>
      <c r="I5983" s="209" t="s">
        <v>851</v>
      </c>
    </row>
    <row r="5984" spans="1:9">
      <c r="A5984" s="195"/>
      <c r="B5984" s="195" t="s">
        <v>205</v>
      </c>
      <c r="C5984"/>
      <c r="D5984" s="197" t="s">
        <v>214</v>
      </c>
      <c r="E5984" s="197" t="s">
        <v>395</v>
      </c>
      <c r="F5984" s="197"/>
      <c r="G5984" s="197" t="s">
        <v>270</v>
      </c>
      <c r="H5984" s="209" t="s">
        <v>415</v>
      </c>
      <c r="I5984" s="209" t="s">
        <v>851</v>
      </c>
    </row>
    <row r="5985" spans="1:12">
      <c r="A5985" s="195"/>
      <c r="B5985" s="195" t="s">
        <v>206</v>
      </c>
      <c r="C5985"/>
      <c r="D5985" s="197"/>
      <c r="E5985" s="197" t="s">
        <v>395</v>
      </c>
      <c r="F5985" s="197"/>
      <c r="G5985" s="197" t="s">
        <v>270</v>
      </c>
      <c r="H5985" s="209" t="s">
        <v>415</v>
      </c>
      <c r="I5985" s="209" t="s">
        <v>851</v>
      </c>
    </row>
    <row r="5986" spans="1:12">
      <c r="A5986" s="195"/>
      <c r="B5986" s="195" t="s">
        <v>207</v>
      </c>
      <c r="C5986"/>
      <c r="D5986" s="197"/>
      <c r="E5986" s="197" t="s">
        <v>395</v>
      </c>
      <c r="F5986" s="197"/>
      <c r="G5986" s="197" t="s">
        <v>270</v>
      </c>
      <c r="H5986" s="209" t="s">
        <v>415</v>
      </c>
      <c r="I5986" s="209" t="s">
        <v>851</v>
      </c>
    </row>
    <row r="5987" spans="1:12">
      <c r="A5987" s="195"/>
      <c r="B5987" s="196" t="s">
        <v>226</v>
      </c>
      <c r="C5987"/>
      <c r="D5987" s="197"/>
      <c r="E5987" s="197"/>
      <c r="F5987" s="197"/>
      <c r="G5987" s="197" t="s">
        <v>270</v>
      </c>
      <c r="H5987" s="209"/>
      <c r="I5987" s="209"/>
    </row>
    <row r="5988" spans="1:12">
      <c r="A5988" s="195"/>
      <c r="B5988" s="195" t="s">
        <v>205</v>
      </c>
      <c r="C5988"/>
      <c r="D5988" s="197"/>
      <c r="E5988" s="197"/>
      <c r="F5988" s="197"/>
      <c r="G5988" s="197" t="s">
        <v>270</v>
      </c>
      <c r="H5988" s="209"/>
      <c r="I5988" s="209"/>
    </row>
    <row r="5989" spans="1:12">
      <c r="A5989" s="195"/>
      <c r="B5989" s="195" t="s">
        <v>206</v>
      </c>
      <c r="C5989"/>
      <c r="D5989" s="197"/>
      <c r="E5989" s="197"/>
      <c r="F5989" s="197"/>
      <c r="G5989" s="197" t="s">
        <v>270</v>
      </c>
      <c r="H5989" s="209"/>
      <c r="I5989" s="209"/>
    </row>
    <row r="5990" spans="1:12">
      <c r="A5990" s="195"/>
      <c r="B5990" s="195" t="s">
        <v>207</v>
      </c>
      <c r="C5990"/>
      <c r="D5990" s="197"/>
      <c r="E5990" s="197"/>
      <c r="F5990" s="197"/>
      <c r="G5990" s="197" t="s">
        <v>270</v>
      </c>
      <c r="H5990" s="209"/>
      <c r="I5990" s="209"/>
    </row>
    <row r="5991" spans="1:12">
      <c r="A5991" s="195"/>
      <c r="B5991" s="196" t="s">
        <v>227</v>
      </c>
      <c r="C5991"/>
      <c r="D5991" s="197"/>
      <c r="E5991" s="197"/>
      <c r="F5991" s="197"/>
      <c r="G5991" s="197"/>
      <c r="H5991" s="209"/>
      <c r="I5991" s="209"/>
      <c r="K5991"/>
    </row>
    <row r="5992" spans="1:12" ht="29.25" thickBot="1">
      <c r="A5992" s="182" t="str">
        <f>"回収シフト  第"&amp;ROUNDUP(DAY(B5995)/7,0)  &amp;"  "&amp;TEXT(B5995,"aaaa")</f>
        <v>回収シフト  第2  土曜日</v>
      </c>
      <c r="B5992" s="183"/>
      <c r="C5992" s="183"/>
      <c r="D5992" s="183"/>
      <c r="E5992" s="183"/>
      <c r="F5992" s="183"/>
      <c r="G5992" s="184"/>
      <c r="H5992" s="184"/>
      <c r="I5992" s="184"/>
      <c r="K5992" s="183"/>
      <c r="L5992" s="183"/>
    </row>
    <row r="5993" spans="1:12" ht="15.75" thickBot="1">
      <c r="A5993"/>
      <c r="B5993"/>
      <c r="C5993"/>
      <c r="D5993" s="186" t="s">
        <v>201</v>
      </c>
      <c r="E5993" s="186" t="s">
        <v>202</v>
      </c>
      <c r="F5993" s="186" t="s">
        <v>203</v>
      </c>
      <c r="G5993" s="186" t="s">
        <v>204</v>
      </c>
      <c r="H5993" s="186" t="s">
        <v>267</v>
      </c>
      <c r="I5993" s="186" t="s">
        <v>267</v>
      </c>
      <c r="K5993" s="230" t="s">
        <v>257</v>
      </c>
      <c r="L5993" s="231"/>
    </row>
    <row r="5994" spans="1:12">
      <c r="A5994" s="187"/>
      <c r="B5994" s="188">
        <v>46119</v>
      </c>
      <c r="C5994" s="187"/>
      <c r="D5994" s="189"/>
      <c r="E5994" s="189"/>
      <c r="F5994" s="189"/>
      <c r="G5994" s="189"/>
      <c r="H5994" s="189"/>
      <c r="I5994" s="218"/>
      <c r="K5994" s="232" t="s">
        <v>258</v>
      </c>
      <c r="L5994" s="190" t="str">
        <f>_xlfn.XLOOKUP($B5995,シフト抽出!$19:$19,シフト抽出!$20:$20,"該当なし",0,1)</f>
        <v>該当なし</v>
      </c>
    </row>
    <row r="5995" spans="1:12" ht="19.5" thickBot="1">
      <c r="A5995"/>
      <c r="B5995" s="191">
        <f>B5942+1</f>
        <v>46242</v>
      </c>
      <c r="C5995" s="192"/>
      <c r="D5995" s="193"/>
      <c r="E5995" s="193"/>
      <c r="F5995" s="193"/>
      <c r="G5995" s="193"/>
      <c r="H5995" s="193"/>
      <c r="I5995" s="219"/>
      <c r="K5995" s="233"/>
      <c r="L5995" s="194" t="str">
        <f>_xlfn.XLOOKUP($B5995,シフト抽出!$19:$19,シフト抽出!$21:$21,"該当なし",0,1)</f>
        <v>該当なし</v>
      </c>
    </row>
    <row r="5996" spans="1:12">
      <c r="A5996" s="195"/>
      <c r="B5996" s="196">
        <v>0.25</v>
      </c>
      <c r="C5996"/>
      <c r="D5996" s="197"/>
      <c r="E5996" s="196"/>
      <c r="F5996" s="197"/>
      <c r="G5996" s="197"/>
      <c r="H5996" s="197"/>
      <c r="I5996" s="209"/>
      <c r="K5996" s="234" t="s">
        <v>259</v>
      </c>
      <c r="L5996" s="198" t="str">
        <f>_xlfn.XLOOKUP($B5995,シフト抽出!$19:$19,シフト抽出!$23:$23,"該当なし",0,1)</f>
        <v>該当なし</v>
      </c>
    </row>
    <row r="5997" spans="1:12" ht="15.75" thickBot="1">
      <c r="A5997" s="195"/>
      <c r="B5997" s="195" t="s">
        <v>205</v>
      </c>
      <c r="C5997"/>
      <c r="D5997" s="197"/>
      <c r="E5997" s="197"/>
      <c r="F5997" s="197"/>
      <c r="G5997" s="197"/>
      <c r="H5997" s="197"/>
      <c r="I5997" s="209"/>
      <c r="K5997" s="235"/>
      <c r="L5997" s="199" t="str">
        <f>_xlfn.XLOOKUP($B5995,シフト抽出!$19:$19,シフト抽出!$24:$24,"該当なし",0,1)</f>
        <v>該当なし</v>
      </c>
    </row>
    <row r="5998" spans="1:12">
      <c r="A5998" s="195"/>
      <c r="B5998" s="195" t="s">
        <v>206</v>
      </c>
      <c r="C5998"/>
      <c r="D5998" s="197"/>
      <c r="E5998" s="197"/>
      <c r="F5998" s="197"/>
      <c r="G5998" s="197"/>
      <c r="H5998" s="197"/>
      <c r="I5998" s="209"/>
      <c r="K5998" s="224" t="s">
        <v>260</v>
      </c>
      <c r="L5998" s="200" t="str">
        <f>_xlfn.XLOOKUP($B5995,シフト抽出!$19:$19,シフト抽出!$26:$26,"該当なし",0,1)</f>
        <v>該当なし</v>
      </c>
    </row>
    <row r="5999" spans="1:12">
      <c r="A5999" s="195"/>
      <c r="B5999" s="195" t="s">
        <v>207</v>
      </c>
      <c r="C5999"/>
      <c r="D5999" s="197"/>
      <c r="E5999" s="197"/>
      <c r="F5999" s="197"/>
      <c r="G5999" s="197"/>
      <c r="H5999" s="197"/>
      <c r="I5999" s="209"/>
      <c r="K5999" s="225"/>
      <c r="L5999" s="201" t="str">
        <f>_xlfn.XLOOKUP($B5995,シフト抽出!$19:$19,シフト抽出!$27:$27,"該当なし",0,1)</f>
        <v>該当なし</v>
      </c>
    </row>
    <row r="6000" spans="1:12">
      <c r="A6000" s="195"/>
      <c r="B6000" s="202" t="s">
        <v>208</v>
      </c>
      <c r="C6000"/>
      <c r="D6000" s="197"/>
      <c r="E6000" s="197"/>
      <c r="F6000" s="197"/>
      <c r="G6000" s="197"/>
      <c r="H6000" s="197"/>
      <c r="I6000" s="209"/>
      <c r="J6000" s="203"/>
      <c r="K6000" s="225"/>
      <c r="L6000" s="201" t="str">
        <f>_xlfn.XLOOKUP($B5995,シフト抽出!$19:$19,シフト抽出!$28:$28,"該当なし",0,1)</f>
        <v>該当なし</v>
      </c>
    </row>
    <row r="6001" spans="1:12" ht="15.75" thickBot="1">
      <c r="A6001" s="195"/>
      <c r="B6001" s="195" t="s">
        <v>205</v>
      </c>
      <c r="C6001"/>
      <c r="D6001" s="197"/>
      <c r="E6001" s="197"/>
      <c r="F6001" s="197"/>
      <c r="G6001" s="197"/>
      <c r="H6001" s="197"/>
      <c r="I6001" s="209"/>
      <c r="J6001" s="203"/>
      <c r="K6001" s="226"/>
      <c r="L6001" s="204" t="str">
        <f>_xlfn.XLOOKUP($B5995,シフト抽出!$19:$19,シフト抽出!$29:$29,"該当なし",0,1)</f>
        <v>該当なし</v>
      </c>
    </row>
    <row r="6002" spans="1:12" ht="15.75" thickBot="1">
      <c r="A6002" s="195"/>
      <c r="B6002" s="195" t="s">
        <v>206</v>
      </c>
      <c r="C6002"/>
      <c r="D6002" s="197" t="s">
        <v>268</v>
      </c>
      <c r="E6002" s="197"/>
      <c r="F6002" s="197"/>
      <c r="G6002" s="197"/>
      <c r="H6002" s="197"/>
      <c r="I6002" s="209"/>
      <c r="K6002" s="205" t="s">
        <v>261</v>
      </c>
      <c r="L6002" s="205">
        <f>_xlfn.XLOOKUP($B5995,予定表!B:B,予定表!R:R,"該当なし",0,1)</f>
        <v>0</v>
      </c>
    </row>
    <row r="6003" spans="1:12">
      <c r="A6003" s="195"/>
      <c r="B6003" s="195" t="s">
        <v>207</v>
      </c>
      <c r="C6003"/>
      <c r="D6003" s="197" t="s">
        <v>268</v>
      </c>
      <c r="E6003" s="197"/>
      <c r="F6003" s="197"/>
      <c r="G6003" s="197"/>
      <c r="H6003" s="197"/>
      <c r="I6003" s="209"/>
      <c r="K6003" s="227" t="s">
        <v>262</v>
      </c>
      <c r="L6003" s="206">
        <f>_xlfn.XLOOKUP($B5995,予定表!$B:$B,予定表!E:E,"該当なし",0,1)</f>
        <v>0</v>
      </c>
    </row>
    <row r="6004" spans="1:12">
      <c r="A6004" s="195"/>
      <c r="B6004" s="196" t="s">
        <v>209</v>
      </c>
      <c r="C6004"/>
      <c r="D6004" s="197" t="s">
        <v>268</v>
      </c>
      <c r="E6004" s="197" t="s">
        <v>22</v>
      </c>
      <c r="F6004" s="197"/>
      <c r="G6004" s="197"/>
      <c r="H6004" s="197"/>
      <c r="I6004" s="209"/>
      <c r="K6004" s="228"/>
      <c r="L6004" s="207">
        <f>_xlfn.XLOOKUP($B5995,予定表!$B:$B,予定表!F:F,"該当なし",0,1)</f>
        <v>0</v>
      </c>
    </row>
    <row r="6005" spans="1:12">
      <c r="A6005" s="195"/>
      <c r="B6005" s="195" t="s">
        <v>205</v>
      </c>
      <c r="C6005"/>
      <c r="D6005" s="197" t="s">
        <v>268</v>
      </c>
      <c r="E6005" s="197" t="s">
        <v>22</v>
      </c>
      <c r="F6005" s="197"/>
      <c r="G6005" s="197"/>
      <c r="H6005" s="197"/>
      <c r="I6005" s="209"/>
      <c r="K6005" s="228"/>
      <c r="L6005" s="207">
        <f>_xlfn.XLOOKUP($B5995,予定表!$B:$B,予定表!G:G,"該当なし",0,1)</f>
        <v>0</v>
      </c>
    </row>
    <row r="6006" spans="1:12">
      <c r="A6006" s="195"/>
      <c r="B6006" s="195" t="s">
        <v>206</v>
      </c>
      <c r="C6006"/>
      <c r="D6006" s="197" t="s">
        <v>268</v>
      </c>
      <c r="E6006" s="197" t="s">
        <v>793</v>
      </c>
      <c r="F6006" s="197"/>
      <c r="G6006" s="197"/>
      <c r="H6006" s="197"/>
      <c r="I6006" s="209"/>
      <c r="K6006" s="228"/>
      <c r="L6006" s="207">
        <f>_xlfn.XLOOKUP($B5995,予定表!$B:$B,予定表!H:H,"該当なし",0,1)</f>
        <v>0</v>
      </c>
    </row>
    <row r="6007" spans="1:12">
      <c r="A6007" s="195"/>
      <c r="B6007" s="195" t="s">
        <v>207</v>
      </c>
      <c r="C6007"/>
      <c r="D6007" s="197" t="s">
        <v>268</v>
      </c>
      <c r="E6007" s="197" t="s">
        <v>793</v>
      </c>
      <c r="F6007" s="197"/>
      <c r="G6007" s="197"/>
      <c r="H6007" s="197"/>
      <c r="I6007" s="209"/>
      <c r="K6007" s="228"/>
      <c r="L6007" s="207" t="str">
        <f>_xlfn.XLOOKUP($B5995,予定表!$B:$B,予定表!I:I,"該当なし",0,1)</f>
        <v>カインズAM8</v>
      </c>
    </row>
    <row r="6008" spans="1:12">
      <c r="A6008" s="195"/>
      <c r="B6008" s="196" t="s">
        <v>212</v>
      </c>
      <c r="C6008"/>
      <c r="D6008" s="197" t="s">
        <v>416</v>
      </c>
      <c r="E6008" s="197" t="s">
        <v>241</v>
      </c>
      <c r="F6008" s="197"/>
      <c r="G6008" s="197"/>
      <c r="H6008" s="197"/>
      <c r="I6008" s="209"/>
      <c r="K6008" s="228"/>
      <c r="L6008" s="207">
        <f>_xlfn.XLOOKUP($B5995,予定表!$B:$B,予定表!J:J,"該当なし",0,1)</f>
        <v>0</v>
      </c>
    </row>
    <row r="6009" spans="1:12">
      <c r="A6009" s="195"/>
      <c r="B6009" s="195" t="s">
        <v>205</v>
      </c>
      <c r="C6009"/>
      <c r="D6009" s="197" t="s">
        <v>416</v>
      </c>
      <c r="E6009" s="197" t="s">
        <v>241</v>
      </c>
      <c r="F6009" s="197"/>
      <c r="G6009" s="197"/>
      <c r="H6009" s="197"/>
      <c r="I6009" s="209"/>
      <c r="K6009" s="228"/>
      <c r="L6009" s="207">
        <f>_xlfn.XLOOKUP($B5995,予定表!$B:$B,予定表!K:K,"該当なし",0,1)</f>
        <v>0</v>
      </c>
    </row>
    <row r="6010" spans="1:12">
      <c r="A6010" s="195"/>
      <c r="B6010" s="195" t="s">
        <v>206</v>
      </c>
      <c r="C6010"/>
      <c r="D6010" s="197" t="s">
        <v>999</v>
      </c>
      <c r="E6010" s="197" t="s">
        <v>241</v>
      </c>
      <c r="F6010" s="197"/>
      <c r="G6010" s="197"/>
      <c r="H6010" s="197"/>
      <c r="I6010" s="209"/>
      <c r="K6010" s="228"/>
      <c r="L6010" s="207">
        <f>_xlfn.XLOOKUP($B5995,予定表!$B:$B,予定表!L:L,"該当なし",0,1)</f>
        <v>0</v>
      </c>
    </row>
    <row r="6011" spans="1:12" ht="15.75" thickBot="1">
      <c r="A6011" s="195"/>
      <c r="B6011" s="195" t="s">
        <v>207</v>
      </c>
      <c r="C6011"/>
      <c r="D6011" s="197" t="s">
        <v>416</v>
      </c>
      <c r="E6011" s="197"/>
      <c r="F6011" s="197"/>
      <c r="G6011" s="197"/>
      <c r="H6011" s="197"/>
      <c r="I6011" s="209"/>
      <c r="K6011" s="229"/>
      <c r="L6011" s="204" t="str">
        <f>_xlfn.XLOOKUP($A5992,ﾘｽﾄマスタ!$U$8:$U$17,ﾘｽﾄマスタ!$V$8:$V$17,"",0)</f>
        <v/>
      </c>
    </row>
    <row r="6012" spans="1:12" ht="15.75" thickBot="1">
      <c r="A6012" s="195"/>
      <c r="B6012" s="196" t="s">
        <v>251</v>
      </c>
      <c r="C6012"/>
      <c r="D6012" s="197" t="s">
        <v>416</v>
      </c>
      <c r="E6012" s="197" t="s">
        <v>851</v>
      </c>
      <c r="F6012" s="197"/>
      <c r="G6012" s="197"/>
      <c r="H6012" s="197"/>
      <c r="I6012" s="209"/>
      <c r="K6012" s="208" t="s">
        <v>277</v>
      </c>
      <c r="L6012" s="208" t="str">
        <f>_xlfn.XLOOKUP($B5995,シフト抽出!$19:$19,シフト抽出!$30:$30,"該当なし",0,1)</f>
        <v>該当なし</v>
      </c>
    </row>
    <row r="6013" spans="1:12">
      <c r="A6013" s="195"/>
      <c r="B6013" s="195" t="s">
        <v>205</v>
      </c>
      <c r="C6013"/>
      <c r="D6013" s="197" t="s">
        <v>416</v>
      </c>
      <c r="E6013" s="197" t="s">
        <v>851</v>
      </c>
      <c r="F6013" s="197"/>
      <c r="G6013" s="197"/>
      <c r="H6013" s="197"/>
      <c r="I6013" s="209"/>
    </row>
    <row r="6014" spans="1:12">
      <c r="A6014" s="195"/>
      <c r="B6014" s="195" t="s">
        <v>206</v>
      </c>
      <c r="C6014"/>
      <c r="D6014" s="197" t="s">
        <v>416</v>
      </c>
      <c r="E6014" s="197" t="s">
        <v>851</v>
      </c>
      <c r="F6014" s="197"/>
      <c r="G6014" s="197"/>
      <c r="H6014" s="197"/>
      <c r="I6014" s="209"/>
    </row>
    <row r="6015" spans="1:12">
      <c r="A6015" s="195"/>
      <c r="B6015" s="195" t="s">
        <v>207</v>
      </c>
      <c r="C6015"/>
      <c r="D6015" s="197" t="s">
        <v>416</v>
      </c>
      <c r="E6015" s="197" t="s">
        <v>851</v>
      </c>
      <c r="F6015" s="197"/>
      <c r="G6015" s="197"/>
      <c r="H6015" s="197"/>
      <c r="I6015" s="209"/>
    </row>
    <row r="6016" spans="1:12">
      <c r="A6016" s="195"/>
      <c r="B6016" s="196" t="s">
        <v>217</v>
      </c>
      <c r="C6016"/>
      <c r="D6016" s="197" t="s">
        <v>515</v>
      </c>
      <c r="E6016" s="197" t="s">
        <v>851</v>
      </c>
      <c r="F6016" s="197"/>
      <c r="G6016" s="197"/>
      <c r="H6016" s="197"/>
      <c r="I6016" s="209"/>
    </row>
    <row r="6017" spans="1:9">
      <c r="A6017" s="195"/>
      <c r="B6017" s="195" t="s">
        <v>205</v>
      </c>
      <c r="C6017"/>
      <c r="D6017" s="197" t="s">
        <v>515</v>
      </c>
      <c r="E6017" s="197" t="s">
        <v>851</v>
      </c>
      <c r="F6017" s="197"/>
      <c r="G6017" s="197"/>
      <c r="H6017" s="197"/>
      <c r="I6017" s="209"/>
    </row>
    <row r="6018" spans="1:9">
      <c r="A6018" s="195"/>
      <c r="B6018" s="195" t="s">
        <v>206</v>
      </c>
      <c r="C6018"/>
      <c r="D6018" s="197" t="s">
        <v>515</v>
      </c>
      <c r="E6018" s="197" t="s">
        <v>851</v>
      </c>
      <c r="F6018" s="197"/>
      <c r="G6018" s="197"/>
      <c r="H6018" s="197"/>
      <c r="I6018" s="209"/>
    </row>
    <row r="6019" spans="1:9">
      <c r="A6019" s="195"/>
      <c r="B6019" s="195" t="s">
        <v>207</v>
      </c>
      <c r="C6019"/>
      <c r="D6019" s="197" t="s">
        <v>515</v>
      </c>
      <c r="E6019" s="197" t="s">
        <v>851</v>
      </c>
      <c r="F6019" s="197"/>
      <c r="G6019" s="197"/>
      <c r="H6019" s="197"/>
      <c r="I6019" s="209"/>
    </row>
    <row r="6020" spans="1:9">
      <c r="A6020" s="195"/>
      <c r="B6020" s="196" t="s">
        <v>219</v>
      </c>
      <c r="C6020"/>
      <c r="D6020" s="197" t="s">
        <v>515</v>
      </c>
      <c r="E6020" s="197"/>
      <c r="F6020" s="197"/>
      <c r="G6020" s="197"/>
      <c r="H6020" s="197"/>
      <c r="I6020" s="209"/>
    </row>
    <row r="6021" spans="1:9">
      <c r="A6021" s="195"/>
      <c r="B6021" s="195" t="s">
        <v>205</v>
      </c>
      <c r="C6021"/>
      <c r="D6021" s="197" t="s">
        <v>515</v>
      </c>
      <c r="E6021" s="197"/>
      <c r="F6021" s="197"/>
      <c r="G6021" s="197"/>
      <c r="H6021" s="197"/>
      <c r="I6021" s="209"/>
    </row>
    <row r="6022" spans="1:9">
      <c r="A6022" s="195"/>
      <c r="B6022" s="195" t="s">
        <v>206</v>
      </c>
      <c r="C6022"/>
      <c r="D6022" s="197"/>
      <c r="E6022" s="197"/>
      <c r="F6022" s="197"/>
      <c r="G6022" s="197"/>
      <c r="H6022" s="197"/>
      <c r="I6022" s="209"/>
    </row>
    <row r="6023" spans="1:9">
      <c r="A6023" s="195"/>
      <c r="B6023" s="195" t="s">
        <v>207</v>
      </c>
      <c r="C6023"/>
      <c r="D6023" s="197"/>
      <c r="E6023" s="197"/>
      <c r="F6023" s="197"/>
      <c r="G6023" s="197"/>
      <c r="H6023" s="197"/>
      <c r="I6023" s="209"/>
    </row>
    <row r="6024" spans="1:9">
      <c r="A6024" s="195"/>
      <c r="B6024" s="196" t="s">
        <v>220</v>
      </c>
      <c r="C6024"/>
      <c r="D6024" s="197" t="s">
        <v>7</v>
      </c>
      <c r="E6024" s="197" t="s">
        <v>7</v>
      </c>
      <c r="F6024" s="197"/>
      <c r="G6024" s="197"/>
      <c r="H6024" s="197"/>
      <c r="I6024" s="209"/>
    </row>
    <row r="6025" spans="1:9">
      <c r="A6025" s="195"/>
      <c r="B6025" s="195" t="s">
        <v>205</v>
      </c>
      <c r="C6025"/>
      <c r="D6025" s="197" t="s">
        <v>244</v>
      </c>
      <c r="E6025" s="197" t="s">
        <v>228</v>
      </c>
      <c r="F6025" s="197"/>
      <c r="G6025" s="197"/>
      <c r="H6025" s="197"/>
      <c r="I6025" s="209"/>
    </row>
    <row r="6026" spans="1:9">
      <c r="A6026" s="195"/>
      <c r="B6026" s="195" t="s">
        <v>206</v>
      </c>
      <c r="C6026"/>
      <c r="D6026" s="197" t="s">
        <v>244</v>
      </c>
      <c r="E6026" s="197" t="s">
        <v>228</v>
      </c>
      <c r="F6026" s="197"/>
      <c r="G6026" s="197"/>
      <c r="H6026" s="197"/>
      <c r="I6026" s="209"/>
    </row>
    <row r="6027" spans="1:9">
      <c r="A6027" s="195"/>
      <c r="B6027" s="195" t="s">
        <v>207</v>
      </c>
      <c r="C6027"/>
      <c r="D6027" s="197" t="s">
        <v>114</v>
      </c>
      <c r="E6027" s="197" t="s">
        <v>228</v>
      </c>
      <c r="F6027" s="197"/>
      <c r="G6027" s="197"/>
      <c r="H6027" s="197"/>
      <c r="I6027" s="209"/>
    </row>
    <row r="6028" spans="1:9">
      <c r="A6028" s="195"/>
      <c r="B6028" s="196" t="s">
        <v>222</v>
      </c>
      <c r="C6028"/>
      <c r="D6028" s="197" t="s">
        <v>114</v>
      </c>
      <c r="E6028" s="197" t="s">
        <v>228</v>
      </c>
      <c r="F6028" s="197"/>
      <c r="G6028" s="197"/>
      <c r="H6028" s="197"/>
      <c r="I6028" s="209"/>
    </row>
    <row r="6029" spans="1:9">
      <c r="A6029" s="195"/>
      <c r="B6029" s="195" t="s">
        <v>205</v>
      </c>
      <c r="C6029"/>
      <c r="D6029" s="197"/>
      <c r="E6029" s="197" t="s">
        <v>228</v>
      </c>
      <c r="F6029" s="197"/>
      <c r="G6029" s="197"/>
      <c r="H6029" s="197"/>
      <c r="I6029" s="209"/>
    </row>
    <row r="6030" spans="1:9">
      <c r="A6030" s="195"/>
      <c r="B6030" s="195" t="s">
        <v>206</v>
      </c>
      <c r="C6030"/>
      <c r="D6030" s="197" t="s">
        <v>270</v>
      </c>
      <c r="E6030" s="197" t="s">
        <v>228</v>
      </c>
      <c r="F6030" s="197"/>
      <c r="G6030" s="197"/>
      <c r="H6030" s="197"/>
      <c r="I6030" s="209"/>
    </row>
    <row r="6031" spans="1:9">
      <c r="A6031" s="195"/>
      <c r="B6031" s="195" t="s">
        <v>207</v>
      </c>
      <c r="C6031"/>
      <c r="D6031" s="197" t="s">
        <v>270</v>
      </c>
      <c r="E6031" s="197" t="s">
        <v>228</v>
      </c>
      <c r="F6031" s="197"/>
      <c r="G6031" s="197"/>
      <c r="H6031" s="197"/>
      <c r="I6031" s="209"/>
    </row>
    <row r="6032" spans="1:9">
      <c r="A6032" s="195"/>
      <c r="B6032" s="196" t="s">
        <v>223</v>
      </c>
      <c r="C6032"/>
      <c r="D6032" s="197" t="s">
        <v>270</v>
      </c>
      <c r="E6032" s="197" t="s">
        <v>273</v>
      </c>
      <c r="F6032" s="197"/>
      <c r="G6032" s="197"/>
      <c r="H6032" s="197"/>
      <c r="I6032" s="209"/>
    </row>
    <row r="6033" spans="1:12">
      <c r="A6033" s="195"/>
      <c r="B6033" s="195" t="s">
        <v>205</v>
      </c>
      <c r="C6033"/>
      <c r="D6033" s="197" t="s">
        <v>270</v>
      </c>
      <c r="E6033" s="197" t="s">
        <v>273</v>
      </c>
      <c r="F6033" s="197"/>
      <c r="G6033" s="197"/>
      <c r="H6033" s="197"/>
      <c r="I6033" s="209"/>
    </row>
    <row r="6034" spans="1:12">
      <c r="A6034" s="195"/>
      <c r="B6034" s="195" t="s">
        <v>206</v>
      </c>
      <c r="C6034"/>
      <c r="D6034" s="197" t="s">
        <v>270</v>
      </c>
      <c r="E6034" s="197" t="s">
        <v>273</v>
      </c>
      <c r="F6034" s="197"/>
      <c r="G6034" s="197"/>
      <c r="H6034" s="197"/>
      <c r="I6034" s="209"/>
    </row>
    <row r="6035" spans="1:12">
      <c r="A6035" s="195"/>
      <c r="B6035" s="195" t="s">
        <v>207</v>
      </c>
      <c r="C6035"/>
      <c r="D6035" s="197" t="s">
        <v>270</v>
      </c>
      <c r="E6035" s="197" t="s">
        <v>273</v>
      </c>
      <c r="F6035" s="197"/>
      <c r="G6035" s="197"/>
      <c r="H6035" s="197"/>
      <c r="I6035" s="209"/>
    </row>
    <row r="6036" spans="1:12">
      <c r="A6036" s="195"/>
      <c r="B6036" s="196" t="s">
        <v>225</v>
      </c>
      <c r="C6036"/>
      <c r="D6036" s="197" t="s">
        <v>270</v>
      </c>
      <c r="E6036" s="197" t="s">
        <v>263</v>
      </c>
      <c r="F6036" s="197"/>
      <c r="G6036" s="197"/>
      <c r="H6036" s="197"/>
      <c r="I6036" s="209"/>
    </row>
    <row r="6037" spans="1:12">
      <c r="A6037" s="195"/>
      <c r="B6037" s="195" t="s">
        <v>205</v>
      </c>
      <c r="C6037"/>
      <c r="D6037" s="197" t="s">
        <v>270</v>
      </c>
      <c r="E6037" s="197" t="s">
        <v>263</v>
      </c>
      <c r="F6037" s="197"/>
      <c r="G6037" s="197"/>
      <c r="H6037" s="209"/>
      <c r="I6037" s="209"/>
    </row>
    <row r="6038" spans="1:12">
      <c r="A6038" s="195"/>
      <c r="B6038" s="195" t="s">
        <v>206</v>
      </c>
      <c r="C6038"/>
      <c r="D6038" s="197" t="s">
        <v>270</v>
      </c>
      <c r="E6038" s="197" t="s">
        <v>263</v>
      </c>
      <c r="F6038" s="197"/>
      <c r="G6038" s="197"/>
      <c r="H6038" s="209"/>
      <c r="I6038" s="209"/>
    </row>
    <row r="6039" spans="1:12">
      <c r="A6039" s="195"/>
      <c r="B6039" s="195" t="s">
        <v>207</v>
      </c>
      <c r="C6039"/>
      <c r="D6039" s="197" t="s">
        <v>270</v>
      </c>
      <c r="E6039" s="197" t="s">
        <v>263</v>
      </c>
      <c r="F6039" s="197"/>
      <c r="G6039" s="197"/>
      <c r="H6039" s="209"/>
      <c r="I6039" s="209"/>
    </row>
    <row r="6040" spans="1:12">
      <c r="A6040" s="195"/>
      <c r="B6040" s="196" t="s">
        <v>226</v>
      </c>
      <c r="C6040"/>
      <c r="D6040" s="197"/>
      <c r="E6040" s="197"/>
      <c r="F6040" s="197"/>
      <c r="G6040" s="197"/>
      <c r="H6040" s="209"/>
      <c r="I6040" s="209"/>
    </row>
    <row r="6041" spans="1:12">
      <c r="A6041" s="195"/>
      <c r="B6041" s="195" t="s">
        <v>205</v>
      </c>
      <c r="C6041"/>
      <c r="D6041" s="197"/>
      <c r="E6041" s="197"/>
      <c r="F6041" s="197"/>
      <c r="G6041" s="197"/>
      <c r="H6041" s="209"/>
      <c r="I6041" s="209"/>
    </row>
    <row r="6042" spans="1:12">
      <c r="A6042" s="195"/>
      <c r="B6042" s="195" t="s">
        <v>206</v>
      </c>
      <c r="C6042"/>
      <c r="D6042" s="197"/>
      <c r="E6042" s="197"/>
      <c r="F6042" s="197"/>
      <c r="G6042" s="197"/>
      <c r="H6042" s="209"/>
      <c r="I6042" s="209"/>
    </row>
    <row r="6043" spans="1:12">
      <c r="A6043" s="195"/>
      <c r="B6043" s="195" t="s">
        <v>207</v>
      </c>
      <c r="C6043"/>
      <c r="D6043" s="197"/>
      <c r="E6043" s="197"/>
      <c r="F6043" s="197"/>
      <c r="G6043" s="197"/>
      <c r="H6043" s="209"/>
      <c r="I6043" s="209"/>
    </row>
    <row r="6044" spans="1:12">
      <c r="A6044" s="195"/>
      <c r="B6044" s="196" t="s">
        <v>227</v>
      </c>
      <c r="C6044"/>
      <c r="D6044" s="197"/>
      <c r="E6044" s="197"/>
      <c r="F6044" s="197"/>
      <c r="G6044" s="197"/>
      <c r="H6044" s="209"/>
      <c r="I6044" s="209"/>
      <c r="K6044"/>
    </row>
    <row r="6045" spans="1:12" ht="29.25" thickBot="1">
      <c r="A6045" s="213" t="str">
        <f>"回収シフト  第"&amp;ROUNDUP(DAY(B6048)/7,0)  &amp;"  "&amp;TEXT(B6048,"aaaa")</f>
        <v>回収シフト  第2  日曜日</v>
      </c>
      <c r="B6045" s="214"/>
      <c r="C6045" s="214"/>
      <c r="D6045" s="214"/>
      <c r="E6045" s="214"/>
      <c r="F6045" s="214"/>
      <c r="G6045" s="215"/>
      <c r="H6045" s="215"/>
      <c r="K6045" s="214"/>
      <c r="L6045" s="214"/>
    </row>
    <row r="6046" spans="1:12" ht="15.75" thickBot="1">
      <c r="A6046"/>
      <c r="B6046"/>
      <c r="C6046"/>
      <c r="D6046" s="186" t="s">
        <v>201</v>
      </c>
      <c r="E6046" s="186" t="s">
        <v>202</v>
      </c>
      <c r="F6046" s="186" t="s">
        <v>203</v>
      </c>
      <c r="G6046" s="186" t="s">
        <v>204</v>
      </c>
      <c r="H6046" s="186" t="s">
        <v>267</v>
      </c>
      <c r="K6046" s="230" t="s">
        <v>257</v>
      </c>
      <c r="L6046" s="231"/>
    </row>
    <row r="6047" spans="1:12">
      <c r="A6047" s="187"/>
      <c r="B6047" s="188">
        <v>46119</v>
      </c>
      <c r="C6047" s="187"/>
      <c r="D6047" s="189"/>
      <c r="E6047" s="189"/>
      <c r="F6047" s="189"/>
      <c r="G6047" s="189"/>
      <c r="H6047" s="189"/>
      <c r="K6047" s="232" t="s">
        <v>258</v>
      </c>
      <c r="L6047" s="190" t="str">
        <f>_xlfn.XLOOKUP($B6048,シフト抽出!$19:$19,シフト抽出!$20:$20,"該当なし",0,1)</f>
        <v>該当なし</v>
      </c>
    </row>
    <row r="6048" spans="1:12" ht="19.5" thickBot="1">
      <c r="A6048"/>
      <c r="B6048" s="191">
        <f>B5995+1</f>
        <v>46243</v>
      </c>
      <c r="C6048" s="192"/>
      <c r="D6048" s="216"/>
      <c r="E6048" s="216"/>
      <c r="F6048" s="216"/>
      <c r="G6048" s="216"/>
      <c r="H6048" s="216"/>
      <c r="K6048" s="233"/>
      <c r="L6048" s="194" t="str">
        <f>_xlfn.XLOOKUP($B6048,シフト抽出!$19:$19,シフト抽出!$21:$21,"該当なし",0,1)</f>
        <v>該当なし</v>
      </c>
    </row>
    <row r="6049" spans="1:12">
      <c r="A6049" s="195"/>
      <c r="B6049" s="196">
        <v>0.25</v>
      </c>
      <c r="C6049"/>
      <c r="D6049" s="197"/>
      <c r="E6049" s="196"/>
      <c r="F6049" s="197"/>
      <c r="G6049" s="197"/>
      <c r="H6049" s="197"/>
      <c r="K6049" s="234" t="s">
        <v>259</v>
      </c>
      <c r="L6049" s="198" t="str">
        <f>_xlfn.XLOOKUP($B6048,シフト抽出!$19:$19,シフト抽出!$23:$23,"該当なし",0,1)</f>
        <v>該当なし</v>
      </c>
    </row>
    <row r="6050" spans="1:12" ht="15.75" thickBot="1">
      <c r="A6050" s="195"/>
      <c r="B6050" s="195" t="s">
        <v>205</v>
      </c>
      <c r="C6050"/>
      <c r="D6050" s="197"/>
      <c r="E6050" s="197"/>
      <c r="F6050" s="197"/>
      <c r="G6050" s="197"/>
      <c r="H6050" s="197"/>
      <c r="K6050" s="235"/>
      <c r="L6050" s="199" t="str">
        <f>_xlfn.XLOOKUP($B6048,シフト抽出!$19:$19,シフト抽出!$24:$24,"該当なし",0,1)</f>
        <v>該当なし</v>
      </c>
    </row>
    <row r="6051" spans="1:12">
      <c r="A6051" s="195"/>
      <c r="B6051" s="195" t="s">
        <v>206</v>
      </c>
      <c r="C6051"/>
      <c r="D6051" s="197"/>
      <c r="E6051" s="197"/>
      <c r="F6051" s="197"/>
      <c r="G6051" s="197"/>
      <c r="H6051" s="197"/>
      <c r="K6051" s="224" t="s">
        <v>260</v>
      </c>
      <c r="L6051" s="200" t="str">
        <f>_xlfn.XLOOKUP($B6048,シフト抽出!$19:$19,シフト抽出!$26:$26,"該当なし",0,1)</f>
        <v>該当なし</v>
      </c>
    </row>
    <row r="6052" spans="1:12">
      <c r="A6052" s="195"/>
      <c r="B6052" s="195" t="s">
        <v>207</v>
      </c>
      <c r="C6052"/>
      <c r="D6052" s="197"/>
      <c r="E6052" s="197"/>
      <c r="F6052" s="197"/>
      <c r="G6052" s="197"/>
      <c r="H6052" s="197"/>
      <c r="K6052" s="225"/>
      <c r="L6052" s="201" t="str">
        <f>_xlfn.XLOOKUP($B6048,シフト抽出!$19:$19,シフト抽出!$27:$27,"該当なし",0,1)</f>
        <v>該当なし</v>
      </c>
    </row>
    <row r="6053" spans="1:12">
      <c r="A6053" s="195"/>
      <c r="B6053" s="202" t="s">
        <v>208</v>
      </c>
      <c r="C6053"/>
      <c r="D6053" s="197"/>
      <c r="E6053" s="197"/>
      <c r="F6053" s="197"/>
      <c r="G6053" s="197"/>
      <c r="H6053" s="197"/>
      <c r="J6053" s="203"/>
      <c r="K6053" s="225"/>
      <c r="L6053" s="201" t="str">
        <f>_xlfn.XLOOKUP($B6048,シフト抽出!$19:$19,シフト抽出!$28:$28,"該当なし",0,1)</f>
        <v>該当なし</v>
      </c>
    </row>
    <row r="6054" spans="1:12" ht="15.75" thickBot="1">
      <c r="A6054" s="195"/>
      <c r="B6054" s="195" t="s">
        <v>205</v>
      </c>
      <c r="C6054"/>
      <c r="D6054" s="197"/>
      <c r="E6054" s="197"/>
      <c r="F6054" s="197"/>
      <c r="G6054" s="197"/>
      <c r="H6054" s="197"/>
      <c r="J6054" s="203"/>
      <c r="K6054" s="226"/>
      <c r="L6054" s="204" t="str">
        <f>_xlfn.XLOOKUP($B6048,シフト抽出!$19:$19,シフト抽出!$29:$29,"該当なし",0,1)</f>
        <v>該当なし</v>
      </c>
    </row>
    <row r="6055" spans="1:12" ht="15.75" thickBot="1">
      <c r="A6055" s="195"/>
      <c r="B6055" s="195" t="s">
        <v>206</v>
      </c>
      <c r="C6055"/>
      <c r="D6055" s="197" t="s">
        <v>788</v>
      </c>
      <c r="E6055" s="197"/>
      <c r="F6055" s="197"/>
      <c r="G6055" s="197"/>
      <c r="H6055" s="197"/>
      <c r="K6055" s="205" t="s">
        <v>261</v>
      </c>
      <c r="L6055" s="205">
        <f>_xlfn.XLOOKUP($B6048,予定表!B:B,予定表!R:R,"該当なし",0,1)</f>
        <v>0</v>
      </c>
    </row>
    <row r="6056" spans="1:12">
      <c r="A6056" s="195"/>
      <c r="B6056" s="195" t="s">
        <v>207</v>
      </c>
      <c r="C6056"/>
      <c r="D6056" s="197" t="s">
        <v>989</v>
      </c>
      <c r="E6056" s="197"/>
      <c r="F6056" s="197"/>
      <c r="G6056" s="197"/>
      <c r="H6056" s="197"/>
      <c r="K6056" s="227" t="s">
        <v>262</v>
      </c>
      <c r="L6056" s="206">
        <f>_xlfn.XLOOKUP($B6048,予定表!$B:$B,予定表!E:E,"該当なし",0,1)</f>
        <v>0</v>
      </c>
    </row>
    <row r="6057" spans="1:12">
      <c r="A6057" s="195"/>
      <c r="B6057" s="196" t="s">
        <v>209</v>
      </c>
      <c r="C6057"/>
      <c r="D6057" s="197" t="s">
        <v>416</v>
      </c>
      <c r="E6057" s="197"/>
      <c r="F6057" s="197"/>
      <c r="G6057" s="197"/>
      <c r="H6057" s="197"/>
      <c r="K6057" s="228"/>
      <c r="L6057" s="207" t="str">
        <f>_xlfn.XLOOKUP($B6048,予定表!$B:$B,予定表!F:F,"該当なし",0,1)</f>
        <v>パスコ</v>
      </c>
    </row>
    <row r="6058" spans="1:12">
      <c r="A6058" s="195"/>
      <c r="B6058" s="195" t="s">
        <v>205</v>
      </c>
      <c r="C6058"/>
      <c r="D6058" s="197" t="s">
        <v>999</v>
      </c>
      <c r="E6058" s="197"/>
      <c r="F6058" s="197"/>
      <c r="G6058" s="197"/>
      <c r="H6058" s="197"/>
      <c r="K6058" s="228"/>
      <c r="L6058" s="207">
        <f>_xlfn.XLOOKUP($B6048,予定表!$B:$B,予定表!G:G,"該当なし",0,1)</f>
        <v>0</v>
      </c>
    </row>
    <row r="6059" spans="1:12">
      <c r="A6059" s="195"/>
      <c r="B6059" s="195" t="s">
        <v>206</v>
      </c>
      <c r="C6059"/>
      <c r="D6059" s="197" t="s">
        <v>416</v>
      </c>
      <c r="E6059" s="197"/>
      <c r="F6059" s="197"/>
      <c r="G6059" s="197"/>
      <c r="H6059" s="197"/>
      <c r="K6059" s="228"/>
      <c r="L6059" s="207" t="str">
        <f>_xlfn.XLOOKUP($B6048,予定表!$B:$B,予定表!H:H,"該当なし",0,1)</f>
        <v>'資さん 平塚</v>
      </c>
    </row>
    <row r="6060" spans="1:12">
      <c r="A6060" s="195"/>
      <c r="B6060" s="195" t="s">
        <v>207</v>
      </c>
      <c r="C6060"/>
      <c r="D6060" s="197" t="s">
        <v>416</v>
      </c>
      <c r="E6060" s="197"/>
      <c r="F6060" s="197"/>
      <c r="G6060" s="197"/>
      <c r="H6060" s="197"/>
      <c r="K6060" s="228"/>
      <c r="L6060" s="207" t="str">
        <f>_xlfn.XLOOKUP($B6048,予定表!$B:$B,予定表!I:I,"該当なし",0,1)</f>
        <v>カインズAM8</v>
      </c>
    </row>
    <row r="6061" spans="1:12">
      <c r="A6061" s="195"/>
      <c r="B6061" s="196" t="s">
        <v>212</v>
      </c>
      <c r="C6061"/>
      <c r="D6061" s="197" t="s">
        <v>416</v>
      </c>
      <c r="E6061" s="197"/>
      <c r="F6061" s="197"/>
      <c r="G6061" s="197"/>
      <c r="H6061" s="197"/>
      <c r="K6061" s="228"/>
      <c r="L6061" s="207">
        <f>_xlfn.XLOOKUP($B6048,予定表!$B:$B,予定表!J:J,"該当なし",0,1)</f>
        <v>0</v>
      </c>
    </row>
    <row r="6062" spans="1:12">
      <c r="A6062" s="195"/>
      <c r="B6062" s="195" t="s">
        <v>205</v>
      </c>
      <c r="C6062"/>
      <c r="D6062" s="197" t="s">
        <v>416</v>
      </c>
      <c r="E6062" s="197"/>
      <c r="F6062" s="197"/>
      <c r="G6062" s="197"/>
      <c r="H6062" s="197"/>
      <c r="K6062" s="228"/>
      <c r="L6062" s="207">
        <f>_xlfn.XLOOKUP($B6048,予定表!$B:$B,予定表!K:K,"該当なし",0,1)</f>
        <v>0</v>
      </c>
    </row>
    <row r="6063" spans="1:12">
      <c r="A6063" s="195"/>
      <c r="B6063" s="195" t="s">
        <v>206</v>
      </c>
      <c r="C6063"/>
      <c r="D6063" s="197" t="s">
        <v>416</v>
      </c>
      <c r="E6063" s="197"/>
      <c r="F6063" s="197"/>
      <c r="G6063" s="197"/>
      <c r="H6063" s="197"/>
      <c r="K6063" s="228"/>
      <c r="L6063" s="207">
        <f>_xlfn.XLOOKUP($B6048,予定表!$B:$B,予定表!L:L,"該当なし",0,1)</f>
        <v>0</v>
      </c>
    </row>
    <row r="6064" spans="1:12" ht="15.75" thickBot="1">
      <c r="A6064" s="195"/>
      <c r="B6064" s="195" t="s">
        <v>207</v>
      </c>
      <c r="C6064"/>
      <c r="D6064" s="197" t="s">
        <v>242</v>
      </c>
      <c r="E6064" s="197"/>
      <c r="F6064" s="197"/>
      <c r="G6064" s="197"/>
      <c r="H6064" s="197"/>
      <c r="K6064" s="229"/>
      <c r="L6064" s="204" t="str">
        <f>_xlfn.XLOOKUP($A6045,ﾘｽﾄマスタ!$U$8:$U$17,ﾘｽﾄマスタ!$V$8:$V$17,"",0)</f>
        <v/>
      </c>
    </row>
    <row r="6065" spans="1:12" ht="15.75" thickBot="1">
      <c r="A6065" s="195"/>
      <c r="B6065" s="196" t="s">
        <v>251</v>
      </c>
      <c r="C6065"/>
      <c r="D6065" s="197" t="s">
        <v>242</v>
      </c>
      <c r="E6065" s="197"/>
      <c r="F6065" s="197"/>
      <c r="G6065" s="197"/>
      <c r="H6065" s="197"/>
      <c r="K6065" s="208" t="s">
        <v>277</v>
      </c>
      <c r="L6065" s="208" t="str">
        <f>_xlfn.XLOOKUP($B6048,シフト抽出!$19:$19,シフト抽出!$30:$30,"該当なし",0,1)</f>
        <v>該当なし</v>
      </c>
    </row>
    <row r="6066" spans="1:12">
      <c r="A6066" s="195"/>
      <c r="B6066" s="195" t="s">
        <v>205</v>
      </c>
      <c r="C6066"/>
      <c r="D6066" s="197" t="s">
        <v>242</v>
      </c>
      <c r="E6066" s="197"/>
      <c r="F6066" s="197"/>
      <c r="G6066" s="197"/>
      <c r="H6066" s="197"/>
    </row>
    <row r="6067" spans="1:12">
      <c r="A6067" s="195"/>
      <c r="B6067" s="195" t="s">
        <v>206</v>
      </c>
      <c r="C6067"/>
      <c r="D6067" s="197" t="s">
        <v>242</v>
      </c>
      <c r="E6067" s="197"/>
      <c r="F6067" s="197"/>
      <c r="G6067" s="197"/>
      <c r="H6067" s="197"/>
    </row>
    <row r="6068" spans="1:12">
      <c r="A6068" s="195"/>
      <c r="B6068" s="195" t="s">
        <v>207</v>
      </c>
      <c r="C6068"/>
      <c r="D6068" s="197" t="s">
        <v>242</v>
      </c>
      <c r="E6068" s="197"/>
      <c r="F6068" s="197"/>
      <c r="G6068" s="197"/>
      <c r="H6068" s="197"/>
    </row>
    <row r="6069" spans="1:12">
      <c r="A6069" s="195"/>
      <c r="B6069" s="196" t="s">
        <v>217</v>
      </c>
      <c r="C6069"/>
      <c r="D6069" s="197" t="s">
        <v>242</v>
      </c>
      <c r="E6069" s="197"/>
      <c r="F6069" s="197"/>
      <c r="G6069" s="197"/>
      <c r="H6069" s="197"/>
    </row>
    <row r="6070" spans="1:12">
      <c r="A6070" s="195"/>
      <c r="B6070" s="195" t="s">
        <v>205</v>
      </c>
      <c r="C6070"/>
      <c r="D6070" s="197" t="s">
        <v>242</v>
      </c>
      <c r="E6070" s="197"/>
      <c r="F6070" s="197"/>
      <c r="G6070" s="197"/>
      <c r="H6070" s="197"/>
    </row>
    <row r="6071" spans="1:12">
      <c r="A6071" s="195"/>
      <c r="B6071" s="195" t="s">
        <v>206</v>
      </c>
      <c r="C6071"/>
      <c r="D6071" s="197" t="s">
        <v>242</v>
      </c>
      <c r="E6071" s="197"/>
      <c r="F6071" s="197"/>
      <c r="G6071" s="197"/>
      <c r="H6071" s="197"/>
    </row>
    <row r="6072" spans="1:12">
      <c r="A6072" s="195"/>
      <c r="B6072" s="195" t="s">
        <v>207</v>
      </c>
      <c r="C6072"/>
      <c r="D6072" s="197" t="s">
        <v>242</v>
      </c>
      <c r="E6072" s="197"/>
      <c r="F6072" s="197"/>
      <c r="G6072" s="197"/>
      <c r="H6072" s="197"/>
    </row>
    <row r="6073" spans="1:12">
      <c r="A6073" s="195"/>
      <c r="B6073" s="196" t="s">
        <v>219</v>
      </c>
      <c r="C6073"/>
      <c r="D6073" s="197"/>
      <c r="E6073" s="197"/>
      <c r="F6073" s="197"/>
      <c r="G6073" s="197"/>
      <c r="H6073" s="197"/>
    </row>
    <row r="6074" spans="1:12">
      <c r="A6074" s="195"/>
      <c r="B6074" s="195" t="s">
        <v>205</v>
      </c>
      <c r="C6074"/>
      <c r="D6074" s="197"/>
      <c r="E6074" s="197"/>
      <c r="F6074" s="197"/>
      <c r="G6074" s="197"/>
      <c r="H6074" s="197"/>
    </row>
    <row r="6075" spans="1:12">
      <c r="A6075" s="195"/>
      <c r="B6075" s="195" t="s">
        <v>206</v>
      </c>
      <c r="C6075"/>
      <c r="D6075" s="197"/>
      <c r="E6075" s="197"/>
      <c r="F6075" s="197"/>
      <c r="G6075" s="197"/>
      <c r="H6075" s="197"/>
    </row>
    <row r="6076" spans="1:12">
      <c r="A6076" s="195"/>
      <c r="B6076" s="195" t="s">
        <v>207</v>
      </c>
      <c r="C6076"/>
      <c r="D6076" s="197"/>
      <c r="E6076" s="197"/>
      <c r="F6076" s="197"/>
      <c r="G6076" s="197"/>
      <c r="H6076" s="197"/>
    </row>
    <row r="6077" spans="1:12">
      <c r="A6077" s="195"/>
      <c r="B6077" s="196" t="s">
        <v>220</v>
      </c>
      <c r="C6077"/>
      <c r="D6077" s="197"/>
      <c r="E6077" s="197"/>
      <c r="F6077" s="197"/>
      <c r="G6077" s="189"/>
      <c r="H6077" s="197"/>
    </row>
    <row r="6078" spans="1:12">
      <c r="A6078" s="195"/>
      <c r="B6078" s="195" t="s">
        <v>205</v>
      </c>
      <c r="C6078"/>
      <c r="D6078" s="197"/>
      <c r="E6078" s="197"/>
      <c r="F6078" s="197"/>
      <c r="G6078" s="197"/>
      <c r="H6078" s="197"/>
    </row>
    <row r="6079" spans="1:12">
      <c r="A6079" s="195"/>
      <c r="B6079" s="195" t="s">
        <v>206</v>
      </c>
      <c r="C6079"/>
      <c r="D6079" s="197"/>
      <c r="E6079" s="197"/>
      <c r="F6079" s="197"/>
      <c r="G6079" s="197"/>
      <c r="H6079" s="197"/>
    </row>
    <row r="6080" spans="1:12">
      <c r="A6080" s="195"/>
      <c r="B6080" s="195" t="s">
        <v>207</v>
      </c>
      <c r="C6080"/>
      <c r="D6080" s="197"/>
      <c r="E6080" s="197"/>
      <c r="F6080" s="197"/>
      <c r="G6080" s="197"/>
      <c r="H6080" s="197"/>
    </row>
    <row r="6081" spans="1:8">
      <c r="A6081" s="195"/>
      <c r="B6081" s="196" t="s">
        <v>222</v>
      </c>
      <c r="C6081"/>
      <c r="D6081" s="197"/>
      <c r="E6081" s="197"/>
      <c r="F6081" s="197"/>
      <c r="G6081" s="197"/>
      <c r="H6081" s="197"/>
    </row>
    <row r="6082" spans="1:8">
      <c r="A6082" s="195"/>
      <c r="B6082" s="195" t="s">
        <v>205</v>
      </c>
      <c r="C6082"/>
      <c r="D6082" s="197"/>
      <c r="E6082" s="197"/>
      <c r="F6082" s="197"/>
      <c r="G6082" s="197"/>
      <c r="H6082" s="197"/>
    </row>
    <row r="6083" spans="1:8">
      <c r="A6083" s="195"/>
      <c r="B6083" s="195" t="s">
        <v>206</v>
      </c>
      <c r="C6083"/>
      <c r="D6083" s="197"/>
      <c r="E6083" s="197"/>
      <c r="F6083" s="197"/>
      <c r="G6083" s="197"/>
      <c r="H6083" s="197"/>
    </row>
    <row r="6084" spans="1:8">
      <c r="A6084" s="195"/>
      <c r="B6084" s="195" t="s">
        <v>207</v>
      </c>
      <c r="C6084"/>
      <c r="D6084" s="197"/>
      <c r="E6084" s="197"/>
      <c r="F6084" s="197"/>
      <c r="G6084" s="197"/>
      <c r="H6084" s="197"/>
    </row>
    <row r="6085" spans="1:8">
      <c r="A6085" s="195"/>
      <c r="B6085" s="196" t="s">
        <v>223</v>
      </c>
      <c r="C6085"/>
      <c r="D6085" s="197"/>
      <c r="E6085" s="197"/>
      <c r="F6085" s="197"/>
      <c r="G6085" s="197"/>
      <c r="H6085" s="197"/>
    </row>
    <row r="6086" spans="1:8">
      <c r="A6086" s="195"/>
      <c r="B6086" s="195" t="s">
        <v>205</v>
      </c>
      <c r="C6086"/>
      <c r="D6086" s="197"/>
      <c r="E6086" s="197"/>
      <c r="F6086" s="197"/>
      <c r="G6086" s="197"/>
      <c r="H6086" s="197"/>
    </row>
    <row r="6087" spans="1:8">
      <c r="A6087" s="195"/>
      <c r="B6087" s="195" t="s">
        <v>206</v>
      </c>
      <c r="C6087"/>
      <c r="D6087" s="197"/>
      <c r="E6087" s="197"/>
      <c r="F6087" s="197"/>
      <c r="G6087" s="197"/>
      <c r="H6087" s="197"/>
    </row>
    <row r="6088" spans="1:8">
      <c r="A6088" s="195"/>
      <c r="B6088" s="195" t="s">
        <v>207</v>
      </c>
      <c r="C6088"/>
      <c r="D6088" s="197"/>
      <c r="E6088" s="197"/>
      <c r="F6088" s="197"/>
      <c r="G6088" s="197"/>
      <c r="H6088" s="197"/>
    </row>
    <row r="6089" spans="1:8">
      <c r="A6089" s="195"/>
      <c r="B6089" s="196" t="s">
        <v>225</v>
      </c>
      <c r="C6089"/>
      <c r="D6089" s="197"/>
      <c r="E6089" s="197"/>
      <c r="F6089" s="197"/>
      <c r="G6089" s="197"/>
      <c r="H6089" s="197"/>
    </row>
    <row r="6090" spans="1:8">
      <c r="A6090" s="195"/>
      <c r="B6090" s="195" t="s">
        <v>205</v>
      </c>
      <c r="C6090"/>
      <c r="D6090" s="197"/>
      <c r="E6090" s="197"/>
      <c r="F6090" s="197"/>
      <c r="G6090" s="197"/>
      <c r="H6090" s="209"/>
    </row>
    <row r="6091" spans="1:8">
      <c r="A6091" s="195"/>
      <c r="B6091" s="195" t="s">
        <v>206</v>
      </c>
      <c r="C6091"/>
      <c r="D6091" s="197"/>
      <c r="E6091" s="197"/>
      <c r="F6091" s="197"/>
      <c r="G6091" s="197"/>
      <c r="H6091" s="209"/>
    </row>
    <row r="6092" spans="1:8">
      <c r="A6092" s="195"/>
      <c r="B6092" s="195" t="s">
        <v>207</v>
      </c>
      <c r="C6092"/>
      <c r="D6092" s="197"/>
      <c r="E6092" s="197"/>
      <c r="F6092" s="197"/>
      <c r="G6092" s="197"/>
      <c r="H6092" s="209"/>
    </row>
    <row r="6093" spans="1:8">
      <c r="A6093" s="195"/>
      <c r="B6093" s="196" t="s">
        <v>226</v>
      </c>
      <c r="C6093"/>
      <c r="D6093" s="197"/>
      <c r="E6093" s="197"/>
      <c r="F6093" s="197"/>
      <c r="G6093" s="197"/>
      <c r="H6093" s="209"/>
    </row>
    <row r="6094" spans="1:8">
      <c r="A6094" s="195"/>
      <c r="B6094" s="195" t="s">
        <v>205</v>
      </c>
      <c r="C6094"/>
      <c r="D6094" s="197"/>
      <c r="E6094" s="197"/>
      <c r="F6094" s="197"/>
      <c r="G6094" s="197"/>
      <c r="H6094" s="209"/>
    </row>
    <row r="6095" spans="1:8">
      <c r="A6095" s="195"/>
      <c r="B6095" s="195" t="s">
        <v>206</v>
      </c>
      <c r="C6095"/>
      <c r="D6095" s="197"/>
      <c r="E6095" s="197"/>
      <c r="F6095" s="197"/>
      <c r="G6095" s="197"/>
      <c r="H6095" s="209"/>
    </row>
    <row r="6096" spans="1:8">
      <c r="A6096" s="195"/>
      <c r="B6096" s="195" t="s">
        <v>207</v>
      </c>
      <c r="C6096"/>
      <c r="D6096" s="197"/>
      <c r="E6096" s="197"/>
      <c r="F6096" s="197"/>
      <c r="G6096" s="197"/>
      <c r="H6096" s="209"/>
    </row>
    <row r="6097" spans="1:12">
      <c r="A6097" s="195"/>
      <c r="B6097" s="196" t="s">
        <v>227</v>
      </c>
      <c r="C6097"/>
      <c r="D6097" s="197"/>
      <c r="E6097" s="197"/>
      <c r="F6097" s="197"/>
      <c r="G6097" s="197"/>
      <c r="H6097" s="209"/>
      <c r="K6097"/>
    </row>
    <row r="6098" spans="1:12" ht="29.25" thickBot="1">
      <c r="A6098" s="213" t="str">
        <f>"回収シフト  第"&amp;ROUNDUP(DAY(B6101)/7,0)  &amp;"  "&amp;TEXT(B6101,"aaaa")</f>
        <v>回収シフト  第2  月曜日</v>
      </c>
      <c r="B6098" s="214"/>
      <c r="C6098" s="214"/>
      <c r="D6098" s="214"/>
      <c r="E6098" s="214"/>
      <c r="F6098" s="214"/>
      <c r="G6098" s="215"/>
      <c r="H6098" s="215"/>
      <c r="I6098" s="215"/>
      <c r="K6098" s="214"/>
      <c r="L6098" s="214"/>
    </row>
    <row r="6099" spans="1:12" ht="15.75" thickBot="1">
      <c r="A6099"/>
      <c r="B6099"/>
      <c r="C6099"/>
      <c r="D6099" s="186" t="s">
        <v>201</v>
      </c>
      <c r="E6099" s="186" t="s">
        <v>202</v>
      </c>
      <c r="F6099" s="186" t="s">
        <v>203</v>
      </c>
      <c r="G6099" s="186" t="s">
        <v>204</v>
      </c>
      <c r="H6099" s="186" t="s">
        <v>267</v>
      </c>
      <c r="I6099" s="217" t="s">
        <v>987</v>
      </c>
      <c r="K6099" s="230" t="s">
        <v>257</v>
      </c>
      <c r="L6099" s="231"/>
    </row>
    <row r="6100" spans="1:12">
      <c r="A6100" s="187"/>
      <c r="B6100" s="188">
        <v>45495</v>
      </c>
      <c r="C6100" s="187"/>
      <c r="D6100" s="189" t="s">
        <v>1001</v>
      </c>
      <c r="E6100" s="189" t="s">
        <v>248</v>
      </c>
      <c r="F6100" s="189" t="s">
        <v>859</v>
      </c>
      <c r="G6100" s="189" t="s">
        <v>728</v>
      </c>
      <c r="H6100" s="189" t="s">
        <v>852</v>
      </c>
      <c r="I6100" s="218" t="s">
        <v>850</v>
      </c>
      <c r="K6100" s="232" t="s">
        <v>258</v>
      </c>
      <c r="L6100" s="190" t="str">
        <f>_xlfn.XLOOKUP($B6101,シフト抽出!$19:$19,シフト抽出!$20:$20,"該当なし",0,1)</f>
        <v>該当なし</v>
      </c>
    </row>
    <row r="6101" spans="1:12" ht="19.5" thickBot="1">
      <c r="A6101"/>
      <c r="B6101" s="191">
        <f>B5995+2</f>
        <v>46244</v>
      </c>
      <c r="C6101" s="192" t="e">
        <v>#REF!</v>
      </c>
      <c r="D6101" s="216"/>
      <c r="E6101" s="216"/>
      <c r="F6101" s="216"/>
      <c r="G6101" s="216"/>
      <c r="H6101" s="216"/>
      <c r="I6101" s="216"/>
      <c r="K6101" s="233"/>
      <c r="L6101" s="194" t="str">
        <f>_xlfn.XLOOKUP($B6101,シフト抽出!$19:$19,シフト抽出!$21:$21,"該当なし",0,1)</f>
        <v>該当なし</v>
      </c>
    </row>
    <row r="6102" spans="1:12">
      <c r="A6102" s="195"/>
      <c r="B6102" s="196">
        <v>0.25</v>
      </c>
      <c r="C6102"/>
      <c r="D6102" s="197"/>
      <c r="E6102" s="196"/>
      <c r="F6102" s="197"/>
      <c r="G6102" s="197"/>
      <c r="H6102" s="197"/>
      <c r="I6102" s="197"/>
      <c r="K6102" s="234" t="s">
        <v>259</v>
      </c>
      <c r="L6102" s="198" t="str">
        <f>_xlfn.XLOOKUP($B6101,シフト抽出!$19:$19,シフト抽出!$23:$23,"該当なし",0,1)</f>
        <v>該当なし</v>
      </c>
    </row>
    <row r="6103" spans="1:12" ht="15.75" thickBot="1">
      <c r="A6103" s="195"/>
      <c r="B6103" s="195" t="s">
        <v>205</v>
      </c>
      <c r="C6103"/>
      <c r="D6103" s="197"/>
      <c r="E6103" s="197"/>
      <c r="F6103" s="197"/>
      <c r="G6103" s="197"/>
      <c r="H6103" s="197"/>
      <c r="I6103" s="197"/>
      <c r="K6103" s="235"/>
      <c r="L6103" s="199" t="str">
        <f>_xlfn.XLOOKUP($B6101,シフト抽出!$19:$19,シフト抽出!$24:$24,"該当なし",0,1)</f>
        <v>該当なし</v>
      </c>
    </row>
    <row r="6104" spans="1:12">
      <c r="A6104" s="195"/>
      <c r="B6104" s="195" t="s">
        <v>206</v>
      </c>
      <c r="C6104"/>
      <c r="D6104" s="197"/>
      <c r="E6104" s="197"/>
      <c r="F6104" s="197"/>
      <c r="G6104" s="197"/>
      <c r="H6104" s="197"/>
      <c r="I6104" s="197"/>
      <c r="K6104" s="224" t="s">
        <v>260</v>
      </c>
      <c r="L6104" s="200" t="str">
        <f>_xlfn.XLOOKUP($B6101,シフト抽出!$19:$19,シフト抽出!$26:$26,"該当なし",0,1)</f>
        <v>該当なし</v>
      </c>
    </row>
    <row r="6105" spans="1:12">
      <c r="A6105" s="195"/>
      <c r="B6105" s="195" t="s">
        <v>207</v>
      </c>
      <c r="C6105"/>
      <c r="D6105" s="197"/>
      <c r="E6105" s="197" t="s">
        <v>109</v>
      </c>
      <c r="F6105" s="197" t="s">
        <v>110</v>
      </c>
      <c r="G6105" s="197"/>
      <c r="H6105" s="197"/>
      <c r="I6105" s="197"/>
      <c r="K6105" s="225"/>
      <c r="L6105" s="201" t="str">
        <f>_xlfn.XLOOKUP($B6101,シフト抽出!$19:$19,シフト抽出!$27:$27,"該当なし",0,1)</f>
        <v>該当なし</v>
      </c>
    </row>
    <row r="6106" spans="1:12">
      <c r="A6106" s="195"/>
      <c r="B6106" s="202" t="s">
        <v>208</v>
      </c>
      <c r="C6106"/>
      <c r="D6106" s="197"/>
      <c r="E6106" s="197"/>
      <c r="F6106" s="197"/>
      <c r="G6106" s="197"/>
      <c r="H6106" s="197"/>
      <c r="I6106" s="209"/>
      <c r="J6106" s="203"/>
      <c r="K6106" s="225"/>
      <c r="L6106" s="201" t="str">
        <f>_xlfn.XLOOKUP($B6101,シフト抽出!$19:$19,シフト抽出!$28:$28,"該当なし",0,1)</f>
        <v>該当なし</v>
      </c>
    </row>
    <row r="6107" spans="1:12" ht="15.75" thickBot="1">
      <c r="A6107" s="195"/>
      <c r="B6107" s="195" t="s">
        <v>205</v>
      </c>
      <c r="C6107"/>
      <c r="D6107" s="197"/>
      <c r="E6107" s="197"/>
      <c r="F6107" s="197"/>
      <c r="G6107" s="197"/>
      <c r="H6107" s="197"/>
      <c r="I6107" s="209"/>
      <c r="J6107" s="203"/>
      <c r="K6107" s="226"/>
      <c r="L6107" s="204" t="str">
        <f>_xlfn.XLOOKUP($B6101,シフト抽出!$19:$19,シフト抽出!$29:$29,"該当なし",0,1)</f>
        <v>該当なし</v>
      </c>
    </row>
    <row r="6108" spans="1:12" ht="15.75" thickBot="1">
      <c r="A6108" s="195"/>
      <c r="B6108" s="195" t="s">
        <v>206</v>
      </c>
      <c r="C6108"/>
      <c r="D6108" s="197"/>
      <c r="E6108" s="197"/>
      <c r="F6108" s="197"/>
      <c r="G6108" s="197"/>
      <c r="H6108" s="197"/>
      <c r="I6108" s="209"/>
      <c r="K6108" s="205" t="s">
        <v>261</v>
      </c>
      <c r="L6108" s="205">
        <f>_xlfn.XLOOKUP($B6101,予定表!B:B,予定表!R:R,"該当なし",0,1)</f>
        <v>0</v>
      </c>
    </row>
    <row r="6109" spans="1:12">
      <c r="A6109" s="195"/>
      <c r="B6109" s="195" t="s">
        <v>207</v>
      </c>
      <c r="C6109"/>
      <c r="D6109" s="197"/>
      <c r="E6109" s="197"/>
      <c r="F6109" s="197"/>
      <c r="G6109" s="197"/>
      <c r="H6109" s="197"/>
      <c r="I6109" s="209"/>
      <c r="K6109" s="227" t="s">
        <v>262</v>
      </c>
      <c r="L6109" s="206">
        <f>_xlfn.XLOOKUP($B6101,予定表!$B:$B,予定表!E:E,"該当なし",0,1)</f>
        <v>0</v>
      </c>
    </row>
    <row r="6110" spans="1:12">
      <c r="A6110" s="195"/>
      <c r="B6110" s="196" t="s">
        <v>209</v>
      </c>
      <c r="C6110"/>
      <c r="D6110" s="197" t="s">
        <v>264</v>
      </c>
      <c r="E6110" s="197" t="s">
        <v>414</v>
      </c>
      <c r="F6110" s="197" t="s">
        <v>851</v>
      </c>
      <c r="G6110" s="197" t="s">
        <v>268</v>
      </c>
      <c r="H6110" s="197" t="s">
        <v>793</v>
      </c>
      <c r="I6110" s="209" t="s">
        <v>416</v>
      </c>
      <c r="K6110" s="228"/>
      <c r="L6110" s="207">
        <f>_xlfn.XLOOKUP($B6101,予定表!$B:$B,予定表!F:F,"該当なし",0,1)</f>
        <v>0</v>
      </c>
    </row>
    <row r="6111" spans="1:12">
      <c r="A6111" s="195"/>
      <c r="B6111" s="195" t="s">
        <v>205</v>
      </c>
      <c r="C6111"/>
      <c r="D6111" s="197" t="s">
        <v>793</v>
      </c>
      <c r="E6111" s="197" t="s">
        <v>414</v>
      </c>
      <c r="F6111" s="197" t="s">
        <v>851</v>
      </c>
      <c r="G6111" s="197" t="s">
        <v>268</v>
      </c>
      <c r="H6111" s="197" t="s">
        <v>989</v>
      </c>
      <c r="I6111" s="209" t="s">
        <v>999</v>
      </c>
      <c r="K6111" s="228"/>
      <c r="L6111" s="207" t="str">
        <f>_xlfn.XLOOKUP($B6101,予定表!$B:$B,予定表!G:G,"該当なし",0,1)</f>
        <v>ディーミング</v>
      </c>
    </row>
    <row r="6112" spans="1:12">
      <c r="A6112" s="195"/>
      <c r="B6112" s="195" t="s">
        <v>206</v>
      </c>
      <c r="C6112"/>
      <c r="D6112" s="197" t="s">
        <v>793</v>
      </c>
      <c r="E6112" s="197" t="s">
        <v>414</v>
      </c>
      <c r="F6112" s="197" t="s">
        <v>851</v>
      </c>
      <c r="G6112" s="197" t="s">
        <v>268</v>
      </c>
      <c r="H6112" s="197"/>
      <c r="I6112" s="209" t="s">
        <v>416</v>
      </c>
      <c r="K6112" s="228"/>
      <c r="L6112" s="207" t="str">
        <f>_xlfn.XLOOKUP($B6101,予定表!$B:$B,予定表!H:H,"該当なし",0,1)</f>
        <v>'資さん 平塚</v>
      </c>
    </row>
    <row r="6113" spans="1:12">
      <c r="A6113" s="195"/>
      <c r="B6113" s="195" t="s">
        <v>207</v>
      </c>
      <c r="C6113"/>
      <c r="D6113" s="197" t="s">
        <v>119</v>
      </c>
      <c r="E6113" s="197" t="s">
        <v>414</v>
      </c>
      <c r="F6113" s="197" t="s">
        <v>851</v>
      </c>
      <c r="G6113" s="197" t="s">
        <v>268</v>
      </c>
      <c r="H6113" s="197" t="s">
        <v>848</v>
      </c>
      <c r="I6113" s="209" t="s">
        <v>416</v>
      </c>
      <c r="K6113" s="228"/>
      <c r="L6113" s="207" t="str">
        <f>_xlfn.XLOOKUP($B6101,予定表!$B:$B,予定表!I:I,"該当なし",0,1)</f>
        <v>カインズAM8</v>
      </c>
    </row>
    <row r="6114" spans="1:12">
      <c r="A6114" s="195"/>
      <c r="B6114" s="196" t="s">
        <v>212</v>
      </c>
      <c r="C6114"/>
      <c r="D6114" s="197" t="s">
        <v>119</v>
      </c>
      <c r="E6114" s="197" t="s">
        <v>862</v>
      </c>
      <c r="F6114" s="197" t="s">
        <v>851</v>
      </c>
      <c r="G6114" s="197" t="s">
        <v>268</v>
      </c>
      <c r="H6114" s="197" t="s">
        <v>848</v>
      </c>
      <c r="I6114" s="209" t="s">
        <v>416</v>
      </c>
      <c r="K6114" s="228"/>
      <c r="L6114" s="207">
        <f>_xlfn.XLOOKUP($B6101,予定表!$B:$B,予定表!J:J,"該当なし",0,1)</f>
        <v>0</v>
      </c>
    </row>
    <row r="6115" spans="1:12">
      <c r="A6115" s="195"/>
      <c r="B6115" s="195" t="s">
        <v>205</v>
      </c>
      <c r="C6115"/>
      <c r="D6115" s="197" t="s">
        <v>119</v>
      </c>
      <c r="E6115" s="197" t="s">
        <v>214</v>
      </c>
      <c r="F6115" s="197" t="s">
        <v>851</v>
      </c>
      <c r="G6115" s="197" t="s">
        <v>268</v>
      </c>
      <c r="H6115" s="197" t="s">
        <v>848</v>
      </c>
      <c r="I6115" s="209" t="s">
        <v>416</v>
      </c>
      <c r="K6115" s="228"/>
      <c r="L6115" s="207">
        <f>_xlfn.XLOOKUP($B6101,予定表!$B:$B,予定表!K:K,"該当なし",0,1)</f>
        <v>0</v>
      </c>
    </row>
    <row r="6116" spans="1:12">
      <c r="A6116" s="195"/>
      <c r="B6116" s="195" t="s">
        <v>206</v>
      </c>
      <c r="C6116"/>
      <c r="D6116" s="197" t="s">
        <v>278</v>
      </c>
      <c r="E6116" s="197" t="s">
        <v>214</v>
      </c>
      <c r="F6116" s="197" t="s">
        <v>851</v>
      </c>
      <c r="G6116" s="197" t="s">
        <v>515</v>
      </c>
      <c r="H6116" s="197" t="s">
        <v>848</v>
      </c>
      <c r="I6116" s="209" t="s">
        <v>416</v>
      </c>
      <c r="K6116" s="228"/>
      <c r="L6116" s="207">
        <f>_xlfn.XLOOKUP($B6101,予定表!$B:$B,予定表!L:L,"該当なし",0,1)</f>
        <v>0</v>
      </c>
    </row>
    <row r="6117" spans="1:12" ht="15.75" thickBot="1">
      <c r="A6117" s="195"/>
      <c r="B6117" s="195" t="s">
        <v>207</v>
      </c>
      <c r="C6117"/>
      <c r="D6117" s="197" t="s">
        <v>213</v>
      </c>
      <c r="E6117" s="197" t="s">
        <v>214</v>
      </c>
      <c r="F6117" s="197"/>
      <c r="G6117" s="197" t="s">
        <v>515</v>
      </c>
      <c r="H6117" s="197" t="s">
        <v>848</v>
      </c>
      <c r="I6117" s="209" t="s">
        <v>416</v>
      </c>
      <c r="K6117" s="229"/>
      <c r="L6117" s="204" t="str">
        <f>_xlfn.XLOOKUP($A6098,ﾘｽﾄマスタ!$U$8:$U$17,ﾘｽﾄマスタ!$V$8:$V$17,"",0)</f>
        <v>広陽</v>
      </c>
    </row>
    <row r="6118" spans="1:12" ht="15.75" thickBot="1">
      <c r="A6118" s="195"/>
      <c r="B6118" s="196" t="s">
        <v>251</v>
      </c>
      <c r="C6118"/>
      <c r="D6118" s="197" t="s">
        <v>144</v>
      </c>
      <c r="E6118" s="197" t="s">
        <v>214</v>
      </c>
      <c r="F6118" s="197" t="s">
        <v>416</v>
      </c>
      <c r="G6118" s="197" t="s">
        <v>269</v>
      </c>
      <c r="H6118" s="197" t="s">
        <v>848</v>
      </c>
      <c r="I6118" s="209" t="s">
        <v>416</v>
      </c>
      <c r="K6118" s="208" t="s">
        <v>277</v>
      </c>
      <c r="L6118" s="208" t="str">
        <f>_xlfn.XLOOKUP($B6101,シフト抽出!$19:$19,シフト抽出!$30:$30,"該当なし",0,1)</f>
        <v>該当なし</v>
      </c>
    </row>
    <row r="6119" spans="1:12">
      <c r="A6119" s="195"/>
      <c r="B6119" s="195" t="s">
        <v>205</v>
      </c>
      <c r="C6119"/>
      <c r="D6119" s="197" t="s">
        <v>144</v>
      </c>
      <c r="E6119" s="197" t="s">
        <v>214</v>
      </c>
      <c r="F6119" s="197" t="s">
        <v>771</v>
      </c>
      <c r="G6119" s="197" t="s">
        <v>269</v>
      </c>
      <c r="H6119" s="197" t="s">
        <v>848</v>
      </c>
      <c r="I6119" s="209" t="s">
        <v>78</v>
      </c>
    </row>
    <row r="6120" spans="1:12">
      <c r="A6120" s="195"/>
      <c r="B6120" s="195" t="s">
        <v>206</v>
      </c>
      <c r="C6120"/>
      <c r="D6120" s="197"/>
      <c r="E6120" s="197" t="s">
        <v>761</v>
      </c>
      <c r="F6120" s="197" t="s">
        <v>416</v>
      </c>
      <c r="G6120" s="197" t="s">
        <v>269</v>
      </c>
      <c r="H6120" s="197"/>
      <c r="I6120" s="209" t="s">
        <v>78</v>
      </c>
    </row>
    <row r="6121" spans="1:12">
      <c r="A6121" s="195"/>
      <c r="B6121" s="195" t="s">
        <v>207</v>
      </c>
      <c r="C6121"/>
      <c r="D6121" s="197"/>
      <c r="E6121" s="197" t="s">
        <v>761</v>
      </c>
      <c r="F6121" s="197" t="s">
        <v>416</v>
      </c>
      <c r="G6121" s="197" t="s">
        <v>269</v>
      </c>
      <c r="H6121" s="197"/>
      <c r="I6121" s="209" t="s">
        <v>218</v>
      </c>
    </row>
    <row r="6122" spans="1:12">
      <c r="A6122" s="195"/>
      <c r="B6122" s="196" t="s">
        <v>217</v>
      </c>
      <c r="C6122"/>
      <c r="D6122" s="197" t="s">
        <v>51</v>
      </c>
      <c r="E6122" s="197" t="s">
        <v>761</v>
      </c>
      <c r="F6122" s="197" t="s">
        <v>416</v>
      </c>
      <c r="G6122" s="197" t="s">
        <v>446</v>
      </c>
      <c r="H6122" s="197"/>
      <c r="I6122" s="209" t="s">
        <v>146</v>
      </c>
    </row>
    <row r="6123" spans="1:12">
      <c r="A6123" s="195"/>
      <c r="B6123" s="195" t="s">
        <v>205</v>
      </c>
      <c r="C6123"/>
      <c r="D6123" s="197" t="s">
        <v>51</v>
      </c>
      <c r="E6123" s="197" t="s">
        <v>761</v>
      </c>
      <c r="F6123" s="197" t="s">
        <v>416</v>
      </c>
      <c r="G6123" s="197" t="s">
        <v>446</v>
      </c>
      <c r="H6123" s="197"/>
      <c r="I6123" s="209" t="s">
        <v>146</v>
      </c>
    </row>
    <row r="6124" spans="1:12">
      <c r="A6124" s="195"/>
      <c r="B6124" s="195" t="s">
        <v>206</v>
      </c>
      <c r="C6124"/>
      <c r="D6124" s="197" t="s">
        <v>51</v>
      </c>
      <c r="E6124" s="197" t="s">
        <v>761</v>
      </c>
      <c r="F6124" s="197" t="s">
        <v>416</v>
      </c>
      <c r="G6124" s="197" t="s">
        <v>114</v>
      </c>
      <c r="H6124" s="197"/>
      <c r="I6124" s="209" t="s">
        <v>146</v>
      </c>
    </row>
    <row r="6125" spans="1:12">
      <c r="A6125" s="195"/>
      <c r="B6125" s="195" t="s">
        <v>207</v>
      </c>
      <c r="C6125"/>
      <c r="D6125" s="197" t="s">
        <v>51</v>
      </c>
      <c r="E6125" s="197" t="s">
        <v>761</v>
      </c>
      <c r="F6125" s="197" t="s">
        <v>416</v>
      </c>
      <c r="G6125" s="197" t="s">
        <v>114</v>
      </c>
      <c r="H6125" s="197"/>
      <c r="I6125" s="209"/>
    </row>
    <row r="6126" spans="1:12">
      <c r="A6126" s="195"/>
      <c r="B6126" s="196" t="s">
        <v>219</v>
      </c>
      <c r="C6126"/>
      <c r="D6126" s="197"/>
      <c r="E6126" s="197"/>
      <c r="F6126" s="197"/>
      <c r="G6126" s="197"/>
      <c r="H6126" s="197"/>
      <c r="I6126" s="209"/>
    </row>
    <row r="6127" spans="1:12">
      <c r="A6127" s="195"/>
      <c r="B6127" s="195" t="s">
        <v>205</v>
      </c>
      <c r="C6127"/>
      <c r="D6127" s="197"/>
      <c r="E6127" s="197"/>
      <c r="F6127" s="197"/>
      <c r="G6127" s="197"/>
      <c r="H6127" s="197"/>
      <c r="I6127" s="209"/>
    </row>
    <row r="6128" spans="1:12">
      <c r="A6128" s="195"/>
      <c r="B6128" s="195" t="s">
        <v>206</v>
      </c>
      <c r="C6128"/>
      <c r="D6128" s="197"/>
      <c r="E6128" s="197"/>
      <c r="F6128" s="197"/>
      <c r="G6128" s="197"/>
      <c r="H6128" s="197"/>
      <c r="I6128" s="209"/>
    </row>
    <row r="6129" spans="1:9">
      <c r="A6129" s="195"/>
      <c r="B6129" s="195" t="s">
        <v>207</v>
      </c>
      <c r="C6129"/>
      <c r="D6129" s="197"/>
      <c r="E6129" s="197"/>
      <c r="F6129" s="197"/>
      <c r="G6129" s="197"/>
      <c r="H6129" s="197"/>
      <c r="I6129" s="209"/>
    </row>
    <row r="6130" spans="1:9">
      <c r="A6130" s="195"/>
      <c r="B6130" s="196" t="s">
        <v>220</v>
      </c>
      <c r="C6130"/>
      <c r="D6130" s="189"/>
      <c r="E6130" s="189"/>
      <c r="F6130" s="189"/>
      <c r="G6130" s="189"/>
      <c r="H6130" s="189"/>
      <c r="I6130" s="209"/>
    </row>
    <row r="6131" spans="1:9">
      <c r="A6131" s="195"/>
      <c r="B6131" s="195" t="s">
        <v>205</v>
      </c>
      <c r="C6131"/>
      <c r="D6131" s="197" t="s">
        <v>759</v>
      </c>
      <c r="E6131" s="197" t="s">
        <v>848</v>
      </c>
      <c r="F6131" s="197"/>
      <c r="G6131" s="197" t="s">
        <v>56</v>
      </c>
      <c r="H6131" s="197" t="s">
        <v>415</v>
      </c>
      <c r="I6131" s="209"/>
    </row>
    <row r="6132" spans="1:9">
      <c r="A6132" s="195"/>
      <c r="B6132" s="195" t="s">
        <v>206</v>
      </c>
      <c r="C6132"/>
      <c r="D6132" s="197" t="s">
        <v>759</v>
      </c>
      <c r="E6132" s="197" t="s">
        <v>848</v>
      </c>
      <c r="F6132" s="197" t="s">
        <v>224</v>
      </c>
      <c r="G6132" s="197" t="s">
        <v>56</v>
      </c>
      <c r="H6132" s="197" t="s">
        <v>415</v>
      </c>
      <c r="I6132" s="209"/>
    </row>
    <row r="6133" spans="1:9">
      <c r="A6133" s="195"/>
      <c r="B6133" s="195" t="s">
        <v>207</v>
      </c>
      <c r="C6133"/>
      <c r="D6133" s="197" t="s">
        <v>759</v>
      </c>
      <c r="E6133" s="197" t="s">
        <v>848</v>
      </c>
      <c r="F6133" s="197" t="s">
        <v>224</v>
      </c>
      <c r="G6133" s="197" t="s">
        <v>56</v>
      </c>
      <c r="H6133" s="197" t="s">
        <v>415</v>
      </c>
      <c r="I6133" s="209"/>
    </row>
    <row r="6134" spans="1:9">
      <c r="A6134" s="195"/>
      <c r="B6134" s="196" t="s">
        <v>222</v>
      </c>
      <c r="C6134"/>
      <c r="D6134" s="197" t="s">
        <v>759</v>
      </c>
      <c r="E6134" s="197" t="s">
        <v>273</v>
      </c>
      <c r="F6134" s="197" t="s">
        <v>865</v>
      </c>
      <c r="G6134" s="197"/>
      <c r="H6134" s="197" t="s">
        <v>415</v>
      </c>
      <c r="I6134" s="209"/>
    </row>
    <row r="6135" spans="1:9">
      <c r="A6135" s="195"/>
      <c r="B6135" s="195" t="s">
        <v>205</v>
      </c>
      <c r="C6135"/>
      <c r="D6135" s="197" t="s">
        <v>216</v>
      </c>
      <c r="E6135" s="197" t="s">
        <v>273</v>
      </c>
      <c r="F6135" s="197" t="s">
        <v>866</v>
      </c>
      <c r="G6135" s="197" t="s">
        <v>270</v>
      </c>
      <c r="H6135" s="197" t="s">
        <v>415</v>
      </c>
      <c r="I6135" s="209"/>
    </row>
    <row r="6136" spans="1:9">
      <c r="A6136" s="195"/>
      <c r="B6136" s="195" t="s">
        <v>206</v>
      </c>
      <c r="C6136"/>
      <c r="D6136" s="197" t="s">
        <v>216</v>
      </c>
      <c r="E6136" s="197" t="s">
        <v>273</v>
      </c>
      <c r="F6136" s="197"/>
      <c r="G6136" s="197" t="s">
        <v>270</v>
      </c>
      <c r="H6136" s="197" t="s">
        <v>415</v>
      </c>
      <c r="I6136" s="209"/>
    </row>
    <row r="6137" spans="1:9">
      <c r="A6137" s="195"/>
      <c r="B6137" s="195" t="s">
        <v>207</v>
      </c>
      <c r="C6137"/>
      <c r="D6137" s="197" t="s">
        <v>216</v>
      </c>
      <c r="E6137" s="197" t="s">
        <v>273</v>
      </c>
      <c r="F6137" s="197" t="s">
        <v>851</v>
      </c>
      <c r="G6137" s="197" t="s">
        <v>270</v>
      </c>
      <c r="H6137" s="197" t="s">
        <v>415</v>
      </c>
      <c r="I6137" s="209"/>
    </row>
    <row r="6138" spans="1:9">
      <c r="A6138" s="195"/>
      <c r="B6138" s="196" t="s">
        <v>223</v>
      </c>
      <c r="C6138"/>
      <c r="D6138" s="197" t="s">
        <v>216</v>
      </c>
      <c r="E6138" s="197" t="s">
        <v>426</v>
      </c>
      <c r="F6138" s="197" t="s">
        <v>851</v>
      </c>
      <c r="G6138" s="197" t="s">
        <v>270</v>
      </c>
      <c r="H6138" s="197" t="s">
        <v>415</v>
      </c>
      <c r="I6138" s="209"/>
    </row>
    <row r="6139" spans="1:9">
      <c r="A6139" s="195"/>
      <c r="B6139" s="195" t="s">
        <v>205</v>
      </c>
      <c r="C6139"/>
      <c r="D6139" s="197" t="s">
        <v>216</v>
      </c>
      <c r="E6139" s="197" t="s">
        <v>426</v>
      </c>
      <c r="F6139" s="197" t="s">
        <v>851</v>
      </c>
      <c r="G6139" s="197" t="s">
        <v>270</v>
      </c>
      <c r="H6139" s="197" t="s">
        <v>415</v>
      </c>
      <c r="I6139" s="209"/>
    </row>
    <row r="6140" spans="1:9">
      <c r="A6140" s="195"/>
      <c r="B6140" s="195" t="s">
        <v>206</v>
      </c>
      <c r="C6140"/>
      <c r="D6140" s="197" t="s">
        <v>216</v>
      </c>
      <c r="E6140" s="197" t="s">
        <v>127</v>
      </c>
      <c r="F6140" s="197" t="s">
        <v>851</v>
      </c>
      <c r="G6140" s="197" t="s">
        <v>270</v>
      </c>
      <c r="H6140" s="197" t="s">
        <v>415</v>
      </c>
      <c r="I6140" s="209"/>
    </row>
    <row r="6141" spans="1:9">
      <c r="A6141" s="195"/>
      <c r="B6141" s="195" t="s">
        <v>207</v>
      </c>
      <c r="C6141"/>
      <c r="D6141" s="197" t="s">
        <v>216</v>
      </c>
      <c r="E6141" s="197" t="s">
        <v>215</v>
      </c>
      <c r="F6141" s="197" t="s">
        <v>851</v>
      </c>
      <c r="G6141" s="197" t="s">
        <v>270</v>
      </c>
      <c r="H6141" s="197" t="s">
        <v>415</v>
      </c>
      <c r="I6141" s="209"/>
    </row>
    <row r="6142" spans="1:9">
      <c r="A6142" s="195"/>
      <c r="B6142" s="196" t="s">
        <v>225</v>
      </c>
      <c r="C6142"/>
      <c r="D6142" s="197"/>
      <c r="E6142" s="197" t="s">
        <v>215</v>
      </c>
      <c r="F6142" s="197"/>
      <c r="G6142" s="197" t="s">
        <v>270</v>
      </c>
      <c r="H6142" s="197" t="s">
        <v>415</v>
      </c>
      <c r="I6142" s="209"/>
    </row>
    <row r="6143" spans="1:9">
      <c r="A6143" s="195"/>
      <c r="B6143" s="195" t="s">
        <v>205</v>
      </c>
      <c r="C6143"/>
      <c r="D6143" s="197"/>
      <c r="E6143" s="197" t="s">
        <v>280</v>
      </c>
      <c r="F6143" s="197"/>
      <c r="G6143" s="197" t="s">
        <v>270</v>
      </c>
      <c r="H6143" s="209" t="s">
        <v>415</v>
      </c>
      <c r="I6143" s="209"/>
    </row>
    <row r="6144" spans="1:9">
      <c r="A6144" s="195"/>
      <c r="B6144" s="195" t="s">
        <v>206</v>
      </c>
      <c r="C6144"/>
      <c r="D6144" s="197"/>
      <c r="E6144" s="197" t="s">
        <v>280</v>
      </c>
      <c r="F6144" s="197"/>
      <c r="G6144" s="197" t="s">
        <v>270</v>
      </c>
      <c r="H6144" s="209" t="s">
        <v>415</v>
      </c>
      <c r="I6144" s="209"/>
    </row>
    <row r="6145" spans="1:12">
      <c r="A6145" s="195"/>
      <c r="B6145" s="195" t="s">
        <v>207</v>
      </c>
      <c r="C6145"/>
      <c r="D6145" s="197"/>
      <c r="E6145" s="197" t="s">
        <v>280</v>
      </c>
      <c r="F6145" s="197"/>
      <c r="G6145" s="197" t="s">
        <v>270</v>
      </c>
      <c r="H6145" s="209" t="s">
        <v>415</v>
      </c>
      <c r="I6145" s="209"/>
    </row>
    <row r="6146" spans="1:12">
      <c r="A6146" s="195"/>
      <c r="B6146" s="196" t="s">
        <v>226</v>
      </c>
      <c r="C6146"/>
      <c r="D6146" s="197"/>
      <c r="E6146" s="197"/>
      <c r="F6146" s="197"/>
      <c r="G6146" s="197" t="s">
        <v>270</v>
      </c>
      <c r="H6146" s="209" t="s">
        <v>415</v>
      </c>
      <c r="I6146" s="209"/>
    </row>
    <row r="6147" spans="1:12">
      <c r="A6147" s="195"/>
      <c r="B6147" s="195" t="s">
        <v>205</v>
      </c>
      <c r="C6147"/>
      <c r="D6147" s="197"/>
      <c r="E6147" s="197"/>
      <c r="F6147" s="197"/>
      <c r="G6147" s="197" t="s">
        <v>270</v>
      </c>
      <c r="H6147" s="209"/>
      <c r="I6147" s="209"/>
    </row>
    <row r="6148" spans="1:12">
      <c r="A6148" s="195"/>
      <c r="B6148" s="195" t="s">
        <v>206</v>
      </c>
      <c r="C6148"/>
      <c r="D6148" s="197"/>
      <c r="E6148" s="197"/>
      <c r="F6148" s="197"/>
      <c r="G6148" s="197" t="s">
        <v>270</v>
      </c>
      <c r="H6148" s="209"/>
      <c r="I6148" s="209"/>
    </row>
    <row r="6149" spans="1:12">
      <c r="A6149" s="195"/>
      <c r="B6149" s="195" t="s">
        <v>207</v>
      </c>
      <c r="C6149"/>
      <c r="D6149" s="197"/>
      <c r="E6149" s="197"/>
      <c r="F6149" s="197"/>
      <c r="G6149" s="197" t="s">
        <v>270</v>
      </c>
      <c r="H6149" s="209"/>
      <c r="I6149" s="209"/>
    </row>
    <row r="6150" spans="1:12">
      <c r="A6150" s="195"/>
      <c r="B6150" s="196" t="s">
        <v>227</v>
      </c>
      <c r="C6150"/>
      <c r="D6150" s="197"/>
      <c r="E6150" s="197"/>
      <c r="F6150" s="197"/>
      <c r="G6150" s="197"/>
      <c r="H6150" s="209"/>
      <c r="I6150" s="209"/>
      <c r="K6150"/>
    </row>
    <row r="6151" spans="1:12" ht="29.25" thickBot="1">
      <c r="A6151" s="182" t="str">
        <f>"回収シフト  第"&amp;ROUNDUP(DAY(B6154)/7,0)  &amp;"  "&amp;TEXT(B6154,"aaaa")</f>
        <v>回収シフト  第2  火曜日</v>
      </c>
      <c r="B6151" s="183"/>
      <c r="C6151" s="183"/>
      <c r="D6151" s="183"/>
      <c r="E6151" s="183"/>
      <c r="F6151" s="183"/>
      <c r="G6151" s="184"/>
      <c r="H6151" s="184"/>
      <c r="I6151" s="184"/>
      <c r="K6151" s="183"/>
      <c r="L6151" s="183"/>
    </row>
    <row r="6152" spans="1:12" ht="15.75" thickBot="1">
      <c r="A6152"/>
      <c r="B6152"/>
      <c r="C6152"/>
      <c r="D6152" s="186" t="s">
        <v>201</v>
      </c>
      <c r="E6152" s="186" t="s">
        <v>202</v>
      </c>
      <c r="F6152" s="186" t="s">
        <v>203</v>
      </c>
      <c r="G6152" s="186" t="s">
        <v>204</v>
      </c>
      <c r="H6152" s="186" t="s">
        <v>267</v>
      </c>
      <c r="I6152" s="217" t="s">
        <v>267</v>
      </c>
      <c r="K6152" s="230" t="s">
        <v>257</v>
      </c>
      <c r="L6152" s="231"/>
    </row>
    <row r="6153" spans="1:12">
      <c r="A6153" s="187"/>
      <c r="B6153" s="188">
        <v>46119</v>
      </c>
      <c r="C6153" s="187"/>
      <c r="D6153" s="189" t="s">
        <v>874</v>
      </c>
      <c r="E6153" s="189" t="s">
        <v>248</v>
      </c>
      <c r="F6153" s="189"/>
      <c r="G6153" s="189" t="s">
        <v>925</v>
      </c>
      <c r="H6153" s="189" t="s">
        <v>852</v>
      </c>
      <c r="I6153" s="218" t="s">
        <v>852</v>
      </c>
      <c r="K6153" s="232" t="s">
        <v>258</v>
      </c>
      <c r="L6153" s="190" t="str">
        <f>_xlfn.XLOOKUP($B6154,シフト抽出!$19:$19,シフト抽出!$20:$20,"該当なし",0,1)</f>
        <v>該当なし</v>
      </c>
    </row>
    <row r="6154" spans="1:12" ht="19.5" thickBot="1">
      <c r="A6154"/>
      <c r="B6154" s="191">
        <f>B6101+1</f>
        <v>46245</v>
      </c>
      <c r="C6154" s="192"/>
      <c r="D6154" s="193"/>
      <c r="E6154" s="193"/>
      <c r="F6154" s="193"/>
      <c r="G6154" s="193"/>
      <c r="H6154" s="193"/>
      <c r="I6154" s="219"/>
      <c r="K6154" s="233"/>
      <c r="L6154" s="194" t="str">
        <f>_xlfn.XLOOKUP($B6154,シフト抽出!$19:$19,シフト抽出!$21:$21,"該当なし",0,1)</f>
        <v>該当なし</v>
      </c>
    </row>
    <row r="6155" spans="1:12">
      <c r="A6155" s="195"/>
      <c r="B6155" s="196">
        <v>0.25</v>
      </c>
      <c r="C6155"/>
      <c r="D6155" s="197"/>
      <c r="E6155" s="196"/>
      <c r="F6155" s="197"/>
      <c r="G6155" s="197"/>
      <c r="H6155" s="197"/>
      <c r="I6155" s="209"/>
      <c r="K6155" s="234" t="s">
        <v>259</v>
      </c>
      <c r="L6155" s="198" t="str">
        <f>_xlfn.XLOOKUP($B6154,シフト抽出!$19:$19,シフト抽出!$23:$23,"該当なし",0,1)</f>
        <v>該当なし</v>
      </c>
    </row>
    <row r="6156" spans="1:12" ht="15.75" thickBot="1">
      <c r="A6156" s="195"/>
      <c r="B6156" s="195" t="s">
        <v>205</v>
      </c>
      <c r="C6156"/>
      <c r="D6156" s="197"/>
      <c r="E6156" s="197"/>
      <c r="F6156" s="197"/>
      <c r="G6156" s="197"/>
      <c r="H6156" s="197"/>
      <c r="I6156" s="209"/>
      <c r="K6156" s="235"/>
      <c r="L6156" s="199" t="str">
        <f>_xlfn.XLOOKUP($B6154,シフト抽出!$19:$19,シフト抽出!$24:$24,"該当なし",0,1)</f>
        <v>該当なし</v>
      </c>
    </row>
    <row r="6157" spans="1:12">
      <c r="A6157" s="195"/>
      <c r="B6157" s="195" t="s">
        <v>206</v>
      </c>
      <c r="C6157"/>
      <c r="D6157" s="197" t="s">
        <v>851</v>
      </c>
      <c r="E6157" s="197"/>
      <c r="F6157" s="197"/>
      <c r="G6157" s="197"/>
      <c r="H6157" s="197"/>
      <c r="I6157" s="209"/>
      <c r="K6157" s="224" t="s">
        <v>260</v>
      </c>
      <c r="L6157" s="200" t="str">
        <f>_xlfn.XLOOKUP($B6154,シフト抽出!$19:$19,シフト抽出!$26:$26,"該当なし",0,1)</f>
        <v>該当なし</v>
      </c>
    </row>
    <row r="6158" spans="1:12">
      <c r="A6158" s="195"/>
      <c r="B6158" s="195" t="s">
        <v>207</v>
      </c>
      <c r="C6158"/>
      <c r="D6158" s="197" t="s">
        <v>851</v>
      </c>
      <c r="E6158" s="197"/>
      <c r="F6158" s="197"/>
      <c r="G6158" s="197"/>
      <c r="H6158" s="197"/>
      <c r="I6158" s="209"/>
      <c r="K6158" s="225"/>
      <c r="L6158" s="201" t="str">
        <f>_xlfn.XLOOKUP($B6154,シフト抽出!$19:$19,シフト抽出!$27:$27,"該当なし",0,1)</f>
        <v>該当なし</v>
      </c>
    </row>
    <row r="6159" spans="1:12">
      <c r="A6159" s="195"/>
      <c r="B6159" s="202" t="s">
        <v>208</v>
      </c>
      <c r="C6159"/>
      <c r="D6159" s="197" t="s">
        <v>851</v>
      </c>
      <c r="E6159" s="197"/>
      <c r="F6159" s="197"/>
      <c r="G6159" s="197" t="s">
        <v>4</v>
      </c>
      <c r="H6159" s="197"/>
      <c r="I6159" s="209"/>
      <c r="J6159" s="203"/>
      <c r="K6159" s="225"/>
      <c r="L6159" s="201" t="str">
        <f>_xlfn.XLOOKUP($B6154,シフト抽出!$19:$19,シフト抽出!$28:$28,"該当なし",0,1)</f>
        <v>該当なし</v>
      </c>
    </row>
    <row r="6160" spans="1:12" ht="15.75" thickBot="1">
      <c r="A6160" s="195"/>
      <c r="B6160" s="195" t="s">
        <v>205</v>
      </c>
      <c r="C6160"/>
      <c r="D6160" s="197" t="s">
        <v>851</v>
      </c>
      <c r="E6160" s="197"/>
      <c r="F6160" s="197"/>
      <c r="G6160" s="197" t="s">
        <v>268</v>
      </c>
      <c r="H6160" s="197"/>
      <c r="I6160" s="209"/>
      <c r="J6160" s="203"/>
      <c r="K6160" s="226"/>
      <c r="L6160" s="204" t="str">
        <f>_xlfn.XLOOKUP($B6154,シフト抽出!$19:$19,シフト抽出!$29:$29,"該当なし",0,1)</f>
        <v>該当なし</v>
      </c>
    </row>
    <row r="6161" spans="1:12" ht="15.75" thickBot="1">
      <c r="A6161" s="195"/>
      <c r="B6161" s="195" t="s">
        <v>206</v>
      </c>
      <c r="C6161"/>
      <c r="D6161" s="197" t="s">
        <v>851</v>
      </c>
      <c r="E6161" s="197"/>
      <c r="F6161" s="197"/>
      <c r="G6161" s="197" t="s">
        <v>268</v>
      </c>
      <c r="H6161" s="197"/>
      <c r="I6161" s="209"/>
      <c r="K6161" s="205" t="s">
        <v>261</v>
      </c>
      <c r="L6161" s="205">
        <f>_xlfn.XLOOKUP($B6154,予定表!B:B,予定表!R:R,"該当なし",0,1)</f>
        <v>0</v>
      </c>
    </row>
    <row r="6162" spans="1:12">
      <c r="A6162" s="195"/>
      <c r="B6162" s="195" t="s">
        <v>207</v>
      </c>
      <c r="C6162"/>
      <c r="D6162" s="197" t="s">
        <v>851</v>
      </c>
      <c r="E6162" s="197"/>
      <c r="F6162" s="197"/>
      <c r="G6162" s="197" t="s">
        <v>268</v>
      </c>
      <c r="H6162" s="197"/>
      <c r="I6162" s="209"/>
      <c r="K6162" s="227" t="s">
        <v>262</v>
      </c>
      <c r="L6162" s="206">
        <f>_xlfn.XLOOKUP($B6154,予定表!$B:$B,予定表!E:E,"該当なし",0,1)</f>
        <v>0</v>
      </c>
    </row>
    <row r="6163" spans="1:12">
      <c r="A6163" s="195"/>
      <c r="B6163" s="196" t="s">
        <v>209</v>
      </c>
      <c r="C6163"/>
      <c r="D6163" s="197"/>
      <c r="E6163" s="197" t="s">
        <v>273</v>
      </c>
      <c r="F6163" s="197"/>
      <c r="G6163" s="197" t="s">
        <v>268</v>
      </c>
      <c r="H6163" s="197"/>
      <c r="I6163" s="209"/>
      <c r="K6163" s="228"/>
      <c r="L6163" s="207">
        <f>_xlfn.XLOOKUP($B6154,予定表!$B:$B,予定表!F:F,"該当なし",0,1)</f>
        <v>0</v>
      </c>
    </row>
    <row r="6164" spans="1:12">
      <c r="A6164" s="195"/>
      <c r="B6164" s="195" t="s">
        <v>205</v>
      </c>
      <c r="C6164"/>
      <c r="D6164" s="197" t="s">
        <v>414</v>
      </c>
      <c r="E6164" s="197" t="s">
        <v>273</v>
      </c>
      <c r="F6164" s="197"/>
      <c r="G6164" s="197" t="s">
        <v>268</v>
      </c>
      <c r="H6164" s="197"/>
      <c r="I6164" s="209"/>
      <c r="K6164" s="228"/>
      <c r="L6164" s="207">
        <f>_xlfn.XLOOKUP($B6154,予定表!$B:$B,予定表!G:G,"該当なし",0,1)</f>
        <v>0</v>
      </c>
    </row>
    <row r="6165" spans="1:12">
      <c r="A6165" s="195"/>
      <c r="B6165" s="195" t="s">
        <v>206</v>
      </c>
      <c r="C6165"/>
      <c r="D6165" s="197" t="s">
        <v>414</v>
      </c>
      <c r="E6165" s="197" t="s">
        <v>273</v>
      </c>
      <c r="F6165" s="197"/>
      <c r="G6165" s="197" t="s">
        <v>268</v>
      </c>
      <c r="H6165" s="197"/>
      <c r="I6165" s="209"/>
      <c r="K6165" s="228"/>
      <c r="L6165" s="207">
        <f>_xlfn.XLOOKUP($B6154,予定表!$B:$B,予定表!H:H,"該当なし",0,1)</f>
        <v>0</v>
      </c>
    </row>
    <row r="6166" spans="1:12">
      <c r="A6166" s="195"/>
      <c r="B6166" s="195" t="s">
        <v>207</v>
      </c>
      <c r="C6166"/>
      <c r="D6166" s="197" t="s">
        <v>414</v>
      </c>
      <c r="E6166" s="197" t="s">
        <v>273</v>
      </c>
      <c r="F6166" s="197"/>
      <c r="G6166" s="197" t="s">
        <v>268</v>
      </c>
      <c r="H6166" s="197"/>
      <c r="I6166" s="209"/>
      <c r="K6166" s="228"/>
      <c r="L6166" s="207" t="str">
        <f>_xlfn.XLOOKUP($B6154,予定表!$B:$B,予定表!I:I,"該当なし",0,1)</f>
        <v>カインズAM8</v>
      </c>
    </row>
    <row r="6167" spans="1:12">
      <c r="A6167" s="195"/>
      <c r="B6167" s="196" t="s">
        <v>212</v>
      </c>
      <c r="C6167"/>
      <c r="D6167" s="197" t="s">
        <v>414</v>
      </c>
      <c r="E6167" s="197" t="s">
        <v>228</v>
      </c>
      <c r="F6167" s="197"/>
      <c r="G6167" s="197" t="s">
        <v>416</v>
      </c>
      <c r="H6167" s="197"/>
      <c r="I6167" s="209"/>
      <c r="K6167" s="228"/>
      <c r="L6167" s="207">
        <f>_xlfn.XLOOKUP($B6154,予定表!$B:$B,予定表!J:J,"該当なし",0,1)</f>
        <v>0</v>
      </c>
    </row>
    <row r="6168" spans="1:12">
      <c r="A6168" s="195"/>
      <c r="B6168" s="195" t="s">
        <v>205</v>
      </c>
      <c r="C6168"/>
      <c r="D6168" s="197" t="s">
        <v>414</v>
      </c>
      <c r="E6168" s="197" t="s">
        <v>228</v>
      </c>
      <c r="F6168" s="197"/>
      <c r="G6168" s="197" t="s">
        <v>416</v>
      </c>
      <c r="H6168" s="197"/>
      <c r="I6168" s="209"/>
      <c r="K6168" s="228"/>
      <c r="L6168" s="207">
        <f>_xlfn.XLOOKUP($B6154,予定表!$B:$B,予定表!K:K,"該当なし",0,1)</f>
        <v>0</v>
      </c>
    </row>
    <row r="6169" spans="1:12">
      <c r="A6169" s="195"/>
      <c r="B6169" s="195" t="s">
        <v>206</v>
      </c>
      <c r="C6169"/>
      <c r="D6169" s="197" t="s">
        <v>214</v>
      </c>
      <c r="E6169" s="197" t="s">
        <v>228</v>
      </c>
      <c r="F6169" s="197"/>
      <c r="G6169" s="197" t="s">
        <v>416</v>
      </c>
      <c r="H6169" s="197"/>
      <c r="I6169" s="209"/>
      <c r="K6169" s="228"/>
      <c r="L6169" s="207">
        <f>_xlfn.XLOOKUP($B6154,予定表!$B:$B,予定表!L:L,"該当なし",0,1)</f>
        <v>0</v>
      </c>
    </row>
    <row r="6170" spans="1:12" ht="15.75" thickBot="1">
      <c r="A6170" s="195"/>
      <c r="B6170" s="195" t="s">
        <v>207</v>
      </c>
      <c r="C6170"/>
      <c r="D6170" s="197" t="s">
        <v>214</v>
      </c>
      <c r="E6170" s="197" t="s">
        <v>228</v>
      </c>
      <c r="F6170" s="197"/>
      <c r="G6170" s="197" t="s">
        <v>416</v>
      </c>
      <c r="H6170" s="197"/>
      <c r="I6170" s="209"/>
      <c r="K6170" s="229"/>
      <c r="L6170" s="204" t="str">
        <f>_xlfn.XLOOKUP($A6151,ﾘｽﾄマスタ!$U$8:$U$17,ﾘｽﾄマスタ!$V$8:$V$17,"",0)</f>
        <v>東冷厚木,ﾏﾙﾅｶ</v>
      </c>
    </row>
    <row r="6171" spans="1:12" ht="15.75" thickBot="1">
      <c r="A6171" s="195"/>
      <c r="B6171" s="196" t="s">
        <v>251</v>
      </c>
      <c r="C6171"/>
      <c r="D6171" s="197" t="s">
        <v>214</v>
      </c>
      <c r="E6171" s="197" t="s">
        <v>228</v>
      </c>
      <c r="F6171" s="197"/>
      <c r="G6171" s="197" t="s">
        <v>999</v>
      </c>
      <c r="H6171" s="197"/>
      <c r="I6171" s="209"/>
      <c r="K6171" s="208" t="s">
        <v>277</v>
      </c>
      <c r="L6171" s="208" t="str">
        <f>_xlfn.XLOOKUP($B6154,シフト抽出!$19:$19,シフト抽出!$30:$30,"該当なし",0,1)</f>
        <v>該当なし</v>
      </c>
    </row>
    <row r="6172" spans="1:12">
      <c r="A6172" s="195"/>
      <c r="B6172" s="195" t="s">
        <v>205</v>
      </c>
      <c r="C6172"/>
      <c r="D6172" s="197" t="s">
        <v>214</v>
      </c>
      <c r="E6172" s="197" t="s">
        <v>263</v>
      </c>
      <c r="F6172" s="197"/>
      <c r="G6172" s="197" t="s">
        <v>416</v>
      </c>
      <c r="H6172" s="197"/>
      <c r="I6172" s="209"/>
    </row>
    <row r="6173" spans="1:12">
      <c r="A6173" s="195"/>
      <c r="B6173" s="195" t="s">
        <v>206</v>
      </c>
      <c r="C6173"/>
      <c r="D6173" s="197" t="s">
        <v>761</v>
      </c>
      <c r="E6173" s="197" t="s">
        <v>263</v>
      </c>
      <c r="F6173" s="197"/>
      <c r="G6173" s="197" t="s">
        <v>416</v>
      </c>
      <c r="H6173" s="197"/>
      <c r="I6173" s="209"/>
    </row>
    <row r="6174" spans="1:12">
      <c r="A6174" s="195"/>
      <c r="B6174" s="195" t="s">
        <v>207</v>
      </c>
      <c r="C6174"/>
      <c r="D6174" s="197" t="s">
        <v>761</v>
      </c>
      <c r="E6174" s="197" t="s">
        <v>263</v>
      </c>
      <c r="F6174" s="197"/>
      <c r="G6174" s="197" t="s">
        <v>416</v>
      </c>
      <c r="H6174" s="197"/>
      <c r="I6174" s="209"/>
    </row>
    <row r="6175" spans="1:12">
      <c r="A6175" s="195"/>
      <c r="B6175" s="196" t="s">
        <v>217</v>
      </c>
      <c r="C6175"/>
      <c r="D6175" s="197" t="s">
        <v>761</v>
      </c>
      <c r="E6175" s="197" t="s">
        <v>88</v>
      </c>
      <c r="F6175" s="197"/>
      <c r="G6175" s="197"/>
      <c r="H6175" s="197"/>
      <c r="I6175" s="209"/>
    </row>
    <row r="6176" spans="1:12">
      <c r="A6176" s="195"/>
      <c r="B6176" s="195" t="s">
        <v>205</v>
      </c>
      <c r="C6176"/>
      <c r="D6176" s="197" t="s">
        <v>761</v>
      </c>
      <c r="E6176" s="197" t="s">
        <v>88</v>
      </c>
      <c r="F6176" s="197"/>
      <c r="G6176" s="197"/>
      <c r="H6176" s="197"/>
      <c r="I6176" s="209"/>
    </row>
    <row r="6177" spans="1:9">
      <c r="A6177" s="195"/>
      <c r="B6177" s="195" t="s">
        <v>206</v>
      </c>
      <c r="C6177"/>
      <c r="D6177" s="197"/>
      <c r="E6177" s="197"/>
      <c r="F6177" s="197"/>
      <c r="G6177" s="197"/>
      <c r="H6177" s="197"/>
      <c r="I6177" s="209"/>
    </row>
    <row r="6178" spans="1:9">
      <c r="A6178" s="195"/>
      <c r="B6178" s="195" t="s">
        <v>207</v>
      </c>
      <c r="C6178"/>
      <c r="D6178" s="197"/>
      <c r="E6178" s="197"/>
      <c r="F6178" s="197"/>
      <c r="G6178" s="197"/>
      <c r="H6178" s="197"/>
      <c r="I6178" s="209"/>
    </row>
    <row r="6179" spans="1:9">
      <c r="A6179" s="195"/>
      <c r="B6179" s="196" t="s">
        <v>219</v>
      </c>
      <c r="C6179"/>
      <c r="D6179" s="197"/>
      <c r="E6179" s="197"/>
      <c r="F6179" s="197"/>
      <c r="G6179" s="197"/>
      <c r="H6179" s="197"/>
      <c r="I6179" s="209"/>
    </row>
    <row r="6180" spans="1:9">
      <c r="A6180" s="195"/>
      <c r="B6180" s="195" t="s">
        <v>205</v>
      </c>
      <c r="C6180"/>
      <c r="D6180" s="197"/>
      <c r="E6180" s="197"/>
      <c r="F6180" s="197"/>
      <c r="G6180" s="197"/>
      <c r="H6180" s="197"/>
      <c r="I6180" s="209"/>
    </row>
    <row r="6181" spans="1:9">
      <c r="A6181" s="195"/>
      <c r="B6181" s="195" t="s">
        <v>206</v>
      </c>
      <c r="C6181"/>
      <c r="D6181" s="197"/>
      <c r="E6181" s="197"/>
      <c r="F6181" s="197"/>
      <c r="G6181" s="197"/>
      <c r="H6181" s="197"/>
      <c r="I6181" s="209"/>
    </row>
    <row r="6182" spans="1:9">
      <c r="A6182" s="195"/>
      <c r="B6182" s="195" t="s">
        <v>207</v>
      </c>
      <c r="C6182"/>
      <c r="D6182" s="197"/>
      <c r="E6182" s="197"/>
      <c r="F6182" s="197"/>
      <c r="G6182" s="197"/>
      <c r="H6182" s="197"/>
      <c r="I6182" s="209"/>
    </row>
    <row r="6183" spans="1:9">
      <c r="A6183" s="195"/>
      <c r="B6183" s="196" t="s">
        <v>220</v>
      </c>
      <c r="C6183"/>
      <c r="D6183" s="189"/>
      <c r="E6183" s="197"/>
      <c r="F6183" s="197"/>
      <c r="G6183" s="197"/>
      <c r="H6183" s="197"/>
      <c r="I6183" s="209"/>
    </row>
    <row r="6184" spans="1:9">
      <c r="A6184" s="195"/>
      <c r="B6184" s="195" t="s">
        <v>205</v>
      </c>
      <c r="C6184"/>
      <c r="D6184" s="197" t="s">
        <v>114</v>
      </c>
      <c r="E6184" s="197"/>
      <c r="F6184" s="197"/>
      <c r="G6184" s="197" t="s">
        <v>22</v>
      </c>
      <c r="H6184" s="197"/>
      <c r="I6184" s="209"/>
    </row>
    <row r="6185" spans="1:9">
      <c r="A6185" s="195"/>
      <c r="B6185" s="195" t="s">
        <v>206</v>
      </c>
      <c r="C6185"/>
      <c r="D6185" s="197" t="s">
        <v>114</v>
      </c>
      <c r="E6185" s="197"/>
      <c r="F6185" s="197"/>
      <c r="G6185" s="197" t="s">
        <v>22</v>
      </c>
      <c r="H6185" s="197"/>
      <c r="I6185" s="209"/>
    </row>
    <row r="6186" spans="1:9">
      <c r="A6186" s="195"/>
      <c r="B6186" s="195" t="s">
        <v>207</v>
      </c>
      <c r="C6186"/>
      <c r="D6186" s="197" t="s">
        <v>515</v>
      </c>
      <c r="E6186" s="197"/>
      <c r="F6186" s="197"/>
      <c r="G6186" s="197" t="s">
        <v>22</v>
      </c>
      <c r="H6186" s="197"/>
      <c r="I6186" s="209"/>
    </row>
    <row r="6187" spans="1:9">
      <c r="A6187" s="195"/>
      <c r="B6187" s="196" t="s">
        <v>222</v>
      </c>
      <c r="C6187"/>
      <c r="D6187" s="197" t="s">
        <v>515</v>
      </c>
      <c r="E6187" s="197"/>
      <c r="F6187" s="197"/>
      <c r="G6187" s="197" t="s">
        <v>270</v>
      </c>
      <c r="H6187" s="197"/>
      <c r="I6187" s="209"/>
    </row>
    <row r="6188" spans="1:9">
      <c r="A6188" s="195"/>
      <c r="B6188" s="195" t="s">
        <v>205</v>
      </c>
      <c r="C6188"/>
      <c r="D6188" s="197" t="s">
        <v>269</v>
      </c>
      <c r="E6188" s="197"/>
      <c r="F6188" s="197"/>
      <c r="G6188" s="197" t="s">
        <v>270</v>
      </c>
      <c r="H6188" s="197"/>
      <c r="I6188" s="209"/>
    </row>
    <row r="6189" spans="1:9">
      <c r="A6189" s="195"/>
      <c r="B6189" s="195" t="s">
        <v>206</v>
      </c>
      <c r="C6189"/>
      <c r="D6189" s="197" t="s">
        <v>269</v>
      </c>
      <c r="E6189" s="197" t="s">
        <v>851</v>
      </c>
      <c r="F6189" s="197"/>
      <c r="G6189" s="197" t="s">
        <v>270</v>
      </c>
      <c r="H6189" s="197"/>
      <c r="I6189" s="209"/>
    </row>
    <row r="6190" spans="1:9">
      <c r="A6190" s="195"/>
      <c r="B6190" s="195" t="s">
        <v>207</v>
      </c>
      <c r="C6190"/>
      <c r="D6190" s="197" t="s">
        <v>269</v>
      </c>
      <c r="E6190" s="197" t="s">
        <v>851</v>
      </c>
      <c r="F6190" s="197"/>
      <c r="G6190" s="197" t="s">
        <v>270</v>
      </c>
      <c r="H6190" s="197"/>
      <c r="I6190" s="209"/>
    </row>
    <row r="6191" spans="1:9">
      <c r="A6191" s="195"/>
      <c r="B6191" s="196" t="s">
        <v>223</v>
      </c>
      <c r="C6191"/>
      <c r="D6191" s="197" t="s">
        <v>269</v>
      </c>
      <c r="E6191" s="197" t="s">
        <v>851</v>
      </c>
      <c r="F6191" s="197"/>
      <c r="G6191" s="197" t="s">
        <v>270</v>
      </c>
      <c r="H6191" s="197"/>
      <c r="I6191" s="209"/>
    </row>
    <row r="6192" spans="1:9">
      <c r="A6192" s="195"/>
      <c r="B6192" s="195" t="s">
        <v>205</v>
      </c>
      <c r="C6192"/>
      <c r="D6192" s="197" t="s">
        <v>475</v>
      </c>
      <c r="E6192" s="197" t="s">
        <v>851</v>
      </c>
      <c r="F6192" s="197"/>
      <c r="G6192" s="197" t="s">
        <v>270</v>
      </c>
      <c r="H6192" s="197"/>
      <c r="I6192" s="209"/>
    </row>
    <row r="6193" spans="1:12">
      <c r="A6193" s="195"/>
      <c r="B6193" s="195" t="s">
        <v>206</v>
      </c>
      <c r="C6193"/>
      <c r="D6193" s="197" t="s">
        <v>475</v>
      </c>
      <c r="E6193" s="197" t="s">
        <v>851</v>
      </c>
      <c r="F6193" s="197"/>
      <c r="G6193" s="197" t="s">
        <v>270</v>
      </c>
      <c r="H6193" s="197"/>
      <c r="I6193" s="209"/>
    </row>
    <row r="6194" spans="1:12">
      <c r="A6194" s="195"/>
      <c r="B6194" s="195" t="s">
        <v>207</v>
      </c>
      <c r="C6194"/>
      <c r="D6194" s="197" t="s">
        <v>361</v>
      </c>
      <c r="E6194" s="197" t="s">
        <v>851</v>
      </c>
      <c r="F6194" s="197"/>
      <c r="G6194" s="197" t="s">
        <v>270</v>
      </c>
      <c r="H6194" s="197"/>
      <c r="I6194" s="209"/>
    </row>
    <row r="6195" spans="1:12">
      <c r="A6195" s="195"/>
      <c r="B6195" s="196" t="s">
        <v>225</v>
      </c>
      <c r="C6195"/>
      <c r="D6195" s="197" t="s">
        <v>361</v>
      </c>
      <c r="E6195" s="197" t="s">
        <v>851</v>
      </c>
      <c r="F6195" s="197"/>
      <c r="G6195" s="197" t="s">
        <v>270</v>
      </c>
      <c r="H6195" s="197"/>
      <c r="I6195" s="209"/>
    </row>
    <row r="6196" spans="1:12">
      <c r="A6196" s="195"/>
      <c r="B6196" s="195" t="s">
        <v>205</v>
      </c>
      <c r="C6196"/>
      <c r="D6196" s="197"/>
      <c r="E6196" s="197"/>
      <c r="F6196" s="197"/>
      <c r="G6196" s="197" t="s">
        <v>270</v>
      </c>
      <c r="H6196" s="197"/>
      <c r="I6196" s="209"/>
    </row>
    <row r="6197" spans="1:12">
      <c r="A6197" s="195"/>
      <c r="B6197" s="195" t="s">
        <v>206</v>
      </c>
      <c r="C6197"/>
      <c r="D6197" s="197"/>
      <c r="E6197" s="197"/>
      <c r="F6197" s="197"/>
      <c r="G6197" s="197" t="s">
        <v>270</v>
      </c>
      <c r="H6197" s="197"/>
      <c r="I6197" s="209"/>
    </row>
    <row r="6198" spans="1:12">
      <c r="A6198" s="195"/>
      <c r="B6198" s="195" t="s">
        <v>207</v>
      </c>
      <c r="C6198"/>
      <c r="D6198" s="197"/>
      <c r="E6198" s="197"/>
      <c r="F6198" s="197"/>
      <c r="G6198" s="197"/>
      <c r="H6198" s="209"/>
      <c r="I6198" s="209"/>
    </row>
    <row r="6199" spans="1:12">
      <c r="A6199" s="195"/>
      <c r="B6199" s="196" t="s">
        <v>226</v>
      </c>
      <c r="C6199"/>
      <c r="D6199" s="197"/>
      <c r="E6199" s="197"/>
      <c r="F6199" s="197"/>
      <c r="G6199" s="197"/>
      <c r="H6199" s="209"/>
      <c r="I6199" s="209"/>
    </row>
    <row r="6200" spans="1:12">
      <c r="A6200" s="195"/>
      <c r="B6200" s="195" t="s">
        <v>205</v>
      </c>
      <c r="C6200"/>
      <c r="D6200" s="197"/>
      <c r="E6200" s="197"/>
      <c r="F6200" s="197"/>
      <c r="G6200" s="197"/>
      <c r="H6200" s="209"/>
      <c r="I6200" s="209"/>
    </row>
    <row r="6201" spans="1:12">
      <c r="A6201" s="195"/>
      <c r="B6201" s="195" t="s">
        <v>206</v>
      </c>
      <c r="C6201"/>
      <c r="D6201" s="197"/>
      <c r="E6201" s="197"/>
      <c r="F6201" s="197"/>
      <c r="G6201" s="197"/>
      <c r="H6201" s="209"/>
      <c r="I6201" s="209"/>
    </row>
    <row r="6202" spans="1:12">
      <c r="A6202" s="195"/>
      <c r="B6202" s="195" t="s">
        <v>207</v>
      </c>
      <c r="C6202"/>
      <c r="D6202" s="197"/>
      <c r="E6202" s="197"/>
      <c r="F6202" s="197"/>
      <c r="G6202" s="197"/>
      <c r="H6202" s="209"/>
      <c r="I6202" s="209"/>
    </row>
    <row r="6203" spans="1:12">
      <c r="A6203" s="195"/>
      <c r="B6203" s="196" t="s">
        <v>227</v>
      </c>
      <c r="C6203"/>
      <c r="D6203" s="197"/>
      <c r="E6203" s="197"/>
      <c r="F6203" s="197"/>
      <c r="G6203" s="197"/>
      <c r="H6203" s="209"/>
      <c r="I6203" s="209"/>
      <c r="K6203"/>
    </row>
    <row r="6204" spans="1:12" ht="29.25" thickBot="1">
      <c r="A6204" s="182" t="str">
        <f>"回収シフト  第"&amp;ROUNDUP(DAY(B6207)/7,0)  &amp;"  "&amp;TEXT(B6207,"aaaa")</f>
        <v>回収シフト  第2  水曜日</v>
      </c>
      <c r="B6204" s="183"/>
      <c r="C6204" s="183"/>
      <c r="D6204" s="183"/>
      <c r="E6204" s="183"/>
      <c r="F6204" s="183"/>
      <c r="G6204" s="184"/>
      <c r="H6204" s="184"/>
      <c r="I6204" s="184"/>
      <c r="K6204" s="183"/>
      <c r="L6204" s="183"/>
    </row>
    <row r="6205" spans="1:12" ht="15.75" thickBot="1">
      <c r="A6205"/>
      <c r="B6205"/>
      <c r="C6205"/>
      <c r="D6205" s="186" t="s">
        <v>201</v>
      </c>
      <c r="E6205" s="186" t="s">
        <v>202</v>
      </c>
      <c r="F6205" s="186" t="s">
        <v>203</v>
      </c>
      <c r="G6205" s="186" t="s">
        <v>204</v>
      </c>
      <c r="H6205" s="186" t="s">
        <v>267</v>
      </c>
      <c r="I6205" s="186" t="s">
        <v>267</v>
      </c>
      <c r="K6205" s="230" t="s">
        <v>257</v>
      </c>
      <c r="L6205" s="231"/>
    </row>
    <row r="6206" spans="1:12">
      <c r="A6206" s="187"/>
      <c r="B6206" s="188">
        <v>46119</v>
      </c>
      <c r="C6206" s="187"/>
      <c r="D6206" s="189" t="s">
        <v>890</v>
      </c>
      <c r="E6206" s="189" t="s">
        <v>248</v>
      </c>
      <c r="F6206" s="189" t="s">
        <v>276</v>
      </c>
      <c r="G6206" s="189" t="s">
        <v>986</v>
      </c>
      <c r="H6206" s="189" t="s">
        <v>852</v>
      </c>
      <c r="I6206" s="189" t="s">
        <v>360</v>
      </c>
      <c r="K6206" s="232" t="s">
        <v>258</v>
      </c>
      <c r="L6206" s="190" t="str">
        <f>_xlfn.XLOOKUP($B6207,シフト抽出!$19:$19,シフト抽出!$20:$20,"該当なし",0,1)</f>
        <v>該当なし</v>
      </c>
    </row>
    <row r="6207" spans="1:12" ht="19.5" thickBot="1">
      <c r="A6207"/>
      <c r="B6207" s="191">
        <f>B6154+1</f>
        <v>46246</v>
      </c>
      <c r="C6207" s="192" t="e">
        <v>#REF!</v>
      </c>
      <c r="D6207" s="193"/>
      <c r="E6207" s="193"/>
      <c r="F6207" s="193"/>
      <c r="G6207" s="193"/>
      <c r="H6207" s="193"/>
      <c r="I6207" s="193"/>
      <c r="K6207" s="233"/>
      <c r="L6207" s="194" t="str">
        <f>_xlfn.XLOOKUP($B6207,シフト抽出!$19:$19,シフト抽出!$21:$21,"該当なし",0,1)</f>
        <v>該当なし</v>
      </c>
    </row>
    <row r="6208" spans="1:12">
      <c r="A6208" s="195"/>
      <c r="B6208" s="196">
        <v>0.25</v>
      </c>
      <c r="C6208"/>
      <c r="D6208" s="197"/>
      <c r="E6208" s="197"/>
      <c r="F6208" s="197"/>
      <c r="G6208" s="197"/>
      <c r="H6208" s="197"/>
      <c r="I6208" s="197"/>
      <c r="K6208" s="234" t="s">
        <v>259</v>
      </c>
      <c r="L6208" s="198" t="str">
        <f>_xlfn.XLOOKUP($B6207,シフト抽出!$19:$19,シフト抽出!$23:$23,"該当なし",0,1)</f>
        <v>該当なし</v>
      </c>
    </row>
    <row r="6209" spans="1:12" ht="15.75" thickBot="1">
      <c r="A6209" s="195"/>
      <c r="B6209" s="195" t="s">
        <v>205</v>
      </c>
      <c r="C6209"/>
      <c r="D6209" s="197"/>
      <c r="E6209" s="197"/>
      <c r="F6209" s="197"/>
      <c r="G6209" s="197"/>
      <c r="H6209" s="197"/>
      <c r="I6209" s="197"/>
      <c r="K6209" s="235"/>
      <c r="L6209" s="199" t="str">
        <f>_xlfn.XLOOKUP($B6207,シフト抽出!$19:$19,シフト抽出!$24:$24,"該当なし",0,1)</f>
        <v>該当なし</v>
      </c>
    </row>
    <row r="6210" spans="1:12">
      <c r="A6210" s="195"/>
      <c r="B6210" s="195" t="s">
        <v>206</v>
      </c>
      <c r="C6210"/>
      <c r="D6210" s="197"/>
      <c r="E6210" s="197"/>
      <c r="F6210" s="197"/>
      <c r="G6210" s="197"/>
      <c r="H6210" s="197"/>
      <c r="I6210" s="197"/>
      <c r="K6210" s="224" t="s">
        <v>260</v>
      </c>
      <c r="L6210" s="200" t="str">
        <f>_xlfn.XLOOKUP($B6207,シフト抽出!$19:$19,シフト抽出!$26:$26,"該当なし",0,1)</f>
        <v>該当なし</v>
      </c>
    </row>
    <row r="6211" spans="1:12">
      <c r="A6211" s="195"/>
      <c r="B6211" s="195" t="s">
        <v>207</v>
      </c>
      <c r="C6211"/>
      <c r="D6211" s="197"/>
      <c r="E6211" s="197" t="s">
        <v>109</v>
      </c>
      <c r="F6211" s="197"/>
      <c r="G6211" s="197"/>
      <c r="H6211" s="197"/>
      <c r="I6211" s="197"/>
      <c r="K6211" s="225"/>
      <c r="L6211" s="201" t="str">
        <f>_xlfn.XLOOKUP($B6207,シフト抽出!$19:$19,シフト抽出!$27:$27,"該当なし",0,1)</f>
        <v>該当なし</v>
      </c>
    </row>
    <row r="6212" spans="1:12">
      <c r="A6212" s="195"/>
      <c r="B6212" s="202" t="s">
        <v>208</v>
      </c>
      <c r="C6212"/>
      <c r="D6212" s="197" t="s">
        <v>851</v>
      </c>
      <c r="E6212" s="197" t="s">
        <v>414</v>
      </c>
      <c r="F6212" s="197"/>
      <c r="G6212" s="197" t="s">
        <v>22</v>
      </c>
      <c r="H6212" s="197"/>
      <c r="I6212" s="197"/>
      <c r="J6212" s="203"/>
      <c r="K6212" s="225"/>
      <c r="L6212" s="201" t="str">
        <f>_xlfn.XLOOKUP($B6207,シフト抽出!$19:$19,シフト抽出!$28:$28,"該当なし",0,1)</f>
        <v>該当なし</v>
      </c>
    </row>
    <row r="6213" spans="1:12" ht="15.75" thickBot="1">
      <c r="A6213" s="195"/>
      <c r="B6213" s="195" t="s">
        <v>205</v>
      </c>
      <c r="C6213"/>
      <c r="D6213" s="197" t="s">
        <v>851</v>
      </c>
      <c r="E6213" s="197" t="s">
        <v>414</v>
      </c>
      <c r="F6213" s="197"/>
      <c r="G6213" s="197" t="s">
        <v>22</v>
      </c>
      <c r="H6213" s="197"/>
      <c r="I6213" s="197"/>
      <c r="J6213" s="203"/>
      <c r="K6213" s="226"/>
      <c r="L6213" s="204" t="str">
        <f>_xlfn.XLOOKUP($B6207,シフト抽出!$19:$19,シフト抽出!$29:$29,"該当なし",0,1)</f>
        <v>該当なし</v>
      </c>
    </row>
    <row r="6214" spans="1:12" ht="15.75" thickBot="1">
      <c r="A6214" s="195"/>
      <c r="B6214" s="195" t="s">
        <v>206</v>
      </c>
      <c r="C6214"/>
      <c r="D6214" s="197" t="s">
        <v>851</v>
      </c>
      <c r="E6214" s="197" t="s">
        <v>414</v>
      </c>
      <c r="F6214" s="197"/>
      <c r="G6214" s="197" t="s">
        <v>793</v>
      </c>
      <c r="H6214" s="197"/>
      <c r="I6214" s="197"/>
      <c r="K6214" s="205" t="s">
        <v>261</v>
      </c>
      <c r="L6214" s="205">
        <f>_xlfn.XLOOKUP($B6207,予定表!B:B,予定表!R:R,"該当なし",0,1)</f>
        <v>0</v>
      </c>
    </row>
    <row r="6215" spans="1:12">
      <c r="A6215" s="195"/>
      <c r="B6215" s="195" t="s">
        <v>207</v>
      </c>
      <c r="C6215"/>
      <c r="D6215" s="197" t="s">
        <v>851</v>
      </c>
      <c r="E6215" s="197" t="s">
        <v>414</v>
      </c>
      <c r="F6215" s="197"/>
      <c r="G6215" s="197" t="s">
        <v>1033</v>
      </c>
      <c r="H6215" s="197"/>
      <c r="I6215" s="197"/>
      <c r="K6215" s="227" t="s">
        <v>262</v>
      </c>
      <c r="L6215" s="206">
        <f>_xlfn.XLOOKUP($B6207,予定表!$B:$B,予定表!E:E,"該当なし",0,1)</f>
        <v>0</v>
      </c>
    </row>
    <row r="6216" spans="1:12">
      <c r="A6216" s="195"/>
      <c r="B6216" s="196" t="s">
        <v>209</v>
      </c>
      <c r="C6216"/>
      <c r="D6216" s="197" t="s">
        <v>851</v>
      </c>
      <c r="E6216" s="197" t="s">
        <v>414</v>
      </c>
      <c r="F6216" s="197"/>
      <c r="G6216" s="197" t="s">
        <v>268</v>
      </c>
      <c r="H6216" s="197" t="s">
        <v>793</v>
      </c>
      <c r="I6216" s="197" t="s">
        <v>416</v>
      </c>
      <c r="K6216" s="228"/>
      <c r="L6216" s="207" t="str">
        <f>_xlfn.XLOOKUP($B6207,予定表!$B:$B,予定表!F:F,"該当なし",0,1)</f>
        <v>ﾕﾆﾏｯﾄLIFEあり</v>
      </c>
    </row>
    <row r="6217" spans="1:12">
      <c r="A6217" s="195"/>
      <c r="B6217" s="195" t="s">
        <v>205</v>
      </c>
      <c r="C6217"/>
      <c r="D6217" s="197" t="s">
        <v>851</v>
      </c>
      <c r="E6217" s="197" t="s">
        <v>414</v>
      </c>
      <c r="F6217" s="197"/>
      <c r="G6217" s="197" t="s">
        <v>268</v>
      </c>
      <c r="H6217" s="197" t="s">
        <v>989</v>
      </c>
      <c r="I6217" s="197" t="s">
        <v>999</v>
      </c>
      <c r="K6217" s="228"/>
      <c r="L6217" s="207" t="str">
        <f>_xlfn.XLOOKUP($B6207,予定表!$B:$B,予定表!G:G,"該当なし",0,1)</f>
        <v>ディーミング</v>
      </c>
    </row>
    <row r="6218" spans="1:12">
      <c r="A6218" s="195"/>
      <c r="B6218" s="195" t="s">
        <v>206</v>
      </c>
      <c r="C6218"/>
      <c r="D6218" s="197" t="s">
        <v>851</v>
      </c>
      <c r="E6218" s="197" t="s">
        <v>878</v>
      </c>
      <c r="F6218" s="197"/>
      <c r="G6218" s="197" t="s">
        <v>268</v>
      </c>
      <c r="H6218" s="197" t="s">
        <v>848</v>
      </c>
      <c r="I6218" s="197" t="s">
        <v>416</v>
      </c>
      <c r="K6218" s="228"/>
      <c r="L6218" s="207" t="str">
        <f>_xlfn.XLOOKUP($B6207,予定表!$B:$B,予定表!H:H,"該当なし",0,1)</f>
        <v>'資さん 平塚</v>
      </c>
    </row>
    <row r="6219" spans="1:12">
      <c r="A6219" s="195"/>
      <c r="B6219" s="195" t="s">
        <v>207</v>
      </c>
      <c r="C6219"/>
      <c r="D6219" s="197" t="s">
        <v>416</v>
      </c>
      <c r="E6219" s="197" t="s">
        <v>878</v>
      </c>
      <c r="F6219" s="197"/>
      <c r="G6219" s="197" t="s">
        <v>268</v>
      </c>
      <c r="H6219" s="197" t="s">
        <v>848</v>
      </c>
      <c r="I6219" s="197" t="s">
        <v>416</v>
      </c>
      <c r="K6219" s="228"/>
      <c r="L6219" s="207" t="str">
        <f>_xlfn.XLOOKUP($B6207,予定表!$B:$B,予定表!I:I,"該当なし",0,1)</f>
        <v>カインズAM8</v>
      </c>
    </row>
    <row r="6220" spans="1:12">
      <c r="A6220" s="195"/>
      <c r="B6220" s="196" t="s">
        <v>212</v>
      </c>
      <c r="C6220"/>
      <c r="D6220" s="197" t="s">
        <v>416</v>
      </c>
      <c r="E6220" s="197" t="s">
        <v>761</v>
      </c>
      <c r="F6220" s="197"/>
      <c r="G6220" s="197" t="s">
        <v>268</v>
      </c>
      <c r="H6220" s="197" t="s">
        <v>848</v>
      </c>
      <c r="I6220" s="197" t="s">
        <v>416</v>
      </c>
      <c r="K6220" s="228"/>
      <c r="L6220" s="207">
        <f>_xlfn.XLOOKUP($B6207,予定表!$B:$B,予定表!J:J,"該当なし",0,1)</f>
        <v>0</v>
      </c>
    </row>
    <row r="6221" spans="1:12">
      <c r="A6221" s="195"/>
      <c r="B6221" s="195" t="s">
        <v>205</v>
      </c>
      <c r="C6221"/>
      <c r="D6221" s="197" t="s">
        <v>416</v>
      </c>
      <c r="E6221" s="197" t="s">
        <v>761</v>
      </c>
      <c r="F6221" s="197"/>
      <c r="G6221" s="197" t="s">
        <v>268</v>
      </c>
      <c r="H6221" s="197" t="s">
        <v>848</v>
      </c>
      <c r="I6221" s="197" t="s">
        <v>416</v>
      </c>
      <c r="K6221" s="228"/>
      <c r="L6221" s="207">
        <f>_xlfn.XLOOKUP($B6207,予定表!$B:$B,予定表!K:K,"該当なし",0,1)</f>
        <v>0</v>
      </c>
    </row>
    <row r="6222" spans="1:12">
      <c r="A6222" s="195"/>
      <c r="B6222" s="195" t="s">
        <v>206</v>
      </c>
      <c r="C6222"/>
      <c r="D6222" s="197" t="s">
        <v>416</v>
      </c>
      <c r="E6222" s="197" t="s">
        <v>761</v>
      </c>
      <c r="F6222" s="197"/>
      <c r="G6222" s="197" t="s">
        <v>515</v>
      </c>
      <c r="H6222" s="197" t="s">
        <v>848</v>
      </c>
      <c r="I6222" s="197" t="s">
        <v>416</v>
      </c>
      <c r="K6222" s="228"/>
      <c r="L6222" s="207">
        <f>_xlfn.XLOOKUP($B6207,予定表!$B:$B,予定表!L:L,"該当なし",0,1)</f>
        <v>0</v>
      </c>
    </row>
    <row r="6223" spans="1:12" ht="15.75" thickBot="1">
      <c r="A6223" s="195"/>
      <c r="B6223" s="195" t="s">
        <v>207</v>
      </c>
      <c r="C6223"/>
      <c r="D6223" s="197" t="s">
        <v>771</v>
      </c>
      <c r="E6223" s="197" t="s">
        <v>215</v>
      </c>
      <c r="F6223" s="197"/>
      <c r="G6223" s="197" t="s">
        <v>515</v>
      </c>
      <c r="H6223" s="197" t="s">
        <v>848</v>
      </c>
      <c r="I6223" s="197" t="s">
        <v>416</v>
      </c>
      <c r="K6223" s="229"/>
      <c r="L6223" s="204" t="str">
        <f>_xlfn.XLOOKUP($A6204,ﾘｽﾄマスタ!$U$8:$U$17,ﾘｽﾄマスタ!$V$8:$V$17,"",0)</f>
        <v>裕源・自衛隊</v>
      </c>
    </row>
    <row r="6224" spans="1:12" ht="15.75" thickBot="1">
      <c r="A6224" s="195"/>
      <c r="B6224" s="196" t="s">
        <v>251</v>
      </c>
      <c r="C6224"/>
      <c r="D6224" s="197" t="s">
        <v>416</v>
      </c>
      <c r="E6224" s="197" t="s">
        <v>215</v>
      </c>
      <c r="F6224" s="197"/>
      <c r="G6224" s="197" t="s">
        <v>515</v>
      </c>
      <c r="H6224" s="197" t="s">
        <v>848</v>
      </c>
      <c r="I6224" s="197" t="s">
        <v>416</v>
      </c>
      <c r="K6224" s="208" t="s">
        <v>277</v>
      </c>
      <c r="L6224" s="208" t="str">
        <f>_xlfn.XLOOKUP($B6207,シフト抽出!$19:$19,シフト抽出!$30:$30,"該当なし",0,1)</f>
        <v>該当なし</v>
      </c>
    </row>
    <row r="6225" spans="1:9">
      <c r="A6225" s="195"/>
      <c r="B6225" s="195" t="s">
        <v>205</v>
      </c>
      <c r="C6225"/>
      <c r="D6225" s="197" t="s">
        <v>416</v>
      </c>
      <c r="E6225" s="197" t="s">
        <v>397</v>
      </c>
      <c r="F6225" s="197"/>
      <c r="G6225" s="197" t="s">
        <v>269</v>
      </c>
      <c r="H6225" s="197" t="s">
        <v>848</v>
      </c>
      <c r="I6225" s="197" t="s">
        <v>416</v>
      </c>
    </row>
    <row r="6226" spans="1:9">
      <c r="A6226" s="195"/>
      <c r="B6226" s="195" t="s">
        <v>206</v>
      </c>
      <c r="C6226"/>
      <c r="D6226" s="197" t="s">
        <v>224</v>
      </c>
      <c r="E6226" s="197" t="s">
        <v>397</v>
      </c>
      <c r="F6226" s="197"/>
      <c r="G6226" s="197" t="s">
        <v>269</v>
      </c>
      <c r="H6226" s="197" t="s">
        <v>848</v>
      </c>
      <c r="I6226" s="197" t="s">
        <v>416</v>
      </c>
    </row>
    <row r="6227" spans="1:9">
      <c r="A6227" s="195"/>
      <c r="B6227" s="195" t="s">
        <v>207</v>
      </c>
      <c r="C6227"/>
      <c r="D6227" s="197" t="s">
        <v>224</v>
      </c>
      <c r="E6227" s="197" t="s">
        <v>51</v>
      </c>
      <c r="F6227" s="197"/>
      <c r="G6227" s="197" t="s">
        <v>446</v>
      </c>
      <c r="H6227" s="197" t="s">
        <v>848</v>
      </c>
      <c r="I6227" s="197" t="s">
        <v>416</v>
      </c>
    </row>
    <row r="6228" spans="1:9">
      <c r="A6228" s="195"/>
      <c r="B6228" s="196" t="s">
        <v>217</v>
      </c>
      <c r="C6228"/>
      <c r="D6228" s="197" t="s">
        <v>224</v>
      </c>
      <c r="E6228" s="197" t="s">
        <v>51</v>
      </c>
      <c r="F6228" s="197"/>
      <c r="G6228" s="197" t="s">
        <v>446</v>
      </c>
      <c r="H6228" s="197" t="s">
        <v>415</v>
      </c>
      <c r="I6228" s="221" t="s">
        <v>193</v>
      </c>
    </row>
    <row r="6229" spans="1:9">
      <c r="A6229" s="195"/>
      <c r="B6229" s="195" t="s">
        <v>205</v>
      </c>
      <c r="C6229"/>
      <c r="D6229" s="197" t="s">
        <v>224</v>
      </c>
      <c r="E6229" s="197" t="s">
        <v>51</v>
      </c>
      <c r="F6229" s="197"/>
      <c r="G6229" s="197" t="s">
        <v>114</v>
      </c>
      <c r="H6229" s="197" t="s">
        <v>415</v>
      </c>
      <c r="I6229" s="221" t="s">
        <v>193</v>
      </c>
    </row>
    <row r="6230" spans="1:9">
      <c r="A6230" s="195"/>
      <c r="B6230" s="195" t="s">
        <v>206</v>
      </c>
      <c r="C6230"/>
      <c r="D6230" s="197"/>
      <c r="E6230" s="197"/>
      <c r="F6230" s="197"/>
      <c r="G6230" s="197" t="s">
        <v>114</v>
      </c>
      <c r="H6230" s="197" t="s">
        <v>415</v>
      </c>
      <c r="I6230" s="221"/>
    </row>
    <row r="6231" spans="1:9">
      <c r="A6231" s="195"/>
      <c r="B6231" s="195" t="s">
        <v>207</v>
      </c>
      <c r="C6231"/>
      <c r="D6231" s="197"/>
      <c r="E6231" s="197"/>
      <c r="F6231" s="197"/>
      <c r="G6231" s="197"/>
      <c r="H6231" s="221"/>
      <c r="I6231" s="221"/>
    </row>
    <row r="6232" spans="1:9">
      <c r="A6232" s="195"/>
      <c r="B6232" s="196" t="s">
        <v>219</v>
      </c>
      <c r="C6232"/>
      <c r="D6232" s="197"/>
      <c r="E6232" s="197"/>
      <c r="F6232" s="197"/>
      <c r="G6232" s="197"/>
      <c r="H6232" s="221"/>
      <c r="I6232" s="221"/>
    </row>
    <row r="6233" spans="1:9">
      <c r="A6233" s="195"/>
      <c r="B6233" s="195" t="s">
        <v>205</v>
      </c>
      <c r="C6233"/>
      <c r="D6233" s="197"/>
      <c r="E6233" s="197"/>
      <c r="F6233" s="197"/>
      <c r="G6233" s="197"/>
      <c r="H6233" s="221"/>
      <c r="I6233" s="221"/>
    </row>
    <row r="6234" spans="1:9">
      <c r="A6234" s="195"/>
      <c r="B6234" s="195" t="s">
        <v>206</v>
      </c>
      <c r="C6234"/>
      <c r="D6234" s="197"/>
      <c r="E6234" s="197"/>
      <c r="F6234" s="197"/>
      <c r="G6234" s="197"/>
      <c r="H6234" s="221"/>
      <c r="I6234" s="221"/>
    </row>
    <row r="6235" spans="1:9">
      <c r="A6235" s="195"/>
      <c r="B6235" s="195" t="s">
        <v>207</v>
      </c>
      <c r="C6235"/>
      <c r="D6235" s="221"/>
      <c r="E6235" s="221"/>
      <c r="F6235" s="197"/>
      <c r="G6235" s="221"/>
      <c r="H6235" s="221"/>
      <c r="I6235" s="221"/>
    </row>
    <row r="6236" spans="1:9">
      <c r="A6236" s="195"/>
      <c r="B6236" s="196" t="s">
        <v>220</v>
      </c>
      <c r="C6236"/>
      <c r="D6236" s="189" t="s">
        <v>863</v>
      </c>
      <c r="E6236" s="189"/>
      <c r="F6236" s="197"/>
      <c r="G6236" s="189" t="s">
        <v>925</v>
      </c>
      <c r="H6236" s="197"/>
      <c r="I6236" s="221"/>
    </row>
    <row r="6237" spans="1:9">
      <c r="A6237" s="195"/>
      <c r="B6237" s="195" t="s">
        <v>205</v>
      </c>
      <c r="C6237"/>
      <c r="D6237" s="197" t="s">
        <v>759</v>
      </c>
      <c r="E6237" s="197" t="s">
        <v>214</v>
      </c>
      <c r="F6237" s="197"/>
      <c r="G6237" s="197" t="s">
        <v>56</v>
      </c>
      <c r="H6237" s="197" t="s">
        <v>415</v>
      </c>
      <c r="I6237" s="221"/>
    </row>
    <row r="6238" spans="1:9">
      <c r="A6238" s="195"/>
      <c r="B6238" s="195" t="s">
        <v>206</v>
      </c>
      <c r="C6238"/>
      <c r="D6238" s="197" t="s">
        <v>759</v>
      </c>
      <c r="E6238" s="197" t="s">
        <v>214</v>
      </c>
      <c r="F6238" s="197"/>
      <c r="G6238" s="197" t="s">
        <v>56</v>
      </c>
      <c r="H6238" s="197" t="s">
        <v>415</v>
      </c>
      <c r="I6238" s="221"/>
    </row>
    <row r="6239" spans="1:9">
      <c r="A6239" s="195"/>
      <c r="B6239" s="195" t="s">
        <v>207</v>
      </c>
      <c r="C6239"/>
      <c r="D6239" s="197" t="s">
        <v>366</v>
      </c>
      <c r="E6239" s="197" t="s">
        <v>214</v>
      </c>
      <c r="F6239" s="197"/>
      <c r="G6239" s="197" t="s">
        <v>56</v>
      </c>
      <c r="H6239" s="197" t="s">
        <v>415</v>
      </c>
      <c r="I6239" s="221"/>
    </row>
    <row r="6240" spans="1:9">
      <c r="A6240" s="195"/>
      <c r="B6240" s="196" t="s">
        <v>222</v>
      </c>
      <c r="C6240"/>
      <c r="D6240" s="197" t="s">
        <v>366</v>
      </c>
      <c r="E6240" s="197" t="s">
        <v>273</v>
      </c>
      <c r="F6240" s="197"/>
      <c r="G6240" s="197"/>
      <c r="H6240" s="197" t="s">
        <v>415</v>
      </c>
      <c r="I6240" s="197"/>
    </row>
    <row r="6241" spans="1:11">
      <c r="A6241" s="195"/>
      <c r="B6241" s="195" t="s">
        <v>205</v>
      </c>
      <c r="C6241"/>
      <c r="D6241" s="197" t="s">
        <v>216</v>
      </c>
      <c r="E6241" s="197" t="s">
        <v>273</v>
      </c>
      <c r="F6241" s="197"/>
      <c r="G6241" s="197" t="s">
        <v>270</v>
      </c>
      <c r="H6241" s="197" t="s">
        <v>415</v>
      </c>
      <c r="I6241" s="197"/>
    </row>
    <row r="6242" spans="1:11">
      <c r="A6242" s="195"/>
      <c r="B6242" s="195" t="s">
        <v>206</v>
      </c>
      <c r="C6242"/>
      <c r="D6242" s="197" t="s">
        <v>216</v>
      </c>
      <c r="E6242" s="197" t="s">
        <v>186</v>
      </c>
      <c r="F6242" s="197"/>
      <c r="G6242" s="197" t="s">
        <v>270</v>
      </c>
      <c r="H6242" s="197" t="s">
        <v>415</v>
      </c>
      <c r="I6242" s="197"/>
    </row>
    <row r="6243" spans="1:11">
      <c r="A6243" s="195"/>
      <c r="B6243" s="195" t="s">
        <v>207</v>
      </c>
      <c r="C6243"/>
      <c r="D6243" s="197" t="s">
        <v>216</v>
      </c>
      <c r="E6243" s="197" t="s">
        <v>186</v>
      </c>
      <c r="F6243" s="197"/>
      <c r="G6243" s="197" t="s">
        <v>270</v>
      </c>
      <c r="H6243" s="197" t="s">
        <v>415</v>
      </c>
      <c r="I6243" s="209"/>
    </row>
    <row r="6244" spans="1:11">
      <c r="A6244" s="195"/>
      <c r="B6244" s="196" t="s">
        <v>223</v>
      </c>
      <c r="C6244"/>
      <c r="D6244" s="197" t="s">
        <v>216</v>
      </c>
      <c r="E6244" s="197" t="s">
        <v>851</v>
      </c>
      <c r="F6244" s="197"/>
      <c r="G6244" s="197" t="s">
        <v>270</v>
      </c>
      <c r="H6244" s="197" t="s">
        <v>415</v>
      </c>
      <c r="I6244" s="209"/>
    </row>
    <row r="6245" spans="1:11">
      <c r="A6245" s="195"/>
      <c r="B6245" s="195" t="s">
        <v>205</v>
      </c>
      <c r="C6245"/>
      <c r="D6245" s="197" t="s">
        <v>523</v>
      </c>
      <c r="E6245" s="197" t="s">
        <v>851</v>
      </c>
      <c r="F6245" s="197"/>
      <c r="G6245" s="197" t="s">
        <v>270</v>
      </c>
      <c r="H6245" s="197" t="s">
        <v>415</v>
      </c>
      <c r="I6245" s="209"/>
    </row>
    <row r="6246" spans="1:11">
      <c r="A6246" s="195"/>
      <c r="B6246" s="195" t="s">
        <v>206</v>
      </c>
      <c r="C6246"/>
      <c r="D6246" s="197" t="s">
        <v>523</v>
      </c>
      <c r="E6246" s="197" t="s">
        <v>851</v>
      </c>
      <c r="F6246" s="197"/>
      <c r="G6246" s="197" t="s">
        <v>270</v>
      </c>
      <c r="H6246" s="197" t="s">
        <v>415</v>
      </c>
      <c r="I6246" s="209"/>
    </row>
    <row r="6247" spans="1:11">
      <c r="A6247" s="195"/>
      <c r="B6247" s="195" t="s">
        <v>207</v>
      </c>
      <c r="C6247"/>
      <c r="D6247" s="197" t="s">
        <v>523</v>
      </c>
      <c r="E6247" s="197" t="s">
        <v>851</v>
      </c>
      <c r="F6247" s="197"/>
      <c r="G6247" s="197" t="s">
        <v>270</v>
      </c>
      <c r="H6247" s="197" t="s">
        <v>415</v>
      </c>
      <c r="I6247" s="209"/>
    </row>
    <row r="6248" spans="1:11">
      <c r="A6248" s="195"/>
      <c r="B6248" s="196" t="s">
        <v>225</v>
      </c>
      <c r="C6248"/>
      <c r="D6248" s="197" t="s">
        <v>523</v>
      </c>
      <c r="E6248" s="197" t="s">
        <v>851</v>
      </c>
      <c r="F6248" s="197"/>
      <c r="G6248" s="197" t="s">
        <v>270</v>
      </c>
      <c r="H6248" s="197" t="s">
        <v>415</v>
      </c>
      <c r="I6248" s="209"/>
    </row>
    <row r="6249" spans="1:11">
      <c r="A6249" s="195"/>
      <c r="B6249" s="195" t="s">
        <v>205</v>
      </c>
      <c r="C6249"/>
      <c r="D6249" s="197"/>
      <c r="E6249" s="197" t="s">
        <v>851</v>
      </c>
      <c r="F6249" s="197"/>
      <c r="G6249" s="197" t="s">
        <v>270</v>
      </c>
      <c r="H6249" s="197" t="s">
        <v>415</v>
      </c>
      <c r="I6249" s="209"/>
    </row>
    <row r="6250" spans="1:11">
      <c r="A6250" s="195"/>
      <c r="B6250" s="195" t="s">
        <v>206</v>
      </c>
      <c r="C6250"/>
      <c r="D6250" s="197"/>
      <c r="E6250" s="197" t="s">
        <v>851</v>
      </c>
      <c r="F6250" s="197"/>
      <c r="G6250" s="197" t="s">
        <v>270</v>
      </c>
      <c r="H6250" s="197" t="s">
        <v>415</v>
      </c>
      <c r="I6250" s="209"/>
    </row>
    <row r="6251" spans="1:11">
      <c r="A6251" s="195"/>
      <c r="B6251" s="195" t="s">
        <v>207</v>
      </c>
      <c r="C6251"/>
      <c r="D6251" s="197"/>
      <c r="E6251" s="197"/>
      <c r="F6251" s="197"/>
      <c r="G6251" s="197" t="s">
        <v>270</v>
      </c>
      <c r="H6251" s="197" t="s">
        <v>415</v>
      </c>
      <c r="I6251" s="209"/>
    </row>
    <row r="6252" spans="1:11">
      <c r="A6252" s="195"/>
      <c r="B6252" s="196" t="s">
        <v>226</v>
      </c>
      <c r="C6252"/>
      <c r="D6252" s="197"/>
      <c r="E6252" s="197"/>
      <c r="F6252" s="197"/>
      <c r="G6252" s="197"/>
      <c r="H6252" s="209"/>
      <c r="I6252" s="209"/>
    </row>
    <row r="6253" spans="1:11">
      <c r="A6253" s="195"/>
      <c r="B6253" s="195" t="s">
        <v>205</v>
      </c>
      <c r="C6253"/>
      <c r="D6253" s="197"/>
      <c r="E6253" s="197"/>
      <c r="F6253" s="197"/>
      <c r="G6253" s="197"/>
      <c r="H6253" s="209"/>
      <c r="I6253" s="209"/>
    </row>
    <row r="6254" spans="1:11">
      <c r="A6254" s="195"/>
      <c r="B6254" s="195" t="s">
        <v>206</v>
      </c>
      <c r="C6254"/>
      <c r="D6254" s="197"/>
      <c r="E6254" s="197"/>
      <c r="F6254" s="197"/>
      <c r="G6254" s="197"/>
      <c r="H6254" s="209"/>
      <c r="I6254" s="209"/>
    </row>
    <row r="6255" spans="1:11">
      <c r="A6255" s="195"/>
      <c r="B6255" s="195" t="s">
        <v>207</v>
      </c>
      <c r="C6255"/>
      <c r="D6255" s="197"/>
      <c r="E6255" s="197"/>
      <c r="F6255" s="197"/>
      <c r="G6255" s="197"/>
      <c r="H6255" s="209"/>
      <c r="I6255" s="209"/>
    </row>
    <row r="6256" spans="1:11">
      <c r="A6256" s="195"/>
      <c r="B6256" s="196" t="s">
        <v>227</v>
      </c>
      <c r="C6256"/>
      <c r="D6256" s="197"/>
      <c r="E6256" s="197"/>
      <c r="F6256" s="197"/>
      <c r="G6256" s="197"/>
      <c r="H6256" s="209"/>
      <c r="I6256" s="209"/>
      <c r="K6256"/>
    </row>
    <row r="6257" spans="1:12" ht="29.25" thickBot="1">
      <c r="A6257" s="182" t="str">
        <f>"回収シフト  第"&amp;ROUNDUP(DAY(B6260)/7,0)  &amp;"  "&amp;TEXT(B6260,"aaaa")</f>
        <v>回収シフト  第2  木曜日</v>
      </c>
      <c r="B6257" s="183"/>
      <c r="C6257" s="183"/>
      <c r="D6257" s="183"/>
      <c r="E6257" s="183"/>
      <c r="F6257" s="183"/>
      <c r="G6257" s="184"/>
      <c r="H6257" s="184"/>
      <c r="K6257" s="183"/>
      <c r="L6257" s="183"/>
    </row>
    <row r="6258" spans="1:12" ht="15.75" thickBot="1">
      <c r="A6258"/>
      <c r="B6258"/>
      <c r="C6258"/>
      <c r="D6258" s="186" t="s">
        <v>201</v>
      </c>
      <c r="E6258" s="186" t="s">
        <v>202</v>
      </c>
      <c r="F6258" s="186" t="s">
        <v>203</v>
      </c>
      <c r="G6258" s="186" t="s">
        <v>204</v>
      </c>
      <c r="H6258" s="186" t="s">
        <v>267</v>
      </c>
      <c r="K6258" s="230" t="s">
        <v>257</v>
      </c>
      <c r="L6258" s="231"/>
    </row>
    <row r="6259" spans="1:12">
      <c r="A6259" s="187"/>
      <c r="B6259" s="188">
        <v>46119</v>
      </c>
      <c r="C6259" s="187"/>
      <c r="D6259" s="189" t="s">
        <v>418</v>
      </c>
      <c r="E6259" s="189" t="s">
        <v>248</v>
      </c>
      <c r="F6259" s="189"/>
      <c r="G6259" s="189" t="s">
        <v>925</v>
      </c>
      <c r="H6259" s="189" t="s">
        <v>852</v>
      </c>
      <c r="K6259" s="232" t="s">
        <v>258</v>
      </c>
      <c r="L6259" s="190" t="str">
        <f>_xlfn.XLOOKUP($B6260,シフト抽出!$19:$19,シフト抽出!$20:$20,"該当なし",0,1)</f>
        <v>該当なし</v>
      </c>
    </row>
    <row r="6260" spans="1:12" ht="19.5" thickBot="1">
      <c r="A6260"/>
      <c r="B6260" s="191">
        <f>B6207+1</f>
        <v>46247</v>
      </c>
      <c r="C6260" s="192"/>
      <c r="D6260" s="193"/>
      <c r="E6260" s="193"/>
      <c r="F6260" s="193"/>
      <c r="G6260" s="193"/>
      <c r="H6260" s="193"/>
      <c r="K6260" s="233"/>
      <c r="L6260" s="194" t="str">
        <f>_xlfn.XLOOKUP($B6260,シフト抽出!$19:$19,シフト抽出!$21:$21,"該当なし",0,1)</f>
        <v>該当なし</v>
      </c>
    </row>
    <row r="6261" spans="1:12">
      <c r="A6261" s="195"/>
      <c r="B6261" s="196">
        <v>0.25</v>
      </c>
      <c r="C6261"/>
      <c r="D6261" s="197"/>
      <c r="E6261" s="196"/>
      <c r="F6261" s="197"/>
      <c r="G6261" s="197"/>
      <c r="H6261" s="197"/>
      <c r="K6261" s="234" t="s">
        <v>259</v>
      </c>
      <c r="L6261" s="198" t="str">
        <f>_xlfn.XLOOKUP($B6260,シフト抽出!$19:$19,シフト抽出!$23:$23,"該当なし",0,1)</f>
        <v>該当なし</v>
      </c>
    </row>
    <row r="6262" spans="1:12" ht="15.75" thickBot="1">
      <c r="A6262" s="195"/>
      <c r="B6262" s="195" t="s">
        <v>205</v>
      </c>
      <c r="C6262"/>
      <c r="D6262" s="197"/>
      <c r="F6262" s="197"/>
      <c r="G6262" s="197"/>
      <c r="H6262" s="197"/>
      <c r="K6262" s="235"/>
      <c r="L6262" s="199" t="str">
        <f>_xlfn.XLOOKUP($B6260,シフト抽出!$19:$19,シフト抽出!$24:$24,"該当なし",0,1)</f>
        <v>該当なし</v>
      </c>
    </row>
    <row r="6263" spans="1:12">
      <c r="A6263" s="195"/>
      <c r="B6263" s="195" t="s">
        <v>206</v>
      </c>
      <c r="C6263"/>
      <c r="D6263" s="197"/>
      <c r="E6263" s="197"/>
      <c r="F6263" s="197"/>
      <c r="G6263" s="197"/>
      <c r="H6263" s="197"/>
      <c r="K6263" s="224" t="s">
        <v>260</v>
      </c>
      <c r="L6263" s="200" t="str">
        <f>_xlfn.XLOOKUP($B6260,シフト抽出!$19:$19,シフト抽出!$26:$26,"該当なし",0,1)</f>
        <v>該当なし</v>
      </c>
    </row>
    <row r="6264" spans="1:12">
      <c r="A6264" s="195"/>
      <c r="B6264" s="195" t="s">
        <v>207</v>
      </c>
      <c r="C6264"/>
      <c r="D6264" s="197"/>
      <c r="E6264" s="197"/>
      <c r="F6264" s="197"/>
      <c r="G6264" s="197"/>
      <c r="H6264" s="197"/>
      <c r="K6264" s="225"/>
      <c r="L6264" s="201" t="str">
        <f>_xlfn.XLOOKUP($B6260,シフト抽出!$19:$19,シフト抽出!$27:$27,"該当なし",0,1)</f>
        <v>該当なし</v>
      </c>
    </row>
    <row r="6265" spans="1:12">
      <c r="A6265" s="195"/>
      <c r="B6265" s="202" t="s">
        <v>208</v>
      </c>
      <c r="C6265"/>
      <c r="D6265" s="197" t="s">
        <v>4</v>
      </c>
      <c r="E6265" s="197"/>
      <c r="F6265" s="197"/>
      <c r="G6265" s="197" t="s">
        <v>4</v>
      </c>
      <c r="H6265" s="197"/>
      <c r="J6265" s="203"/>
      <c r="K6265" s="225"/>
      <c r="L6265" s="201" t="str">
        <f>_xlfn.XLOOKUP($B6260,シフト抽出!$19:$19,シフト抽出!$28:$28,"該当なし",0,1)</f>
        <v>該当なし</v>
      </c>
    </row>
    <row r="6266" spans="1:12" ht="15.75" thickBot="1">
      <c r="A6266" s="195"/>
      <c r="B6266" s="195" t="s">
        <v>205</v>
      </c>
      <c r="C6266"/>
      <c r="D6266" s="197" t="s">
        <v>851</v>
      </c>
      <c r="E6266" s="197"/>
      <c r="F6266" s="197"/>
      <c r="G6266" s="197" t="s">
        <v>22</v>
      </c>
      <c r="H6266" s="197"/>
      <c r="J6266" s="203"/>
      <c r="K6266" s="226"/>
      <c r="L6266" s="204" t="str">
        <f>_xlfn.XLOOKUP($B6260,シフト抽出!$19:$19,シフト抽出!$29:$29,"該当なし",0,1)</f>
        <v>該当なし</v>
      </c>
    </row>
    <row r="6267" spans="1:12" ht="15.75" thickBot="1">
      <c r="A6267" s="195"/>
      <c r="B6267" s="195" t="s">
        <v>206</v>
      </c>
      <c r="C6267"/>
      <c r="D6267" s="197" t="s">
        <v>851</v>
      </c>
      <c r="E6267" s="197"/>
      <c r="F6267" s="197"/>
      <c r="G6267" s="197" t="s">
        <v>22</v>
      </c>
      <c r="H6267" s="197"/>
      <c r="K6267" s="205" t="s">
        <v>261</v>
      </c>
      <c r="L6267" s="205">
        <f>_xlfn.XLOOKUP($B6260,予定表!B:B,予定表!R:R,"該当なし",0,1)</f>
        <v>0</v>
      </c>
    </row>
    <row r="6268" spans="1:12">
      <c r="A6268" s="195"/>
      <c r="B6268" s="195" t="s">
        <v>207</v>
      </c>
      <c r="C6268"/>
      <c r="D6268" s="197" t="s">
        <v>851</v>
      </c>
      <c r="E6268" s="197"/>
      <c r="F6268" s="197"/>
      <c r="G6268" s="197" t="s">
        <v>22</v>
      </c>
      <c r="H6268" s="197"/>
      <c r="K6268" s="227" t="s">
        <v>262</v>
      </c>
      <c r="L6268" s="206">
        <f>_xlfn.XLOOKUP($B6260,予定表!$B:$B,予定表!E:E,"該当なし",0,1)</f>
        <v>0</v>
      </c>
    </row>
    <row r="6269" spans="1:12">
      <c r="A6269" s="195"/>
      <c r="B6269" s="196" t="s">
        <v>209</v>
      </c>
      <c r="C6269"/>
      <c r="D6269" s="197" t="s">
        <v>851</v>
      </c>
      <c r="E6269" s="197" t="s">
        <v>273</v>
      </c>
      <c r="F6269" s="197"/>
      <c r="G6269" s="197" t="s">
        <v>268</v>
      </c>
      <c r="H6269" s="197"/>
      <c r="K6269" s="228"/>
      <c r="L6269" s="207">
        <f>_xlfn.XLOOKUP($B6260,予定表!$B:$B,予定表!F:F,"該当なし",0,1)</f>
        <v>0</v>
      </c>
    </row>
    <row r="6270" spans="1:12">
      <c r="A6270" s="195"/>
      <c r="B6270" s="195" t="s">
        <v>205</v>
      </c>
      <c r="C6270"/>
      <c r="D6270" s="197" t="s">
        <v>851</v>
      </c>
      <c r="E6270" s="197" t="s">
        <v>273</v>
      </c>
      <c r="F6270" s="197"/>
      <c r="G6270" s="197" t="s">
        <v>268</v>
      </c>
      <c r="H6270" s="197"/>
      <c r="K6270" s="228"/>
      <c r="L6270" s="207">
        <f>_xlfn.XLOOKUP($B6260,予定表!$B:$B,予定表!G:G,"該当なし",0,1)</f>
        <v>0</v>
      </c>
    </row>
    <row r="6271" spans="1:12">
      <c r="A6271" s="195"/>
      <c r="B6271" s="195" t="s">
        <v>206</v>
      </c>
      <c r="C6271"/>
      <c r="D6271" s="197" t="s">
        <v>414</v>
      </c>
      <c r="E6271" s="197" t="s">
        <v>273</v>
      </c>
      <c r="F6271" s="197"/>
      <c r="G6271" s="197" t="s">
        <v>268</v>
      </c>
      <c r="H6271" s="197"/>
      <c r="K6271" s="228"/>
      <c r="L6271" s="207">
        <f>_xlfn.XLOOKUP($B6260,予定表!$B:$B,予定表!H:H,"該当なし",0,1)</f>
        <v>0</v>
      </c>
    </row>
    <row r="6272" spans="1:12">
      <c r="A6272" s="195"/>
      <c r="B6272" s="195" t="s">
        <v>207</v>
      </c>
      <c r="C6272"/>
      <c r="D6272" s="197" t="s">
        <v>414</v>
      </c>
      <c r="E6272" s="197" t="s">
        <v>273</v>
      </c>
      <c r="F6272" s="197"/>
      <c r="G6272" s="197" t="s">
        <v>268</v>
      </c>
      <c r="H6272" s="197"/>
      <c r="K6272" s="228"/>
      <c r="L6272" s="207" t="str">
        <f>_xlfn.XLOOKUP($B6260,予定表!$B:$B,予定表!I:I,"該当なし",0,1)</f>
        <v>カインズAM8</v>
      </c>
    </row>
    <row r="6273" spans="1:12">
      <c r="A6273" s="195"/>
      <c r="B6273" s="196" t="s">
        <v>212</v>
      </c>
      <c r="C6273"/>
      <c r="D6273" s="197" t="s">
        <v>414</v>
      </c>
      <c r="E6273" s="197" t="s">
        <v>228</v>
      </c>
      <c r="F6273" s="197"/>
      <c r="G6273" s="197" t="s">
        <v>268</v>
      </c>
      <c r="H6273" s="197"/>
      <c r="K6273" s="228"/>
      <c r="L6273" s="207">
        <f>_xlfn.XLOOKUP($B6260,予定表!$B:$B,予定表!J:J,"該当なし",0,1)</f>
        <v>0</v>
      </c>
    </row>
    <row r="6274" spans="1:12">
      <c r="A6274" s="195"/>
      <c r="B6274" s="195" t="s">
        <v>205</v>
      </c>
      <c r="C6274"/>
      <c r="D6274" s="197" t="s">
        <v>414</v>
      </c>
      <c r="E6274" s="197" t="s">
        <v>228</v>
      </c>
      <c r="F6274" s="197"/>
      <c r="G6274" s="197" t="s">
        <v>268</v>
      </c>
      <c r="H6274" s="197"/>
      <c r="K6274" s="228"/>
      <c r="L6274" s="207">
        <f>_xlfn.XLOOKUP($B6260,予定表!$B:$B,予定表!K:K,"該当なし",0,1)</f>
        <v>0</v>
      </c>
    </row>
    <row r="6275" spans="1:12">
      <c r="A6275" s="195"/>
      <c r="B6275" s="195" t="s">
        <v>206</v>
      </c>
      <c r="C6275"/>
      <c r="D6275" s="197" t="s">
        <v>414</v>
      </c>
      <c r="E6275" s="197" t="s">
        <v>228</v>
      </c>
      <c r="F6275" s="197"/>
      <c r="G6275" s="197" t="s">
        <v>416</v>
      </c>
      <c r="H6275" s="197"/>
      <c r="K6275" s="228"/>
      <c r="L6275" s="207">
        <f>_xlfn.XLOOKUP($B6260,予定表!$B:$B,予定表!L:L,"該当なし",0,1)</f>
        <v>0</v>
      </c>
    </row>
    <row r="6276" spans="1:12" ht="15.75" thickBot="1">
      <c r="A6276" s="195"/>
      <c r="B6276" s="195" t="s">
        <v>207</v>
      </c>
      <c r="C6276"/>
      <c r="D6276" s="197" t="s">
        <v>414</v>
      </c>
      <c r="E6276" s="197" t="s">
        <v>228</v>
      </c>
      <c r="F6276" s="197"/>
      <c r="G6276" s="197" t="s">
        <v>999</v>
      </c>
      <c r="H6276" s="197"/>
      <c r="K6276" s="229"/>
      <c r="L6276" s="204" t="str">
        <f>_xlfn.XLOOKUP($A6257,ﾘｽﾄマスタ!$U$8:$U$17,ﾘｽﾄマスタ!$V$8:$V$17,"",0)</f>
        <v>BS+1ヵ所</v>
      </c>
    </row>
    <row r="6277" spans="1:12" ht="15.75" thickBot="1">
      <c r="A6277" s="195"/>
      <c r="B6277" s="196" t="s">
        <v>251</v>
      </c>
      <c r="C6277"/>
      <c r="D6277" s="197" t="s">
        <v>953</v>
      </c>
      <c r="E6277" s="197" t="s">
        <v>263</v>
      </c>
      <c r="F6277" s="197"/>
      <c r="G6277" s="197" t="s">
        <v>416</v>
      </c>
      <c r="H6277" s="197"/>
      <c r="K6277" s="208" t="s">
        <v>277</v>
      </c>
      <c r="L6277" s="208" t="str">
        <f>_xlfn.XLOOKUP($B6260,シフト抽出!$19:$19,シフト抽出!$30:$30,"該当なし",0,1)</f>
        <v>該当なし</v>
      </c>
    </row>
    <row r="6278" spans="1:12">
      <c r="A6278" s="195"/>
      <c r="B6278" s="195" t="s">
        <v>205</v>
      </c>
      <c r="C6278"/>
      <c r="D6278" s="197" t="s">
        <v>416</v>
      </c>
      <c r="E6278" s="197" t="s">
        <v>263</v>
      </c>
      <c r="F6278" s="197"/>
      <c r="G6278" s="197" t="s">
        <v>416</v>
      </c>
      <c r="H6278" s="197"/>
    </row>
    <row r="6279" spans="1:12">
      <c r="A6279" s="195"/>
      <c r="B6279" s="195" t="s">
        <v>206</v>
      </c>
      <c r="C6279"/>
      <c r="D6279" s="197" t="s">
        <v>416</v>
      </c>
      <c r="E6279" s="197" t="s">
        <v>263</v>
      </c>
      <c r="F6279" s="197"/>
      <c r="G6279" s="197" t="s">
        <v>416</v>
      </c>
      <c r="H6279" s="197"/>
    </row>
    <row r="6280" spans="1:12">
      <c r="A6280" s="195"/>
      <c r="B6280" s="195" t="s">
        <v>207</v>
      </c>
      <c r="C6280"/>
      <c r="D6280" s="197" t="s">
        <v>416</v>
      </c>
      <c r="E6280" s="197" t="s">
        <v>848</v>
      </c>
      <c r="F6280" s="197"/>
      <c r="G6280" s="197" t="s">
        <v>416</v>
      </c>
      <c r="H6280" s="197"/>
    </row>
    <row r="6281" spans="1:12">
      <c r="A6281" s="195"/>
      <c r="B6281" s="196" t="s">
        <v>217</v>
      </c>
      <c r="C6281"/>
      <c r="D6281" s="197" t="s">
        <v>416</v>
      </c>
      <c r="E6281" s="197" t="s">
        <v>848</v>
      </c>
      <c r="F6281" s="197"/>
      <c r="G6281" s="197" t="s">
        <v>416</v>
      </c>
      <c r="H6281" s="197"/>
    </row>
    <row r="6282" spans="1:12">
      <c r="A6282" s="195"/>
      <c r="B6282" s="195" t="s">
        <v>205</v>
      </c>
      <c r="C6282"/>
      <c r="D6282" s="197" t="s">
        <v>416</v>
      </c>
      <c r="E6282" s="197" t="s">
        <v>848</v>
      </c>
      <c r="F6282" s="197"/>
      <c r="G6282" s="197" t="s">
        <v>416</v>
      </c>
      <c r="H6282" s="197"/>
    </row>
    <row r="6283" spans="1:12">
      <c r="A6283" s="195"/>
      <c r="B6283" s="195" t="s">
        <v>206</v>
      </c>
      <c r="C6283"/>
      <c r="D6283" s="197" t="s">
        <v>416</v>
      </c>
      <c r="E6283" s="197" t="s">
        <v>848</v>
      </c>
      <c r="F6283" s="197"/>
      <c r="G6283" s="197" t="s">
        <v>416</v>
      </c>
      <c r="H6283" s="197"/>
    </row>
    <row r="6284" spans="1:12">
      <c r="A6284" s="195"/>
      <c r="B6284" s="195" t="s">
        <v>207</v>
      </c>
      <c r="C6284"/>
      <c r="D6284" s="197"/>
      <c r="E6284" s="197"/>
      <c r="F6284" s="197"/>
      <c r="G6284" s="197" t="s">
        <v>416</v>
      </c>
      <c r="H6284" s="197"/>
    </row>
    <row r="6285" spans="1:12">
      <c r="A6285" s="195"/>
      <c r="B6285" s="196" t="s">
        <v>219</v>
      </c>
      <c r="C6285"/>
      <c r="D6285" s="197"/>
      <c r="E6285" s="197"/>
      <c r="F6285" s="197"/>
      <c r="G6285" s="197" t="s">
        <v>416</v>
      </c>
      <c r="H6285" s="197"/>
    </row>
    <row r="6286" spans="1:12">
      <c r="A6286" s="195"/>
      <c r="B6286" s="195" t="s">
        <v>205</v>
      </c>
      <c r="C6286"/>
      <c r="D6286" s="197"/>
      <c r="E6286" s="197"/>
      <c r="F6286" s="197"/>
      <c r="G6286" s="197"/>
      <c r="H6286" s="197"/>
    </row>
    <row r="6287" spans="1:12">
      <c r="A6287" s="195"/>
      <c r="B6287" s="195" t="s">
        <v>206</v>
      </c>
      <c r="C6287"/>
      <c r="D6287" s="197"/>
      <c r="E6287" s="197"/>
      <c r="F6287" s="197"/>
      <c r="G6287" s="197"/>
      <c r="H6287" s="197"/>
    </row>
    <row r="6288" spans="1:12">
      <c r="A6288" s="195"/>
      <c r="B6288" s="195" t="s">
        <v>207</v>
      </c>
      <c r="C6288"/>
      <c r="D6288" s="197"/>
      <c r="E6288" s="197"/>
      <c r="F6288" s="197"/>
      <c r="G6288" s="197"/>
      <c r="H6288" s="197"/>
    </row>
    <row r="6289" spans="1:8">
      <c r="A6289" s="195"/>
      <c r="B6289" s="196" t="s">
        <v>220</v>
      </c>
      <c r="C6289"/>
      <c r="D6289" s="197"/>
      <c r="E6289" s="197"/>
      <c r="F6289" s="189"/>
      <c r="G6289" s="197"/>
      <c r="H6289" s="197"/>
    </row>
    <row r="6290" spans="1:8">
      <c r="A6290" s="195"/>
      <c r="B6290" s="195" t="s">
        <v>205</v>
      </c>
      <c r="C6290"/>
      <c r="D6290" s="197" t="s">
        <v>62</v>
      </c>
      <c r="E6290" s="197" t="s">
        <v>214</v>
      </c>
      <c r="F6290" s="197"/>
      <c r="G6290" s="197" t="s">
        <v>114</v>
      </c>
      <c r="H6290" s="197"/>
    </row>
    <row r="6291" spans="1:8">
      <c r="A6291" s="195"/>
      <c r="B6291" s="195" t="s">
        <v>206</v>
      </c>
      <c r="C6291"/>
      <c r="D6291" s="197" t="s">
        <v>62</v>
      </c>
      <c r="E6291" s="197" t="s">
        <v>214</v>
      </c>
      <c r="F6291" s="197"/>
      <c r="G6291" s="197" t="s">
        <v>114</v>
      </c>
      <c r="H6291" s="197"/>
    </row>
    <row r="6292" spans="1:8">
      <c r="A6292" s="195"/>
      <c r="B6292" s="195" t="s">
        <v>207</v>
      </c>
      <c r="C6292"/>
      <c r="D6292" s="197" t="s">
        <v>62</v>
      </c>
      <c r="E6292" s="197" t="s">
        <v>214</v>
      </c>
      <c r="F6292" s="197"/>
      <c r="G6292" s="197" t="s">
        <v>114</v>
      </c>
      <c r="H6292" s="197"/>
    </row>
    <row r="6293" spans="1:8">
      <c r="A6293" s="195"/>
      <c r="B6293" s="196" t="s">
        <v>222</v>
      </c>
      <c r="C6293"/>
      <c r="D6293" s="197" t="s">
        <v>62</v>
      </c>
      <c r="E6293" s="197" t="s">
        <v>761</v>
      </c>
      <c r="F6293" s="197"/>
      <c r="G6293" s="197" t="s">
        <v>270</v>
      </c>
      <c r="H6293" s="197"/>
    </row>
    <row r="6294" spans="1:8">
      <c r="A6294" s="195"/>
      <c r="B6294" s="195" t="s">
        <v>205</v>
      </c>
      <c r="C6294"/>
      <c r="D6294" s="197" t="s">
        <v>62</v>
      </c>
      <c r="E6294" s="197" t="s">
        <v>761</v>
      </c>
      <c r="F6294" s="197"/>
      <c r="G6294" s="197" t="s">
        <v>270</v>
      </c>
      <c r="H6294" s="197"/>
    </row>
    <row r="6295" spans="1:8">
      <c r="A6295" s="195"/>
      <c r="B6295" s="195" t="s">
        <v>206</v>
      </c>
      <c r="C6295"/>
      <c r="D6295" s="197" t="s">
        <v>62</v>
      </c>
      <c r="E6295" s="197" t="s">
        <v>761</v>
      </c>
      <c r="F6295" s="197"/>
      <c r="G6295" s="197" t="s">
        <v>270</v>
      </c>
      <c r="H6295" s="197"/>
    </row>
    <row r="6296" spans="1:8">
      <c r="A6296" s="195"/>
      <c r="B6296" s="195" t="s">
        <v>207</v>
      </c>
      <c r="C6296"/>
      <c r="D6296" s="197" t="s">
        <v>62</v>
      </c>
      <c r="E6296" s="197" t="s">
        <v>851</v>
      </c>
      <c r="F6296" s="197"/>
      <c r="G6296" s="197" t="s">
        <v>270</v>
      </c>
      <c r="H6296" s="197"/>
    </row>
    <row r="6297" spans="1:8">
      <c r="A6297" s="195"/>
      <c r="B6297" s="196" t="s">
        <v>223</v>
      </c>
      <c r="C6297"/>
      <c r="D6297" s="197" t="s">
        <v>62</v>
      </c>
      <c r="E6297" s="197" t="s">
        <v>851</v>
      </c>
      <c r="F6297" s="197"/>
      <c r="G6297" s="197" t="s">
        <v>270</v>
      </c>
      <c r="H6297" s="197"/>
    </row>
    <row r="6298" spans="1:8">
      <c r="A6298" s="195"/>
      <c r="B6298" s="195" t="s">
        <v>205</v>
      </c>
      <c r="C6298"/>
      <c r="D6298" s="197" t="s">
        <v>62</v>
      </c>
      <c r="E6298" s="197" t="s">
        <v>851</v>
      </c>
      <c r="F6298" s="197"/>
      <c r="G6298" s="197" t="s">
        <v>270</v>
      </c>
      <c r="H6298" s="197"/>
    </row>
    <row r="6299" spans="1:8">
      <c r="A6299" s="195"/>
      <c r="B6299" s="195" t="s">
        <v>206</v>
      </c>
      <c r="C6299"/>
      <c r="D6299" s="197" t="s">
        <v>62</v>
      </c>
      <c r="E6299" s="197" t="s">
        <v>851</v>
      </c>
      <c r="F6299" s="197"/>
      <c r="G6299" s="197" t="s">
        <v>270</v>
      </c>
      <c r="H6299" s="197"/>
    </row>
    <row r="6300" spans="1:8">
      <c r="A6300" s="195"/>
      <c r="B6300" s="195" t="s">
        <v>207</v>
      </c>
      <c r="C6300"/>
      <c r="D6300" s="197" t="s">
        <v>62</v>
      </c>
      <c r="E6300" s="197" t="s">
        <v>851</v>
      </c>
      <c r="F6300" s="197"/>
      <c r="G6300" s="197" t="s">
        <v>270</v>
      </c>
      <c r="H6300" s="197"/>
    </row>
    <row r="6301" spans="1:8">
      <c r="A6301" s="195"/>
      <c r="B6301" s="196" t="s">
        <v>225</v>
      </c>
      <c r="C6301"/>
      <c r="D6301" s="197" t="s">
        <v>62</v>
      </c>
      <c r="E6301" s="197" t="s">
        <v>851</v>
      </c>
      <c r="F6301" s="197"/>
      <c r="G6301" s="197" t="s">
        <v>270</v>
      </c>
      <c r="H6301" s="197"/>
    </row>
    <row r="6302" spans="1:8">
      <c r="A6302" s="195"/>
      <c r="B6302" s="195" t="s">
        <v>205</v>
      </c>
      <c r="C6302"/>
      <c r="D6302" s="197" t="s">
        <v>62</v>
      </c>
      <c r="E6302" s="197" t="s">
        <v>851</v>
      </c>
      <c r="F6302" s="197"/>
      <c r="G6302" s="197" t="s">
        <v>270</v>
      </c>
      <c r="H6302" s="197"/>
    </row>
    <row r="6303" spans="1:8">
      <c r="A6303" s="195"/>
      <c r="B6303" s="195" t="s">
        <v>206</v>
      </c>
      <c r="C6303"/>
      <c r="D6303" s="197" t="s">
        <v>62</v>
      </c>
      <c r="E6303" s="197" t="s">
        <v>851</v>
      </c>
      <c r="F6303" s="197"/>
      <c r="G6303" s="197" t="s">
        <v>270</v>
      </c>
      <c r="H6303" s="197"/>
    </row>
    <row r="6304" spans="1:8">
      <c r="A6304" s="195"/>
      <c r="B6304" s="195" t="s">
        <v>207</v>
      </c>
      <c r="C6304"/>
      <c r="D6304" s="197"/>
      <c r="E6304" s="197"/>
      <c r="F6304" s="197"/>
      <c r="G6304" s="197" t="s">
        <v>270</v>
      </c>
      <c r="H6304" s="197"/>
    </row>
    <row r="6305" spans="1:12">
      <c r="A6305" s="195"/>
      <c r="B6305" s="196" t="s">
        <v>226</v>
      </c>
      <c r="C6305"/>
      <c r="D6305" s="197"/>
      <c r="E6305" s="197"/>
      <c r="F6305" s="197"/>
      <c r="G6305" s="197"/>
      <c r="H6305" s="209"/>
    </row>
    <row r="6306" spans="1:12">
      <c r="A6306" s="195"/>
      <c r="B6306" s="195" t="s">
        <v>205</v>
      </c>
      <c r="C6306"/>
      <c r="D6306" s="197"/>
      <c r="E6306" s="197"/>
      <c r="F6306" s="197"/>
      <c r="G6306" s="197"/>
      <c r="H6306" s="209"/>
    </row>
    <row r="6307" spans="1:12">
      <c r="A6307" s="195"/>
      <c r="B6307" s="195" t="s">
        <v>206</v>
      </c>
      <c r="C6307"/>
      <c r="D6307" s="197"/>
      <c r="E6307" s="197"/>
      <c r="F6307" s="197"/>
      <c r="G6307" s="197"/>
      <c r="H6307" s="209"/>
    </row>
    <row r="6308" spans="1:12">
      <c r="A6308" s="195"/>
      <c r="B6308" s="195" t="s">
        <v>207</v>
      </c>
      <c r="C6308"/>
      <c r="D6308" s="197"/>
      <c r="E6308" s="197"/>
      <c r="F6308" s="197"/>
      <c r="G6308" s="197"/>
      <c r="H6308" s="209"/>
    </row>
    <row r="6309" spans="1:12">
      <c r="A6309" s="195"/>
      <c r="B6309" s="196" t="s">
        <v>227</v>
      </c>
      <c r="C6309"/>
      <c r="D6309" s="197"/>
      <c r="E6309" s="197"/>
      <c r="F6309" s="197"/>
      <c r="G6309" s="197"/>
      <c r="H6309" s="209"/>
      <c r="K6309"/>
    </row>
    <row r="6310" spans="1:12" ht="29.25" thickBot="1">
      <c r="A6310" s="182" t="str">
        <f>"回収シフト  第"&amp;ROUNDUP(DAY(B6313)/7,0)  &amp;"  "&amp;TEXT(B6313,"aaaa")</f>
        <v>回収シフト  第2  金曜日</v>
      </c>
      <c r="B6310" s="183"/>
      <c r="C6310" s="183"/>
      <c r="D6310" s="183"/>
      <c r="E6310" s="183"/>
      <c r="F6310" s="183"/>
      <c r="G6310" s="184"/>
      <c r="H6310" s="184"/>
      <c r="K6310" s="183"/>
      <c r="L6310" s="183"/>
    </row>
    <row r="6311" spans="1:12" ht="15.75" thickBot="1">
      <c r="A6311"/>
      <c r="B6311"/>
      <c r="C6311"/>
      <c r="D6311" s="186" t="s">
        <v>201</v>
      </c>
      <c r="E6311" s="186" t="s">
        <v>202</v>
      </c>
      <c r="F6311" s="186" t="s">
        <v>203</v>
      </c>
      <c r="G6311" s="186" t="s">
        <v>204</v>
      </c>
      <c r="H6311" s="186" t="s">
        <v>267</v>
      </c>
      <c r="I6311" s="186" t="s">
        <v>987</v>
      </c>
      <c r="K6311" s="230" t="s">
        <v>257</v>
      </c>
      <c r="L6311" s="231"/>
    </row>
    <row r="6312" spans="1:12">
      <c r="A6312" s="187"/>
      <c r="B6312" s="188">
        <v>46119</v>
      </c>
      <c r="C6312" s="187"/>
      <c r="D6312" s="189" t="s">
        <v>1036</v>
      </c>
      <c r="E6312" s="189" t="s">
        <v>248</v>
      </c>
      <c r="F6312" s="189" t="s">
        <v>891</v>
      </c>
      <c r="G6312" s="189" t="s">
        <v>1035</v>
      </c>
      <c r="H6312" s="189" t="s">
        <v>1034</v>
      </c>
      <c r="I6312" s="189"/>
      <c r="K6312" s="232" t="s">
        <v>258</v>
      </c>
      <c r="L6312" s="190" t="str">
        <f>_xlfn.XLOOKUP($B6313,シフト抽出!$19:$19,シフト抽出!$20:$20,"該当なし",0,1)</f>
        <v>該当なし</v>
      </c>
    </row>
    <row r="6313" spans="1:12" ht="19.5" thickBot="1">
      <c r="A6313"/>
      <c r="B6313" s="191">
        <f>B6260+1</f>
        <v>46248</v>
      </c>
      <c r="C6313" s="192"/>
      <c r="D6313" s="193"/>
      <c r="E6313" s="193"/>
      <c r="F6313" s="193"/>
      <c r="G6313" s="193"/>
      <c r="H6313" s="193"/>
      <c r="I6313" s="193"/>
      <c r="K6313" s="233"/>
      <c r="L6313" s="194" t="str">
        <f>_xlfn.XLOOKUP($B6313,シフト抽出!$19:$19,シフト抽出!$21:$21,"該当なし",0,1)</f>
        <v>該当なし</v>
      </c>
    </row>
    <row r="6314" spans="1:12">
      <c r="A6314" s="195"/>
      <c r="B6314" s="196">
        <v>0.25</v>
      </c>
      <c r="C6314"/>
      <c r="D6314" s="197"/>
      <c r="E6314" s="196"/>
      <c r="F6314" s="197"/>
      <c r="G6314" s="197"/>
      <c r="H6314" s="197"/>
      <c r="I6314" s="197"/>
      <c r="K6314" s="234" t="s">
        <v>259</v>
      </c>
      <c r="L6314" s="198" t="str">
        <f>_xlfn.XLOOKUP($B6313,シフト抽出!$19:$19,シフト抽出!$23:$23,"該当なし",0,1)</f>
        <v>該当なし</v>
      </c>
    </row>
    <row r="6315" spans="1:12" ht="15.75" thickBot="1">
      <c r="A6315" s="195"/>
      <c r="B6315" s="195" t="s">
        <v>205</v>
      </c>
      <c r="C6315"/>
      <c r="D6315" s="197"/>
      <c r="E6315" s="197"/>
      <c r="F6315" s="197"/>
      <c r="G6315" s="197"/>
      <c r="H6315" s="197"/>
      <c r="I6315" s="197"/>
      <c r="K6315" s="235"/>
      <c r="L6315" s="199" t="str">
        <f>_xlfn.XLOOKUP($B6313,シフト抽出!$19:$19,シフト抽出!$24:$24,"該当なし",0,1)</f>
        <v>該当なし</v>
      </c>
    </row>
    <row r="6316" spans="1:12">
      <c r="A6316" s="195"/>
      <c r="B6316" s="195" t="s">
        <v>206</v>
      </c>
      <c r="C6316"/>
      <c r="D6316" s="197" t="s">
        <v>851</v>
      </c>
      <c r="E6316" s="197"/>
      <c r="F6316" s="197" t="s">
        <v>238</v>
      </c>
      <c r="G6316" s="197"/>
      <c r="H6316" s="197"/>
      <c r="I6316" s="197"/>
      <c r="K6316" s="224" t="s">
        <v>260</v>
      </c>
      <c r="L6316" s="200" t="str">
        <f>_xlfn.XLOOKUP($B6313,シフト抽出!$19:$19,シフト抽出!$26:$26,"該当なし",0,1)</f>
        <v>該当なし</v>
      </c>
    </row>
    <row r="6317" spans="1:12">
      <c r="A6317" s="195"/>
      <c r="B6317" s="195" t="s">
        <v>207</v>
      </c>
      <c r="C6317"/>
      <c r="D6317" s="197" t="s">
        <v>851</v>
      </c>
      <c r="E6317" s="197"/>
      <c r="F6317" s="197" t="s">
        <v>238</v>
      </c>
      <c r="G6317" s="197"/>
      <c r="H6317" s="197"/>
      <c r="I6317" s="197"/>
      <c r="K6317" s="225"/>
      <c r="L6317" s="201" t="str">
        <f>_xlfn.XLOOKUP($B6313,シフト抽出!$19:$19,シフト抽出!$27:$27,"該当なし",0,1)</f>
        <v>該当なし</v>
      </c>
    </row>
    <row r="6318" spans="1:12">
      <c r="A6318" s="195"/>
      <c r="B6318" s="202" t="s">
        <v>208</v>
      </c>
      <c r="C6318"/>
      <c r="D6318" s="197" t="s">
        <v>851</v>
      </c>
      <c r="E6318" s="197"/>
      <c r="F6318" s="197" t="s">
        <v>238</v>
      </c>
      <c r="G6318" s="197"/>
      <c r="H6318" s="197" t="s">
        <v>788</v>
      </c>
      <c r="I6318" s="197"/>
      <c r="J6318" s="203"/>
      <c r="K6318" s="225"/>
      <c r="L6318" s="201" t="str">
        <f>_xlfn.XLOOKUP($B6313,シフト抽出!$19:$19,シフト抽出!$28:$28,"該当なし",0,1)</f>
        <v>該当なし</v>
      </c>
    </row>
    <row r="6319" spans="1:12" ht="15.75" thickBot="1">
      <c r="A6319" s="195"/>
      <c r="B6319" s="195" t="s">
        <v>205</v>
      </c>
      <c r="C6319"/>
      <c r="D6319" s="197" t="s">
        <v>851</v>
      </c>
      <c r="E6319" s="197"/>
      <c r="F6319" s="197" t="s">
        <v>238</v>
      </c>
      <c r="G6319" s="197"/>
      <c r="H6319" s="197" t="s">
        <v>973</v>
      </c>
      <c r="I6319" s="197"/>
      <c r="J6319" s="203"/>
      <c r="K6319" s="226"/>
      <c r="L6319" s="204" t="str">
        <f>_xlfn.XLOOKUP($B6313,シフト抽出!$19:$19,シフト抽出!$29:$29,"該当なし",0,1)</f>
        <v>該当なし</v>
      </c>
    </row>
    <row r="6320" spans="1:12" ht="15.75" thickBot="1">
      <c r="A6320" s="195"/>
      <c r="B6320" s="195" t="s">
        <v>206</v>
      </c>
      <c r="C6320"/>
      <c r="D6320" s="197" t="s">
        <v>851</v>
      </c>
      <c r="E6320" s="197"/>
      <c r="F6320" s="197" t="s">
        <v>238</v>
      </c>
      <c r="G6320" s="197"/>
      <c r="H6320" s="197" t="s">
        <v>268</v>
      </c>
      <c r="I6320" s="197"/>
      <c r="K6320" s="205" t="s">
        <v>261</v>
      </c>
      <c r="L6320" s="205">
        <f>_xlfn.XLOOKUP($B6313,予定表!B:B,予定表!R:R,"該当なし",0,1)</f>
        <v>0</v>
      </c>
    </row>
    <row r="6321" spans="1:12">
      <c r="A6321" s="195"/>
      <c r="B6321" s="195" t="s">
        <v>207</v>
      </c>
      <c r="C6321"/>
      <c r="D6321" s="197" t="s">
        <v>851</v>
      </c>
      <c r="E6321" s="197"/>
      <c r="F6321" s="197" t="s">
        <v>22</v>
      </c>
      <c r="G6321" s="197"/>
      <c r="H6321" s="197" t="s">
        <v>268</v>
      </c>
      <c r="I6321" s="197"/>
      <c r="K6321" s="227" t="s">
        <v>262</v>
      </c>
      <c r="L6321" s="206">
        <f>_xlfn.XLOOKUP($B6313,予定表!$B:$B,予定表!E:E,"該当なし",0,1)</f>
        <v>0</v>
      </c>
    </row>
    <row r="6322" spans="1:12">
      <c r="A6322" s="195"/>
      <c r="B6322" s="196" t="s">
        <v>209</v>
      </c>
      <c r="C6322"/>
      <c r="D6322" s="197" t="s">
        <v>414</v>
      </c>
      <c r="E6322" s="197"/>
      <c r="F6322" s="197" t="s">
        <v>22</v>
      </c>
      <c r="G6322" s="197"/>
      <c r="H6322" s="197" t="s">
        <v>268</v>
      </c>
      <c r="I6322" s="197"/>
      <c r="K6322" s="228"/>
      <c r="L6322" s="207" t="str">
        <f>_xlfn.XLOOKUP($B6313,予定表!$B:$B,予定表!F:F,"該当なし",0,1)</f>
        <v>IWD(㈱大勝)</v>
      </c>
    </row>
    <row r="6323" spans="1:12">
      <c r="A6323" s="195"/>
      <c r="B6323" s="195" t="s">
        <v>205</v>
      </c>
      <c r="C6323"/>
      <c r="D6323" s="197" t="s">
        <v>414</v>
      </c>
      <c r="E6323" s="197"/>
      <c r="F6323" s="197" t="s">
        <v>788</v>
      </c>
      <c r="G6323" s="197"/>
      <c r="H6323" s="197" t="s">
        <v>268</v>
      </c>
      <c r="I6323" s="197"/>
      <c r="K6323" s="228"/>
      <c r="L6323" s="207" t="str">
        <f>_xlfn.XLOOKUP($B6313,予定表!$B:$B,予定表!G:G,"該当なし",0,1)</f>
        <v>ディーミング</v>
      </c>
    </row>
    <row r="6324" spans="1:12">
      <c r="A6324" s="195"/>
      <c r="B6324" s="195" t="s">
        <v>206</v>
      </c>
      <c r="C6324"/>
      <c r="D6324" s="197" t="s">
        <v>414</v>
      </c>
      <c r="E6324" s="197"/>
      <c r="F6324" s="197" t="s">
        <v>1033</v>
      </c>
      <c r="G6324" s="197"/>
      <c r="H6324" s="197" t="s">
        <v>268</v>
      </c>
      <c r="I6324" s="197"/>
      <c r="K6324" s="228"/>
      <c r="L6324" s="207" t="str">
        <f>_xlfn.XLOOKUP($B6313,予定表!$B:$B,予定表!H:H,"該当なし",0,1)</f>
        <v>'資さん 平塚</v>
      </c>
    </row>
    <row r="6325" spans="1:12">
      <c r="A6325" s="195"/>
      <c r="B6325" s="195" t="s">
        <v>207</v>
      </c>
      <c r="C6325"/>
      <c r="D6325" s="197" t="s">
        <v>414</v>
      </c>
      <c r="E6325" s="197"/>
      <c r="F6325" s="197" t="s">
        <v>273</v>
      </c>
      <c r="G6325" s="197"/>
      <c r="H6325" s="197" t="s">
        <v>268</v>
      </c>
      <c r="I6325" s="197"/>
      <c r="K6325" s="228"/>
      <c r="L6325" s="207" t="str">
        <f>_xlfn.XLOOKUP($B6313,予定表!$B:$B,予定表!I:I,"該当なし",0,1)</f>
        <v>カインズAM8</v>
      </c>
    </row>
    <row r="6326" spans="1:12">
      <c r="A6326" s="195"/>
      <c r="B6326" s="196" t="s">
        <v>212</v>
      </c>
      <c r="C6326"/>
      <c r="D6326" s="197" t="s">
        <v>414</v>
      </c>
      <c r="E6326" s="197"/>
      <c r="F6326" s="197" t="s">
        <v>273</v>
      </c>
      <c r="G6326" s="197"/>
      <c r="H6326" s="197" t="s">
        <v>416</v>
      </c>
      <c r="I6326" s="197"/>
      <c r="K6326" s="228"/>
      <c r="L6326" s="207">
        <f>_xlfn.XLOOKUP($B6313,予定表!$B:$B,予定表!J:J,"該当なし",0,1)</f>
        <v>0</v>
      </c>
    </row>
    <row r="6327" spans="1:12">
      <c r="A6327" s="195"/>
      <c r="B6327" s="195" t="s">
        <v>205</v>
      </c>
      <c r="C6327"/>
      <c r="D6327" s="197" t="s">
        <v>414</v>
      </c>
      <c r="E6327" s="197"/>
      <c r="F6327" s="197" t="s">
        <v>273</v>
      </c>
      <c r="G6327" s="197"/>
      <c r="H6327" s="197" t="s">
        <v>416</v>
      </c>
      <c r="I6327" s="197"/>
      <c r="K6327" s="228"/>
      <c r="L6327" s="207">
        <f>_xlfn.XLOOKUP($B6313,予定表!$B:$B,予定表!K:K,"該当なし",0,1)</f>
        <v>0</v>
      </c>
    </row>
    <row r="6328" spans="1:12">
      <c r="A6328" s="195"/>
      <c r="B6328" s="195" t="s">
        <v>206</v>
      </c>
      <c r="C6328"/>
      <c r="D6328" s="197" t="s">
        <v>761</v>
      </c>
      <c r="E6328" s="197"/>
      <c r="F6328" s="197" t="s">
        <v>273</v>
      </c>
      <c r="G6328" s="197"/>
      <c r="H6328" s="197" t="s">
        <v>999</v>
      </c>
      <c r="I6328" s="197"/>
      <c r="K6328" s="228"/>
      <c r="L6328" s="207">
        <f>_xlfn.XLOOKUP($B6313,予定表!$B:$B,予定表!L:L,"該当なし",0,1)</f>
        <v>0</v>
      </c>
    </row>
    <row r="6329" spans="1:12" ht="15.75" thickBot="1">
      <c r="A6329" s="195"/>
      <c r="B6329" s="195" t="s">
        <v>207</v>
      </c>
      <c r="C6329"/>
      <c r="D6329" s="197" t="s">
        <v>761</v>
      </c>
      <c r="E6329" s="197"/>
      <c r="F6329" s="197" t="s">
        <v>273</v>
      </c>
      <c r="G6329" s="197"/>
      <c r="H6329" s="197" t="s">
        <v>416</v>
      </c>
      <c r="I6329" s="197"/>
      <c r="K6329" s="229"/>
      <c r="L6329" s="204" t="str">
        <f>_xlfn.XLOOKUP($A6310,ﾘｽﾄマスタ!$U$8:$U$17,ﾘｽﾄマスタ!$V$8:$V$17,"",0)</f>
        <v/>
      </c>
    </row>
    <row r="6330" spans="1:12" ht="15.75" thickBot="1">
      <c r="A6330" s="195"/>
      <c r="B6330" s="196" t="s">
        <v>251</v>
      </c>
      <c r="C6330"/>
      <c r="D6330" s="197" t="s">
        <v>761</v>
      </c>
      <c r="E6330" s="197"/>
      <c r="F6330" s="197" t="s">
        <v>266</v>
      </c>
      <c r="G6330" s="197"/>
      <c r="H6330" s="197" t="s">
        <v>416</v>
      </c>
      <c r="I6330" s="197"/>
      <c r="K6330" s="208" t="s">
        <v>277</v>
      </c>
      <c r="L6330" s="208" t="str">
        <f>_xlfn.XLOOKUP($B6313,シフト抽出!$19:$19,シフト抽出!$30:$30,"該当なし",0,1)</f>
        <v>該当なし</v>
      </c>
    </row>
    <row r="6331" spans="1:12">
      <c r="A6331" s="195"/>
      <c r="B6331" s="195" t="s">
        <v>205</v>
      </c>
      <c r="C6331"/>
      <c r="D6331" s="197" t="s">
        <v>761</v>
      </c>
      <c r="E6331" s="197"/>
      <c r="F6331" s="197" t="s">
        <v>266</v>
      </c>
      <c r="G6331" s="197"/>
      <c r="H6331" s="197" t="s">
        <v>416</v>
      </c>
      <c r="I6331" s="197"/>
    </row>
    <row r="6332" spans="1:12">
      <c r="A6332" s="195"/>
      <c r="B6332" s="195" t="s">
        <v>206</v>
      </c>
      <c r="C6332"/>
      <c r="D6332" s="197" t="s">
        <v>761</v>
      </c>
      <c r="E6332" s="197"/>
      <c r="F6332" s="197" t="s">
        <v>266</v>
      </c>
      <c r="G6332" s="197"/>
      <c r="H6332" s="197" t="s">
        <v>416</v>
      </c>
      <c r="I6332" s="197"/>
    </row>
    <row r="6333" spans="1:12">
      <c r="A6333" s="195"/>
      <c r="B6333" s="195" t="s">
        <v>207</v>
      </c>
      <c r="C6333"/>
      <c r="D6333" s="197"/>
      <c r="E6333" s="197"/>
      <c r="F6333" s="197" t="s">
        <v>848</v>
      </c>
      <c r="G6333" s="197"/>
      <c r="H6333" s="197" t="s">
        <v>416</v>
      </c>
      <c r="I6333" s="197"/>
    </row>
    <row r="6334" spans="1:12">
      <c r="A6334" s="195"/>
      <c r="B6334" s="196" t="s">
        <v>217</v>
      </c>
      <c r="C6334"/>
      <c r="D6334" s="197"/>
      <c r="E6334" s="197"/>
      <c r="F6334" s="197" t="s">
        <v>848</v>
      </c>
      <c r="G6334" s="197"/>
      <c r="H6334" s="197" t="s">
        <v>416</v>
      </c>
      <c r="I6334" s="197"/>
    </row>
    <row r="6335" spans="1:12">
      <c r="A6335" s="195"/>
      <c r="B6335" s="195" t="s">
        <v>205</v>
      </c>
      <c r="C6335"/>
      <c r="D6335" s="197"/>
      <c r="E6335" s="197"/>
      <c r="F6335" s="197" t="s">
        <v>848</v>
      </c>
      <c r="G6335" s="197"/>
      <c r="H6335" s="197" t="s">
        <v>416</v>
      </c>
      <c r="I6335" s="197"/>
    </row>
    <row r="6336" spans="1:12">
      <c r="A6336" s="195"/>
      <c r="B6336" s="195" t="s">
        <v>206</v>
      </c>
      <c r="C6336"/>
      <c r="D6336" s="197"/>
      <c r="E6336" s="197"/>
      <c r="F6336" s="197" t="s">
        <v>848</v>
      </c>
      <c r="G6336" s="197"/>
      <c r="H6336" s="197" t="s">
        <v>416</v>
      </c>
      <c r="I6336" s="197"/>
    </row>
    <row r="6337" spans="1:9">
      <c r="A6337" s="195"/>
      <c r="B6337" s="195" t="s">
        <v>207</v>
      </c>
      <c r="C6337"/>
      <c r="D6337" s="197"/>
      <c r="E6337" s="197"/>
      <c r="F6337" s="197" t="s">
        <v>848</v>
      </c>
      <c r="G6337" s="197"/>
      <c r="H6337" s="197" t="s">
        <v>416</v>
      </c>
      <c r="I6337" s="197"/>
    </row>
    <row r="6338" spans="1:9">
      <c r="A6338" s="195"/>
      <c r="B6338" s="196" t="s">
        <v>219</v>
      </c>
      <c r="C6338"/>
      <c r="D6338" s="197"/>
      <c r="E6338" s="197"/>
      <c r="F6338" s="197" t="s">
        <v>848</v>
      </c>
      <c r="G6338" s="197"/>
      <c r="H6338" s="197"/>
      <c r="I6338" s="197"/>
    </row>
    <row r="6339" spans="1:9">
      <c r="A6339" s="195"/>
      <c r="B6339" s="195" t="s">
        <v>205</v>
      </c>
      <c r="C6339"/>
      <c r="D6339" s="197"/>
      <c r="E6339" s="197"/>
      <c r="F6339" s="197" t="s">
        <v>848</v>
      </c>
      <c r="G6339" s="197"/>
      <c r="H6339" s="197"/>
      <c r="I6339" s="197"/>
    </row>
    <row r="6340" spans="1:9">
      <c r="A6340" s="195"/>
      <c r="B6340" s="195" t="s">
        <v>206</v>
      </c>
      <c r="C6340"/>
      <c r="D6340" s="197"/>
      <c r="E6340" s="197"/>
      <c r="F6340" s="197"/>
      <c r="G6340" s="197"/>
      <c r="H6340" s="197"/>
      <c r="I6340" s="197"/>
    </row>
    <row r="6341" spans="1:9">
      <c r="A6341" s="195"/>
      <c r="B6341" s="195" t="s">
        <v>207</v>
      </c>
      <c r="C6341"/>
      <c r="D6341" s="197"/>
      <c r="E6341" s="197"/>
      <c r="F6341" s="197"/>
      <c r="G6341" s="197"/>
      <c r="H6341" s="197"/>
      <c r="I6341" s="197"/>
    </row>
    <row r="6342" spans="1:9">
      <c r="A6342" s="195"/>
      <c r="B6342" s="196" t="s">
        <v>220</v>
      </c>
      <c r="C6342"/>
      <c r="D6342" s="197"/>
      <c r="E6342" s="197"/>
      <c r="F6342" s="197"/>
      <c r="G6342" s="197" t="s">
        <v>114</v>
      </c>
      <c r="H6342" s="197" t="s">
        <v>231</v>
      </c>
      <c r="I6342" s="197"/>
    </row>
    <row r="6343" spans="1:9">
      <c r="A6343" s="195"/>
      <c r="B6343" s="195" t="s">
        <v>205</v>
      </c>
      <c r="C6343"/>
      <c r="D6343" s="197" t="s">
        <v>759</v>
      </c>
      <c r="E6343" s="197"/>
      <c r="F6343" s="197" t="s">
        <v>416</v>
      </c>
      <c r="G6343" s="197" t="s">
        <v>114</v>
      </c>
      <c r="H6343" s="197" t="s">
        <v>231</v>
      </c>
      <c r="I6343" s="197"/>
    </row>
    <row r="6344" spans="1:9">
      <c r="A6344" s="195"/>
      <c r="B6344" s="195" t="s">
        <v>206</v>
      </c>
      <c r="C6344"/>
      <c r="D6344" s="197" t="s">
        <v>759</v>
      </c>
      <c r="E6344" s="197"/>
      <c r="F6344" s="197" t="s">
        <v>771</v>
      </c>
      <c r="G6344" s="197" t="s">
        <v>114</v>
      </c>
      <c r="H6344" s="197"/>
      <c r="I6344" s="197"/>
    </row>
    <row r="6345" spans="1:9">
      <c r="A6345" s="195"/>
      <c r="B6345" s="195" t="s">
        <v>207</v>
      </c>
      <c r="C6345"/>
      <c r="D6345" s="197" t="s">
        <v>759</v>
      </c>
      <c r="E6345" s="197"/>
      <c r="F6345" s="197" t="s">
        <v>416</v>
      </c>
      <c r="G6345" s="197" t="s">
        <v>446</v>
      </c>
      <c r="H6345" s="197"/>
      <c r="I6345" s="197"/>
    </row>
    <row r="6346" spans="1:9">
      <c r="A6346" s="195"/>
      <c r="B6346" s="196" t="s">
        <v>222</v>
      </c>
      <c r="C6346"/>
      <c r="D6346" s="197" t="s">
        <v>216</v>
      </c>
      <c r="E6346" s="197"/>
      <c r="F6346" s="197" t="s">
        <v>416</v>
      </c>
      <c r="G6346" s="197" t="s">
        <v>446</v>
      </c>
      <c r="H6346" s="197"/>
      <c r="I6346" s="197"/>
    </row>
    <row r="6347" spans="1:9">
      <c r="A6347" s="195"/>
      <c r="B6347" s="195" t="s">
        <v>205</v>
      </c>
      <c r="C6347"/>
      <c r="D6347" s="197" t="s">
        <v>216</v>
      </c>
      <c r="E6347" s="197"/>
      <c r="F6347" s="197" t="s">
        <v>416</v>
      </c>
      <c r="G6347" s="197" t="s">
        <v>270</v>
      </c>
      <c r="H6347" s="197" t="s">
        <v>856</v>
      </c>
      <c r="I6347" s="197"/>
    </row>
    <row r="6348" spans="1:9">
      <c r="A6348" s="195"/>
      <c r="B6348" s="195" t="s">
        <v>206</v>
      </c>
      <c r="C6348"/>
      <c r="D6348" s="197" t="s">
        <v>216</v>
      </c>
      <c r="E6348" s="197"/>
      <c r="F6348" s="197" t="s">
        <v>224</v>
      </c>
      <c r="G6348" s="197" t="s">
        <v>270</v>
      </c>
      <c r="H6348" s="197" t="s">
        <v>856</v>
      </c>
      <c r="I6348" s="197"/>
    </row>
    <row r="6349" spans="1:9">
      <c r="A6349" s="195"/>
      <c r="B6349" s="195" t="s">
        <v>207</v>
      </c>
      <c r="C6349"/>
      <c r="D6349" s="197" t="s">
        <v>216</v>
      </c>
      <c r="E6349" s="197"/>
      <c r="F6349" s="197" t="s">
        <v>224</v>
      </c>
      <c r="G6349" s="197" t="s">
        <v>270</v>
      </c>
      <c r="H6349" s="197" t="s">
        <v>856</v>
      </c>
      <c r="I6349" s="197"/>
    </row>
    <row r="6350" spans="1:9">
      <c r="A6350" s="195"/>
      <c r="B6350" s="196" t="s">
        <v>223</v>
      </c>
      <c r="C6350"/>
      <c r="D6350" s="197" t="s">
        <v>216</v>
      </c>
      <c r="E6350" s="197"/>
      <c r="F6350" s="197" t="s">
        <v>224</v>
      </c>
      <c r="G6350" s="197" t="s">
        <v>270</v>
      </c>
      <c r="H6350" s="197" t="s">
        <v>856</v>
      </c>
      <c r="I6350" s="197"/>
    </row>
    <row r="6351" spans="1:9">
      <c r="A6351" s="195"/>
      <c r="B6351" s="195" t="s">
        <v>205</v>
      </c>
      <c r="C6351"/>
      <c r="D6351" s="197" t="s">
        <v>216</v>
      </c>
      <c r="E6351" s="197"/>
      <c r="F6351" s="197" t="s">
        <v>851</v>
      </c>
      <c r="G6351" s="197" t="s">
        <v>270</v>
      </c>
      <c r="H6351" s="197" t="s">
        <v>856</v>
      </c>
      <c r="I6351" s="197"/>
    </row>
    <row r="6352" spans="1:9">
      <c r="A6352" s="195"/>
      <c r="B6352" s="195" t="s">
        <v>206</v>
      </c>
      <c r="C6352"/>
      <c r="D6352" s="197"/>
      <c r="E6352" s="197"/>
      <c r="F6352" s="197" t="s">
        <v>851</v>
      </c>
      <c r="G6352" s="197" t="s">
        <v>270</v>
      </c>
      <c r="H6352" s="197" t="s">
        <v>856</v>
      </c>
      <c r="I6352" s="197"/>
    </row>
    <row r="6353" spans="1:12">
      <c r="A6353" s="195"/>
      <c r="B6353" s="195" t="s">
        <v>207</v>
      </c>
      <c r="C6353"/>
      <c r="D6353" s="197"/>
      <c r="E6353" s="197"/>
      <c r="F6353" s="197" t="s">
        <v>851</v>
      </c>
      <c r="G6353" s="197" t="s">
        <v>270</v>
      </c>
      <c r="H6353" s="197" t="s">
        <v>856</v>
      </c>
      <c r="I6353" s="197"/>
    </row>
    <row r="6354" spans="1:12">
      <c r="A6354" s="195"/>
      <c r="B6354" s="196" t="s">
        <v>225</v>
      </c>
      <c r="C6354"/>
      <c r="D6354" s="197"/>
      <c r="E6354" s="197"/>
      <c r="F6354" s="197" t="s">
        <v>851</v>
      </c>
      <c r="G6354" s="197" t="s">
        <v>270</v>
      </c>
      <c r="H6354" s="197"/>
      <c r="I6354" s="197"/>
    </row>
    <row r="6355" spans="1:12">
      <c r="A6355" s="195"/>
      <c r="B6355" s="195" t="s">
        <v>205</v>
      </c>
      <c r="C6355"/>
      <c r="D6355" s="197"/>
      <c r="E6355" s="197"/>
      <c r="F6355" s="197" t="s">
        <v>851</v>
      </c>
      <c r="G6355" s="197" t="s">
        <v>270</v>
      </c>
      <c r="H6355" s="209"/>
      <c r="I6355" s="197"/>
    </row>
    <row r="6356" spans="1:12">
      <c r="A6356" s="195"/>
      <c r="B6356" s="195" t="s">
        <v>206</v>
      </c>
      <c r="C6356"/>
      <c r="D6356" s="197"/>
      <c r="E6356" s="197"/>
      <c r="F6356" s="197"/>
      <c r="G6356" s="197" t="s">
        <v>270</v>
      </c>
      <c r="H6356" s="209"/>
      <c r="I6356" s="197"/>
    </row>
    <row r="6357" spans="1:12">
      <c r="A6357" s="195"/>
      <c r="B6357" s="195" t="s">
        <v>207</v>
      </c>
      <c r="C6357"/>
      <c r="D6357" s="197"/>
      <c r="E6357" s="197"/>
      <c r="F6357" s="197"/>
      <c r="G6357" s="197" t="s">
        <v>270</v>
      </c>
      <c r="H6357" s="209"/>
      <c r="I6357" s="197"/>
    </row>
    <row r="6358" spans="1:12">
      <c r="A6358" s="195"/>
      <c r="B6358" s="196" t="s">
        <v>226</v>
      </c>
      <c r="C6358"/>
      <c r="D6358" s="197"/>
      <c r="E6358" s="197"/>
      <c r="F6358" s="197"/>
      <c r="G6358" s="197"/>
      <c r="H6358" s="209"/>
      <c r="I6358" s="197"/>
    </row>
    <row r="6359" spans="1:12">
      <c r="A6359" s="195"/>
      <c r="B6359" s="195" t="s">
        <v>205</v>
      </c>
      <c r="C6359"/>
      <c r="D6359" s="197"/>
      <c r="E6359" s="197"/>
      <c r="F6359" s="197"/>
      <c r="G6359" s="197"/>
      <c r="H6359" s="209"/>
      <c r="I6359" s="209"/>
    </row>
    <row r="6360" spans="1:12">
      <c r="A6360" s="195"/>
      <c r="B6360" s="195" t="s">
        <v>206</v>
      </c>
      <c r="C6360"/>
      <c r="D6360" s="197"/>
      <c r="E6360" s="197"/>
      <c r="F6360" s="197"/>
      <c r="G6360" s="197"/>
      <c r="H6360" s="209"/>
      <c r="I6360" s="209"/>
    </row>
    <row r="6361" spans="1:12">
      <c r="A6361" s="195"/>
      <c r="B6361" s="195" t="s">
        <v>207</v>
      </c>
      <c r="C6361"/>
      <c r="D6361" s="197"/>
      <c r="E6361" s="197"/>
      <c r="F6361" s="197"/>
      <c r="G6361" s="197"/>
      <c r="H6361" s="209"/>
      <c r="I6361" s="209"/>
    </row>
    <row r="6362" spans="1:12">
      <c r="A6362" s="195"/>
      <c r="B6362" s="196" t="s">
        <v>227</v>
      </c>
      <c r="C6362"/>
      <c r="D6362" s="197"/>
      <c r="E6362" s="197"/>
      <c r="F6362" s="197"/>
      <c r="G6362" s="197"/>
      <c r="H6362" s="209"/>
      <c r="I6362" s="209"/>
      <c r="K6362"/>
    </row>
    <row r="6363" spans="1:12" ht="29.25" thickBot="1">
      <c r="A6363" s="182" t="str">
        <f>"回収シフト  第"&amp;ROUNDUP(DAY(B6366)/7,0)  &amp;"  "&amp;TEXT(B6366,"aaaa")</f>
        <v>回収シフト  第3  土曜日</v>
      </c>
      <c r="B6363" s="183"/>
      <c r="C6363" s="183"/>
      <c r="D6363" s="183"/>
      <c r="E6363" s="183"/>
      <c r="F6363" s="183"/>
      <c r="G6363" s="184"/>
      <c r="H6363" s="184"/>
      <c r="K6363" s="183"/>
      <c r="L6363" s="183"/>
    </row>
    <row r="6364" spans="1:12" ht="15.75" thickBot="1">
      <c r="A6364"/>
      <c r="B6364"/>
      <c r="C6364"/>
      <c r="D6364" s="186" t="s">
        <v>201</v>
      </c>
      <c r="E6364" s="186" t="s">
        <v>202</v>
      </c>
      <c r="F6364" s="186" t="s">
        <v>203</v>
      </c>
      <c r="G6364" s="186" t="s">
        <v>204</v>
      </c>
      <c r="H6364" s="186" t="s">
        <v>267</v>
      </c>
      <c r="K6364" s="230" t="s">
        <v>257</v>
      </c>
      <c r="L6364" s="231"/>
    </row>
    <row r="6365" spans="1:12">
      <c r="A6365" s="187"/>
      <c r="B6365" s="188">
        <v>46119</v>
      </c>
      <c r="C6365" s="187"/>
      <c r="D6365" s="189"/>
      <c r="E6365" s="189"/>
      <c r="F6365" s="189"/>
      <c r="G6365" s="189"/>
      <c r="H6365" s="189"/>
      <c r="K6365" s="232" t="s">
        <v>258</v>
      </c>
      <c r="L6365" s="190" t="str">
        <f>_xlfn.XLOOKUP($B6366,シフト抽出!$19:$19,シフト抽出!$20:$20,"該当なし",0,1)</f>
        <v>該当なし</v>
      </c>
    </row>
    <row r="6366" spans="1:12" ht="19.5" thickBot="1">
      <c r="A6366"/>
      <c r="B6366" s="191">
        <f>B6313+1</f>
        <v>46249</v>
      </c>
      <c r="C6366" s="192"/>
      <c r="D6366" s="193"/>
      <c r="E6366" s="193"/>
      <c r="F6366" s="193"/>
      <c r="G6366" s="193"/>
      <c r="H6366" s="193"/>
      <c r="K6366" s="233"/>
      <c r="L6366" s="194" t="str">
        <f>_xlfn.XLOOKUP($B6366,シフト抽出!$19:$19,シフト抽出!$21:$21,"該当なし",0,1)</f>
        <v>該当なし</v>
      </c>
    </row>
    <row r="6367" spans="1:12">
      <c r="A6367" s="195"/>
      <c r="B6367" s="196">
        <v>0.25</v>
      </c>
      <c r="C6367"/>
      <c r="D6367" s="197"/>
      <c r="E6367" s="196"/>
      <c r="F6367" s="197"/>
      <c r="G6367" s="197"/>
      <c r="H6367" s="197"/>
      <c r="K6367" s="234" t="s">
        <v>259</v>
      </c>
      <c r="L6367" s="198" t="str">
        <f>_xlfn.XLOOKUP($B6366,シフト抽出!$19:$19,シフト抽出!$23:$23,"該当なし",0,1)</f>
        <v>該当なし</v>
      </c>
    </row>
    <row r="6368" spans="1:12" ht="15.75" thickBot="1">
      <c r="A6368" s="195"/>
      <c r="B6368" s="195" t="s">
        <v>205</v>
      </c>
      <c r="C6368"/>
      <c r="D6368" s="197"/>
      <c r="E6368" s="197"/>
      <c r="F6368" s="197"/>
      <c r="G6368" s="197"/>
      <c r="H6368" s="197"/>
      <c r="K6368" s="235"/>
      <c r="L6368" s="199" t="str">
        <f>_xlfn.XLOOKUP($B6366,シフト抽出!$19:$19,シフト抽出!$24:$24,"該当なし",0,1)</f>
        <v>該当なし</v>
      </c>
    </row>
    <row r="6369" spans="1:12">
      <c r="A6369" s="195"/>
      <c r="B6369" s="195" t="s">
        <v>206</v>
      </c>
      <c r="C6369"/>
      <c r="D6369" s="197"/>
      <c r="E6369" s="197"/>
      <c r="F6369" s="197"/>
      <c r="G6369" s="197"/>
      <c r="H6369" s="197"/>
      <c r="K6369" s="224" t="s">
        <v>260</v>
      </c>
      <c r="L6369" s="200" t="str">
        <f>_xlfn.XLOOKUP($B6366,シフト抽出!$19:$19,シフト抽出!$26:$26,"該当なし",0,1)</f>
        <v>該当なし</v>
      </c>
    </row>
    <row r="6370" spans="1:12">
      <c r="A6370" s="195"/>
      <c r="B6370" s="195" t="s">
        <v>207</v>
      </c>
      <c r="C6370"/>
      <c r="D6370" s="197"/>
      <c r="E6370" s="197"/>
      <c r="F6370" s="197"/>
      <c r="G6370" s="197"/>
      <c r="H6370" s="197"/>
      <c r="K6370" s="225"/>
      <c r="L6370" s="201" t="str">
        <f>_xlfn.XLOOKUP($B6366,シフト抽出!$19:$19,シフト抽出!$27:$27,"該当なし",0,1)</f>
        <v>該当なし</v>
      </c>
    </row>
    <row r="6371" spans="1:12">
      <c r="A6371" s="195"/>
      <c r="B6371" s="202" t="s">
        <v>208</v>
      </c>
      <c r="C6371"/>
      <c r="D6371" s="197" t="s">
        <v>4</v>
      </c>
      <c r="E6371" s="197" t="s">
        <v>4</v>
      </c>
      <c r="F6371" s="197"/>
      <c r="G6371" s="197"/>
      <c r="H6371" s="197"/>
      <c r="J6371" s="203"/>
      <c r="K6371" s="225"/>
      <c r="L6371" s="201" t="str">
        <f>_xlfn.XLOOKUP($B6366,シフト抽出!$19:$19,シフト抽出!$28:$28,"該当なし",0,1)</f>
        <v>該当なし</v>
      </c>
    </row>
    <row r="6372" spans="1:12" ht="15.75" thickBot="1">
      <c r="A6372" s="195"/>
      <c r="B6372" s="195" t="s">
        <v>205</v>
      </c>
      <c r="C6372"/>
      <c r="D6372" s="197" t="s">
        <v>268</v>
      </c>
      <c r="E6372" s="197" t="s">
        <v>793</v>
      </c>
      <c r="F6372" s="197"/>
      <c r="G6372" s="197"/>
      <c r="H6372" s="197"/>
      <c r="J6372" s="203"/>
      <c r="K6372" s="226"/>
      <c r="L6372" s="204" t="str">
        <f>_xlfn.XLOOKUP($B6366,シフト抽出!$19:$19,シフト抽出!$29:$29,"該当なし",0,1)</f>
        <v>該当なし</v>
      </c>
    </row>
    <row r="6373" spans="1:12" ht="15.75" thickBot="1">
      <c r="A6373" s="195"/>
      <c r="B6373" s="195" t="s">
        <v>206</v>
      </c>
      <c r="C6373"/>
      <c r="D6373" s="197" t="s">
        <v>268</v>
      </c>
      <c r="E6373" s="197" t="s">
        <v>989</v>
      </c>
      <c r="F6373" s="197"/>
      <c r="G6373" s="197"/>
      <c r="H6373" s="197"/>
      <c r="K6373" s="205" t="s">
        <v>261</v>
      </c>
      <c r="L6373" s="205">
        <f>_xlfn.XLOOKUP($B6366,予定表!B:B,予定表!R:R,"該当なし",0,1)</f>
        <v>0</v>
      </c>
    </row>
    <row r="6374" spans="1:12">
      <c r="A6374" s="195"/>
      <c r="B6374" s="195" t="s">
        <v>207</v>
      </c>
      <c r="C6374"/>
      <c r="D6374" s="197" t="s">
        <v>268</v>
      </c>
      <c r="E6374" s="197" t="s">
        <v>22</v>
      </c>
      <c r="F6374" s="197"/>
      <c r="G6374" s="197"/>
      <c r="H6374" s="197"/>
      <c r="K6374" s="227" t="s">
        <v>262</v>
      </c>
      <c r="L6374" s="206">
        <f>_xlfn.XLOOKUP($B6366,予定表!$B:$B,予定表!E:E,"該当なし",0,1)</f>
        <v>0</v>
      </c>
    </row>
    <row r="6375" spans="1:12">
      <c r="A6375" s="195"/>
      <c r="B6375" s="196" t="s">
        <v>209</v>
      </c>
      <c r="C6375"/>
      <c r="D6375" s="197" t="s">
        <v>268</v>
      </c>
      <c r="E6375" s="197" t="s">
        <v>22</v>
      </c>
      <c r="F6375" s="197"/>
      <c r="G6375" s="197"/>
      <c r="H6375" s="197"/>
      <c r="K6375" s="228"/>
      <c r="L6375" s="207">
        <f>_xlfn.XLOOKUP($B6366,予定表!$B:$B,予定表!F:F,"該当なし",0,1)</f>
        <v>0</v>
      </c>
    </row>
    <row r="6376" spans="1:12">
      <c r="A6376" s="195"/>
      <c r="B6376" s="195" t="s">
        <v>205</v>
      </c>
      <c r="C6376"/>
      <c r="D6376" s="197" t="s">
        <v>268</v>
      </c>
      <c r="E6376" s="197" t="s">
        <v>793</v>
      </c>
      <c r="F6376" s="197"/>
      <c r="G6376" s="197"/>
      <c r="H6376" s="197"/>
      <c r="K6376" s="228"/>
      <c r="L6376" s="207">
        <f>_xlfn.XLOOKUP($B6366,予定表!$B:$B,予定表!G:G,"該当なし",0,1)</f>
        <v>0</v>
      </c>
    </row>
    <row r="6377" spans="1:12">
      <c r="A6377" s="195"/>
      <c r="B6377" s="195" t="s">
        <v>206</v>
      </c>
      <c r="C6377"/>
      <c r="D6377" s="197" t="s">
        <v>416</v>
      </c>
      <c r="E6377" s="197" t="s">
        <v>241</v>
      </c>
      <c r="F6377" s="197"/>
      <c r="G6377" s="197"/>
      <c r="H6377" s="197"/>
      <c r="K6377" s="228"/>
      <c r="L6377" s="207">
        <f>_xlfn.XLOOKUP($B6366,予定表!$B:$B,予定表!H:H,"該当なし",0,1)</f>
        <v>0</v>
      </c>
    </row>
    <row r="6378" spans="1:12">
      <c r="A6378" s="195"/>
      <c r="B6378" s="195" t="s">
        <v>207</v>
      </c>
      <c r="C6378"/>
      <c r="D6378" s="197" t="s">
        <v>999</v>
      </c>
      <c r="E6378" s="197" t="s">
        <v>241</v>
      </c>
      <c r="F6378" s="197"/>
      <c r="G6378" s="197"/>
      <c r="H6378" s="197"/>
      <c r="K6378" s="228"/>
      <c r="L6378" s="207" t="str">
        <f>_xlfn.XLOOKUP($B6366,予定表!$B:$B,予定表!I:I,"該当なし",0,1)</f>
        <v>カインズAM8</v>
      </c>
    </row>
    <row r="6379" spans="1:12">
      <c r="A6379" s="195"/>
      <c r="B6379" s="196" t="s">
        <v>212</v>
      </c>
      <c r="C6379"/>
      <c r="D6379" s="197" t="s">
        <v>416</v>
      </c>
      <c r="E6379" s="197" t="s">
        <v>241</v>
      </c>
      <c r="F6379" s="197"/>
      <c r="G6379" s="197"/>
      <c r="H6379" s="197"/>
      <c r="K6379" s="228"/>
      <c r="L6379" s="207">
        <f>_xlfn.XLOOKUP($B6366,予定表!$B:$B,予定表!J:J,"該当なし",0,1)</f>
        <v>0</v>
      </c>
    </row>
    <row r="6380" spans="1:12">
      <c r="A6380" s="195"/>
      <c r="B6380" s="195" t="s">
        <v>205</v>
      </c>
      <c r="C6380"/>
      <c r="D6380" s="197" t="s">
        <v>416</v>
      </c>
      <c r="E6380" s="197" t="s">
        <v>241</v>
      </c>
      <c r="F6380" s="197"/>
      <c r="G6380" s="197"/>
      <c r="H6380" s="197"/>
      <c r="K6380" s="228"/>
      <c r="L6380" s="207">
        <f>_xlfn.XLOOKUP($B6366,予定表!$B:$B,予定表!K:K,"該当なし",0,1)</f>
        <v>0</v>
      </c>
    </row>
    <row r="6381" spans="1:12">
      <c r="A6381" s="195"/>
      <c r="B6381" s="195" t="s">
        <v>206</v>
      </c>
      <c r="C6381"/>
      <c r="D6381" s="197" t="s">
        <v>416</v>
      </c>
      <c r="E6381" s="197"/>
      <c r="F6381" s="197"/>
      <c r="G6381" s="197"/>
      <c r="H6381" s="197"/>
      <c r="K6381" s="228"/>
      <c r="L6381" s="207">
        <f>_xlfn.XLOOKUP($B6366,予定表!$B:$B,予定表!L:L,"該当なし",0,1)</f>
        <v>0</v>
      </c>
    </row>
    <row r="6382" spans="1:12" ht="15.75" thickBot="1">
      <c r="A6382" s="195"/>
      <c r="B6382" s="195" t="s">
        <v>207</v>
      </c>
      <c r="C6382"/>
      <c r="D6382" s="197" t="s">
        <v>416</v>
      </c>
      <c r="E6382" s="197" t="s">
        <v>851</v>
      </c>
      <c r="F6382" s="197"/>
      <c r="G6382" s="197"/>
      <c r="H6382" s="197"/>
      <c r="K6382" s="229"/>
      <c r="L6382" s="204" t="str">
        <f>_xlfn.XLOOKUP($A6363,ﾘｽﾄマスタ!$U$8:$U$17,ﾘｽﾄマスタ!$V$8:$V$17,"",0)</f>
        <v/>
      </c>
    </row>
    <row r="6383" spans="1:12" ht="15.75" thickBot="1">
      <c r="A6383" s="195"/>
      <c r="B6383" s="196" t="s">
        <v>251</v>
      </c>
      <c r="C6383"/>
      <c r="D6383" s="197" t="s">
        <v>416</v>
      </c>
      <c r="E6383" s="197" t="s">
        <v>851</v>
      </c>
      <c r="F6383" s="197"/>
      <c r="G6383" s="197"/>
      <c r="H6383" s="197"/>
      <c r="K6383" s="208" t="s">
        <v>277</v>
      </c>
      <c r="L6383" s="208" t="str">
        <f>_xlfn.XLOOKUP($B6366,シフト抽出!$19:$19,シフト抽出!$30:$30,"該当なし",0,1)</f>
        <v>該当なし</v>
      </c>
    </row>
    <row r="6384" spans="1:12">
      <c r="A6384" s="195"/>
      <c r="B6384" s="195" t="s">
        <v>205</v>
      </c>
      <c r="C6384"/>
      <c r="D6384" s="197" t="s">
        <v>416</v>
      </c>
      <c r="E6384" s="197" t="s">
        <v>851</v>
      </c>
      <c r="F6384" s="197"/>
      <c r="G6384" s="197"/>
      <c r="H6384" s="197"/>
    </row>
    <row r="6385" spans="1:8">
      <c r="A6385" s="195"/>
      <c r="B6385" s="195" t="s">
        <v>206</v>
      </c>
      <c r="C6385"/>
      <c r="D6385" s="197" t="s">
        <v>416</v>
      </c>
      <c r="E6385" s="197" t="s">
        <v>851</v>
      </c>
      <c r="F6385" s="197"/>
      <c r="G6385" s="197"/>
      <c r="H6385" s="197"/>
    </row>
    <row r="6386" spans="1:8">
      <c r="A6386" s="195"/>
      <c r="B6386" s="195" t="s">
        <v>207</v>
      </c>
      <c r="C6386"/>
      <c r="D6386" s="197" t="s">
        <v>416</v>
      </c>
      <c r="E6386" s="197" t="s">
        <v>851</v>
      </c>
      <c r="F6386" s="197"/>
      <c r="G6386" s="197"/>
      <c r="H6386" s="197"/>
    </row>
    <row r="6387" spans="1:8">
      <c r="A6387" s="195"/>
      <c r="B6387" s="196" t="s">
        <v>217</v>
      </c>
      <c r="C6387"/>
      <c r="D6387" s="197" t="s">
        <v>515</v>
      </c>
      <c r="E6387" s="197" t="s">
        <v>851</v>
      </c>
      <c r="F6387" s="197"/>
      <c r="G6387" s="197"/>
      <c r="H6387" s="197"/>
    </row>
    <row r="6388" spans="1:8">
      <c r="A6388" s="195"/>
      <c r="B6388" s="195" t="s">
        <v>205</v>
      </c>
      <c r="C6388"/>
      <c r="D6388" s="197" t="s">
        <v>515</v>
      </c>
      <c r="E6388" s="197" t="s">
        <v>851</v>
      </c>
      <c r="F6388" s="197"/>
      <c r="G6388" s="197"/>
      <c r="H6388" s="197"/>
    </row>
    <row r="6389" spans="1:8">
      <c r="A6389" s="195"/>
      <c r="B6389" s="195" t="s">
        <v>206</v>
      </c>
      <c r="C6389"/>
      <c r="D6389" s="197" t="s">
        <v>515</v>
      </c>
      <c r="E6389" s="197" t="s">
        <v>851</v>
      </c>
      <c r="F6389" s="197"/>
      <c r="G6389" s="197"/>
      <c r="H6389" s="197"/>
    </row>
    <row r="6390" spans="1:8">
      <c r="A6390" s="195"/>
      <c r="B6390" s="195" t="s">
        <v>207</v>
      </c>
      <c r="C6390"/>
      <c r="D6390" s="197" t="s">
        <v>515</v>
      </c>
      <c r="E6390" s="197" t="s">
        <v>851</v>
      </c>
      <c r="F6390" s="197"/>
      <c r="G6390" s="197"/>
      <c r="H6390" s="197"/>
    </row>
    <row r="6391" spans="1:8">
      <c r="A6391" s="195"/>
      <c r="B6391" s="196" t="s">
        <v>219</v>
      </c>
      <c r="C6391"/>
      <c r="D6391" s="197" t="s">
        <v>515</v>
      </c>
      <c r="E6391" s="197" t="s">
        <v>851</v>
      </c>
      <c r="F6391" s="197"/>
      <c r="G6391" s="197"/>
      <c r="H6391" s="197"/>
    </row>
    <row r="6392" spans="1:8">
      <c r="A6392" s="195"/>
      <c r="B6392" s="195" t="s">
        <v>205</v>
      </c>
      <c r="C6392"/>
      <c r="D6392" s="197"/>
      <c r="E6392" s="197" t="s">
        <v>851</v>
      </c>
      <c r="F6392" s="197"/>
      <c r="G6392" s="197"/>
      <c r="H6392" s="197"/>
    </row>
    <row r="6393" spans="1:8">
      <c r="A6393" s="195"/>
      <c r="B6393" s="195" t="s">
        <v>206</v>
      </c>
      <c r="C6393"/>
      <c r="D6393" s="197"/>
      <c r="E6393" s="197"/>
      <c r="F6393" s="197"/>
      <c r="G6393" s="197"/>
      <c r="H6393" s="197"/>
    </row>
    <row r="6394" spans="1:8">
      <c r="A6394" s="195"/>
      <c r="B6394" s="195" t="s">
        <v>207</v>
      </c>
      <c r="C6394"/>
      <c r="D6394" s="197"/>
      <c r="E6394" s="197"/>
      <c r="F6394" s="197"/>
      <c r="G6394" s="197"/>
      <c r="H6394" s="197"/>
    </row>
    <row r="6395" spans="1:8">
      <c r="A6395" s="195"/>
      <c r="B6395" s="196" t="s">
        <v>220</v>
      </c>
      <c r="C6395"/>
      <c r="D6395" s="197" t="s">
        <v>7</v>
      </c>
      <c r="E6395" s="197" t="s">
        <v>7</v>
      </c>
      <c r="F6395" s="197"/>
      <c r="G6395" s="189"/>
      <c r="H6395" s="197"/>
    </row>
    <row r="6396" spans="1:8">
      <c r="A6396" s="195"/>
      <c r="B6396" s="195" t="s">
        <v>205</v>
      </c>
      <c r="C6396"/>
      <c r="D6396" s="197" t="s">
        <v>244</v>
      </c>
      <c r="E6396" s="197" t="s">
        <v>228</v>
      </c>
      <c r="F6396" s="197"/>
      <c r="G6396" s="197"/>
      <c r="H6396" s="197"/>
    </row>
    <row r="6397" spans="1:8">
      <c r="A6397" s="195"/>
      <c r="B6397" s="195" t="s">
        <v>206</v>
      </c>
      <c r="C6397"/>
      <c r="D6397" s="197" t="s">
        <v>244</v>
      </c>
      <c r="E6397" s="197" t="s">
        <v>228</v>
      </c>
      <c r="F6397" s="197"/>
      <c r="G6397" s="197"/>
      <c r="H6397" s="197"/>
    </row>
    <row r="6398" spans="1:8">
      <c r="A6398" s="195"/>
      <c r="B6398" s="195" t="s">
        <v>207</v>
      </c>
      <c r="C6398"/>
      <c r="D6398" s="197" t="s">
        <v>114</v>
      </c>
      <c r="E6398" s="197" t="s">
        <v>228</v>
      </c>
      <c r="F6398" s="197"/>
      <c r="G6398" s="197"/>
      <c r="H6398" s="197"/>
    </row>
    <row r="6399" spans="1:8">
      <c r="A6399" s="195"/>
      <c r="B6399" s="196" t="s">
        <v>222</v>
      </c>
      <c r="C6399"/>
      <c r="D6399" s="197" t="s">
        <v>114</v>
      </c>
      <c r="E6399" s="197" t="s">
        <v>228</v>
      </c>
      <c r="F6399" s="197"/>
      <c r="G6399" s="197"/>
      <c r="H6399" s="197"/>
    </row>
    <row r="6400" spans="1:8">
      <c r="A6400" s="195"/>
      <c r="B6400" s="195" t="s">
        <v>205</v>
      </c>
      <c r="C6400"/>
      <c r="D6400" s="197"/>
      <c r="E6400" s="197" t="s">
        <v>228</v>
      </c>
      <c r="F6400" s="197"/>
      <c r="G6400" s="197"/>
      <c r="H6400" s="197"/>
    </row>
    <row r="6401" spans="1:12">
      <c r="A6401" s="195"/>
      <c r="B6401" s="195" t="s">
        <v>206</v>
      </c>
      <c r="C6401"/>
      <c r="D6401" s="197" t="s">
        <v>270</v>
      </c>
      <c r="E6401" s="197" t="s">
        <v>228</v>
      </c>
      <c r="F6401" s="197"/>
      <c r="G6401" s="197"/>
      <c r="H6401" s="197"/>
    </row>
    <row r="6402" spans="1:12">
      <c r="A6402" s="195"/>
      <c r="B6402" s="195" t="s">
        <v>207</v>
      </c>
      <c r="C6402"/>
      <c r="D6402" s="197" t="s">
        <v>270</v>
      </c>
      <c r="E6402" s="197" t="s">
        <v>228</v>
      </c>
      <c r="F6402" s="197"/>
      <c r="G6402" s="197"/>
      <c r="H6402" s="197"/>
    </row>
    <row r="6403" spans="1:12">
      <c r="A6403" s="195"/>
      <c r="B6403" s="196" t="s">
        <v>223</v>
      </c>
      <c r="C6403"/>
      <c r="D6403" s="197" t="s">
        <v>270</v>
      </c>
      <c r="E6403" s="197" t="s">
        <v>228</v>
      </c>
      <c r="F6403" s="197"/>
      <c r="G6403" s="197"/>
      <c r="H6403" s="197"/>
    </row>
    <row r="6404" spans="1:12">
      <c r="A6404" s="195"/>
      <c r="B6404" s="195" t="s">
        <v>205</v>
      </c>
      <c r="C6404"/>
      <c r="D6404" s="197" t="s">
        <v>270</v>
      </c>
      <c r="E6404" s="197" t="s">
        <v>273</v>
      </c>
      <c r="F6404" s="197"/>
      <c r="G6404" s="197"/>
      <c r="H6404" s="197"/>
    </row>
    <row r="6405" spans="1:12">
      <c r="A6405" s="195"/>
      <c r="B6405" s="195" t="s">
        <v>206</v>
      </c>
      <c r="C6405"/>
      <c r="D6405" s="197" t="s">
        <v>270</v>
      </c>
      <c r="E6405" s="197" t="s">
        <v>273</v>
      </c>
      <c r="F6405" s="197"/>
      <c r="G6405" s="197"/>
      <c r="H6405" s="197"/>
    </row>
    <row r="6406" spans="1:12">
      <c r="A6406" s="195"/>
      <c r="B6406" s="195" t="s">
        <v>207</v>
      </c>
      <c r="C6406"/>
      <c r="D6406" s="197" t="s">
        <v>270</v>
      </c>
      <c r="E6406" s="197" t="s">
        <v>273</v>
      </c>
      <c r="F6406" s="197"/>
      <c r="G6406" s="197"/>
      <c r="H6406" s="197"/>
    </row>
    <row r="6407" spans="1:12">
      <c r="A6407" s="195"/>
      <c r="B6407" s="196" t="s">
        <v>225</v>
      </c>
      <c r="C6407"/>
      <c r="D6407" s="197" t="s">
        <v>270</v>
      </c>
      <c r="E6407" s="197" t="s">
        <v>263</v>
      </c>
      <c r="F6407" s="197"/>
      <c r="G6407" s="197"/>
      <c r="H6407" s="197"/>
    </row>
    <row r="6408" spans="1:12">
      <c r="A6408" s="195"/>
      <c r="B6408" s="195" t="s">
        <v>205</v>
      </c>
      <c r="C6408"/>
      <c r="D6408" s="197" t="s">
        <v>270</v>
      </c>
      <c r="E6408" s="197" t="s">
        <v>263</v>
      </c>
      <c r="F6408" s="197"/>
      <c r="G6408" s="197"/>
      <c r="H6408" s="209"/>
    </row>
    <row r="6409" spans="1:12">
      <c r="A6409" s="195"/>
      <c r="B6409" s="195" t="s">
        <v>206</v>
      </c>
      <c r="C6409"/>
      <c r="D6409" s="197" t="s">
        <v>270</v>
      </c>
      <c r="E6409" s="197" t="s">
        <v>263</v>
      </c>
      <c r="F6409" s="197"/>
      <c r="G6409" s="197"/>
      <c r="H6409" s="209"/>
    </row>
    <row r="6410" spans="1:12">
      <c r="A6410" s="195"/>
      <c r="B6410" s="195" t="s">
        <v>207</v>
      </c>
      <c r="C6410"/>
      <c r="D6410" s="197" t="s">
        <v>270</v>
      </c>
      <c r="E6410" s="197" t="s">
        <v>263</v>
      </c>
      <c r="F6410" s="197"/>
      <c r="G6410" s="197"/>
      <c r="H6410" s="209"/>
    </row>
    <row r="6411" spans="1:12">
      <c r="A6411" s="195"/>
      <c r="B6411" s="196" t="s">
        <v>226</v>
      </c>
      <c r="C6411"/>
      <c r="D6411" s="197" t="s">
        <v>270</v>
      </c>
      <c r="E6411" s="197"/>
      <c r="F6411" s="197"/>
      <c r="G6411" s="197"/>
      <c r="H6411" s="209"/>
    </row>
    <row r="6412" spans="1:12">
      <c r="A6412" s="195"/>
      <c r="B6412" s="195" t="s">
        <v>205</v>
      </c>
      <c r="C6412"/>
      <c r="D6412" s="197" t="s">
        <v>270</v>
      </c>
      <c r="E6412" s="197"/>
      <c r="F6412" s="197"/>
      <c r="G6412" s="197"/>
      <c r="H6412" s="209"/>
    </row>
    <row r="6413" spans="1:12">
      <c r="A6413" s="195"/>
      <c r="B6413" s="195" t="s">
        <v>206</v>
      </c>
      <c r="C6413"/>
      <c r="D6413" s="197" t="s">
        <v>270</v>
      </c>
      <c r="E6413" s="197"/>
      <c r="F6413" s="197"/>
      <c r="G6413" s="197"/>
      <c r="H6413" s="209"/>
    </row>
    <row r="6414" spans="1:12">
      <c r="A6414" s="195"/>
      <c r="B6414" s="195" t="s">
        <v>207</v>
      </c>
      <c r="C6414"/>
      <c r="D6414" s="197" t="s">
        <v>270</v>
      </c>
      <c r="E6414" s="197"/>
      <c r="F6414" s="197"/>
      <c r="G6414" s="197"/>
      <c r="H6414" s="209"/>
    </row>
    <row r="6415" spans="1:12">
      <c r="A6415" s="195"/>
      <c r="B6415" s="196" t="s">
        <v>227</v>
      </c>
      <c r="C6415"/>
      <c r="D6415" s="197"/>
      <c r="E6415" s="197"/>
      <c r="F6415" s="197"/>
      <c r="G6415" s="197"/>
      <c r="H6415" s="209"/>
      <c r="K6415"/>
    </row>
    <row r="6416" spans="1:12" ht="29.25" thickBot="1">
      <c r="A6416" s="213" t="str">
        <f>"回収シフト  第"&amp;ROUNDUP(DAY(B6419)/7,0)  &amp;"  "&amp;TEXT(B6419,"aaaa")</f>
        <v>回収シフト  第3  日曜日</v>
      </c>
      <c r="B6416" s="214"/>
      <c r="C6416" s="214"/>
      <c r="D6416" s="214"/>
      <c r="E6416" s="214"/>
      <c r="F6416" s="214"/>
      <c r="G6416" s="215"/>
      <c r="H6416" s="215"/>
      <c r="K6416" s="214"/>
      <c r="L6416" s="214"/>
    </row>
    <row r="6417" spans="1:12" ht="15.75" thickBot="1">
      <c r="A6417"/>
      <c r="B6417"/>
      <c r="C6417"/>
      <c r="D6417" s="186" t="s">
        <v>201</v>
      </c>
      <c r="E6417" s="186" t="s">
        <v>202</v>
      </c>
      <c r="F6417" s="186" t="s">
        <v>203</v>
      </c>
      <c r="G6417" s="186" t="s">
        <v>204</v>
      </c>
      <c r="H6417" s="186" t="s">
        <v>267</v>
      </c>
      <c r="K6417" s="230" t="s">
        <v>257</v>
      </c>
      <c r="L6417" s="231"/>
    </row>
    <row r="6418" spans="1:12">
      <c r="A6418" s="187"/>
      <c r="B6418" s="188">
        <v>46119</v>
      </c>
      <c r="C6418" s="187"/>
      <c r="D6418" s="189"/>
      <c r="E6418" s="189"/>
      <c r="F6418" s="189"/>
      <c r="G6418" s="189"/>
      <c r="H6418" s="189"/>
      <c r="K6418" s="232" t="s">
        <v>258</v>
      </c>
      <c r="L6418" s="190" t="str">
        <f>_xlfn.XLOOKUP($B6419,シフト抽出!$19:$19,シフト抽出!$20:$20,"該当なし",0,1)</f>
        <v>該当なし</v>
      </c>
    </row>
    <row r="6419" spans="1:12" ht="19.5" thickBot="1">
      <c r="A6419"/>
      <c r="B6419" s="191">
        <f>B6366+1</f>
        <v>46250</v>
      </c>
      <c r="C6419" s="192"/>
      <c r="D6419" s="216"/>
      <c r="E6419" s="216"/>
      <c r="F6419" s="216"/>
      <c r="G6419" s="216"/>
      <c r="H6419" s="216"/>
      <c r="K6419" s="233"/>
      <c r="L6419" s="194" t="str">
        <f>_xlfn.XLOOKUP($B6419,シフト抽出!$19:$19,シフト抽出!$21:$21,"該当なし",0,1)</f>
        <v>該当なし</v>
      </c>
    </row>
    <row r="6420" spans="1:12">
      <c r="A6420" s="195"/>
      <c r="B6420" s="196">
        <v>0.25</v>
      </c>
      <c r="C6420"/>
      <c r="D6420" s="197"/>
      <c r="E6420" s="196"/>
      <c r="F6420" s="197"/>
      <c r="G6420" s="197"/>
      <c r="H6420" s="197"/>
      <c r="K6420" s="234" t="s">
        <v>259</v>
      </c>
      <c r="L6420" s="198" t="str">
        <f>_xlfn.XLOOKUP($B6419,シフト抽出!$19:$19,シフト抽出!$23:$23,"該当なし",0,1)</f>
        <v>該当なし</v>
      </c>
    </row>
    <row r="6421" spans="1:12" ht="15.75" thickBot="1">
      <c r="A6421" s="195"/>
      <c r="B6421" s="195" t="s">
        <v>205</v>
      </c>
      <c r="C6421"/>
      <c r="D6421" s="197"/>
      <c r="E6421" s="197"/>
      <c r="F6421" s="197"/>
      <c r="G6421" s="197"/>
      <c r="H6421" s="197"/>
      <c r="K6421" s="235"/>
      <c r="L6421" s="199" t="str">
        <f>_xlfn.XLOOKUP($B6419,シフト抽出!$19:$19,シフト抽出!$24:$24,"該当なし",0,1)</f>
        <v>該当なし</v>
      </c>
    </row>
    <row r="6422" spans="1:12">
      <c r="A6422" s="195"/>
      <c r="B6422" s="195" t="s">
        <v>206</v>
      </c>
      <c r="C6422"/>
      <c r="D6422" s="197"/>
      <c r="E6422" s="197"/>
      <c r="F6422" s="197"/>
      <c r="G6422" s="197"/>
      <c r="H6422" s="197"/>
      <c r="K6422" s="224" t="s">
        <v>260</v>
      </c>
      <c r="L6422" s="200" t="str">
        <f>_xlfn.XLOOKUP($B6419,シフト抽出!$19:$19,シフト抽出!$26:$26,"該当なし",0,1)</f>
        <v>該当なし</v>
      </c>
    </row>
    <row r="6423" spans="1:12">
      <c r="A6423" s="195"/>
      <c r="B6423" s="195" t="s">
        <v>207</v>
      </c>
      <c r="C6423"/>
      <c r="D6423" s="197"/>
      <c r="E6423" s="197"/>
      <c r="F6423" s="197"/>
      <c r="G6423" s="197"/>
      <c r="H6423" s="197"/>
      <c r="K6423" s="225"/>
      <c r="L6423" s="201" t="str">
        <f>_xlfn.XLOOKUP($B6419,シフト抽出!$19:$19,シフト抽出!$27:$27,"該当なし",0,1)</f>
        <v>該当なし</v>
      </c>
    </row>
    <row r="6424" spans="1:12">
      <c r="A6424" s="195"/>
      <c r="B6424" s="202" t="s">
        <v>208</v>
      </c>
      <c r="C6424"/>
      <c r="D6424" s="197"/>
      <c r="E6424" s="197"/>
      <c r="F6424" s="197"/>
      <c r="G6424" s="197"/>
      <c r="H6424" s="197"/>
      <c r="J6424" s="203"/>
      <c r="K6424" s="225"/>
      <c r="L6424" s="201" t="str">
        <f>_xlfn.XLOOKUP($B6419,シフト抽出!$19:$19,シフト抽出!$28:$28,"該当なし",0,1)</f>
        <v>該当なし</v>
      </c>
    </row>
    <row r="6425" spans="1:12" ht="15.75" thickBot="1">
      <c r="A6425" s="195"/>
      <c r="B6425" s="195" t="s">
        <v>205</v>
      </c>
      <c r="C6425"/>
      <c r="D6425" s="197"/>
      <c r="E6425" s="197"/>
      <c r="F6425" s="197"/>
      <c r="G6425" s="197"/>
      <c r="H6425" s="197"/>
      <c r="J6425" s="203"/>
      <c r="K6425" s="226"/>
      <c r="L6425" s="204" t="str">
        <f>_xlfn.XLOOKUP($B6419,シフト抽出!$19:$19,シフト抽出!$29:$29,"該当なし",0,1)</f>
        <v>該当なし</v>
      </c>
    </row>
    <row r="6426" spans="1:12" ht="15.75" thickBot="1">
      <c r="A6426" s="195"/>
      <c r="B6426" s="195" t="s">
        <v>206</v>
      </c>
      <c r="C6426"/>
      <c r="D6426" s="197" t="s">
        <v>416</v>
      </c>
      <c r="E6426" s="197"/>
      <c r="F6426" s="197"/>
      <c r="G6426" s="197"/>
      <c r="H6426" s="197"/>
      <c r="K6426" s="205" t="s">
        <v>261</v>
      </c>
      <c r="L6426" s="205">
        <f>_xlfn.XLOOKUP($B6419,予定表!B:B,予定表!R:R,"該当なし",0,1)</f>
        <v>0</v>
      </c>
    </row>
    <row r="6427" spans="1:12">
      <c r="A6427" s="195"/>
      <c r="B6427" s="195" t="s">
        <v>207</v>
      </c>
      <c r="C6427"/>
      <c r="D6427" s="197" t="s">
        <v>999</v>
      </c>
      <c r="E6427" s="197"/>
      <c r="F6427" s="197"/>
      <c r="G6427" s="197"/>
      <c r="H6427" s="197"/>
      <c r="K6427" s="227" t="s">
        <v>262</v>
      </c>
      <c r="L6427" s="206">
        <f>_xlfn.XLOOKUP($B6419,予定表!$B:$B,予定表!E:E,"該当なし",0,1)</f>
        <v>0</v>
      </c>
    </row>
    <row r="6428" spans="1:12">
      <c r="A6428" s="195"/>
      <c r="B6428" s="196" t="s">
        <v>209</v>
      </c>
      <c r="C6428"/>
      <c r="D6428" s="197" t="s">
        <v>416</v>
      </c>
      <c r="E6428" s="197"/>
      <c r="F6428" s="197"/>
      <c r="G6428" s="197"/>
      <c r="H6428" s="197"/>
      <c r="K6428" s="228"/>
      <c r="L6428" s="207" t="str">
        <f>_xlfn.XLOOKUP($B6419,予定表!$B:$B,予定表!F:F,"該当なし",0,1)</f>
        <v>パスコ</v>
      </c>
    </row>
    <row r="6429" spans="1:12">
      <c r="A6429" s="195"/>
      <c r="B6429" s="195" t="s">
        <v>205</v>
      </c>
      <c r="C6429"/>
      <c r="D6429" s="197" t="s">
        <v>416</v>
      </c>
      <c r="E6429" s="197"/>
      <c r="F6429" s="197"/>
      <c r="G6429" s="197"/>
      <c r="H6429" s="197"/>
      <c r="K6429" s="228"/>
      <c r="L6429" s="207">
        <f>_xlfn.XLOOKUP($B6419,予定表!$B:$B,予定表!G:G,"該当なし",0,1)</f>
        <v>0</v>
      </c>
    </row>
    <row r="6430" spans="1:12">
      <c r="A6430" s="195"/>
      <c r="B6430" s="195" t="s">
        <v>206</v>
      </c>
      <c r="C6430"/>
      <c r="D6430" s="197" t="s">
        <v>416</v>
      </c>
      <c r="E6430" s="197"/>
      <c r="F6430" s="197"/>
      <c r="G6430" s="197"/>
      <c r="H6430" s="197"/>
      <c r="K6430" s="228"/>
      <c r="L6430" s="207" t="str">
        <f>_xlfn.XLOOKUP($B6419,予定表!$B:$B,予定表!H:H,"該当なし",0,1)</f>
        <v>'資さん 平塚</v>
      </c>
    </row>
    <row r="6431" spans="1:12">
      <c r="A6431" s="195"/>
      <c r="B6431" s="195" t="s">
        <v>207</v>
      </c>
      <c r="C6431"/>
      <c r="D6431" s="197" t="s">
        <v>416</v>
      </c>
      <c r="E6431" s="197"/>
      <c r="F6431" s="197"/>
      <c r="G6431" s="197"/>
      <c r="H6431" s="197"/>
      <c r="K6431" s="228"/>
      <c r="L6431" s="207" t="str">
        <f>_xlfn.XLOOKUP($B6419,予定表!$B:$B,予定表!I:I,"該当なし",0,1)</f>
        <v>カインズAM8</v>
      </c>
    </row>
    <row r="6432" spans="1:12">
      <c r="A6432" s="195"/>
      <c r="B6432" s="196" t="s">
        <v>212</v>
      </c>
      <c r="C6432"/>
      <c r="D6432" s="197" t="s">
        <v>416</v>
      </c>
      <c r="E6432" s="197"/>
      <c r="F6432" s="197"/>
      <c r="G6432" s="197"/>
      <c r="H6432" s="197"/>
      <c r="K6432" s="228"/>
      <c r="L6432" s="207">
        <f>_xlfn.XLOOKUP($B6419,予定表!$B:$B,予定表!J:J,"該当なし",0,1)</f>
        <v>0</v>
      </c>
    </row>
    <row r="6433" spans="1:12">
      <c r="A6433" s="195"/>
      <c r="B6433" s="195" t="s">
        <v>205</v>
      </c>
      <c r="C6433"/>
      <c r="D6433" s="197" t="s">
        <v>416</v>
      </c>
      <c r="E6433" s="197"/>
      <c r="F6433" s="197"/>
      <c r="G6433" s="197"/>
      <c r="H6433" s="197"/>
      <c r="K6433" s="228"/>
      <c r="L6433" s="207">
        <f>_xlfn.XLOOKUP($B6419,予定表!$B:$B,予定表!K:K,"該当なし",0,1)</f>
        <v>0</v>
      </c>
    </row>
    <row r="6434" spans="1:12">
      <c r="A6434" s="195"/>
      <c r="B6434" s="195" t="s">
        <v>206</v>
      </c>
      <c r="C6434"/>
      <c r="D6434" s="197" t="s">
        <v>416</v>
      </c>
      <c r="E6434" s="197"/>
      <c r="F6434" s="197"/>
      <c r="G6434" s="197"/>
      <c r="H6434" s="197"/>
      <c r="K6434" s="228"/>
      <c r="L6434" s="207">
        <f>_xlfn.XLOOKUP($B6419,予定表!$B:$B,予定表!L:L,"該当なし",0,1)</f>
        <v>0</v>
      </c>
    </row>
    <row r="6435" spans="1:12" ht="15.75" thickBot="1">
      <c r="A6435" s="195"/>
      <c r="B6435" s="195" t="s">
        <v>207</v>
      </c>
      <c r="C6435"/>
      <c r="D6435" s="197" t="s">
        <v>242</v>
      </c>
      <c r="E6435" s="197"/>
      <c r="F6435" s="197"/>
      <c r="G6435" s="197"/>
      <c r="H6435" s="197"/>
      <c r="K6435" s="229"/>
      <c r="L6435" s="204" t="str">
        <f>_xlfn.XLOOKUP($A6416,ﾘｽﾄマスタ!$U$8:$U$17,ﾘｽﾄマスタ!$V$8:$V$17,"",0)</f>
        <v/>
      </c>
    </row>
    <row r="6436" spans="1:12" ht="15.75" thickBot="1">
      <c r="A6436" s="195"/>
      <c r="B6436" s="196" t="s">
        <v>251</v>
      </c>
      <c r="C6436"/>
      <c r="D6436" s="197" t="s">
        <v>242</v>
      </c>
      <c r="E6436" s="197"/>
      <c r="F6436" s="197"/>
      <c r="G6436" s="197"/>
      <c r="H6436" s="197"/>
      <c r="K6436" s="208" t="s">
        <v>277</v>
      </c>
      <c r="L6436" s="208" t="str">
        <f>_xlfn.XLOOKUP($B6419,シフト抽出!$19:$19,シフト抽出!$30:$30,"該当なし",0,1)</f>
        <v>該当なし</v>
      </c>
    </row>
    <row r="6437" spans="1:12">
      <c r="A6437" s="195"/>
      <c r="B6437" s="195" t="s">
        <v>205</v>
      </c>
      <c r="C6437"/>
      <c r="D6437" s="197" t="s">
        <v>242</v>
      </c>
      <c r="E6437" s="197"/>
      <c r="F6437" s="197"/>
      <c r="G6437" s="197"/>
      <c r="H6437" s="197"/>
    </row>
    <row r="6438" spans="1:12">
      <c r="A6438" s="195"/>
      <c r="B6438" s="195" t="s">
        <v>206</v>
      </c>
      <c r="C6438"/>
      <c r="D6438" s="197" t="s">
        <v>242</v>
      </c>
      <c r="E6438" s="197"/>
      <c r="F6438" s="197"/>
      <c r="G6438" s="197"/>
      <c r="H6438" s="197"/>
    </row>
    <row r="6439" spans="1:12">
      <c r="A6439" s="195"/>
      <c r="B6439" s="195" t="s">
        <v>207</v>
      </c>
      <c r="C6439"/>
      <c r="D6439" s="197" t="s">
        <v>242</v>
      </c>
      <c r="E6439" s="197"/>
      <c r="F6439" s="197"/>
      <c r="G6439" s="197"/>
      <c r="H6439" s="197"/>
    </row>
    <row r="6440" spans="1:12">
      <c r="A6440" s="195"/>
      <c r="B6440" s="196" t="s">
        <v>217</v>
      </c>
      <c r="C6440"/>
      <c r="D6440" s="197" t="s">
        <v>242</v>
      </c>
      <c r="E6440" s="197"/>
      <c r="F6440" s="197"/>
      <c r="G6440" s="197"/>
      <c r="H6440" s="197"/>
    </row>
    <row r="6441" spans="1:12">
      <c r="A6441" s="195"/>
      <c r="B6441" s="195" t="s">
        <v>205</v>
      </c>
      <c r="C6441"/>
      <c r="D6441" s="197" t="s">
        <v>242</v>
      </c>
      <c r="E6441" s="197"/>
      <c r="F6441" s="197"/>
      <c r="G6441" s="197"/>
      <c r="H6441" s="197"/>
    </row>
    <row r="6442" spans="1:12">
      <c r="A6442" s="195"/>
      <c r="B6442" s="195" t="s">
        <v>206</v>
      </c>
      <c r="C6442"/>
      <c r="D6442" s="197"/>
      <c r="E6442" s="197"/>
      <c r="F6442" s="197"/>
      <c r="G6442" s="197"/>
      <c r="H6442" s="197"/>
    </row>
    <row r="6443" spans="1:12">
      <c r="A6443" s="195"/>
      <c r="B6443" s="195" t="s">
        <v>207</v>
      </c>
      <c r="C6443"/>
      <c r="D6443" s="197"/>
      <c r="E6443" s="197"/>
      <c r="F6443" s="197"/>
      <c r="G6443" s="197"/>
      <c r="H6443" s="197"/>
    </row>
    <row r="6444" spans="1:12">
      <c r="A6444" s="195"/>
      <c r="B6444" s="196" t="s">
        <v>219</v>
      </c>
      <c r="C6444"/>
      <c r="D6444" s="197"/>
      <c r="E6444" s="197"/>
      <c r="F6444" s="197"/>
      <c r="G6444" s="197"/>
      <c r="H6444" s="197"/>
    </row>
    <row r="6445" spans="1:12">
      <c r="A6445" s="195"/>
      <c r="B6445" s="195" t="s">
        <v>205</v>
      </c>
      <c r="C6445"/>
      <c r="D6445" s="197"/>
      <c r="E6445" s="197"/>
      <c r="F6445" s="197"/>
      <c r="G6445" s="197"/>
      <c r="H6445" s="197"/>
    </row>
    <row r="6446" spans="1:12">
      <c r="A6446" s="195"/>
      <c r="B6446" s="195" t="s">
        <v>206</v>
      </c>
      <c r="C6446"/>
      <c r="D6446" s="197"/>
      <c r="E6446" s="197"/>
      <c r="F6446" s="197"/>
      <c r="G6446" s="197"/>
      <c r="H6446" s="197"/>
    </row>
    <row r="6447" spans="1:12">
      <c r="A6447" s="195"/>
      <c r="B6447" s="195" t="s">
        <v>207</v>
      </c>
      <c r="C6447"/>
      <c r="D6447" s="197"/>
      <c r="E6447" s="197"/>
      <c r="F6447" s="197"/>
      <c r="G6447" s="197"/>
      <c r="H6447" s="197"/>
    </row>
    <row r="6448" spans="1:12">
      <c r="A6448" s="195"/>
      <c r="B6448" s="196" t="s">
        <v>220</v>
      </c>
      <c r="C6448"/>
      <c r="D6448" s="197"/>
      <c r="E6448" s="197"/>
      <c r="F6448" s="197"/>
      <c r="G6448" s="189"/>
      <c r="H6448" s="197"/>
    </row>
    <row r="6449" spans="1:8">
      <c r="A6449" s="195"/>
      <c r="B6449" s="195" t="s">
        <v>205</v>
      </c>
      <c r="C6449"/>
      <c r="D6449" s="197"/>
      <c r="E6449" s="197"/>
      <c r="F6449" s="197"/>
      <c r="G6449" s="197"/>
      <c r="H6449" s="197"/>
    </row>
    <row r="6450" spans="1:8">
      <c r="A6450" s="195"/>
      <c r="B6450" s="195" t="s">
        <v>206</v>
      </c>
      <c r="C6450"/>
      <c r="D6450" s="197"/>
      <c r="E6450" s="197"/>
      <c r="F6450" s="197"/>
      <c r="G6450" s="197"/>
      <c r="H6450" s="197"/>
    </row>
    <row r="6451" spans="1:8">
      <c r="A6451" s="195"/>
      <c r="B6451" s="195" t="s">
        <v>207</v>
      </c>
      <c r="C6451"/>
      <c r="D6451" s="197"/>
      <c r="E6451" s="197"/>
      <c r="F6451" s="197"/>
      <c r="G6451" s="197"/>
      <c r="H6451" s="197"/>
    </row>
    <row r="6452" spans="1:8">
      <c r="A6452" s="195"/>
      <c r="B6452" s="196" t="s">
        <v>222</v>
      </c>
      <c r="C6452"/>
      <c r="D6452" s="197"/>
      <c r="E6452" s="197"/>
      <c r="F6452" s="197"/>
      <c r="G6452" s="197"/>
      <c r="H6452" s="197"/>
    </row>
    <row r="6453" spans="1:8">
      <c r="A6453" s="195"/>
      <c r="B6453" s="195" t="s">
        <v>205</v>
      </c>
      <c r="C6453"/>
      <c r="D6453" s="197"/>
      <c r="E6453" s="197"/>
      <c r="F6453" s="197"/>
      <c r="G6453" s="197"/>
      <c r="H6453" s="197"/>
    </row>
    <row r="6454" spans="1:8">
      <c r="A6454" s="195"/>
      <c r="B6454" s="195" t="s">
        <v>206</v>
      </c>
      <c r="C6454"/>
      <c r="D6454" s="197"/>
      <c r="E6454" s="197"/>
      <c r="F6454" s="197"/>
      <c r="G6454" s="197"/>
      <c r="H6454" s="197"/>
    </row>
    <row r="6455" spans="1:8">
      <c r="A6455" s="195"/>
      <c r="B6455" s="195" t="s">
        <v>207</v>
      </c>
      <c r="C6455"/>
      <c r="D6455" s="197"/>
      <c r="E6455" s="197"/>
      <c r="F6455" s="197"/>
      <c r="G6455" s="197"/>
      <c r="H6455" s="197"/>
    </row>
    <row r="6456" spans="1:8">
      <c r="A6456" s="195"/>
      <c r="B6456" s="196" t="s">
        <v>223</v>
      </c>
      <c r="C6456"/>
      <c r="D6456" s="197"/>
      <c r="E6456" s="197"/>
      <c r="F6456" s="197"/>
      <c r="G6456" s="197"/>
      <c r="H6456" s="197"/>
    </row>
    <row r="6457" spans="1:8">
      <c r="A6457" s="195"/>
      <c r="B6457" s="195" t="s">
        <v>205</v>
      </c>
      <c r="C6457"/>
      <c r="D6457" s="197"/>
      <c r="E6457" s="197"/>
      <c r="F6457" s="197"/>
      <c r="G6457" s="197"/>
      <c r="H6457" s="197"/>
    </row>
    <row r="6458" spans="1:8">
      <c r="A6458" s="195"/>
      <c r="B6458" s="195" t="s">
        <v>206</v>
      </c>
      <c r="C6458"/>
      <c r="D6458" s="197"/>
      <c r="E6458" s="197"/>
      <c r="F6458" s="197"/>
      <c r="G6458" s="197"/>
      <c r="H6458" s="197"/>
    </row>
    <row r="6459" spans="1:8">
      <c r="A6459" s="195"/>
      <c r="B6459" s="195" t="s">
        <v>207</v>
      </c>
      <c r="C6459"/>
      <c r="D6459" s="197"/>
      <c r="E6459" s="197"/>
      <c r="F6459" s="197"/>
      <c r="G6459" s="197"/>
      <c r="H6459" s="197"/>
    </row>
    <row r="6460" spans="1:8">
      <c r="A6460" s="195"/>
      <c r="B6460" s="196" t="s">
        <v>225</v>
      </c>
      <c r="C6460"/>
      <c r="D6460" s="197"/>
      <c r="E6460" s="197"/>
      <c r="F6460" s="197"/>
      <c r="G6460" s="197"/>
      <c r="H6460" s="197"/>
    </row>
    <row r="6461" spans="1:8">
      <c r="A6461" s="195"/>
      <c r="B6461" s="195" t="s">
        <v>205</v>
      </c>
      <c r="C6461"/>
      <c r="D6461" s="197"/>
      <c r="E6461" s="197"/>
      <c r="F6461" s="197"/>
      <c r="G6461" s="197"/>
      <c r="H6461" s="209"/>
    </row>
    <row r="6462" spans="1:8">
      <c r="A6462" s="195"/>
      <c r="B6462" s="195" t="s">
        <v>206</v>
      </c>
      <c r="C6462"/>
      <c r="D6462" s="197"/>
      <c r="E6462" s="197"/>
      <c r="F6462" s="197"/>
      <c r="G6462" s="197"/>
      <c r="H6462" s="209"/>
    </row>
    <row r="6463" spans="1:8">
      <c r="A6463" s="195"/>
      <c r="B6463" s="195" t="s">
        <v>207</v>
      </c>
      <c r="C6463"/>
      <c r="D6463" s="197"/>
      <c r="E6463" s="197"/>
      <c r="F6463" s="197"/>
      <c r="G6463" s="197"/>
      <c r="H6463" s="209"/>
    </row>
    <row r="6464" spans="1:8">
      <c r="A6464" s="195"/>
      <c r="B6464" s="196" t="s">
        <v>226</v>
      </c>
      <c r="C6464"/>
      <c r="D6464" s="197"/>
      <c r="E6464" s="197"/>
      <c r="F6464" s="197"/>
      <c r="G6464" s="197"/>
      <c r="H6464" s="209"/>
    </row>
    <row r="6465" spans="1:12">
      <c r="A6465" s="195"/>
      <c r="B6465" s="195" t="s">
        <v>205</v>
      </c>
      <c r="C6465"/>
      <c r="D6465" s="197"/>
      <c r="E6465" s="197"/>
      <c r="F6465" s="197"/>
      <c r="G6465" s="197"/>
      <c r="H6465" s="209"/>
    </row>
    <row r="6466" spans="1:12">
      <c r="A6466" s="195"/>
      <c r="B6466" s="195" t="s">
        <v>206</v>
      </c>
      <c r="C6466"/>
      <c r="D6466" s="197"/>
      <c r="E6466" s="197"/>
      <c r="F6466" s="197"/>
      <c r="G6466" s="197"/>
      <c r="H6466" s="209"/>
    </row>
    <row r="6467" spans="1:12">
      <c r="A6467" s="195"/>
      <c r="B6467" s="195" t="s">
        <v>207</v>
      </c>
      <c r="C6467"/>
      <c r="D6467" s="197"/>
      <c r="E6467" s="197"/>
      <c r="F6467" s="197"/>
      <c r="G6467" s="197"/>
      <c r="H6467" s="209"/>
    </row>
    <row r="6468" spans="1:12">
      <c r="A6468" s="195"/>
      <c r="B6468" s="196" t="s">
        <v>227</v>
      </c>
      <c r="C6468"/>
      <c r="D6468" s="197"/>
      <c r="E6468" s="197"/>
      <c r="F6468" s="197"/>
      <c r="G6468" s="197"/>
      <c r="H6468" s="209"/>
      <c r="K6468"/>
    </row>
    <row r="6469" spans="1:12" ht="29.25" thickBot="1">
      <c r="A6469" s="182" t="str">
        <f>"回収シフト  第"&amp;ROUNDUP(DAY(B6472)/7,0)  &amp;"  "&amp;TEXT(B6472,"aaaa")</f>
        <v>回収シフト  第3  月曜日</v>
      </c>
      <c r="B6469" s="183"/>
      <c r="C6469" s="183"/>
      <c r="D6469" s="183"/>
      <c r="E6469" s="183"/>
      <c r="F6469" s="183"/>
      <c r="G6469" s="184"/>
      <c r="H6469" s="184"/>
      <c r="I6469" s="184"/>
      <c r="K6469" s="214"/>
      <c r="L6469" s="214"/>
    </row>
    <row r="6470" spans="1:12" ht="15.75" thickBot="1">
      <c r="A6470"/>
      <c r="B6470"/>
      <c r="C6470"/>
      <c r="D6470" s="186" t="s">
        <v>201</v>
      </c>
      <c r="E6470" s="186" t="s">
        <v>202</v>
      </c>
      <c r="F6470" s="186" t="s">
        <v>203</v>
      </c>
      <c r="G6470" s="186" t="s">
        <v>204</v>
      </c>
      <c r="H6470" s="186" t="s">
        <v>267</v>
      </c>
      <c r="I6470" s="217" t="s">
        <v>267</v>
      </c>
      <c r="K6470" s="230" t="s">
        <v>257</v>
      </c>
      <c r="L6470" s="231"/>
    </row>
    <row r="6471" spans="1:12">
      <c r="A6471" s="187"/>
      <c r="B6471" s="188">
        <v>45495</v>
      </c>
      <c r="C6471" s="187"/>
      <c r="D6471" s="189" t="s">
        <v>857</v>
      </c>
      <c r="E6471" s="189" t="s">
        <v>247</v>
      </c>
      <c r="F6471" s="189" t="s">
        <v>867</v>
      </c>
      <c r="G6471" s="189" t="s">
        <v>923</v>
      </c>
      <c r="H6471" s="189" t="s">
        <v>852</v>
      </c>
      <c r="I6471" s="218" t="s">
        <v>852</v>
      </c>
      <c r="K6471" s="232" t="s">
        <v>258</v>
      </c>
      <c r="L6471" s="190" t="str">
        <f>_xlfn.XLOOKUP($B6472,シフト抽出!$19:$19,シフト抽出!$20:$20,"該当なし",0,1)</f>
        <v>該当なし</v>
      </c>
    </row>
    <row r="6472" spans="1:12" ht="19.5" thickBot="1">
      <c r="A6472"/>
      <c r="B6472" s="191">
        <f>B6419+1</f>
        <v>46251</v>
      </c>
      <c r="C6472" s="192" t="e">
        <v>#REF!</v>
      </c>
      <c r="D6472" s="193"/>
      <c r="E6472" s="193"/>
      <c r="F6472" s="193"/>
      <c r="G6472" s="193"/>
      <c r="H6472" s="193"/>
      <c r="I6472" s="219"/>
      <c r="K6472" s="233"/>
      <c r="L6472" s="194" t="str">
        <f>_xlfn.XLOOKUP($B6472,シフト抽出!$19:$19,シフト抽出!$21:$21,"該当なし",0,1)</f>
        <v>該当なし</v>
      </c>
    </row>
    <row r="6473" spans="1:12">
      <c r="A6473" s="195"/>
      <c r="B6473" s="196">
        <v>0.25</v>
      </c>
      <c r="C6473"/>
      <c r="D6473" s="197"/>
      <c r="E6473" s="196"/>
      <c r="F6473" s="197"/>
      <c r="G6473" s="197"/>
      <c r="H6473" s="197"/>
      <c r="I6473" s="209"/>
      <c r="K6473" s="234" t="s">
        <v>259</v>
      </c>
      <c r="L6473" s="198" t="str">
        <f>_xlfn.XLOOKUP($B6472,シフト抽出!$19:$19,シフト抽出!$23:$23,"該当なし",0,1)</f>
        <v>該当なし</v>
      </c>
    </row>
    <row r="6474" spans="1:12" ht="15.75" thickBot="1">
      <c r="A6474" s="195"/>
      <c r="B6474" s="195" t="s">
        <v>205</v>
      </c>
      <c r="C6474"/>
      <c r="D6474" s="197"/>
      <c r="E6474" s="197"/>
      <c r="F6474" s="197"/>
      <c r="G6474" s="197"/>
      <c r="H6474" s="197"/>
      <c r="I6474" s="209"/>
      <c r="K6474" s="235"/>
      <c r="L6474" s="199" t="str">
        <f>_xlfn.XLOOKUP($B6472,シフト抽出!$19:$19,シフト抽出!$24:$24,"該当なし",0,1)</f>
        <v>該当なし</v>
      </c>
    </row>
    <row r="6475" spans="1:12">
      <c r="A6475" s="195"/>
      <c r="B6475" s="195" t="s">
        <v>206</v>
      </c>
      <c r="C6475"/>
      <c r="D6475" s="197" t="s">
        <v>941</v>
      </c>
      <c r="E6475" s="197"/>
      <c r="F6475" s="197" t="s">
        <v>851</v>
      </c>
      <c r="G6475" s="197"/>
      <c r="H6475" s="197"/>
      <c r="I6475" s="209"/>
      <c r="K6475" s="224" t="s">
        <v>260</v>
      </c>
      <c r="L6475" s="200" t="str">
        <f>_xlfn.XLOOKUP($B6472,シフト抽出!$19:$19,シフト抽出!$26:$26,"該当なし",0,1)</f>
        <v>該当なし</v>
      </c>
    </row>
    <row r="6476" spans="1:12">
      <c r="A6476" s="195"/>
      <c r="B6476" s="195" t="s">
        <v>207</v>
      </c>
      <c r="C6476"/>
      <c r="D6476" s="197"/>
      <c r="E6476" s="197"/>
      <c r="F6476" s="197" t="s">
        <v>851</v>
      </c>
      <c r="G6476" s="197"/>
      <c r="H6476" s="197"/>
      <c r="I6476" s="209"/>
      <c r="K6476" s="225"/>
      <c r="L6476" s="201" t="str">
        <f>_xlfn.XLOOKUP($B6472,シフト抽出!$19:$19,シフト抽出!$27:$27,"該当なし",0,1)</f>
        <v>該当なし</v>
      </c>
    </row>
    <row r="6477" spans="1:12">
      <c r="A6477" s="195"/>
      <c r="B6477" s="202" t="s">
        <v>208</v>
      </c>
      <c r="C6477"/>
      <c r="D6477" s="197"/>
      <c r="E6477" s="197"/>
      <c r="F6477" s="197" t="s">
        <v>851</v>
      </c>
      <c r="G6477" s="197"/>
      <c r="H6477" s="197"/>
      <c r="I6477" s="209"/>
      <c r="J6477" s="203"/>
      <c r="K6477" s="225"/>
      <c r="L6477" s="201" t="str">
        <f>_xlfn.XLOOKUP($B6472,シフト抽出!$19:$19,シフト抽出!$28:$28,"該当なし",0,1)</f>
        <v>該当なし</v>
      </c>
    </row>
    <row r="6478" spans="1:12" ht="15.75" thickBot="1">
      <c r="A6478" s="195"/>
      <c r="B6478" s="195" t="s">
        <v>205</v>
      </c>
      <c r="C6478"/>
      <c r="D6478" s="197"/>
      <c r="E6478" s="197"/>
      <c r="F6478" s="197" t="s">
        <v>851</v>
      </c>
      <c r="G6478" s="197"/>
      <c r="H6478" s="197"/>
      <c r="I6478" s="209"/>
      <c r="J6478" s="203"/>
      <c r="K6478" s="226"/>
      <c r="L6478" s="204" t="str">
        <f>_xlfn.XLOOKUP($B6472,シフト抽出!$19:$19,シフト抽出!$29:$29,"該当なし",0,1)</f>
        <v>該当なし</v>
      </c>
    </row>
    <row r="6479" spans="1:12" ht="15.75" thickBot="1">
      <c r="A6479" s="195"/>
      <c r="B6479" s="195" t="s">
        <v>206</v>
      </c>
      <c r="C6479"/>
      <c r="D6479" s="197"/>
      <c r="E6479" s="197"/>
      <c r="F6479" s="197" t="s">
        <v>851</v>
      </c>
      <c r="G6479" s="197"/>
      <c r="H6479" s="197"/>
      <c r="I6479" s="209"/>
      <c r="K6479" s="205" t="s">
        <v>261</v>
      </c>
      <c r="L6479" s="205">
        <f>_xlfn.XLOOKUP($B6472,予定表!B:B,予定表!R:R,"該当なし",0,1)</f>
        <v>0</v>
      </c>
    </row>
    <row r="6480" spans="1:12">
      <c r="A6480" s="195"/>
      <c r="B6480" s="195" t="s">
        <v>207</v>
      </c>
      <c r="C6480"/>
      <c r="D6480" s="197"/>
      <c r="E6480" s="197"/>
      <c r="F6480" s="197" t="s">
        <v>851</v>
      </c>
      <c r="G6480" s="197"/>
      <c r="H6480" s="197"/>
      <c r="I6480" s="209"/>
      <c r="K6480" s="227" t="s">
        <v>262</v>
      </c>
      <c r="L6480" s="206">
        <f>_xlfn.XLOOKUP($B6472,予定表!$B:$B,予定表!E:E,"該当なし",0,1)</f>
        <v>0</v>
      </c>
    </row>
    <row r="6481" spans="1:12">
      <c r="A6481" s="195"/>
      <c r="B6481" s="196" t="s">
        <v>209</v>
      </c>
      <c r="C6481"/>
      <c r="D6481" s="197"/>
      <c r="E6481" s="197"/>
      <c r="F6481" s="197" t="s">
        <v>851</v>
      </c>
      <c r="G6481" s="197"/>
      <c r="H6481" s="197"/>
      <c r="I6481" s="209"/>
      <c r="K6481" s="228"/>
      <c r="L6481" s="207">
        <f>_xlfn.XLOOKUP($B6472,予定表!$B:$B,予定表!F:F,"該当なし",0,1)</f>
        <v>0</v>
      </c>
    </row>
    <row r="6482" spans="1:12">
      <c r="A6482" s="195"/>
      <c r="B6482" s="195" t="s">
        <v>205</v>
      </c>
      <c r="C6482"/>
      <c r="D6482" s="197" t="s">
        <v>264</v>
      </c>
      <c r="E6482" s="197" t="s">
        <v>414</v>
      </c>
      <c r="F6482" s="197" t="s">
        <v>851</v>
      </c>
      <c r="G6482" s="197" t="s">
        <v>268</v>
      </c>
      <c r="H6482" s="197" t="s">
        <v>415</v>
      </c>
      <c r="I6482" s="209" t="s">
        <v>415</v>
      </c>
      <c r="K6482" s="228"/>
      <c r="L6482" s="207" t="str">
        <f>_xlfn.XLOOKUP($B6472,予定表!$B:$B,予定表!G:G,"該当なし",0,1)</f>
        <v>ディーミング</v>
      </c>
    </row>
    <row r="6483" spans="1:12">
      <c r="A6483" s="195"/>
      <c r="B6483" s="195" t="s">
        <v>206</v>
      </c>
      <c r="C6483"/>
      <c r="D6483" s="197" t="s">
        <v>471</v>
      </c>
      <c r="E6483" s="197" t="s">
        <v>414</v>
      </c>
      <c r="F6483" s="197" t="s">
        <v>851</v>
      </c>
      <c r="G6483" s="197" t="s">
        <v>268</v>
      </c>
      <c r="H6483" s="197" t="s">
        <v>415</v>
      </c>
      <c r="I6483" s="209" t="s">
        <v>415</v>
      </c>
      <c r="K6483" s="228"/>
      <c r="L6483" s="207" t="str">
        <f>_xlfn.XLOOKUP($B6472,予定表!$B:$B,予定表!H:H,"該当なし",0,1)</f>
        <v>'資さん 平塚</v>
      </c>
    </row>
    <row r="6484" spans="1:12">
      <c r="A6484" s="195"/>
      <c r="B6484" s="195" t="s">
        <v>207</v>
      </c>
      <c r="C6484"/>
      <c r="D6484" s="197" t="s">
        <v>788</v>
      </c>
      <c r="E6484" s="197" t="s">
        <v>414</v>
      </c>
      <c r="F6484" s="197"/>
      <c r="G6484" s="197" t="s">
        <v>268</v>
      </c>
      <c r="H6484" s="197" t="s">
        <v>415</v>
      </c>
      <c r="I6484" s="209" t="s">
        <v>415</v>
      </c>
      <c r="K6484" s="228"/>
      <c r="L6484" s="207" t="str">
        <f>_xlfn.XLOOKUP($B6472,予定表!$B:$B,予定表!I:I,"該当なし",0,1)</f>
        <v>カインズAM8</v>
      </c>
    </row>
    <row r="6485" spans="1:12">
      <c r="A6485" s="195"/>
      <c r="B6485" s="196" t="s">
        <v>212</v>
      </c>
      <c r="C6485"/>
      <c r="D6485" s="197" t="s">
        <v>119</v>
      </c>
      <c r="E6485" s="197" t="s">
        <v>414</v>
      </c>
      <c r="F6485" s="197" t="s">
        <v>416</v>
      </c>
      <c r="G6485" s="197" t="s">
        <v>268</v>
      </c>
      <c r="H6485" s="197" t="s">
        <v>416</v>
      </c>
      <c r="I6485" s="209" t="s">
        <v>416</v>
      </c>
      <c r="K6485" s="228"/>
      <c r="L6485" s="207">
        <f>_xlfn.XLOOKUP($B6472,予定表!$B:$B,予定表!J:J,"該当なし",0,1)</f>
        <v>0</v>
      </c>
    </row>
    <row r="6486" spans="1:12">
      <c r="A6486" s="195"/>
      <c r="B6486" s="195" t="s">
        <v>205</v>
      </c>
      <c r="C6486"/>
      <c r="D6486" s="197" t="s">
        <v>376</v>
      </c>
      <c r="E6486" s="197" t="s">
        <v>414</v>
      </c>
      <c r="F6486" s="197" t="s">
        <v>877</v>
      </c>
      <c r="G6486" s="197" t="s">
        <v>268</v>
      </c>
      <c r="H6486" s="197" t="s">
        <v>877</v>
      </c>
      <c r="I6486" s="209" t="s">
        <v>877</v>
      </c>
      <c r="K6486" s="228"/>
      <c r="L6486" s="207">
        <f>_xlfn.XLOOKUP($B6472,予定表!$B:$B,予定表!K:K,"該当なし",0,1)</f>
        <v>0</v>
      </c>
    </row>
    <row r="6487" spans="1:12">
      <c r="A6487" s="195"/>
      <c r="B6487" s="195" t="s">
        <v>206</v>
      </c>
      <c r="C6487"/>
      <c r="D6487" s="197" t="s">
        <v>278</v>
      </c>
      <c r="E6487" s="197" t="s">
        <v>414</v>
      </c>
      <c r="F6487" s="197" t="s">
        <v>416</v>
      </c>
      <c r="G6487" s="197" t="s">
        <v>515</v>
      </c>
      <c r="H6487" s="197" t="s">
        <v>416</v>
      </c>
      <c r="I6487" s="209" t="s">
        <v>416</v>
      </c>
      <c r="K6487" s="228"/>
      <c r="L6487" s="207">
        <f>_xlfn.XLOOKUP($B6472,予定表!$B:$B,予定表!L:L,"該当なし",0,1)</f>
        <v>0</v>
      </c>
    </row>
    <row r="6488" spans="1:12" ht="15.75" thickBot="1">
      <c r="A6488" s="195"/>
      <c r="B6488" s="195" t="s">
        <v>207</v>
      </c>
      <c r="C6488"/>
      <c r="D6488" s="197" t="s">
        <v>213</v>
      </c>
      <c r="E6488" s="197" t="s">
        <v>414</v>
      </c>
      <c r="F6488" s="197" t="s">
        <v>416</v>
      </c>
      <c r="G6488" s="197" t="s">
        <v>515</v>
      </c>
      <c r="H6488" s="197" t="s">
        <v>416</v>
      </c>
      <c r="I6488" s="209" t="s">
        <v>416</v>
      </c>
      <c r="K6488" s="229"/>
      <c r="L6488" s="204" t="str">
        <f>_xlfn.XLOOKUP($A6469,ﾘｽﾄマスタ!$U$8:$U$17,ﾘｽﾄマスタ!$V$8:$V$17,"",0)</f>
        <v/>
      </c>
    </row>
    <row r="6489" spans="1:12" ht="15.75" thickBot="1">
      <c r="A6489" s="195"/>
      <c r="B6489" s="196" t="s">
        <v>251</v>
      </c>
      <c r="C6489"/>
      <c r="D6489" s="197" t="s">
        <v>144</v>
      </c>
      <c r="E6489" s="197" t="s">
        <v>862</v>
      </c>
      <c r="F6489" s="197" t="s">
        <v>416</v>
      </c>
      <c r="G6489" s="197" t="s">
        <v>269</v>
      </c>
      <c r="H6489" s="197" t="s">
        <v>416</v>
      </c>
      <c r="I6489" s="209" t="s">
        <v>416</v>
      </c>
      <c r="K6489" s="208" t="s">
        <v>277</v>
      </c>
      <c r="L6489" s="208" t="str">
        <f>_xlfn.XLOOKUP($B6472,シフト抽出!$19:$19,シフト抽出!$30:$30,"該当なし",0,1)</f>
        <v>該当なし</v>
      </c>
    </row>
    <row r="6490" spans="1:12">
      <c r="A6490" s="195"/>
      <c r="B6490" s="195" t="s">
        <v>205</v>
      </c>
      <c r="C6490"/>
      <c r="D6490" s="197" t="s">
        <v>144</v>
      </c>
      <c r="E6490" s="197" t="s">
        <v>214</v>
      </c>
      <c r="F6490" s="197" t="s">
        <v>416</v>
      </c>
      <c r="G6490" s="197" t="s">
        <v>269</v>
      </c>
      <c r="H6490" s="197" t="s">
        <v>416</v>
      </c>
      <c r="I6490" s="209" t="s">
        <v>416</v>
      </c>
    </row>
    <row r="6491" spans="1:12">
      <c r="A6491" s="195"/>
      <c r="B6491" s="195" t="s">
        <v>206</v>
      </c>
      <c r="C6491"/>
      <c r="D6491" s="197" t="s">
        <v>218</v>
      </c>
      <c r="E6491" s="197" t="s">
        <v>214</v>
      </c>
      <c r="F6491" s="197" t="s">
        <v>416</v>
      </c>
      <c r="G6491" s="197" t="s">
        <v>269</v>
      </c>
      <c r="H6491" s="197" t="s">
        <v>416</v>
      </c>
      <c r="I6491" s="209" t="s">
        <v>416</v>
      </c>
    </row>
    <row r="6492" spans="1:12">
      <c r="A6492" s="195"/>
      <c r="B6492" s="195" t="s">
        <v>207</v>
      </c>
      <c r="C6492"/>
      <c r="D6492" s="197" t="s">
        <v>78</v>
      </c>
      <c r="E6492" s="197" t="s">
        <v>214</v>
      </c>
      <c r="F6492" s="197" t="s">
        <v>416</v>
      </c>
      <c r="G6492" s="197" t="s">
        <v>446</v>
      </c>
      <c r="H6492" s="197" t="s">
        <v>416</v>
      </c>
      <c r="I6492" s="209" t="s">
        <v>416</v>
      </c>
    </row>
    <row r="6493" spans="1:12">
      <c r="A6493" s="195"/>
      <c r="B6493" s="196" t="s">
        <v>217</v>
      </c>
      <c r="C6493"/>
      <c r="D6493" s="197" t="s">
        <v>78</v>
      </c>
      <c r="E6493" s="197" t="s">
        <v>761</v>
      </c>
      <c r="F6493" s="197" t="s">
        <v>416</v>
      </c>
      <c r="G6493" s="197" t="s">
        <v>446</v>
      </c>
      <c r="H6493" s="197" t="s">
        <v>416</v>
      </c>
      <c r="I6493" s="209" t="s">
        <v>416</v>
      </c>
    </row>
    <row r="6494" spans="1:12">
      <c r="A6494" s="195"/>
      <c r="B6494" s="195" t="s">
        <v>205</v>
      </c>
      <c r="C6494"/>
      <c r="D6494" s="197" t="s">
        <v>146</v>
      </c>
      <c r="E6494" s="197" t="s">
        <v>761</v>
      </c>
      <c r="F6494" s="197" t="s">
        <v>416</v>
      </c>
      <c r="G6494" s="197" t="s">
        <v>114</v>
      </c>
      <c r="H6494" s="197" t="s">
        <v>416</v>
      </c>
      <c r="I6494" s="209" t="s">
        <v>416</v>
      </c>
    </row>
    <row r="6495" spans="1:12">
      <c r="A6495" s="195"/>
      <c r="B6495" s="195" t="s">
        <v>206</v>
      </c>
      <c r="C6495"/>
      <c r="D6495" s="197" t="s">
        <v>146</v>
      </c>
      <c r="E6495" s="197" t="s">
        <v>761</v>
      </c>
      <c r="F6495" s="197" t="s">
        <v>416</v>
      </c>
      <c r="G6495" s="197" t="s">
        <v>114</v>
      </c>
      <c r="H6495" s="197" t="s">
        <v>416</v>
      </c>
      <c r="I6495" s="209" t="s">
        <v>416</v>
      </c>
    </row>
    <row r="6496" spans="1:12">
      <c r="A6496" s="195"/>
      <c r="B6496" s="195" t="s">
        <v>207</v>
      </c>
      <c r="C6496"/>
      <c r="D6496" s="197"/>
      <c r="E6496" s="197" t="s">
        <v>761</v>
      </c>
      <c r="F6496" s="197" t="s">
        <v>416</v>
      </c>
      <c r="G6496" s="197" t="s">
        <v>51</v>
      </c>
      <c r="H6496" s="197" t="s">
        <v>416</v>
      </c>
      <c r="I6496" s="209" t="s">
        <v>416</v>
      </c>
    </row>
    <row r="6497" spans="1:9">
      <c r="A6497" s="195"/>
      <c r="B6497" s="196" t="s">
        <v>219</v>
      </c>
      <c r="C6497"/>
      <c r="D6497" s="197"/>
      <c r="E6497" s="197"/>
      <c r="F6497" s="197"/>
      <c r="G6497" s="197" t="s">
        <v>51</v>
      </c>
      <c r="H6497" s="197"/>
      <c r="I6497" s="209"/>
    </row>
    <row r="6498" spans="1:9">
      <c r="A6498" s="195"/>
      <c r="B6498" s="195" t="s">
        <v>205</v>
      </c>
      <c r="C6498"/>
      <c r="D6498" s="197"/>
      <c r="E6498" s="197"/>
      <c r="F6498" s="197"/>
      <c r="G6498" s="197" t="s">
        <v>51</v>
      </c>
      <c r="H6498" s="197"/>
      <c r="I6498" s="209"/>
    </row>
    <row r="6499" spans="1:9">
      <c r="A6499" s="195"/>
      <c r="B6499" s="195" t="s">
        <v>206</v>
      </c>
      <c r="C6499"/>
      <c r="D6499" s="197"/>
      <c r="E6499" s="197"/>
      <c r="F6499" s="197"/>
      <c r="G6499" s="197"/>
      <c r="H6499" s="197"/>
      <c r="I6499" s="209"/>
    </row>
    <row r="6500" spans="1:9">
      <c r="A6500" s="195"/>
      <c r="B6500" s="195" t="s">
        <v>207</v>
      </c>
      <c r="C6500"/>
      <c r="D6500" s="197"/>
      <c r="E6500" s="197"/>
      <c r="F6500" s="197"/>
      <c r="G6500" s="197"/>
      <c r="H6500" s="197"/>
      <c r="I6500" s="209"/>
    </row>
    <row r="6501" spans="1:9">
      <c r="A6501" s="195"/>
      <c r="B6501" s="196" t="s">
        <v>220</v>
      </c>
      <c r="C6501"/>
      <c r="D6501" s="189" t="s">
        <v>248</v>
      </c>
      <c r="E6501" s="189" t="s">
        <v>926</v>
      </c>
      <c r="F6501" s="197"/>
      <c r="G6501" s="189" t="s">
        <v>925</v>
      </c>
      <c r="H6501" s="197"/>
      <c r="I6501" s="209"/>
    </row>
    <row r="6502" spans="1:9">
      <c r="A6502" s="195"/>
      <c r="B6502" s="195" t="s">
        <v>205</v>
      </c>
      <c r="C6502"/>
      <c r="D6502" s="197" t="s">
        <v>759</v>
      </c>
      <c r="E6502" s="197" t="s">
        <v>848</v>
      </c>
      <c r="F6502" s="197" t="s">
        <v>224</v>
      </c>
      <c r="G6502" s="197" t="s">
        <v>56</v>
      </c>
      <c r="H6502" s="197" t="s">
        <v>848</v>
      </c>
      <c r="I6502" s="209" t="s">
        <v>848</v>
      </c>
    </row>
    <row r="6503" spans="1:9">
      <c r="A6503" s="195"/>
      <c r="B6503" s="195" t="s">
        <v>206</v>
      </c>
      <c r="C6503"/>
      <c r="D6503" s="197" t="s">
        <v>759</v>
      </c>
      <c r="E6503" s="197" t="s">
        <v>848</v>
      </c>
      <c r="F6503" s="197" t="s">
        <v>865</v>
      </c>
      <c r="G6503" s="197" t="s">
        <v>56</v>
      </c>
      <c r="H6503" s="197" t="s">
        <v>848</v>
      </c>
      <c r="I6503" s="209" t="s">
        <v>848</v>
      </c>
    </row>
    <row r="6504" spans="1:9">
      <c r="A6504" s="195"/>
      <c r="B6504" s="195" t="s">
        <v>207</v>
      </c>
      <c r="C6504"/>
      <c r="D6504" s="197" t="s">
        <v>759</v>
      </c>
      <c r="E6504" s="197" t="s">
        <v>848</v>
      </c>
      <c r="F6504" s="197" t="s">
        <v>866</v>
      </c>
      <c r="G6504" s="197" t="s">
        <v>56</v>
      </c>
      <c r="H6504" s="197" t="s">
        <v>848</v>
      </c>
      <c r="I6504" s="209" t="s">
        <v>848</v>
      </c>
    </row>
    <row r="6505" spans="1:9">
      <c r="A6505" s="195"/>
      <c r="B6505" s="196" t="s">
        <v>222</v>
      </c>
      <c r="C6505"/>
      <c r="D6505" s="197" t="s">
        <v>216</v>
      </c>
      <c r="E6505" s="197" t="s">
        <v>273</v>
      </c>
      <c r="F6505" s="197" t="s">
        <v>416</v>
      </c>
      <c r="G6505" s="197" t="s">
        <v>56</v>
      </c>
      <c r="H6505" s="197" t="s">
        <v>848</v>
      </c>
      <c r="I6505" s="209" t="s">
        <v>848</v>
      </c>
    </row>
    <row r="6506" spans="1:9">
      <c r="A6506" s="195"/>
      <c r="B6506" s="195" t="s">
        <v>205</v>
      </c>
      <c r="C6506"/>
      <c r="D6506" s="197" t="s">
        <v>216</v>
      </c>
      <c r="E6506" s="197" t="s">
        <v>273</v>
      </c>
      <c r="F6506" s="197" t="s">
        <v>901</v>
      </c>
      <c r="G6506" s="197"/>
      <c r="H6506" s="197" t="s">
        <v>848</v>
      </c>
      <c r="I6506" s="209" t="s">
        <v>848</v>
      </c>
    </row>
    <row r="6507" spans="1:9">
      <c r="A6507" s="195"/>
      <c r="B6507" s="195" t="s">
        <v>206</v>
      </c>
      <c r="C6507"/>
      <c r="D6507" s="197" t="s">
        <v>216</v>
      </c>
      <c r="E6507" s="197" t="s">
        <v>273</v>
      </c>
      <c r="F6507" s="197" t="s">
        <v>416</v>
      </c>
      <c r="G6507" s="197" t="s">
        <v>270</v>
      </c>
      <c r="H6507" s="197" t="s">
        <v>848</v>
      </c>
      <c r="I6507" s="209" t="s">
        <v>848</v>
      </c>
    </row>
    <row r="6508" spans="1:9">
      <c r="A6508" s="195"/>
      <c r="B6508" s="195" t="s">
        <v>207</v>
      </c>
      <c r="C6508"/>
      <c r="D6508" s="197" t="s">
        <v>216</v>
      </c>
      <c r="E6508" s="197" t="s">
        <v>252</v>
      </c>
      <c r="F6508" s="197" t="s">
        <v>416</v>
      </c>
      <c r="G6508" s="197" t="s">
        <v>270</v>
      </c>
      <c r="H6508" s="197" t="s">
        <v>848</v>
      </c>
      <c r="I6508" s="209" t="s">
        <v>848</v>
      </c>
    </row>
    <row r="6509" spans="1:9">
      <c r="A6509" s="195"/>
      <c r="B6509" s="196" t="s">
        <v>223</v>
      </c>
      <c r="C6509"/>
      <c r="D6509" s="197" t="s">
        <v>216</v>
      </c>
      <c r="E6509" s="197" t="s">
        <v>252</v>
      </c>
      <c r="F6509" s="197" t="s">
        <v>416</v>
      </c>
      <c r="G6509" s="197" t="s">
        <v>270</v>
      </c>
      <c r="H6509" s="197" t="s">
        <v>848</v>
      </c>
      <c r="I6509" s="209" t="s">
        <v>848</v>
      </c>
    </row>
    <row r="6510" spans="1:9">
      <c r="A6510" s="195"/>
      <c r="B6510" s="195" t="s">
        <v>205</v>
      </c>
      <c r="C6510"/>
      <c r="D6510" s="197" t="s">
        <v>160</v>
      </c>
      <c r="E6510" s="197" t="s">
        <v>252</v>
      </c>
      <c r="F6510" s="197"/>
      <c r="G6510" s="197" t="s">
        <v>270</v>
      </c>
      <c r="H6510" s="197" t="s">
        <v>229</v>
      </c>
      <c r="I6510" s="209" t="s">
        <v>229</v>
      </c>
    </row>
    <row r="6511" spans="1:9">
      <c r="A6511" s="195"/>
      <c r="B6511" s="195" t="s">
        <v>206</v>
      </c>
      <c r="C6511"/>
      <c r="D6511" s="197" t="s">
        <v>215</v>
      </c>
      <c r="E6511" s="197" t="s">
        <v>252</v>
      </c>
      <c r="F6511" s="197"/>
      <c r="G6511" s="197" t="s">
        <v>270</v>
      </c>
      <c r="H6511" s="197" t="s">
        <v>229</v>
      </c>
      <c r="I6511" s="209" t="s">
        <v>229</v>
      </c>
    </row>
    <row r="6512" spans="1:9">
      <c r="A6512" s="195"/>
      <c r="B6512" s="195" t="s">
        <v>207</v>
      </c>
      <c r="C6512"/>
      <c r="D6512" s="197" t="s">
        <v>280</v>
      </c>
      <c r="E6512" s="197" t="s">
        <v>252</v>
      </c>
      <c r="F6512" s="197"/>
      <c r="G6512" s="197" t="s">
        <v>270</v>
      </c>
      <c r="H6512" s="197" t="s">
        <v>229</v>
      </c>
      <c r="I6512" s="209" t="s">
        <v>229</v>
      </c>
    </row>
    <row r="6513" spans="1:12">
      <c r="A6513" s="195"/>
      <c r="B6513" s="196" t="s">
        <v>225</v>
      </c>
      <c r="C6513"/>
      <c r="D6513" s="197" t="s">
        <v>127</v>
      </c>
      <c r="E6513" s="197" t="s">
        <v>252</v>
      </c>
      <c r="F6513" s="197"/>
      <c r="G6513" s="197" t="s">
        <v>270</v>
      </c>
      <c r="H6513" s="197" t="s">
        <v>230</v>
      </c>
      <c r="I6513" s="209" t="s">
        <v>230</v>
      </c>
    </row>
    <row r="6514" spans="1:12">
      <c r="A6514" s="195"/>
      <c r="B6514" s="195" t="s">
        <v>205</v>
      </c>
      <c r="C6514"/>
      <c r="D6514" s="197"/>
      <c r="E6514" s="197" t="s">
        <v>252</v>
      </c>
      <c r="F6514" s="197"/>
      <c r="G6514" s="197" t="s">
        <v>270</v>
      </c>
      <c r="H6514" s="209" t="s">
        <v>230</v>
      </c>
      <c r="I6514" s="209" t="s">
        <v>230</v>
      </c>
    </row>
    <row r="6515" spans="1:12">
      <c r="A6515" s="195"/>
      <c r="B6515" s="195" t="s">
        <v>206</v>
      </c>
      <c r="C6515"/>
      <c r="D6515" s="197"/>
      <c r="E6515" s="197"/>
      <c r="F6515" s="197"/>
      <c r="G6515" s="197" t="s">
        <v>270</v>
      </c>
      <c r="H6515" s="209" t="s">
        <v>230</v>
      </c>
      <c r="I6515" s="209" t="s">
        <v>230</v>
      </c>
    </row>
    <row r="6516" spans="1:12">
      <c r="A6516" s="195"/>
      <c r="B6516" s="195" t="s">
        <v>207</v>
      </c>
      <c r="C6516"/>
      <c r="D6516" s="197"/>
      <c r="E6516" s="197"/>
      <c r="F6516" s="197"/>
      <c r="G6516" s="197" t="s">
        <v>270</v>
      </c>
      <c r="H6516" s="209" t="s">
        <v>230</v>
      </c>
      <c r="I6516" s="209" t="s">
        <v>230</v>
      </c>
    </row>
    <row r="6517" spans="1:12">
      <c r="A6517" s="195"/>
      <c r="B6517" s="196" t="s">
        <v>226</v>
      </c>
      <c r="C6517"/>
      <c r="D6517" s="197"/>
      <c r="E6517" s="197"/>
      <c r="F6517" s="197"/>
      <c r="G6517" s="197" t="s">
        <v>270</v>
      </c>
      <c r="H6517" s="209" t="s">
        <v>230</v>
      </c>
      <c r="I6517" s="209" t="s">
        <v>230</v>
      </c>
    </row>
    <row r="6518" spans="1:12">
      <c r="A6518" s="195"/>
      <c r="B6518" s="195" t="s">
        <v>205</v>
      </c>
      <c r="C6518"/>
      <c r="D6518" s="197"/>
      <c r="E6518" s="197"/>
      <c r="F6518" s="197"/>
      <c r="G6518" s="197" t="s">
        <v>270</v>
      </c>
      <c r="H6518" s="209" t="s">
        <v>230</v>
      </c>
      <c r="I6518" s="209" t="s">
        <v>230</v>
      </c>
    </row>
    <row r="6519" spans="1:12">
      <c r="A6519" s="195"/>
      <c r="B6519" s="195" t="s">
        <v>206</v>
      </c>
      <c r="C6519"/>
      <c r="D6519" s="197"/>
      <c r="E6519" s="197"/>
      <c r="F6519" s="197"/>
      <c r="G6519" s="197" t="s">
        <v>270</v>
      </c>
      <c r="H6519" s="209"/>
      <c r="I6519" s="209"/>
    </row>
    <row r="6520" spans="1:12">
      <c r="A6520" s="195"/>
      <c r="B6520" s="195" t="s">
        <v>207</v>
      </c>
      <c r="C6520"/>
      <c r="D6520" s="197"/>
      <c r="E6520" s="197"/>
      <c r="F6520" s="197"/>
      <c r="G6520" s="197" t="s">
        <v>270</v>
      </c>
      <c r="H6520" s="209"/>
      <c r="I6520" s="209"/>
    </row>
    <row r="6521" spans="1:12">
      <c r="A6521" s="195"/>
      <c r="B6521" s="196" t="s">
        <v>227</v>
      </c>
      <c r="C6521"/>
      <c r="D6521" s="197"/>
      <c r="E6521" s="197"/>
      <c r="F6521" s="197"/>
      <c r="G6521" s="197"/>
      <c r="H6521" s="209"/>
      <c r="I6521" s="209"/>
      <c r="K6521"/>
    </row>
    <row r="6522" spans="1:12" ht="29.25" thickBot="1">
      <c r="A6522" s="182" t="str">
        <f>"回収シフト  第"&amp;ROUNDUP(DAY(B6525)/7,0)  &amp;"  "&amp;TEXT(B6525,"aaaa")</f>
        <v>回収シフト  第3  火曜日</v>
      </c>
      <c r="B6522" s="183"/>
      <c r="C6522" s="183"/>
      <c r="D6522" s="183"/>
      <c r="E6522" s="183"/>
      <c r="F6522" s="183"/>
      <c r="G6522" s="184"/>
      <c r="H6522" s="184"/>
      <c r="I6522" s="184"/>
      <c r="K6522" s="183"/>
      <c r="L6522" s="183"/>
    </row>
    <row r="6523" spans="1:12" ht="15.75" thickBot="1">
      <c r="A6523"/>
      <c r="B6523"/>
      <c r="C6523"/>
      <c r="D6523" s="186" t="s">
        <v>201</v>
      </c>
      <c r="E6523" s="186" t="s">
        <v>202</v>
      </c>
      <c r="F6523" s="186" t="s">
        <v>203</v>
      </c>
      <c r="G6523" s="186" t="s">
        <v>204</v>
      </c>
      <c r="H6523" s="186" t="s">
        <v>267</v>
      </c>
      <c r="I6523" s="217" t="s">
        <v>987</v>
      </c>
      <c r="K6523" s="230" t="s">
        <v>257</v>
      </c>
      <c r="L6523" s="231"/>
    </row>
    <row r="6524" spans="1:12">
      <c r="A6524" s="187"/>
      <c r="B6524" s="188">
        <v>46119</v>
      </c>
      <c r="C6524" s="187"/>
      <c r="D6524" s="189" t="s">
        <v>926</v>
      </c>
      <c r="E6524" s="189" t="s">
        <v>247</v>
      </c>
      <c r="F6524" s="189" t="s">
        <v>921</v>
      </c>
      <c r="G6524" s="189" t="s">
        <v>925</v>
      </c>
      <c r="H6524" s="189" t="s">
        <v>852</v>
      </c>
      <c r="I6524" s="218" t="s">
        <v>649</v>
      </c>
      <c r="K6524" s="232" t="s">
        <v>258</v>
      </c>
      <c r="L6524" s="190" t="str">
        <f>_xlfn.XLOOKUP($B6525,シフト抽出!$19:$19,シフト抽出!$20:$20,"該当なし",0,1)</f>
        <v>該当なし</v>
      </c>
    </row>
    <row r="6525" spans="1:12" ht="19.5" thickBot="1">
      <c r="A6525"/>
      <c r="B6525" s="191">
        <f>B6472+1</f>
        <v>46252</v>
      </c>
      <c r="C6525" s="192"/>
      <c r="D6525" s="193"/>
      <c r="E6525" s="193"/>
      <c r="F6525" s="193"/>
      <c r="G6525" s="193"/>
      <c r="H6525" s="193"/>
      <c r="I6525" s="219"/>
      <c r="K6525" s="233"/>
      <c r="L6525" s="194" t="str">
        <f>_xlfn.XLOOKUP($B6525,シフト抽出!$19:$19,シフト抽出!$21:$21,"該当なし",0,1)</f>
        <v>該当なし</v>
      </c>
    </row>
    <row r="6526" spans="1:12">
      <c r="A6526" s="195"/>
      <c r="B6526" s="196">
        <v>0.25</v>
      </c>
      <c r="C6526"/>
      <c r="D6526" s="197"/>
      <c r="E6526" s="196"/>
      <c r="F6526" s="197"/>
      <c r="G6526" s="197"/>
      <c r="H6526" s="197"/>
      <c r="I6526" s="209"/>
      <c r="K6526" s="234" t="s">
        <v>259</v>
      </c>
      <c r="L6526" s="198" t="str">
        <f>_xlfn.XLOOKUP($B6525,シフト抽出!$19:$19,シフト抽出!$23:$23,"該当なし",0,1)</f>
        <v>該当なし</v>
      </c>
    </row>
    <row r="6527" spans="1:12" ht="15.75" thickBot="1">
      <c r="A6527" s="195"/>
      <c r="B6527" s="195" t="s">
        <v>205</v>
      </c>
      <c r="C6527"/>
      <c r="D6527" s="197"/>
      <c r="E6527" s="197"/>
      <c r="F6527" s="197"/>
      <c r="G6527" s="197"/>
      <c r="H6527" s="197"/>
      <c r="I6527" s="209"/>
      <c r="K6527" s="235"/>
      <c r="L6527" s="199" t="str">
        <f>_xlfn.XLOOKUP($B6525,シフト抽出!$19:$19,シフト抽出!$24:$24,"該当なし",0,1)</f>
        <v>該当なし</v>
      </c>
    </row>
    <row r="6528" spans="1:12">
      <c r="A6528" s="195"/>
      <c r="B6528" s="195" t="s">
        <v>206</v>
      </c>
      <c r="C6528"/>
      <c r="D6528" s="197"/>
      <c r="E6528" s="197"/>
      <c r="F6528" s="197"/>
      <c r="G6528" s="197"/>
      <c r="H6528" s="197"/>
      <c r="I6528" s="209"/>
      <c r="K6528" s="224" t="s">
        <v>260</v>
      </c>
      <c r="L6528" s="200" t="str">
        <f>_xlfn.XLOOKUP($B6525,シフト抽出!$19:$19,シフト抽出!$26:$26,"該当なし",0,1)</f>
        <v>該当なし</v>
      </c>
    </row>
    <row r="6529" spans="1:12">
      <c r="A6529" s="195"/>
      <c r="B6529" s="195" t="s">
        <v>207</v>
      </c>
      <c r="C6529"/>
      <c r="D6529" s="197"/>
      <c r="E6529" s="197"/>
      <c r="F6529" s="197"/>
      <c r="G6529" s="197"/>
      <c r="H6529" s="197"/>
      <c r="I6529" s="209"/>
      <c r="K6529" s="225"/>
      <c r="L6529" s="201" t="str">
        <f>_xlfn.XLOOKUP($B6525,シフト抽出!$19:$19,シフト抽出!$27:$27,"該当なし",0,1)</f>
        <v>該当なし</v>
      </c>
    </row>
    <row r="6530" spans="1:12">
      <c r="A6530" s="195"/>
      <c r="B6530" s="202" t="s">
        <v>208</v>
      </c>
      <c r="C6530"/>
      <c r="D6530" s="197" t="s">
        <v>4</v>
      </c>
      <c r="E6530" s="197" t="s">
        <v>4</v>
      </c>
      <c r="F6530" s="197"/>
      <c r="G6530" s="197" t="s">
        <v>4</v>
      </c>
      <c r="H6530" s="197"/>
      <c r="I6530" s="209"/>
      <c r="J6530" s="203"/>
      <c r="K6530" s="225"/>
      <c r="L6530" s="201" t="str">
        <f>_xlfn.XLOOKUP($B6525,シフト抽出!$19:$19,シフト抽出!$28:$28,"該当なし",0,1)</f>
        <v>該当なし</v>
      </c>
    </row>
    <row r="6531" spans="1:12" ht="15.75" thickBot="1">
      <c r="A6531" s="195"/>
      <c r="B6531" s="195" t="s">
        <v>205</v>
      </c>
      <c r="C6531"/>
      <c r="D6531" s="197" t="s">
        <v>851</v>
      </c>
      <c r="E6531" s="197" t="s">
        <v>420</v>
      </c>
      <c r="F6531" s="197"/>
      <c r="G6531" s="197" t="s">
        <v>22</v>
      </c>
      <c r="H6531" s="197"/>
      <c r="I6531" s="209"/>
      <c r="J6531" s="203"/>
      <c r="K6531" s="226"/>
      <c r="L6531" s="204" t="str">
        <f>_xlfn.XLOOKUP($B6525,シフト抽出!$19:$19,シフト抽出!$29:$29,"該当なし",0,1)</f>
        <v>該当なし</v>
      </c>
    </row>
    <row r="6532" spans="1:12" ht="15.75" thickBot="1">
      <c r="A6532" s="195"/>
      <c r="B6532" s="195" t="s">
        <v>206</v>
      </c>
      <c r="C6532"/>
      <c r="D6532" s="197" t="s">
        <v>851</v>
      </c>
      <c r="E6532" s="197" t="s">
        <v>420</v>
      </c>
      <c r="F6532" s="197"/>
      <c r="G6532" s="197" t="s">
        <v>22</v>
      </c>
      <c r="H6532" s="197"/>
      <c r="I6532" s="209"/>
      <c r="K6532" s="205" t="s">
        <v>261</v>
      </c>
      <c r="L6532" s="205">
        <f>_xlfn.XLOOKUP($B6525,予定表!B:B,予定表!R:R,"該当なし",0,1)</f>
        <v>0</v>
      </c>
    </row>
    <row r="6533" spans="1:12">
      <c r="A6533" s="195"/>
      <c r="B6533" s="195" t="s">
        <v>207</v>
      </c>
      <c r="C6533"/>
      <c r="D6533" s="197" t="s">
        <v>851</v>
      </c>
      <c r="E6533" s="197" t="s">
        <v>420</v>
      </c>
      <c r="F6533" s="197"/>
      <c r="G6533" s="197" t="s">
        <v>22</v>
      </c>
      <c r="H6533" s="197"/>
      <c r="I6533" s="209"/>
      <c r="K6533" s="227" t="s">
        <v>262</v>
      </c>
      <c r="L6533" s="206">
        <f>_xlfn.XLOOKUP($B6525,予定表!$B:$B,予定表!E:E,"該当なし",0,1)</f>
        <v>0</v>
      </c>
    </row>
    <row r="6534" spans="1:12">
      <c r="A6534" s="195"/>
      <c r="B6534" s="196" t="s">
        <v>209</v>
      </c>
      <c r="C6534"/>
      <c r="D6534" s="197" t="s">
        <v>851</v>
      </c>
      <c r="E6534" s="197" t="s">
        <v>420</v>
      </c>
      <c r="F6534" s="197" t="s">
        <v>467</v>
      </c>
      <c r="G6534" s="197" t="s">
        <v>268</v>
      </c>
      <c r="H6534" s="197" t="s">
        <v>4</v>
      </c>
      <c r="I6534" s="209"/>
      <c r="K6534" s="228"/>
      <c r="L6534" s="207">
        <f>_xlfn.XLOOKUP($B6525,予定表!$B:$B,予定表!F:F,"該当なし",0,1)</f>
        <v>0</v>
      </c>
    </row>
    <row r="6535" spans="1:12">
      <c r="A6535" s="195"/>
      <c r="B6535" s="195" t="s">
        <v>205</v>
      </c>
      <c r="C6535"/>
      <c r="D6535" s="197" t="s">
        <v>851</v>
      </c>
      <c r="E6535" s="197" t="s">
        <v>420</v>
      </c>
      <c r="F6535" s="197" t="s">
        <v>467</v>
      </c>
      <c r="G6535" s="197" t="s">
        <v>268</v>
      </c>
      <c r="H6535" s="197" t="s">
        <v>848</v>
      </c>
      <c r="I6535" s="209"/>
      <c r="K6535" s="228"/>
      <c r="L6535" s="207">
        <f>_xlfn.XLOOKUP($B6525,予定表!$B:$B,予定表!G:G,"該当なし",0,1)</f>
        <v>0</v>
      </c>
    </row>
    <row r="6536" spans="1:12">
      <c r="A6536" s="195"/>
      <c r="B6536" s="195" t="s">
        <v>206</v>
      </c>
      <c r="C6536"/>
      <c r="D6536" s="197" t="s">
        <v>851</v>
      </c>
      <c r="E6536" s="197" t="s">
        <v>273</v>
      </c>
      <c r="F6536" s="197" t="s">
        <v>467</v>
      </c>
      <c r="G6536" s="197" t="s">
        <v>268</v>
      </c>
      <c r="H6536" s="197" t="s">
        <v>848</v>
      </c>
      <c r="I6536" s="209"/>
      <c r="K6536" s="228"/>
      <c r="L6536" s="207">
        <f>_xlfn.XLOOKUP($B6525,予定表!$B:$B,予定表!H:H,"該当なし",0,1)</f>
        <v>0</v>
      </c>
    </row>
    <row r="6537" spans="1:12">
      <c r="A6537" s="195"/>
      <c r="B6537" s="195" t="s">
        <v>207</v>
      </c>
      <c r="C6537"/>
      <c r="D6537" s="197" t="s">
        <v>851</v>
      </c>
      <c r="E6537" s="197" t="s">
        <v>273</v>
      </c>
      <c r="F6537" s="197" t="s">
        <v>467</v>
      </c>
      <c r="G6537" s="197" t="s">
        <v>268</v>
      </c>
      <c r="H6537" s="197" t="s">
        <v>848</v>
      </c>
      <c r="I6537" s="209"/>
      <c r="K6537" s="228"/>
      <c r="L6537" s="207" t="str">
        <f>_xlfn.XLOOKUP($B6525,予定表!$B:$B,予定表!I:I,"該当なし",0,1)</f>
        <v>カインズAM8</v>
      </c>
    </row>
    <row r="6538" spans="1:12">
      <c r="A6538" s="195"/>
      <c r="B6538" s="196" t="s">
        <v>212</v>
      </c>
      <c r="C6538"/>
      <c r="D6538" s="197" t="s">
        <v>851</v>
      </c>
      <c r="E6538" s="197" t="s">
        <v>273</v>
      </c>
      <c r="F6538" s="197" t="s">
        <v>467</v>
      </c>
      <c r="G6538" s="197" t="s">
        <v>169</v>
      </c>
      <c r="H6538" s="197" t="s">
        <v>848</v>
      </c>
      <c r="I6538" s="209" t="s">
        <v>995</v>
      </c>
      <c r="K6538" s="228"/>
      <c r="L6538" s="207">
        <f>_xlfn.XLOOKUP($B6525,予定表!$B:$B,予定表!J:J,"該当なし",0,1)</f>
        <v>0</v>
      </c>
    </row>
    <row r="6539" spans="1:12">
      <c r="A6539" s="195"/>
      <c r="B6539" s="195" t="s">
        <v>205</v>
      </c>
      <c r="C6539"/>
      <c r="D6539" s="197" t="s">
        <v>353</v>
      </c>
      <c r="E6539" s="197" t="s">
        <v>953</v>
      </c>
      <c r="F6539" s="197" t="s">
        <v>467</v>
      </c>
      <c r="G6539" s="197" t="s">
        <v>169</v>
      </c>
      <c r="H6539" s="197" t="s">
        <v>848</v>
      </c>
      <c r="I6539" s="209" t="s">
        <v>994</v>
      </c>
      <c r="K6539" s="228"/>
      <c r="L6539" s="207">
        <f>_xlfn.XLOOKUP($B6525,予定表!$B:$B,予定表!K:K,"該当なし",0,1)</f>
        <v>0</v>
      </c>
    </row>
    <row r="6540" spans="1:12">
      <c r="A6540" s="195"/>
      <c r="B6540" s="195" t="s">
        <v>206</v>
      </c>
      <c r="C6540"/>
      <c r="D6540" s="197" t="s">
        <v>353</v>
      </c>
      <c r="E6540" s="197" t="s">
        <v>228</v>
      </c>
      <c r="F6540" s="197" t="s">
        <v>467</v>
      </c>
      <c r="G6540" s="197" t="s">
        <v>169</v>
      </c>
      <c r="H6540" s="197" t="s">
        <v>229</v>
      </c>
      <c r="I6540" s="209" t="s">
        <v>414</v>
      </c>
      <c r="K6540" s="228"/>
      <c r="L6540" s="207">
        <f>_xlfn.XLOOKUP($B6525,予定表!$B:$B,予定表!L:L,"該当なし",0,1)</f>
        <v>0</v>
      </c>
    </row>
    <row r="6541" spans="1:12" ht="15.75" thickBot="1">
      <c r="A6541" s="195"/>
      <c r="B6541" s="195" t="s">
        <v>207</v>
      </c>
      <c r="C6541"/>
      <c r="D6541" s="197" t="s">
        <v>761</v>
      </c>
      <c r="E6541" s="197" t="s">
        <v>228</v>
      </c>
      <c r="F6541" s="197" t="s">
        <v>467</v>
      </c>
      <c r="G6541" s="197" t="s">
        <v>169</v>
      </c>
      <c r="H6541" s="197" t="s">
        <v>229</v>
      </c>
      <c r="I6541" s="209" t="s">
        <v>414</v>
      </c>
      <c r="K6541" s="229"/>
      <c r="L6541" s="204" t="str">
        <f>_xlfn.XLOOKUP($A6522,ﾘｽﾄマスタ!$U$8:$U$17,ﾘｽﾄマスタ!$V$8:$V$17,"",0)</f>
        <v/>
      </c>
    </row>
    <row r="6542" spans="1:12" ht="15.75" thickBot="1">
      <c r="A6542" s="195"/>
      <c r="B6542" s="196" t="s">
        <v>251</v>
      </c>
      <c r="C6542"/>
      <c r="D6542" s="197" t="s">
        <v>761</v>
      </c>
      <c r="E6542" s="197" t="s">
        <v>228</v>
      </c>
      <c r="F6542" s="197" t="s">
        <v>467</v>
      </c>
      <c r="G6542" s="197" t="s">
        <v>279</v>
      </c>
      <c r="H6542" s="197" t="s">
        <v>230</v>
      </c>
      <c r="I6542" s="209" t="s">
        <v>414</v>
      </c>
      <c r="K6542" s="208" t="s">
        <v>277</v>
      </c>
      <c r="L6542" s="208" t="str">
        <f>_xlfn.XLOOKUP($B6525,シフト抽出!$19:$19,シフト抽出!$30:$30,"該当なし",0,1)</f>
        <v>該当なし</v>
      </c>
    </row>
    <row r="6543" spans="1:12">
      <c r="A6543" s="195"/>
      <c r="B6543" s="195" t="s">
        <v>205</v>
      </c>
      <c r="C6543"/>
      <c r="D6543" s="197" t="s">
        <v>761</v>
      </c>
      <c r="E6543" s="197" t="s">
        <v>228</v>
      </c>
      <c r="F6543" s="197" t="s">
        <v>467</v>
      </c>
      <c r="G6543" s="197" t="s">
        <v>279</v>
      </c>
      <c r="H6543" s="197" t="s">
        <v>230</v>
      </c>
      <c r="I6543" s="209" t="s">
        <v>414</v>
      </c>
    </row>
    <row r="6544" spans="1:12">
      <c r="A6544" s="195"/>
      <c r="B6544" s="195" t="s">
        <v>206</v>
      </c>
      <c r="C6544"/>
      <c r="D6544" s="197" t="s">
        <v>88</v>
      </c>
      <c r="E6544" s="197" t="s">
        <v>263</v>
      </c>
      <c r="F6544" s="197" t="s">
        <v>467</v>
      </c>
      <c r="G6544" s="197" t="s">
        <v>279</v>
      </c>
      <c r="H6544" s="197" t="s">
        <v>230</v>
      </c>
      <c r="I6544" s="209" t="s">
        <v>414</v>
      </c>
    </row>
    <row r="6545" spans="1:9">
      <c r="A6545" s="195"/>
      <c r="B6545" s="195" t="s">
        <v>207</v>
      </c>
      <c r="C6545"/>
      <c r="D6545" s="197" t="s">
        <v>88</v>
      </c>
      <c r="E6545" s="197" t="s">
        <v>263</v>
      </c>
      <c r="F6545" s="197" t="s">
        <v>467</v>
      </c>
      <c r="G6545" s="197" t="s">
        <v>279</v>
      </c>
      <c r="H6545" s="197" t="s">
        <v>230</v>
      </c>
      <c r="I6545" s="209" t="s">
        <v>862</v>
      </c>
    </row>
    <row r="6546" spans="1:9">
      <c r="A6546" s="195"/>
      <c r="B6546" s="196" t="s">
        <v>217</v>
      </c>
      <c r="C6546"/>
      <c r="D6546" s="197" t="s">
        <v>51</v>
      </c>
      <c r="E6546" s="197" t="s">
        <v>263</v>
      </c>
      <c r="F6546" s="197" t="s">
        <v>467</v>
      </c>
      <c r="G6546" s="197" t="s">
        <v>279</v>
      </c>
      <c r="H6546" s="197"/>
      <c r="I6546" s="209" t="s">
        <v>214</v>
      </c>
    </row>
    <row r="6547" spans="1:9">
      <c r="A6547" s="195"/>
      <c r="B6547" s="195" t="s">
        <v>205</v>
      </c>
      <c r="C6547"/>
      <c r="D6547" s="197" t="s">
        <v>51</v>
      </c>
      <c r="E6547" s="197" t="s">
        <v>426</v>
      </c>
      <c r="F6547" s="197"/>
      <c r="G6547" s="197" t="s">
        <v>279</v>
      </c>
      <c r="H6547" s="197"/>
      <c r="I6547" s="209" t="s">
        <v>214</v>
      </c>
    </row>
    <row r="6548" spans="1:9">
      <c r="A6548" s="195"/>
      <c r="B6548" s="195" t="s">
        <v>206</v>
      </c>
      <c r="C6548"/>
      <c r="D6548" s="197" t="s">
        <v>51</v>
      </c>
      <c r="E6548" s="197" t="s">
        <v>426</v>
      </c>
      <c r="F6548" s="197"/>
      <c r="G6548" s="197" t="s">
        <v>279</v>
      </c>
      <c r="H6548" s="197"/>
      <c r="I6548" s="209" t="s">
        <v>214</v>
      </c>
    </row>
    <row r="6549" spans="1:9">
      <c r="A6549" s="195"/>
      <c r="B6549" s="195" t="s">
        <v>207</v>
      </c>
      <c r="C6549"/>
      <c r="D6549" s="197" t="s">
        <v>51</v>
      </c>
      <c r="E6549" s="197" t="s">
        <v>426</v>
      </c>
      <c r="F6549" s="197"/>
      <c r="G6549" s="197" t="s">
        <v>279</v>
      </c>
      <c r="H6549" s="197"/>
      <c r="I6549" s="209" t="s">
        <v>214</v>
      </c>
    </row>
    <row r="6550" spans="1:9">
      <c r="A6550" s="195"/>
      <c r="B6550" s="196" t="s">
        <v>219</v>
      </c>
      <c r="C6550"/>
      <c r="D6550" s="197"/>
      <c r="E6550" s="197"/>
      <c r="F6550" s="197"/>
      <c r="G6550" s="197"/>
      <c r="H6550" s="197"/>
      <c r="I6550" s="209"/>
    </row>
    <row r="6551" spans="1:9">
      <c r="A6551" s="195"/>
      <c r="B6551" s="195" t="s">
        <v>205</v>
      </c>
      <c r="C6551"/>
      <c r="D6551" s="197"/>
      <c r="E6551" s="197"/>
      <c r="F6551" s="197"/>
      <c r="G6551" s="197"/>
      <c r="H6551" s="197"/>
      <c r="I6551" s="209"/>
    </row>
    <row r="6552" spans="1:9">
      <c r="A6552" s="195"/>
      <c r="B6552" s="195" t="s">
        <v>206</v>
      </c>
      <c r="C6552"/>
      <c r="D6552" s="197"/>
      <c r="E6552" s="197"/>
      <c r="F6552" s="197"/>
      <c r="G6552" s="197"/>
      <c r="H6552" s="197"/>
      <c r="I6552" s="209"/>
    </row>
    <row r="6553" spans="1:9">
      <c r="A6553" s="195"/>
      <c r="B6553" s="195" t="s">
        <v>207</v>
      </c>
      <c r="C6553"/>
      <c r="D6553" s="197"/>
      <c r="E6553" s="197"/>
      <c r="F6553" s="197"/>
      <c r="G6553" s="197"/>
      <c r="H6553" s="197"/>
      <c r="I6553" s="209"/>
    </row>
    <row r="6554" spans="1:9">
      <c r="A6554" s="195"/>
      <c r="B6554" s="196" t="s">
        <v>220</v>
      </c>
      <c r="C6554"/>
      <c r="D6554" s="189"/>
      <c r="E6554" s="197"/>
      <c r="F6554" s="197"/>
      <c r="G6554" s="197"/>
      <c r="H6554" s="197"/>
      <c r="I6554" s="209"/>
    </row>
    <row r="6555" spans="1:9">
      <c r="A6555" s="195"/>
      <c r="B6555" s="195" t="s">
        <v>205</v>
      </c>
      <c r="C6555"/>
      <c r="D6555" s="197" t="s">
        <v>114</v>
      </c>
      <c r="E6555" s="197" t="s">
        <v>233</v>
      </c>
      <c r="F6555" s="197" t="s">
        <v>62</v>
      </c>
      <c r="G6555" s="197" t="s">
        <v>56</v>
      </c>
      <c r="H6555" s="197" t="s">
        <v>390</v>
      </c>
      <c r="I6555" s="209"/>
    </row>
    <row r="6556" spans="1:9">
      <c r="A6556" s="195"/>
      <c r="B6556" s="195" t="s">
        <v>206</v>
      </c>
      <c r="C6556"/>
      <c r="D6556" s="197" t="s">
        <v>114</v>
      </c>
      <c r="E6556" s="197" t="s">
        <v>233</v>
      </c>
      <c r="F6556" s="197" t="s">
        <v>62</v>
      </c>
      <c r="G6556" s="197" t="s">
        <v>56</v>
      </c>
      <c r="H6556" s="197" t="s">
        <v>390</v>
      </c>
      <c r="I6556" s="209"/>
    </row>
    <row r="6557" spans="1:9">
      <c r="A6557" s="195"/>
      <c r="B6557" s="195" t="s">
        <v>207</v>
      </c>
      <c r="C6557"/>
      <c r="D6557" s="197" t="s">
        <v>129</v>
      </c>
      <c r="E6557" s="197" t="s">
        <v>233</v>
      </c>
      <c r="F6557" s="197" t="s">
        <v>62</v>
      </c>
      <c r="G6557" s="197" t="s">
        <v>56</v>
      </c>
      <c r="H6557" s="197"/>
      <c r="I6557" s="209"/>
    </row>
    <row r="6558" spans="1:9">
      <c r="A6558" s="195"/>
      <c r="B6558" s="196" t="s">
        <v>222</v>
      </c>
      <c r="C6558"/>
      <c r="D6558" s="197" t="s">
        <v>129</v>
      </c>
      <c r="E6558" s="197" t="s">
        <v>252</v>
      </c>
      <c r="F6558" s="197" t="s">
        <v>62</v>
      </c>
      <c r="G6558" s="197" t="s">
        <v>56</v>
      </c>
      <c r="H6558" s="197" t="s">
        <v>231</v>
      </c>
      <c r="I6558" s="209"/>
    </row>
    <row r="6559" spans="1:9">
      <c r="A6559" s="195"/>
      <c r="B6559" s="195" t="s">
        <v>205</v>
      </c>
      <c r="C6559"/>
      <c r="D6559" s="197"/>
      <c r="E6559" s="197" t="s">
        <v>252</v>
      </c>
      <c r="F6559" s="197" t="s">
        <v>62</v>
      </c>
      <c r="G6559" s="197"/>
      <c r="H6559" s="197" t="s">
        <v>232</v>
      </c>
      <c r="I6559" s="209"/>
    </row>
    <row r="6560" spans="1:9">
      <c r="A6560" s="195"/>
      <c r="B6560" s="195" t="s">
        <v>206</v>
      </c>
      <c r="C6560"/>
      <c r="D6560" s="197" t="s">
        <v>515</v>
      </c>
      <c r="E6560" s="197" t="s">
        <v>252</v>
      </c>
      <c r="F6560" s="197" t="s">
        <v>62</v>
      </c>
      <c r="G6560" s="197" t="s">
        <v>270</v>
      </c>
      <c r="H6560" s="197" t="s">
        <v>211</v>
      </c>
      <c r="I6560" s="209"/>
    </row>
    <row r="6561" spans="1:12">
      <c r="A6561" s="195"/>
      <c r="B6561" s="195" t="s">
        <v>207</v>
      </c>
      <c r="C6561"/>
      <c r="D6561" s="197" t="s">
        <v>515</v>
      </c>
      <c r="E6561" s="197" t="s">
        <v>252</v>
      </c>
      <c r="F6561" s="197" t="s">
        <v>62</v>
      </c>
      <c r="G6561" s="197" t="s">
        <v>270</v>
      </c>
      <c r="H6561" s="197" t="s">
        <v>211</v>
      </c>
      <c r="I6561" s="209"/>
    </row>
    <row r="6562" spans="1:12">
      <c r="A6562" s="195"/>
      <c r="B6562" s="196" t="s">
        <v>223</v>
      </c>
      <c r="C6562"/>
      <c r="D6562" s="197" t="s">
        <v>269</v>
      </c>
      <c r="E6562" s="197" t="s">
        <v>252</v>
      </c>
      <c r="F6562" s="197" t="s">
        <v>62</v>
      </c>
      <c r="G6562" s="197" t="s">
        <v>270</v>
      </c>
      <c r="H6562" s="197"/>
      <c r="I6562" s="209"/>
    </row>
    <row r="6563" spans="1:12">
      <c r="A6563" s="195"/>
      <c r="B6563" s="195" t="s">
        <v>205</v>
      </c>
      <c r="C6563"/>
      <c r="D6563" s="197" t="s">
        <v>269</v>
      </c>
      <c r="E6563" s="197" t="s">
        <v>252</v>
      </c>
      <c r="F6563" s="197" t="s">
        <v>62</v>
      </c>
      <c r="G6563" s="197" t="s">
        <v>270</v>
      </c>
      <c r="H6563" s="197" t="s">
        <v>856</v>
      </c>
      <c r="I6563" s="209"/>
    </row>
    <row r="6564" spans="1:12">
      <c r="A6564" s="195"/>
      <c r="B6564" s="195" t="s">
        <v>206</v>
      </c>
      <c r="C6564"/>
      <c r="D6564" s="197" t="s">
        <v>269</v>
      </c>
      <c r="E6564" s="197" t="s">
        <v>252</v>
      </c>
      <c r="F6564" s="197" t="s">
        <v>62</v>
      </c>
      <c r="G6564" s="197" t="s">
        <v>270</v>
      </c>
      <c r="H6564" s="197" t="s">
        <v>856</v>
      </c>
      <c r="I6564" s="209"/>
    </row>
    <row r="6565" spans="1:12">
      <c r="A6565" s="195"/>
      <c r="B6565" s="195" t="s">
        <v>207</v>
      </c>
      <c r="C6565"/>
      <c r="D6565" s="197" t="s">
        <v>269</v>
      </c>
      <c r="E6565" s="197" t="s">
        <v>252</v>
      </c>
      <c r="F6565" s="197" t="s">
        <v>62</v>
      </c>
      <c r="G6565" s="197" t="s">
        <v>270</v>
      </c>
      <c r="H6565" s="197" t="s">
        <v>856</v>
      </c>
      <c r="I6565" s="209"/>
    </row>
    <row r="6566" spans="1:12">
      <c r="A6566" s="195"/>
      <c r="B6566" s="196" t="s">
        <v>225</v>
      </c>
      <c r="C6566"/>
      <c r="D6566" s="197" t="s">
        <v>475</v>
      </c>
      <c r="E6566" s="197" t="s">
        <v>252</v>
      </c>
      <c r="F6566" s="197" t="s">
        <v>62</v>
      </c>
      <c r="G6566" s="197" t="s">
        <v>270</v>
      </c>
      <c r="H6566" s="197" t="s">
        <v>856</v>
      </c>
      <c r="I6566" s="209"/>
    </row>
    <row r="6567" spans="1:12">
      <c r="A6567" s="195"/>
      <c r="B6567" s="195" t="s">
        <v>205</v>
      </c>
      <c r="C6567"/>
      <c r="D6567" s="197" t="s">
        <v>475</v>
      </c>
      <c r="E6567" s="197" t="s">
        <v>252</v>
      </c>
      <c r="F6567" s="197" t="s">
        <v>62</v>
      </c>
      <c r="G6567" s="197" t="s">
        <v>270</v>
      </c>
      <c r="H6567" s="209" t="s">
        <v>856</v>
      </c>
      <c r="I6567" s="209"/>
    </row>
    <row r="6568" spans="1:12">
      <c r="A6568" s="195"/>
      <c r="B6568" s="195" t="s">
        <v>206</v>
      </c>
      <c r="C6568"/>
      <c r="D6568" s="197" t="s">
        <v>361</v>
      </c>
      <c r="E6568" s="197" t="s">
        <v>252</v>
      </c>
      <c r="F6568" s="197" t="s">
        <v>62</v>
      </c>
      <c r="G6568" s="197" t="s">
        <v>270</v>
      </c>
      <c r="H6568" s="209" t="s">
        <v>856</v>
      </c>
      <c r="I6568" s="209"/>
    </row>
    <row r="6569" spans="1:12">
      <c r="A6569" s="195"/>
      <c r="B6569" s="195" t="s">
        <v>207</v>
      </c>
      <c r="C6569"/>
      <c r="D6569" s="197"/>
      <c r="E6569" s="197"/>
      <c r="F6569" s="197"/>
      <c r="G6569" s="197"/>
      <c r="H6569" s="209"/>
      <c r="I6569" s="209"/>
    </row>
    <row r="6570" spans="1:12">
      <c r="A6570" s="195"/>
      <c r="B6570" s="196" t="s">
        <v>226</v>
      </c>
      <c r="C6570"/>
      <c r="D6570" s="197"/>
      <c r="E6570" s="197"/>
      <c r="F6570" s="197"/>
      <c r="G6570" s="197"/>
      <c r="H6570" s="209"/>
      <c r="I6570" s="209"/>
    </row>
    <row r="6571" spans="1:12">
      <c r="A6571" s="195"/>
      <c r="B6571" s="195" t="s">
        <v>205</v>
      </c>
      <c r="C6571"/>
      <c r="D6571" s="197"/>
      <c r="E6571" s="197"/>
      <c r="F6571" s="197"/>
      <c r="G6571" s="197"/>
      <c r="H6571" s="209"/>
      <c r="I6571" s="209"/>
    </row>
    <row r="6572" spans="1:12">
      <c r="A6572" s="195"/>
      <c r="B6572" s="195" t="s">
        <v>206</v>
      </c>
      <c r="C6572"/>
      <c r="D6572" s="197"/>
      <c r="E6572" s="197"/>
      <c r="F6572" s="197"/>
      <c r="G6572" s="197"/>
      <c r="H6572" s="209"/>
      <c r="I6572" s="209"/>
    </row>
    <row r="6573" spans="1:12">
      <c r="A6573" s="195"/>
      <c r="B6573" s="195" t="s">
        <v>207</v>
      </c>
      <c r="C6573"/>
      <c r="D6573" s="197"/>
      <c r="E6573" s="197"/>
      <c r="F6573" s="197"/>
      <c r="G6573" s="197"/>
      <c r="H6573" s="209"/>
      <c r="I6573" s="209"/>
    </row>
    <row r="6574" spans="1:12">
      <c r="A6574" s="195"/>
      <c r="B6574" s="196" t="s">
        <v>227</v>
      </c>
      <c r="C6574"/>
      <c r="D6574" s="197"/>
      <c r="E6574" s="197"/>
      <c r="F6574" s="197"/>
      <c r="G6574" s="197"/>
      <c r="H6574" s="209"/>
      <c r="I6574" s="209"/>
      <c r="K6574"/>
    </row>
    <row r="6575" spans="1:12" ht="29.25" thickBot="1">
      <c r="A6575" s="182" t="str">
        <f>"回収シフト  第"&amp;ROUNDUP(DAY(B6578)/7,0)  &amp;"  "&amp;TEXT(B6578,"aaaa")</f>
        <v>回収シフト  第3  水曜日</v>
      </c>
      <c r="B6575" s="183"/>
      <c r="C6575" s="183"/>
      <c r="D6575" s="183"/>
      <c r="E6575" s="183"/>
      <c r="F6575" s="183"/>
      <c r="G6575" s="184"/>
      <c r="H6575" s="184"/>
      <c r="I6575" s="215"/>
      <c r="K6575" s="183"/>
      <c r="L6575" s="183"/>
    </row>
    <row r="6576" spans="1:12" ht="15.75" thickBot="1">
      <c r="A6576"/>
      <c r="B6576"/>
      <c r="C6576"/>
      <c r="D6576" s="186" t="s">
        <v>201</v>
      </c>
      <c r="E6576" s="186" t="s">
        <v>202</v>
      </c>
      <c r="F6576" s="186" t="s">
        <v>203</v>
      </c>
      <c r="G6576" s="186" t="s">
        <v>204</v>
      </c>
      <c r="H6576" s="186" t="s">
        <v>267</v>
      </c>
      <c r="I6576" s="222" t="s">
        <v>987</v>
      </c>
      <c r="K6576" s="230" t="s">
        <v>257</v>
      </c>
      <c r="L6576" s="231"/>
    </row>
    <row r="6577" spans="1:12">
      <c r="A6577" s="187"/>
      <c r="B6577" s="188">
        <v>46119</v>
      </c>
      <c r="C6577" s="187"/>
      <c r="D6577" s="189" t="s">
        <v>857</v>
      </c>
      <c r="E6577" s="189" t="s">
        <v>937</v>
      </c>
      <c r="F6577" s="189" t="s">
        <v>998</v>
      </c>
      <c r="G6577" s="189" t="s">
        <v>863</v>
      </c>
      <c r="H6577" s="189" t="s">
        <v>852</v>
      </c>
      <c r="I6577" s="223"/>
      <c r="K6577" s="232" t="s">
        <v>258</v>
      </c>
      <c r="L6577" s="190" t="str">
        <f>_xlfn.XLOOKUP($B6578,シフト抽出!$19:$19,シフト抽出!$20:$20,"該当なし",0,1)</f>
        <v>該当なし</v>
      </c>
    </row>
    <row r="6578" spans="1:12" ht="19.5" thickBot="1">
      <c r="A6578"/>
      <c r="B6578" s="191">
        <f>B6525+1</f>
        <v>46253</v>
      </c>
      <c r="C6578" s="192" t="e">
        <v>#REF!</v>
      </c>
      <c r="D6578" s="193"/>
      <c r="E6578" s="193"/>
      <c r="F6578" s="193"/>
      <c r="G6578" s="193"/>
      <c r="H6578" s="193"/>
      <c r="I6578" s="220"/>
      <c r="K6578" s="233"/>
      <c r="L6578" s="194" t="str">
        <f>_xlfn.XLOOKUP($B6578,シフト抽出!$19:$19,シフト抽出!$21:$21,"該当なし",0,1)</f>
        <v>該当なし</v>
      </c>
    </row>
    <row r="6579" spans="1:12">
      <c r="A6579" s="195"/>
      <c r="B6579" s="196">
        <v>0.25</v>
      </c>
      <c r="C6579"/>
      <c r="D6579" s="197"/>
      <c r="E6579" s="196"/>
      <c r="F6579" s="197"/>
      <c r="G6579" s="197"/>
      <c r="H6579" s="197"/>
      <c r="I6579" s="209"/>
      <c r="K6579" s="234" t="s">
        <v>259</v>
      </c>
      <c r="L6579" s="198" t="str">
        <f>_xlfn.XLOOKUP($B6578,シフト抽出!$19:$19,シフト抽出!$23:$23,"該当なし",0,1)</f>
        <v>該当なし</v>
      </c>
    </row>
    <row r="6580" spans="1:12" ht="15.75" thickBot="1">
      <c r="A6580" s="195"/>
      <c r="B6580" s="195" t="s">
        <v>205</v>
      </c>
      <c r="C6580"/>
      <c r="D6580" s="197"/>
      <c r="E6580" s="197"/>
      <c r="F6580" s="197"/>
      <c r="G6580" s="197"/>
      <c r="H6580" s="197"/>
      <c r="I6580" s="209"/>
      <c r="K6580" s="235"/>
      <c r="L6580" s="199" t="str">
        <f>_xlfn.XLOOKUP($B6578,シフト抽出!$19:$19,シフト抽出!$24:$24,"該当なし",0,1)</f>
        <v>該当なし</v>
      </c>
    </row>
    <row r="6581" spans="1:12">
      <c r="A6581" s="195"/>
      <c r="B6581" s="195" t="s">
        <v>206</v>
      </c>
      <c r="C6581"/>
      <c r="D6581" s="197"/>
      <c r="E6581" s="197"/>
      <c r="F6581" s="197"/>
      <c r="G6581" s="197"/>
      <c r="H6581" s="197"/>
      <c r="I6581" s="209"/>
      <c r="K6581" s="224" t="s">
        <v>260</v>
      </c>
      <c r="L6581" s="200" t="str">
        <f>_xlfn.XLOOKUP($B6578,シフト抽出!$19:$19,シフト抽出!$26:$26,"該当なし",0,1)</f>
        <v>該当なし</v>
      </c>
    </row>
    <row r="6582" spans="1:12">
      <c r="A6582" s="195"/>
      <c r="B6582" s="195" t="s">
        <v>207</v>
      </c>
      <c r="C6582"/>
      <c r="D6582" s="197"/>
      <c r="E6582" s="197"/>
      <c r="F6582" s="197"/>
      <c r="G6582" s="197"/>
      <c r="H6582" s="197"/>
      <c r="I6582" s="209"/>
      <c r="K6582" s="225"/>
      <c r="L6582" s="201" t="str">
        <f>_xlfn.XLOOKUP($B6578,シフト抽出!$19:$19,シフト抽出!$27:$27,"該当なし",0,1)</f>
        <v>該当なし</v>
      </c>
    </row>
    <row r="6583" spans="1:12">
      <c r="A6583" s="195"/>
      <c r="B6583" s="202" t="s">
        <v>208</v>
      </c>
      <c r="C6583"/>
      <c r="D6583" s="197" t="s">
        <v>414</v>
      </c>
      <c r="E6583" s="197" t="s">
        <v>793</v>
      </c>
      <c r="F6583" s="197" t="s">
        <v>851</v>
      </c>
      <c r="G6583" s="197" t="s">
        <v>22</v>
      </c>
      <c r="H6583" s="197" t="s">
        <v>106</v>
      </c>
      <c r="I6583" s="209"/>
      <c r="J6583" s="203"/>
      <c r="K6583" s="225"/>
      <c r="L6583" s="201" t="str">
        <f>_xlfn.XLOOKUP($B6578,シフト抽出!$19:$19,シフト抽出!$28:$28,"該当なし",0,1)</f>
        <v>該当なし</v>
      </c>
    </row>
    <row r="6584" spans="1:12" ht="15.75" thickBot="1">
      <c r="A6584" s="195"/>
      <c r="B6584" s="195" t="s">
        <v>205</v>
      </c>
      <c r="C6584"/>
      <c r="D6584" s="197" t="s">
        <v>414</v>
      </c>
      <c r="E6584" s="197" t="s">
        <v>973</v>
      </c>
      <c r="F6584" s="197" t="s">
        <v>851</v>
      </c>
      <c r="G6584" s="197" t="s">
        <v>22</v>
      </c>
      <c r="H6584" s="197" t="s">
        <v>106</v>
      </c>
      <c r="I6584" s="209"/>
      <c r="J6584" s="203"/>
      <c r="K6584" s="226"/>
      <c r="L6584" s="204" t="str">
        <f>_xlfn.XLOOKUP($B6578,シフト抽出!$19:$19,シフト抽出!$29:$29,"該当なし",0,1)</f>
        <v>該当なし</v>
      </c>
    </row>
    <row r="6585" spans="1:12" ht="15.75" thickBot="1">
      <c r="A6585" s="195"/>
      <c r="B6585" s="195" t="s">
        <v>206</v>
      </c>
      <c r="C6585"/>
      <c r="D6585" s="197" t="s">
        <v>414</v>
      </c>
      <c r="E6585" s="197" t="s">
        <v>106</v>
      </c>
      <c r="F6585" s="197" t="s">
        <v>851</v>
      </c>
      <c r="G6585" s="197" t="s">
        <v>788</v>
      </c>
      <c r="H6585" s="197" t="s">
        <v>106</v>
      </c>
      <c r="I6585" s="209"/>
      <c r="K6585" s="205" t="s">
        <v>261</v>
      </c>
      <c r="L6585" s="205">
        <f>_xlfn.XLOOKUP($B6578,予定表!B:B,予定表!R:R,"該当なし",0,1)</f>
        <v>0</v>
      </c>
    </row>
    <row r="6586" spans="1:12">
      <c r="A6586" s="195"/>
      <c r="B6586" s="195" t="s">
        <v>207</v>
      </c>
      <c r="C6586"/>
      <c r="D6586" s="197" t="s">
        <v>414</v>
      </c>
      <c r="E6586" s="197" t="s">
        <v>106</v>
      </c>
      <c r="F6586" s="197" t="s">
        <v>851</v>
      </c>
      <c r="G6586" s="197" t="s">
        <v>788</v>
      </c>
      <c r="H6586" s="197" t="s">
        <v>106</v>
      </c>
      <c r="I6586" s="209"/>
      <c r="K6586" s="227" t="s">
        <v>262</v>
      </c>
      <c r="L6586" s="206">
        <f>_xlfn.XLOOKUP($B6578,予定表!$B:$B,予定表!E:E,"該当なし",0,1)</f>
        <v>0</v>
      </c>
    </row>
    <row r="6587" spans="1:12">
      <c r="A6587" s="195"/>
      <c r="B6587" s="196" t="s">
        <v>209</v>
      </c>
      <c r="C6587"/>
      <c r="D6587" s="197" t="s">
        <v>414</v>
      </c>
      <c r="E6587" s="197" t="s">
        <v>106</v>
      </c>
      <c r="F6587" s="197" t="s">
        <v>851</v>
      </c>
      <c r="G6587" s="197" t="s">
        <v>268</v>
      </c>
      <c r="H6587" s="197" t="s">
        <v>106</v>
      </c>
      <c r="I6587" s="209"/>
      <c r="K6587" s="228"/>
      <c r="L6587" s="207">
        <f>_xlfn.XLOOKUP($B6578,予定表!$B:$B,予定表!F:F,"該当なし",0,1)</f>
        <v>0</v>
      </c>
    </row>
    <row r="6588" spans="1:12">
      <c r="A6588" s="195"/>
      <c r="B6588" s="195" t="s">
        <v>205</v>
      </c>
      <c r="C6588"/>
      <c r="D6588" s="197" t="s">
        <v>414</v>
      </c>
      <c r="E6588" s="197" t="s">
        <v>106</v>
      </c>
      <c r="F6588" s="197" t="s">
        <v>851</v>
      </c>
      <c r="G6588" s="197" t="s">
        <v>268</v>
      </c>
      <c r="H6588" s="197" t="s">
        <v>106</v>
      </c>
      <c r="I6588" s="209"/>
      <c r="K6588" s="228"/>
      <c r="L6588" s="207" t="str">
        <f>_xlfn.XLOOKUP($B6578,予定表!$B:$B,予定表!G:G,"該当なし",0,1)</f>
        <v>ディーミング</v>
      </c>
    </row>
    <row r="6589" spans="1:12">
      <c r="A6589" s="195"/>
      <c r="B6589" s="195" t="s">
        <v>206</v>
      </c>
      <c r="C6589"/>
      <c r="D6589" s="197" t="s">
        <v>214</v>
      </c>
      <c r="E6589" s="197" t="s">
        <v>106</v>
      </c>
      <c r="F6589" s="197" t="s">
        <v>851</v>
      </c>
      <c r="G6589" s="197" t="s">
        <v>268</v>
      </c>
      <c r="H6589" s="197" t="s">
        <v>106</v>
      </c>
      <c r="I6589" s="209"/>
      <c r="K6589" s="228"/>
      <c r="L6589" s="207" t="str">
        <f>_xlfn.XLOOKUP($B6578,予定表!$B:$B,予定表!H:H,"該当なし",0,1)</f>
        <v>'資さん 平塚</v>
      </c>
    </row>
    <row r="6590" spans="1:12">
      <c r="A6590" s="195"/>
      <c r="B6590" s="195" t="s">
        <v>207</v>
      </c>
      <c r="C6590"/>
      <c r="D6590" s="197" t="s">
        <v>214</v>
      </c>
      <c r="E6590" s="197" t="s">
        <v>106</v>
      </c>
      <c r="F6590" s="197" t="s">
        <v>851</v>
      </c>
      <c r="G6590" s="197" t="s">
        <v>268</v>
      </c>
      <c r="H6590" s="197" t="s">
        <v>106</v>
      </c>
      <c r="I6590" s="209"/>
      <c r="K6590" s="228"/>
      <c r="L6590" s="207" t="str">
        <f>_xlfn.XLOOKUP($B6578,予定表!$B:$B,予定表!I:I,"該当なし",0,1)</f>
        <v>カインズAM8</v>
      </c>
    </row>
    <row r="6591" spans="1:12">
      <c r="A6591" s="195"/>
      <c r="B6591" s="196" t="s">
        <v>212</v>
      </c>
      <c r="C6591"/>
      <c r="D6591" s="197" t="s">
        <v>214</v>
      </c>
      <c r="E6591" s="197" t="s">
        <v>106</v>
      </c>
      <c r="F6591" s="197"/>
      <c r="G6591" s="197" t="s">
        <v>268</v>
      </c>
      <c r="H6591" s="197" t="s">
        <v>106</v>
      </c>
      <c r="I6591" s="209"/>
      <c r="K6591" s="228"/>
      <c r="L6591" s="207">
        <f>_xlfn.XLOOKUP($B6578,予定表!$B:$B,予定表!J:J,"該当なし",0,1)</f>
        <v>0</v>
      </c>
    </row>
    <row r="6592" spans="1:12">
      <c r="A6592" s="195"/>
      <c r="B6592" s="195" t="s">
        <v>205</v>
      </c>
      <c r="C6592"/>
      <c r="D6592" s="197" t="s">
        <v>761</v>
      </c>
      <c r="E6592" s="197" t="s">
        <v>106</v>
      </c>
      <c r="F6592" s="197" t="s">
        <v>395</v>
      </c>
      <c r="G6592" s="197" t="s">
        <v>268</v>
      </c>
      <c r="H6592" s="197" t="s">
        <v>106</v>
      </c>
      <c r="I6592" s="209"/>
      <c r="K6592" s="228"/>
      <c r="L6592" s="207">
        <f>_xlfn.XLOOKUP($B6578,予定表!$B:$B,予定表!K:K,"該当なし",0,1)</f>
        <v>0</v>
      </c>
    </row>
    <row r="6593" spans="1:12">
      <c r="A6593" s="195"/>
      <c r="B6593" s="195" t="s">
        <v>206</v>
      </c>
      <c r="C6593"/>
      <c r="D6593" s="197" t="s">
        <v>761</v>
      </c>
      <c r="E6593" s="197" t="s">
        <v>106</v>
      </c>
      <c r="F6593" s="197" t="s">
        <v>395</v>
      </c>
      <c r="G6593" s="197" t="s">
        <v>515</v>
      </c>
      <c r="H6593" s="197" t="s">
        <v>106</v>
      </c>
      <c r="I6593" s="209"/>
      <c r="K6593" s="228"/>
      <c r="L6593" s="207">
        <f>_xlfn.XLOOKUP($B6578,予定表!$B:$B,予定表!L:L,"該当なし",0,1)</f>
        <v>0</v>
      </c>
    </row>
    <row r="6594" spans="1:12" ht="15.75" thickBot="1">
      <c r="A6594" s="195"/>
      <c r="B6594" s="195" t="s">
        <v>207</v>
      </c>
      <c r="C6594"/>
      <c r="D6594" s="197" t="s">
        <v>761</v>
      </c>
      <c r="E6594" s="197" t="s">
        <v>106</v>
      </c>
      <c r="F6594" s="197" t="s">
        <v>395</v>
      </c>
      <c r="G6594" s="197" t="s">
        <v>515</v>
      </c>
      <c r="H6594" s="197" t="s">
        <v>106</v>
      </c>
      <c r="I6594" s="209"/>
      <c r="K6594" s="229"/>
      <c r="L6594" s="204" t="str">
        <f>_xlfn.XLOOKUP($A6575,ﾘｽﾄマスタ!$U$8:$U$17,ﾘｽﾄマスタ!$V$8:$V$17,"",0)</f>
        <v/>
      </c>
    </row>
    <row r="6595" spans="1:12" ht="15.75" thickBot="1">
      <c r="A6595" s="195"/>
      <c r="B6595" s="196" t="s">
        <v>251</v>
      </c>
      <c r="C6595"/>
      <c r="D6595" s="197" t="s">
        <v>280</v>
      </c>
      <c r="E6595" s="197" t="s">
        <v>106</v>
      </c>
      <c r="F6595" s="197" t="s">
        <v>395</v>
      </c>
      <c r="G6595" s="197" t="s">
        <v>269</v>
      </c>
      <c r="H6595" s="197" t="s">
        <v>106</v>
      </c>
      <c r="I6595" s="209"/>
      <c r="K6595" s="208" t="s">
        <v>277</v>
      </c>
      <c r="L6595" s="208" t="str">
        <f>_xlfn.XLOOKUP($B6578,シフト抽出!$19:$19,シフト抽出!$30:$30,"該当なし",0,1)</f>
        <v>該当なし</v>
      </c>
    </row>
    <row r="6596" spans="1:12">
      <c r="A6596" s="195"/>
      <c r="B6596" s="195" t="s">
        <v>205</v>
      </c>
      <c r="C6596"/>
      <c r="D6596" s="197" t="s">
        <v>215</v>
      </c>
      <c r="E6596" s="197" t="s">
        <v>106</v>
      </c>
      <c r="F6596" s="197" t="s">
        <v>395</v>
      </c>
      <c r="G6596" s="197" t="s">
        <v>269</v>
      </c>
      <c r="H6596" s="197" t="s">
        <v>106</v>
      </c>
      <c r="I6596" s="209"/>
    </row>
    <row r="6597" spans="1:12">
      <c r="A6597" s="195"/>
      <c r="B6597" s="195" t="s">
        <v>206</v>
      </c>
      <c r="C6597"/>
      <c r="D6597" s="197" t="s">
        <v>264</v>
      </c>
      <c r="E6597" s="197" t="s">
        <v>106</v>
      </c>
      <c r="F6597" s="197" t="s">
        <v>395</v>
      </c>
      <c r="G6597" s="197" t="s">
        <v>269</v>
      </c>
      <c r="H6597" s="197" t="s">
        <v>106</v>
      </c>
      <c r="I6597" s="209"/>
    </row>
    <row r="6598" spans="1:12">
      <c r="A6598" s="195"/>
      <c r="B6598" s="195" t="s">
        <v>207</v>
      </c>
      <c r="C6598"/>
      <c r="D6598" s="197" t="s">
        <v>51</v>
      </c>
      <c r="E6598" s="197" t="s">
        <v>106</v>
      </c>
      <c r="F6598" s="197" t="s">
        <v>395</v>
      </c>
      <c r="G6598" s="197" t="s">
        <v>446</v>
      </c>
      <c r="H6598" s="197" t="s">
        <v>106</v>
      </c>
      <c r="I6598" s="209"/>
    </row>
    <row r="6599" spans="1:12">
      <c r="A6599" s="195"/>
      <c r="B6599" s="196" t="s">
        <v>217</v>
      </c>
      <c r="C6599"/>
      <c r="D6599" s="197" t="s">
        <v>51</v>
      </c>
      <c r="E6599" s="197" t="s">
        <v>106</v>
      </c>
      <c r="F6599" s="197" t="s">
        <v>395</v>
      </c>
      <c r="G6599" s="197" t="s">
        <v>114</v>
      </c>
      <c r="H6599" s="197" t="s">
        <v>106</v>
      </c>
      <c r="I6599" s="209"/>
    </row>
    <row r="6600" spans="1:12">
      <c r="A6600" s="195"/>
      <c r="B6600" s="195" t="s">
        <v>205</v>
      </c>
      <c r="C6600"/>
      <c r="D6600" s="197" t="s">
        <v>51</v>
      </c>
      <c r="E6600" s="197" t="s">
        <v>106</v>
      </c>
      <c r="F6600" s="197" t="s">
        <v>395</v>
      </c>
      <c r="G6600" s="197" t="s">
        <v>114</v>
      </c>
      <c r="H6600" s="197" t="s">
        <v>106</v>
      </c>
      <c r="I6600" s="209"/>
    </row>
    <row r="6601" spans="1:12">
      <c r="A6601" s="195"/>
      <c r="B6601" s="195" t="s">
        <v>206</v>
      </c>
      <c r="C6601"/>
      <c r="D6601" s="197" t="s">
        <v>51</v>
      </c>
      <c r="E6601" s="197" t="s">
        <v>106</v>
      </c>
      <c r="F6601" s="197" t="s">
        <v>395</v>
      </c>
      <c r="G6601" s="197" t="s">
        <v>114</v>
      </c>
      <c r="H6601" s="197" t="s">
        <v>106</v>
      </c>
      <c r="I6601" s="209"/>
    </row>
    <row r="6602" spans="1:12">
      <c r="A6602" s="195"/>
      <c r="B6602" s="195" t="s">
        <v>207</v>
      </c>
      <c r="C6602"/>
      <c r="D6602" s="197"/>
      <c r="E6602" s="197" t="s">
        <v>106</v>
      </c>
      <c r="F6602" s="197" t="s">
        <v>395</v>
      </c>
      <c r="G6602" s="197" t="s">
        <v>114</v>
      </c>
      <c r="H6602" s="197" t="s">
        <v>106</v>
      </c>
      <c r="I6602" s="209"/>
    </row>
    <row r="6603" spans="1:12">
      <c r="A6603" s="195"/>
      <c r="B6603" s="196" t="s">
        <v>219</v>
      </c>
      <c r="C6603"/>
      <c r="D6603" s="197"/>
      <c r="E6603" s="197"/>
      <c r="F6603" s="197"/>
      <c r="G6603" s="197"/>
      <c r="H6603" s="197"/>
      <c r="I6603" s="209"/>
    </row>
    <row r="6604" spans="1:12">
      <c r="A6604" s="195"/>
      <c r="B6604" s="195" t="s">
        <v>205</v>
      </c>
      <c r="C6604"/>
      <c r="D6604" s="197"/>
      <c r="E6604" s="197"/>
      <c r="F6604" s="197"/>
      <c r="G6604" s="197"/>
      <c r="H6604" s="197"/>
      <c r="I6604" s="209"/>
    </row>
    <row r="6605" spans="1:12">
      <c r="A6605" s="195"/>
      <c r="B6605" s="195" t="s">
        <v>206</v>
      </c>
      <c r="C6605"/>
      <c r="D6605" s="197"/>
      <c r="E6605" s="197"/>
      <c r="F6605" s="197"/>
      <c r="G6605" s="197"/>
      <c r="H6605" s="197"/>
      <c r="I6605" s="209"/>
    </row>
    <row r="6606" spans="1:12">
      <c r="A6606" s="195"/>
      <c r="B6606" s="195" t="s">
        <v>207</v>
      </c>
      <c r="C6606"/>
      <c r="D6606" s="197"/>
      <c r="E6606" s="197"/>
      <c r="F6606" s="197"/>
      <c r="G6606" s="197"/>
      <c r="H6606" s="197"/>
      <c r="I6606" s="209"/>
    </row>
    <row r="6607" spans="1:12">
      <c r="A6607" s="195"/>
      <c r="B6607" s="196" t="s">
        <v>220</v>
      </c>
      <c r="C6607"/>
      <c r="D6607" s="189" t="s">
        <v>248</v>
      </c>
      <c r="E6607" s="189" t="s">
        <v>923</v>
      </c>
      <c r="F6607" s="197"/>
      <c r="G6607" s="189" t="s">
        <v>890</v>
      </c>
      <c r="H6607" s="197"/>
      <c r="I6607" s="209"/>
    </row>
    <row r="6608" spans="1:12">
      <c r="A6608" s="195"/>
      <c r="B6608" s="195" t="s">
        <v>205</v>
      </c>
      <c r="C6608"/>
      <c r="D6608" s="197" t="s">
        <v>759</v>
      </c>
      <c r="E6608" s="197" t="s">
        <v>273</v>
      </c>
      <c r="F6608" s="197" t="s">
        <v>416</v>
      </c>
      <c r="G6608" s="197" t="s">
        <v>56</v>
      </c>
      <c r="H6608" s="197" t="s">
        <v>848</v>
      </c>
      <c r="I6608" s="209"/>
    </row>
    <row r="6609" spans="1:9">
      <c r="A6609" s="195"/>
      <c r="B6609" s="195" t="s">
        <v>206</v>
      </c>
      <c r="C6609"/>
      <c r="D6609" s="197" t="s">
        <v>759</v>
      </c>
      <c r="E6609" s="197" t="s">
        <v>273</v>
      </c>
      <c r="F6609" s="197" t="s">
        <v>771</v>
      </c>
      <c r="G6609" s="197" t="s">
        <v>56</v>
      </c>
      <c r="H6609" s="197" t="s">
        <v>848</v>
      </c>
      <c r="I6609" s="209"/>
    </row>
    <row r="6610" spans="1:9">
      <c r="A6610" s="195"/>
      <c r="B6610" s="195" t="s">
        <v>207</v>
      </c>
      <c r="C6610"/>
      <c r="D6610" s="197" t="s">
        <v>759</v>
      </c>
      <c r="E6610" s="197" t="s">
        <v>273</v>
      </c>
      <c r="F6610" s="197" t="s">
        <v>416</v>
      </c>
      <c r="G6610" s="197" t="s">
        <v>56</v>
      </c>
      <c r="H6610" s="197" t="s">
        <v>848</v>
      </c>
      <c r="I6610" s="209"/>
    </row>
    <row r="6611" spans="1:9">
      <c r="A6611" s="195"/>
      <c r="B6611" s="196" t="s">
        <v>222</v>
      </c>
      <c r="C6611"/>
      <c r="D6611" s="197" t="s">
        <v>759</v>
      </c>
      <c r="E6611" s="197" t="s">
        <v>273</v>
      </c>
      <c r="F6611" s="197" t="s">
        <v>416</v>
      </c>
      <c r="G6611" s="197" t="s">
        <v>4</v>
      </c>
      <c r="H6611" s="197" t="s">
        <v>848</v>
      </c>
      <c r="I6611" s="209"/>
    </row>
    <row r="6612" spans="1:9">
      <c r="A6612" s="195"/>
      <c r="B6612" s="195" t="s">
        <v>205</v>
      </c>
      <c r="C6612"/>
      <c r="D6612" s="197" t="s">
        <v>216</v>
      </c>
      <c r="E6612" s="197" t="s">
        <v>186</v>
      </c>
      <c r="F6612" s="197" t="s">
        <v>416</v>
      </c>
      <c r="G6612" s="197" t="s">
        <v>270</v>
      </c>
      <c r="H6612" s="197" t="s">
        <v>848</v>
      </c>
      <c r="I6612" s="209"/>
    </row>
    <row r="6613" spans="1:9">
      <c r="A6613" s="195"/>
      <c r="B6613" s="195" t="s">
        <v>206</v>
      </c>
      <c r="C6613"/>
      <c r="D6613" s="197" t="s">
        <v>216</v>
      </c>
      <c r="E6613" s="197" t="s">
        <v>186</v>
      </c>
      <c r="F6613" s="197" t="s">
        <v>224</v>
      </c>
      <c r="G6613" s="197" t="s">
        <v>270</v>
      </c>
      <c r="H6613" s="197" t="s">
        <v>229</v>
      </c>
      <c r="I6613" s="209"/>
    </row>
    <row r="6614" spans="1:9">
      <c r="A6614" s="195"/>
      <c r="B6614" s="195" t="s">
        <v>207</v>
      </c>
      <c r="C6614"/>
      <c r="D6614" s="197" t="s">
        <v>216</v>
      </c>
      <c r="E6614" s="197" t="s">
        <v>252</v>
      </c>
      <c r="F6614" s="197" t="s">
        <v>224</v>
      </c>
      <c r="G6614" s="197" t="s">
        <v>270</v>
      </c>
      <c r="H6614" s="197" t="s">
        <v>229</v>
      </c>
      <c r="I6614" s="209"/>
    </row>
    <row r="6615" spans="1:9">
      <c r="A6615" s="195"/>
      <c r="B6615" s="196" t="s">
        <v>223</v>
      </c>
      <c r="C6615"/>
      <c r="D6615" s="197" t="s">
        <v>216</v>
      </c>
      <c r="E6615" s="197" t="s">
        <v>252</v>
      </c>
      <c r="F6615" s="197" t="s">
        <v>224</v>
      </c>
      <c r="G6615" s="197" t="s">
        <v>270</v>
      </c>
      <c r="H6615" s="197" t="s">
        <v>230</v>
      </c>
      <c r="I6615" s="209"/>
    </row>
    <row r="6616" spans="1:9">
      <c r="A6616" s="195"/>
      <c r="B6616" s="195" t="s">
        <v>205</v>
      </c>
      <c r="C6616"/>
      <c r="D6616" s="197" t="s">
        <v>216</v>
      </c>
      <c r="E6616" s="197" t="s">
        <v>252</v>
      </c>
      <c r="F6616" s="197" t="s">
        <v>224</v>
      </c>
      <c r="G6616" s="197" t="s">
        <v>270</v>
      </c>
      <c r="H6616" s="197" t="s">
        <v>230</v>
      </c>
      <c r="I6616" s="209"/>
    </row>
    <row r="6617" spans="1:9">
      <c r="A6617" s="195"/>
      <c r="B6617" s="195" t="s">
        <v>206</v>
      </c>
      <c r="C6617"/>
      <c r="D6617" s="197" t="s">
        <v>523</v>
      </c>
      <c r="E6617" s="197" t="s">
        <v>252</v>
      </c>
      <c r="F6617" s="197" t="s">
        <v>127</v>
      </c>
      <c r="G6617" s="197" t="s">
        <v>270</v>
      </c>
      <c r="H6617" s="197" t="s">
        <v>230</v>
      </c>
      <c r="I6617" s="209"/>
    </row>
    <row r="6618" spans="1:9">
      <c r="A6618" s="195"/>
      <c r="B6618" s="195" t="s">
        <v>207</v>
      </c>
      <c r="C6618"/>
      <c r="D6618" s="197" t="s">
        <v>523</v>
      </c>
      <c r="E6618" s="197" t="s">
        <v>252</v>
      </c>
      <c r="F6618" s="197" t="s">
        <v>127</v>
      </c>
      <c r="G6618" s="197" t="s">
        <v>270</v>
      </c>
      <c r="H6618" s="197" t="s">
        <v>230</v>
      </c>
      <c r="I6618" s="209"/>
    </row>
    <row r="6619" spans="1:9">
      <c r="A6619" s="195"/>
      <c r="B6619" s="196" t="s">
        <v>225</v>
      </c>
      <c r="C6619"/>
      <c r="D6619" s="197" t="s">
        <v>523</v>
      </c>
      <c r="E6619" s="197" t="s">
        <v>252</v>
      </c>
      <c r="F6619" s="197" t="s">
        <v>397</v>
      </c>
      <c r="G6619" s="197" t="s">
        <v>270</v>
      </c>
      <c r="H6619" s="197" t="s">
        <v>230</v>
      </c>
      <c r="I6619" s="209"/>
    </row>
    <row r="6620" spans="1:9">
      <c r="A6620" s="195"/>
      <c r="B6620" s="195" t="s">
        <v>205</v>
      </c>
      <c r="C6620"/>
      <c r="D6620" s="197" t="s">
        <v>523</v>
      </c>
      <c r="E6620" s="197" t="s">
        <v>252</v>
      </c>
      <c r="F6620" s="197" t="s">
        <v>397</v>
      </c>
      <c r="G6620" s="197" t="s">
        <v>270</v>
      </c>
      <c r="H6620" s="209" t="s">
        <v>415</v>
      </c>
      <c r="I6620" s="209"/>
    </row>
    <row r="6621" spans="1:9">
      <c r="A6621" s="195"/>
      <c r="B6621" s="195" t="s">
        <v>206</v>
      </c>
      <c r="C6621"/>
      <c r="D6621" s="197"/>
      <c r="E6621" s="197" t="s">
        <v>252</v>
      </c>
      <c r="F6621" s="197" t="s">
        <v>62</v>
      </c>
      <c r="G6621" s="197" t="s">
        <v>270</v>
      </c>
      <c r="H6621" s="209" t="s">
        <v>415</v>
      </c>
      <c r="I6621" s="209"/>
    </row>
    <row r="6622" spans="1:9">
      <c r="A6622" s="195"/>
      <c r="B6622" s="195" t="s">
        <v>207</v>
      </c>
      <c r="C6622"/>
      <c r="D6622" s="197"/>
      <c r="E6622" s="197" t="s">
        <v>252</v>
      </c>
      <c r="F6622" s="197" t="s">
        <v>62</v>
      </c>
      <c r="G6622" s="197" t="s">
        <v>270</v>
      </c>
      <c r="H6622" s="209" t="s">
        <v>415</v>
      </c>
      <c r="I6622" s="209"/>
    </row>
    <row r="6623" spans="1:9">
      <c r="A6623" s="195"/>
      <c r="B6623" s="196" t="s">
        <v>226</v>
      </c>
      <c r="C6623"/>
      <c r="D6623" s="197"/>
      <c r="E6623" s="197"/>
      <c r="F6623" s="197"/>
      <c r="G6623" s="197"/>
      <c r="H6623" s="209"/>
      <c r="I6623" s="209"/>
    </row>
    <row r="6624" spans="1:9">
      <c r="A6624" s="195"/>
      <c r="B6624" s="195" t="s">
        <v>205</v>
      </c>
      <c r="C6624"/>
      <c r="D6624" s="197"/>
      <c r="E6624" s="197"/>
      <c r="F6624" s="197"/>
      <c r="G6624" s="197"/>
      <c r="H6624" s="209"/>
      <c r="I6624" s="209"/>
    </row>
    <row r="6625" spans="1:12">
      <c r="A6625" s="195"/>
      <c r="B6625" s="195" t="s">
        <v>206</v>
      </c>
      <c r="C6625"/>
      <c r="D6625" s="197"/>
      <c r="E6625" s="197"/>
      <c r="F6625" s="197"/>
      <c r="G6625" s="197"/>
      <c r="H6625" s="209"/>
      <c r="I6625" s="209"/>
    </row>
    <row r="6626" spans="1:12">
      <c r="A6626" s="195"/>
      <c r="B6626" s="195" t="s">
        <v>207</v>
      </c>
      <c r="C6626"/>
      <c r="D6626" s="197"/>
      <c r="E6626" s="197"/>
      <c r="F6626" s="197"/>
      <c r="G6626" s="197"/>
      <c r="H6626" s="209"/>
      <c r="I6626" s="209"/>
    </row>
    <row r="6627" spans="1:12">
      <c r="A6627" s="195"/>
      <c r="B6627" s="196" t="s">
        <v>227</v>
      </c>
      <c r="C6627"/>
      <c r="D6627" s="197"/>
      <c r="E6627" s="197"/>
      <c r="F6627" s="197"/>
      <c r="G6627" s="197"/>
      <c r="H6627" s="209"/>
      <c r="I6627" s="209"/>
      <c r="K6627"/>
    </row>
    <row r="6628" spans="1:12" ht="29.25" thickBot="1">
      <c r="A6628" s="182" t="str">
        <f>"回収シフト  第"&amp;ROUNDUP(DAY(B6631)/7,0)  &amp;"  "&amp;TEXT(B6631,"aaaa")</f>
        <v>回収シフト  第3  木曜日</v>
      </c>
      <c r="B6628" s="183"/>
      <c r="C6628" s="183"/>
      <c r="D6628" s="183"/>
      <c r="E6628" s="183"/>
      <c r="F6628" s="183"/>
      <c r="G6628" s="184"/>
      <c r="H6628" s="184"/>
      <c r="K6628" s="183"/>
      <c r="L6628" s="183"/>
    </row>
    <row r="6629" spans="1:12" ht="15.75" thickBot="1">
      <c r="A6629"/>
      <c r="B6629"/>
      <c r="C6629"/>
      <c r="D6629" s="186" t="s">
        <v>201</v>
      </c>
      <c r="E6629" s="186" t="s">
        <v>202</v>
      </c>
      <c r="F6629" s="186" t="s">
        <v>203</v>
      </c>
      <c r="G6629" s="186" t="s">
        <v>204</v>
      </c>
      <c r="H6629" s="186" t="s">
        <v>267</v>
      </c>
      <c r="K6629" s="230" t="s">
        <v>257</v>
      </c>
      <c r="L6629" s="231"/>
    </row>
    <row r="6630" spans="1:12">
      <c r="A6630" s="187"/>
      <c r="B6630" s="188">
        <v>46119</v>
      </c>
      <c r="C6630" s="187"/>
      <c r="D6630" s="189" t="s">
        <v>926</v>
      </c>
      <c r="E6630" s="189" t="s">
        <v>247</v>
      </c>
      <c r="F6630" s="189" t="s">
        <v>1001</v>
      </c>
      <c r="G6630" s="189" t="s">
        <v>960</v>
      </c>
      <c r="H6630" s="189" t="s">
        <v>852</v>
      </c>
      <c r="K6630" s="232" t="s">
        <v>258</v>
      </c>
      <c r="L6630" s="190" t="str">
        <f>_xlfn.XLOOKUP($B6631,シフト抽出!$19:$19,シフト抽出!$20:$20,"該当なし",0,1)</f>
        <v>該当なし</v>
      </c>
    </row>
    <row r="6631" spans="1:12" ht="19.5" thickBot="1">
      <c r="A6631"/>
      <c r="B6631" s="191">
        <f>B6578+1</f>
        <v>46254</v>
      </c>
      <c r="C6631" s="192"/>
      <c r="D6631" s="193"/>
      <c r="E6631" s="193"/>
      <c r="F6631" s="193"/>
      <c r="G6631" s="193"/>
      <c r="H6631" s="193"/>
      <c r="K6631" s="233"/>
      <c r="L6631" s="194" t="str">
        <f>_xlfn.XLOOKUP($B6631,シフト抽出!$19:$19,シフト抽出!$21:$21,"該当なし",0,1)</f>
        <v>該当なし</v>
      </c>
    </row>
    <row r="6632" spans="1:12">
      <c r="A6632" s="195"/>
      <c r="B6632" s="196">
        <v>0.25</v>
      </c>
      <c r="C6632"/>
      <c r="D6632" s="197"/>
      <c r="E6632" s="196"/>
      <c r="F6632" s="197"/>
      <c r="G6632" s="197"/>
      <c r="H6632" s="197"/>
      <c r="K6632" s="234" t="s">
        <v>259</v>
      </c>
      <c r="L6632" s="198" t="str">
        <f>_xlfn.XLOOKUP($B6631,シフト抽出!$19:$19,シフト抽出!$23:$23,"該当なし",0,1)</f>
        <v>該当なし</v>
      </c>
    </row>
    <row r="6633" spans="1:12" ht="15.75" thickBot="1">
      <c r="A6633" s="195"/>
      <c r="B6633" s="195" t="s">
        <v>205</v>
      </c>
      <c r="C6633"/>
      <c r="D6633" s="197"/>
      <c r="F6633" s="197"/>
      <c r="G6633" s="197"/>
      <c r="H6633" s="197"/>
      <c r="K6633" s="235"/>
      <c r="L6633" s="199" t="str">
        <f>_xlfn.XLOOKUP($B6631,シフト抽出!$19:$19,シフト抽出!$24:$24,"該当なし",0,1)</f>
        <v>該当なし</v>
      </c>
    </row>
    <row r="6634" spans="1:12">
      <c r="A6634" s="195"/>
      <c r="B6634" s="195" t="s">
        <v>206</v>
      </c>
      <c r="C6634"/>
      <c r="D6634" s="197"/>
      <c r="E6634" s="197" t="s">
        <v>109</v>
      </c>
      <c r="F6634" s="197"/>
      <c r="G6634" s="197"/>
      <c r="H6634" s="197"/>
      <c r="K6634" s="224" t="s">
        <v>260</v>
      </c>
      <c r="L6634" s="200" t="str">
        <f>_xlfn.XLOOKUP($B6631,シフト抽出!$19:$19,シフト抽出!$26:$26,"該当なし",0,1)</f>
        <v>該当なし</v>
      </c>
    </row>
    <row r="6635" spans="1:12">
      <c r="A6635" s="195"/>
      <c r="B6635" s="195" t="s">
        <v>207</v>
      </c>
      <c r="C6635"/>
      <c r="D6635" s="197"/>
      <c r="E6635" s="197"/>
      <c r="F6635" s="197"/>
      <c r="G6635" s="197"/>
      <c r="H6635" s="197"/>
      <c r="K6635" s="225"/>
      <c r="L6635" s="201" t="str">
        <f>_xlfn.XLOOKUP($B6631,シフト抽出!$19:$19,シフト抽出!$27:$27,"該当なし",0,1)</f>
        <v>該当なし</v>
      </c>
    </row>
    <row r="6636" spans="1:12">
      <c r="A6636" s="195"/>
      <c r="B6636" s="202" t="s">
        <v>208</v>
      </c>
      <c r="C6636"/>
      <c r="D6636" s="197" t="s">
        <v>4</v>
      </c>
      <c r="E6636" s="197" t="s">
        <v>4</v>
      </c>
      <c r="F6636" s="197" t="s">
        <v>4</v>
      </c>
      <c r="G6636" s="197" t="s">
        <v>4</v>
      </c>
      <c r="H6636" s="197"/>
      <c r="J6636" s="203"/>
      <c r="K6636" s="225"/>
      <c r="L6636" s="201" t="str">
        <f>_xlfn.XLOOKUP($B6631,シフト抽出!$19:$19,シフト抽出!$28:$28,"該当なし",0,1)</f>
        <v>該当なし</v>
      </c>
    </row>
    <row r="6637" spans="1:12" ht="15.75" thickBot="1">
      <c r="A6637" s="195"/>
      <c r="B6637" s="195" t="s">
        <v>205</v>
      </c>
      <c r="C6637"/>
      <c r="D6637" s="197" t="s">
        <v>414</v>
      </c>
      <c r="E6637" s="197" t="s">
        <v>421</v>
      </c>
      <c r="F6637" s="197" t="s">
        <v>851</v>
      </c>
      <c r="G6637" s="197" t="s">
        <v>22</v>
      </c>
      <c r="H6637" s="197"/>
      <c r="J6637" s="203"/>
      <c r="K6637" s="226"/>
      <c r="L6637" s="204" t="str">
        <f>_xlfn.XLOOKUP($B6631,シフト抽出!$19:$19,シフト抽出!$29:$29,"該当なし",0,1)</f>
        <v>該当なし</v>
      </c>
    </row>
    <row r="6638" spans="1:12" ht="15.75" thickBot="1">
      <c r="A6638" s="195"/>
      <c r="B6638" s="195" t="s">
        <v>206</v>
      </c>
      <c r="C6638"/>
      <c r="D6638" s="197" t="s">
        <v>414</v>
      </c>
      <c r="E6638" s="197" t="s">
        <v>421</v>
      </c>
      <c r="F6638" s="197" t="s">
        <v>851</v>
      </c>
      <c r="G6638" s="197" t="s">
        <v>22</v>
      </c>
      <c r="H6638" s="197"/>
      <c r="K6638" s="205" t="s">
        <v>261</v>
      </c>
      <c r="L6638" s="205">
        <f>_xlfn.XLOOKUP($B6631,予定表!B:B,予定表!R:R,"該当なし",0,1)</f>
        <v>0</v>
      </c>
    </row>
    <row r="6639" spans="1:12">
      <c r="A6639" s="195"/>
      <c r="B6639" s="195" t="s">
        <v>207</v>
      </c>
      <c r="C6639"/>
      <c r="D6639" s="197" t="s">
        <v>414</v>
      </c>
      <c r="E6639" s="197" t="s">
        <v>421</v>
      </c>
      <c r="F6639" s="197" t="s">
        <v>851</v>
      </c>
      <c r="G6639" s="197" t="s">
        <v>22</v>
      </c>
      <c r="H6639" s="197"/>
      <c r="K6639" s="227" t="s">
        <v>262</v>
      </c>
      <c r="L6639" s="206">
        <f>_xlfn.XLOOKUP($B6631,予定表!$B:$B,予定表!E:E,"該当なし",0,1)</f>
        <v>0</v>
      </c>
    </row>
    <row r="6640" spans="1:12">
      <c r="A6640" s="195"/>
      <c r="B6640" s="196" t="s">
        <v>209</v>
      </c>
      <c r="C6640"/>
      <c r="D6640" s="197" t="s">
        <v>414</v>
      </c>
      <c r="E6640" s="197" t="s">
        <v>421</v>
      </c>
      <c r="F6640" s="197" t="s">
        <v>851</v>
      </c>
      <c r="G6640" s="197" t="s">
        <v>268</v>
      </c>
      <c r="H6640" s="197" t="s">
        <v>4</v>
      </c>
      <c r="K6640" s="228"/>
      <c r="L6640" s="207">
        <f>_xlfn.XLOOKUP($B6631,予定表!$B:$B,予定表!F:F,"該当なし",0,1)</f>
        <v>0</v>
      </c>
    </row>
    <row r="6641" spans="1:12">
      <c r="A6641" s="195"/>
      <c r="B6641" s="195" t="s">
        <v>205</v>
      </c>
      <c r="C6641"/>
      <c r="D6641" s="197" t="s">
        <v>414</v>
      </c>
      <c r="E6641" s="197" t="s">
        <v>421</v>
      </c>
      <c r="F6641" s="197" t="s">
        <v>851</v>
      </c>
      <c r="G6641" s="197" t="s">
        <v>268</v>
      </c>
      <c r="H6641" s="197" t="s">
        <v>60</v>
      </c>
      <c r="K6641" s="228"/>
      <c r="L6641" s="207">
        <f>_xlfn.XLOOKUP($B6631,予定表!$B:$B,予定表!G:G,"該当なし",0,1)</f>
        <v>0</v>
      </c>
    </row>
    <row r="6642" spans="1:12">
      <c r="A6642" s="195"/>
      <c r="B6642" s="195" t="s">
        <v>206</v>
      </c>
      <c r="C6642"/>
      <c r="D6642" s="197" t="s">
        <v>214</v>
      </c>
      <c r="E6642" s="197" t="s">
        <v>934</v>
      </c>
      <c r="F6642" s="197" t="s">
        <v>851</v>
      </c>
      <c r="G6642" s="197" t="s">
        <v>268</v>
      </c>
      <c r="H6642" s="197" t="s">
        <v>60</v>
      </c>
      <c r="K6642" s="228"/>
      <c r="L6642" s="207" t="str">
        <f>_xlfn.XLOOKUP($B6631,予定表!$B:$B,予定表!H:H,"該当なし",0,1)</f>
        <v>鴻池戸田15</v>
      </c>
    </row>
    <row r="6643" spans="1:12">
      <c r="A6643" s="195"/>
      <c r="B6643" s="195" t="s">
        <v>207</v>
      </c>
      <c r="C6643"/>
      <c r="D6643" s="197" t="s">
        <v>214</v>
      </c>
      <c r="E6643" s="197" t="s">
        <v>273</v>
      </c>
      <c r="F6643" s="197" t="s">
        <v>851</v>
      </c>
      <c r="G6643" s="197" t="s">
        <v>268</v>
      </c>
      <c r="H6643" s="197" t="s">
        <v>60</v>
      </c>
      <c r="K6643" s="228"/>
      <c r="L6643" s="207" t="str">
        <f>_xlfn.XLOOKUP($B6631,予定表!$B:$B,予定表!I:I,"該当なし",0,1)</f>
        <v>カインズAM8</v>
      </c>
    </row>
    <row r="6644" spans="1:12">
      <c r="A6644" s="195"/>
      <c r="B6644" s="196" t="s">
        <v>212</v>
      </c>
      <c r="C6644"/>
      <c r="D6644" s="197" t="s">
        <v>214</v>
      </c>
      <c r="E6644" s="197" t="s">
        <v>273</v>
      </c>
      <c r="F6644" s="197" t="s">
        <v>851</v>
      </c>
      <c r="G6644" s="197" t="s">
        <v>268</v>
      </c>
      <c r="H6644" s="197"/>
      <c r="K6644" s="228"/>
      <c r="L6644" s="207">
        <f>_xlfn.XLOOKUP($B6631,予定表!$B:$B,予定表!J:J,"該当なし",0,1)</f>
        <v>0</v>
      </c>
    </row>
    <row r="6645" spans="1:12">
      <c r="A6645" s="195"/>
      <c r="B6645" s="195" t="s">
        <v>205</v>
      </c>
      <c r="C6645"/>
      <c r="D6645" s="197" t="s">
        <v>761</v>
      </c>
      <c r="E6645" s="197" t="s">
        <v>228</v>
      </c>
      <c r="F6645" s="197" t="s">
        <v>851</v>
      </c>
      <c r="G6645" s="197" t="s">
        <v>268</v>
      </c>
      <c r="H6645" s="197" t="s">
        <v>230</v>
      </c>
      <c r="K6645" s="228"/>
      <c r="L6645" s="207">
        <f>_xlfn.XLOOKUP($B6631,予定表!$B:$B,予定表!K:K,"該当なし",0,1)</f>
        <v>0</v>
      </c>
    </row>
    <row r="6646" spans="1:12">
      <c r="A6646" s="195"/>
      <c r="B6646" s="195" t="s">
        <v>206</v>
      </c>
      <c r="C6646"/>
      <c r="D6646" s="197" t="s">
        <v>761</v>
      </c>
      <c r="E6646" s="197" t="s">
        <v>228</v>
      </c>
      <c r="F6646" s="189" t="s">
        <v>921</v>
      </c>
      <c r="G6646" s="197" t="s">
        <v>169</v>
      </c>
      <c r="H6646" s="197" t="s">
        <v>230</v>
      </c>
      <c r="K6646" s="228"/>
      <c r="L6646" s="207">
        <f>_xlfn.XLOOKUP($B6631,予定表!$B:$B,予定表!L:L,"該当なし",0,1)</f>
        <v>0</v>
      </c>
    </row>
    <row r="6647" spans="1:12" ht="15.75" thickBot="1">
      <c r="A6647" s="195"/>
      <c r="B6647" s="195" t="s">
        <v>207</v>
      </c>
      <c r="C6647"/>
      <c r="D6647" s="197" t="s">
        <v>761</v>
      </c>
      <c r="E6647" s="197" t="s">
        <v>228</v>
      </c>
      <c r="F6647" s="197" t="s">
        <v>395</v>
      </c>
      <c r="G6647" s="197" t="s">
        <v>169</v>
      </c>
      <c r="H6647" s="197" t="s">
        <v>230</v>
      </c>
      <c r="K6647" s="229"/>
      <c r="L6647" s="204" t="str">
        <f>_xlfn.XLOOKUP($A6628,ﾘｽﾄマスタ!$U$8:$U$17,ﾘｽﾄマスタ!$V$8:$V$17,"",0)</f>
        <v>宇都宮螺子</v>
      </c>
    </row>
    <row r="6648" spans="1:12" ht="15.75" thickBot="1">
      <c r="A6648" s="195"/>
      <c r="B6648" s="196" t="s">
        <v>251</v>
      </c>
      <c r="C6648"/>
      <c r="D6648" s="197" t="s">
        <v>383</v>
      </c>
      <c r="E6648" s="197" t="s">
        <v>228</v>
      </c>
      <c r="F6648" s="197" t="s">
        <v>395</v>
      </c>
      <c r="G6648" s="197" t="s">
        <v>169</v>
      </c>
      <c r="H6648" s="197" t="s">
        <v>229</v>
      </c>
      <c r="K6648" s="208" t="s">
        <v>277</v>
      </c>
      <c r="L6648" s="208" t="str">
        <f>_xlfn.XLOOKUP($B6631,シフト抽出!$19:$19,シフト抽出!$30:$30,"該当なし",0,1)</f>
        <v>該当なし</v>
      </c>
    </row>
    <row r="6649" spans="1:12">
      <c r="A6649" s="195"/>
      <c r="B6649" s="195" t="s">
        <v>205</v>
      </c>
      <c r="C6649"/>
      <c r="D6649" s="197" t="s">
        <v>383</v>
      </c>
      <c r="E6649" s="197" t="s">
        <v>228</v>
      </c>
      <c r="F6649" s="197" t="s">
        <v>395</v>
      </c>
      <c r="G6649" s="197" t="s">
        <v>169</v>
      </c>
      <c r="H6649" s="197" t="s">
        <v>229</v>
      </c>
    </row>
    <row r="6650" spans="1:12">
      <c r="A6650" s="195"/>
      <c r="B6650" s="195" t="s">
        <v>206</v>
      </c>
      <c r="C6650"/>
      <c r="D6650" s="197" t="s">
        <v>383</v>
      </c>
      <c r="E6650" s="197" t="s">
        <v>263</v>
      </c>
      <c r="F6650" s="197" t="s">
        <v>395</v>
      </c>
      <c r="G6650" s="197" t="s">
        <v>169</v>
      </c>
      <c r="H6650" s="197" t="s">
        <v>848</v>
      </c>
    </row>
    <row r="6651" spans="1:12">
      <c r="A6651" s="195"/>
      <c r="B6651" s="195" t="s">
        <v>207</v>
      </c>
      <c r="C6651"/>
      <c r="D6651" s="197" t="s">
        <v>383</v>
      </c>
      <c r="E6651" s="197" t="s">
        <v>263</v>
      </c>
      <c r="F6651" s="197" t="s">
        <v>395</v>
      </c>
      <c r="G6651" s="197" t="s">
        <v>169</v>
      </c>
      <c r="H6651" s="197" t="s">
        <v>848</v>
      </c>
    </row>
    <row r="6652" spans="1:12">
      <c r="A6652" s="195"/>
      <c r="B6652" s="196" t="s">
        <v>217</v>
      </c>
      <c r="C6652"/>
      <c r="D6652" s="197" t="s">
        <v>51</v>
      </c>
      <c r="E6652" s="197" t="s">
        <v>263</v>
      </c>
      <c r="F6652" s="197" t="s">
        <v>395</v>
      </c>
      <c r="G6652" s="197" t="s">
        <v>169</v>
      </c>
      <c r="H6652" s="197" t="s">
        <v>848</v>
      </c>
    </row>
    <row r="6653" spans="1:12">
      <c r="A6653" s="195"/>
      <c r="B6653" s="195" t="s">
        <v>205</v>
      </c>
      <c r="C6653"/>
      <c r="D6653" s="197" t="s">
        <v>51</v>
      </c>
      <c r="E6653" s="197" t="s">
        <v>848</v>
      </c>
      <c r="F6653" s="197" t="s">
        <v>395</v>
      </c>
      <c r="G6653" s="197" t="s">
        <v>169</v>
      </c>
      <c r="H6653" s="197" t="s">
        <v>848</v>
      </c>
    </row>
    <row r="6654" spans="1:12">
      <c r="A6654" s="195"/>
      <c r="B6654" s="195" t="s">
        <v>206</v>
      </c>
      <c r="C6654"/>
      <c r="D6654" s="197" t="s">
        <v>51</v>
      </c>
      <c r="E6654" s="197" t="s">
        <v>848</v>
      </c>
      <c r="F6654" s="197" t="s">
        <v>395</v>
      </c>
      <c r="G6654" s="197" t="s">
        <v>278</v>
      </c>
      <c r="H6654" s="197" t="s">
        <v>848</v>
      </c>
    </row>
    <row r="6655" spans="1:12">
      <c r="A6655" s="195"/>
      <c r="B6655" s="195" t="s">
        <v>207</v>
      </c>
      <c r="C6655"/>
      <c r="D6655" s="197" t="s">
        <v>51</v>
      </c>
      <c r="E6655" s="197" t="s">
        <v>848</v>
      </c>
      <c r="F6655" s="197" t="s">
        <v>395</v>
      </c>
      <c r="G6655" s="197" t="s">
        <v>278</v>
      </c>
      <c r="H6655" s="197" t="s">
        <v>848</v>
      </c>
    </row>
    <row r="6656" spans="1:12">
      <c r="A6656" s="195"/>
      <c r="B6656" s="196" t="s">
        <v>219</v>
      </c>
      <c r="C6656"/>
      <c r="D6656" s="197"/>
      <c r="E6656" s="197"/>
      <c r="F6656" s="197" t="s">
        <v>395</v>
      </c>
      <c r="G6656" s="197"/>
      <c r="H6656" s="197"/>
    </row>
    <row r="6657" spans="1:8">
      <c r="A6657" s="195"/>
      <c r="B6657" s="195" t="s">
        <v>205</v>
      </c>
      <c r="C6657"/>
      <c r="D6657" s="197"/>
      <c r="E6657" s="197"/>
      <c r="F6657" s="197" t="s">
        <v>395</v>
      </c>
      <c r="G6657" s="197"/>
      <c r="H6657" s="197"/>
    </row>
    <row r="6658" spans="1:8">
      <c r="A6658" s="195"/>
      <c r="B6658" s="195" t="s">
        <v>206</v>
      </c>
      <c r="C6658"/>
      <c r="D6658" s="197"/>
      <c r="E6658" s="197"/>
      <c r="F6658" s="197"/>
      <c r="G6658" s="197"/>
      <c r="H6658" s="197"/>
    </row>
    <row r="6659" spans="1:8">
      <c r="A6659" s="195"/>
      <c r="B6659" s="195" t="s">
        <v>207</v>
      </c>
      <c r="C6659"/>
      <c r="D6659" s="197"/>
      <c r="E6659" s="197"/>
      <c r="F6659" s="197"/>
      <c r="G6659" s="197"/>
      <c r="H6659" s="197"/>
    </row>
    <row r="6660" spans="1:8">
      <c r="A6660" s="195"/>
      <c r="B6660" s="196" t="s">
        <v>220</v>
      </c>
      <c r="C6660"/>
      <c r="D6660" s="189" t="s">
        <v>1000</v>
      </c>
      <c r="E6660" s="197"/>
      <c r="F6660" s="189" t="s">
        <v>923</v>
      </c>
      <c r="G6660" s="189"/>
      <c r="H6660" s="197"/>
    </row>
    <row r="6661" spans="1:8">
      <c r="A6661" s="195"/>
      <c r="B6661" s="195" t="s">
        <v>205</v>
      </c>
      <c r="C6661"/>
      <c r="D6661" s="197" t="s">
        <v>114</v>
      </c>
      <c r="E6661" s="197" t="s">
        <v>95</v>
      </c>
      <c r="F6661" s="197" t="s">
        <v>411</v>
      </c>
      <c r="G6661" s="197" t="s">
        <v>56</v>
      </c>
      <c r="H6661" s="197"/>
    </row>
    <row r="6662" spans="1:8">
      <c r="A6662" s="195"/>
      <c r="B6662" s="195" t="s">
        <v>206</v>
      </c>
      <c r="C6662"/>
      <c r="D6662" s="197" t="s">
        <v>114</v>
      </c>
      <c r="E6662" s="197" t="s">
        <v>95</v>
      </c>
      <c r="F6662" s="197" t="s">
        <v>411</v>
      </c>
      <c r="G6662" s="197" t="s">
        <v>56</v>
      </c>
      <c r="H6662" s="197" t="s">
        <v>538</v>
      </c>
    </row>
    <row r="6663" spans="1:8">
      <c r="A6663" s="195"/>
      <c r="B6663" s="195" t="s">
        <v>207</v>
      </c>
      <c r="C6663"/>
      <c r="D6663" s="197" t="s">
        <v>129</v>
      </c>
      <c r="E6663" s="197" t="s">
        <v>95</v>
      </c>
      <c r="F6663" s="197" t="s">
        <v>411</v>
      </c>
      <c r="G6663" s="197" t="s">
        <v>56</v>
      </c>
      <c r="H6663" s="197" t="s">
        <v>538</v>
      </c>
    </row>
    <row r="6664" spans="1:8">
      <c r="A6664" s="195"/>
      <c r="B6664" s="196" t="s">
        <v>222</v>
      </c>
      <c r="C6664"/>
      <c r="D6664" s="197" t="s">
        <v>129</v>
      </c>
      <c r="E6664" s="197" t="s">
        <v>95</v>
      </c>
      <c r="F6664" s="197" t="s">
        <v>252</v>
      </c>
      <c r="G6664" s="197" t="s">
        <v>56</v>
      </c>
      <c r="H6664" s="197" t="s">
        <v>538</v>
      </c>
    </row>
    <row r="6665" spans="1:8">
      <c r="A6665" s="195"/>
      <c r="B6665" s="195" t="s">
        <v>205</v>
      </c>
      <c r="C6665"/>
      <c r="D6665" s="197" t="s">
        <v>129</v>
      </c>
      <c r="E6665" s="197" t="s">
        <v>95</v>
      </c>
      <c r="F6665" s="197" t="s">
        <v>252</v>
      </c>
      <c r="G6665" s="197"/>
      <c r="H6665" s="197" t="s">
        <v>996</v>
      </c>
    </row>
    <row r="6666" spans="1:8">
      <c r="A6666" s="195"/>
      <c r="B6666" s="195" t="s">
        <v>206</v>
      </c>
      <c r="C6666"/>
      <c r="D6666" s="197"/>
      <c r="E6666" s="197" t="s">
        <v>95</v>
      </c>
      <c r="F6666" s="197" t="s">
        <v>252</v>
      </c>
      <c r="G6666" s="197" t="s">
        <v>270</v>
      </c>
      <c r="H6666" s="197" t="s">
        <v>415</v>
      </c>
    </row>
    <row r="6667" spans="1:8">
      <c r="A6667" s="195"/>
      <c r="B6667" s="195" t="s">
        <v>207</v>
      </c>
      <c r="C6667"/>
      <c r="D6667" s="197" t="s">
        <v>515</v>
      </c>
      <c r="E6667" s="197" t="s">
        <v>95</v>
      </c>
      <c r="F6667" s="197" t="s">
        <v>252</v>
      </c>
      <c r="G6667" s="197" t="s">
        <v>270</v>
      </c>
      <c r="H6667" s="197" t="s">
        <v>415</v>
      </c>
    </row>
    <row r="6668" spans="1:8">
      <c r="A6668" s="195"/>
      <c r="B6668" s="196" t="s">
        <v>223</v>
      </c>
      <c r="C6668"/>
      <c r="D6668" s="197" t="s">
        <v>515</v>
      </c>
      <c r="E6668" s="197" t="s">
        <v>95</v>
      </c>
      <c r="F6668" s="197" t="s">
        <v>252</v>
      </c>
      <c r="G6668" s="197" t="s">
        <v>270</v>
      </c>
      <c r="H6668" s="197" t="s">
        <v>415</v>
      </c>
    </row>
    <row r="6669" spans="1:8">
      <c r="A6669" s="195"/>
      <c r="B6669" s="195" t="s">
        <v>205</v>
      </c>
      <c r="C6669"/>
      <c r="D6669" s="197" t="s">
        <v>269</v>
      </c>
      <c r="E6669" s="197" t="s">
        <v>95</v>
      </c>
      <c r="F6669" s="197" t="s">
        <v>252</v>
      </c>
      <c r="G6669" s="197" t="s">
        <v>270</v>
      </c>
      <c r="H6669" s="197" t="s">
        <v>415</v>
      </c>
    </row>
    <row r="6670" spans="1:8">
      <c r="A6670" s="195"/>
      <c r="B6670" s="195" t="s">
        <v>206</v>
      </c>
      <c r="C6670"/>
      <c r="D6670" s="197" t="s">
        <v>269</v>
      </c>
      <c r="E6670" s="197" t="s">
        <v>95</v>
      </c>
      <c r="F6670" s="197" t="s">
        <v>252</v>
      </c>
      <c r="G6670" s="197" t="s">
        <v>270</v>
      </c>
      <c r="H6670" s="197" t="s">
        <v>415</v>
      </c>
    </row>
    <row r="6671" spans="1:8">
      <c r="A6671" s="195"/>
      <c r="B6671" s="195" t="s">
        <v>207</v>
      </c>
      <c r="C6671"/>
      <c r="D6671" s="197" t="s">
        <v>237</v>
      </c>
      <c r="E6671" s="197" t="s">
        <v>95</v>
      </c>
      <c r="F6671" s="197" t="s">
        <v>252</v>
      </c>
      <c r="G6671" s="197" t="s">
        <v>270</v>
      </c>
      <c r="H6671" s="197" t="s">
        <v>415</v>
      </c>
    </row>
    <row r="6672" spans="1:8">
      <c r="A6672" s="195"/>
      <c r="B6672" s="196" t="s">
        <v>225</v>
      </c>
      <c r="C6672"/>
      <c r="D6672" s="197" t="s">
        <v>237</v>
      </c>
      <c r="E6672" s="197" t="s">
        <v>252</v>
      </c>
      <c r="F6672" s="197" t="s">
        <v>252</v>
      </c>
      <c r="G6672" s="197" t="s">
        <v>270</v>
      </c>
      <c r="H6672" s="197" t="s">
        <v>415</v>
      </c>
    </row>
    <row r="6673" spans="1:12">
      <c r="A6673" s="195"/>
      <c r="B6673" s="195" t="s">
        <v>205</v>
      </c>
      <c r="C6673"/>
      <c r="D6673" s="197" t="s">
        <v>236</v>
      </c>
      <c r="E6673" s="197" t="s">
        <v>252</v>
      </c>
      <c r="F6673" s="197" t="s">
        <v>252</v>
      </c>
      <c r="G6673" s="197" t="s">
        <v>270</v>
      </c>
      <c r="H6673" s="197" t="s">
        <v>415</v>
      </c>
    </row>
    <row r="6674" spans="1:12">
      <c r="A6674" s="195"/>
      <c r="B6674" s="195" t="s">
        <v>206</v>
      </c>
      <c r="C6674"/>
      <c r="D6674" s="197" t="s">
        <v>193</v>
      </c>
      <c r="E6674" s="197" t="s">
        <v>252</v>
      </c>
      <c r="F6674" s="197" t="s">
        <v>252</v>
      </c>
      <c r="G6674" s="197" t="s">
        <v>270</v>
      </c>
      <c r="H6674" s="197" t="s">
        <v>415</v>
      </c>
    </row>
    <row r="6675" spans="1:12">
      <c r="A6675" s="195"/>
      <c r="B6675" s="195" t="s">
        <v>207</v>
      </c>
      <c r="C6675"/>
      <c r="D6675" s="197"/>
      <c r="E6675" s="197"/>
      <c r="F6675" s="197"/>
      <c r="G6675" s="197"/>
      <c r="H6675" s="197" t="s">
        <v>415</v>
      </c>
    </row>
    <row r="6676" spans="1:12">
      <c r="A6676" s="195"/>
      <c r="B6676" s="196" t="s">
        <v>226</v>
      </c>
      <c r="C6676"/>
      <c r="D6676" s="197"/>
      <c r="E6676" s="197"/>
      <c r="F6676" s="197"/>
      <c r="G6676" s="197"/>
      <c r="H6676" s="209"/>
    </row>
    <row r="6677" spans="1:12">
      <c r="A6677" s="195"/>
      <c r="B6677" s="195" t="s">
        <v>205</v>
      </c>
      <c r="C6677"/>
      <c r="D6677" s="197"/>
      <c r="E6677" s="197"/>
      <c r="F6677" s="197"/>
      <c r="G6677" s="197"/>
      <c r="H6677" s="209"/>
    </row>
    <row r="6678" spans="1:12">
      <c r="A6678" s="195"/>
      <c r="B6678" s="195" t="s">
        <v>206</v>
      </c>
      <c r="C6678"/>
      <c r="D6678" s="197"/>
      <c r="E6678" s="197"/>
      <c r="F6678" s="197"/>
      <c r="G6678" s="197"/>
      <c r="H6678" s="209"/>
    </row>
    <row r="6679" spans="1:12">
      <c r="A6679" s="195"/>
      <c r="B6679" s="195" t="s">
        <v>207</v>
      </c>
      <c r="C6679"/>
      <c r="D6679" s="197"/>
      <c r="E6679" s="197"/>
      <c r="F6679" s="197"/>
      <c r="G6679" s="197"/>
      <c r="H6679" s="209"/>
    </row>
    <row r="6680" spans="1:12">
      <c r="A6680" s="195"/>
      <c r="B6680" s="196" t="s">
        <v>227</v>
      </c>
      <c r="C6680"/>
      <c r="D6680" s="197"/>
      <c r="E6680" s="197"/>
      <c r="F6680" s="197"/>
      <c r="G6680" s="197"/>
      <c r="H6680" s="209"/>
      <c r="K6680"/>
    </row>
    <row r="6681" spans="1:12" ht="29.25" thickBot="1">
      <c r="A6681" s="182" t="str">
        <f>"回収シフト  第"&amp;ROUNDUP(DAY(B6684)/7,0)  &amp;"  "&amp;TEXT(B6684,"aaaa")</f>
        <v>回収シフト  第3  金曜日</v>
      </c>
      <c r="B6681" s="183"/>
      <c r="C6681" s="183"/>
      <c r="D6681" s="183"/>
      <c r="E6681" s="183"/>
      <c r="F6681" s="183"/>
      <c r="G6681" s="184"/>
      <c r="H6681" s="184"/>
      <c r="K6681" s="183"/>
      <c r="L6681" s="183"/>
    </row>
    <row r="6682" spans="1:12" ht="15.75" thickBot="1">
      <c r="A6682"/>
      <c r="B6682"/>
      <c r="C6682"/>
      <c r="D6682" s="186" t="s">
        <v>201</v>
      </c>
      <c r="E6682" s="186" t="s">
        <v>202</v>
      </c>
      <c r="F6682" s="186" t="s">
        <v>203</v>
      </c>
      <c r="G6682" s="186" t="s">
        <v>204</v>
      </c>
      <c r="H6682" s="186" t="s">
        <v>267</v>
      </c>
      <c r="I6682" s="186" t="s">
        <v>987</v>
      </c>
      <c r="K6682" s="230" t="s">
        <v>257</v>
      </c>
      <c r="L6682" s="231"/>
    </row>
    <row r="6683" spans="1:12">
      <c r="A6683" s="187"/>
      <c r="B6683" s="188">
        <v>46119</v>
      </c>
      <c r="C6683" s="187"/>
      <c r="D6683" s="189" t="s">
        <v>926</v>
      </c>
      <c r="E6683" s="189" t="s">
        <v>248</v>
      </c>
      <c r="F6683" s="189" t="s">
        <v>276</v>
      </c>
      <c r="G6683" s="189" t="s">
        <v>1002</v>
      </c>
      <c r="H6683" s="189" t="s">
        <v>852</v>
      </c>
      <c r="I6683" s="189" t="s">
        <v>649</v>
      </c>
      <c r="K6683" s="232" t="s">
        <v>258</v>
      </c>
      <c r="L6683" s="190" t="str">
        <f>_xlfn.XLOOKUP($B6684,シフト抽出!$19:$19,シフト抽出!$20:$20,"該当なし",0,1)</f>
        <v>該当なし</v>
      </c>
    </row>
    <row r="6684" spans="1:12" ht="19.5" thickBot="1">
      <c r="A6684"/>
      <c r="B6684" s="191">
        <f>B6631+1</f>
        <v>46255</v>
      </c>
      <c r="C6684" s="192"/>
      <c r="D6684" s="193"/>
      <c r="E6684" s="193"/>
      <c r="F6684" s="193"/>
      <c r="G6684" s="193"/>
      <c r="H6684" s="193"/>
      <c r="I6684" s="193"/>
      <c r="K6684" s="233"/>
      <c r="L6684" s="194" t="str">
        <f>_xlfn.XLOOKUP($B6684,シフト抽出!$19:$19,シフト抽出!$21:$21,"該当なし",0,1)</f>
        <v>該当なし</v>
      </c>
    </row>
    <row r="6685" spans="1:12">
      <c r="A6685" s="195"/>
      <c r="B6685" s="196">
        <v>0.25</v>
      </c>
      <c r="C6685"/>
      <c r="D6685" s="197"/>
      <c r="E6685" s="196"/>
      <c r="F6685" s="197"/>
      <c r="G6685" s="197"/>
      <c r="H6685" s="197"/>
      <c r="I6685" s="197"/>
      <c r="K6685" s="234" t="s">
        <v>259</v>
      </c>
      <c r="L6685" s="198" t="str">
        <f>_xlfn.XLOOKUP($B6684,シフト抽出!$19:$19,シフト抽出!$23:$23,"該当なし",0,1)</f>
        <v>該当なし</v>
      </c>
    </row>
    <row r="6686" spans="1:12" ht="15.75" thickBot="1">
      <c r="A6686" s="195"/>
      <c r="B6686" s="195" t="s">
        <v>205</v>
      </c>
      <c r="C6686"/>
      <c r="D6686" s="197"/>
      <c r="E6686" s="197"/>
      <c r="F6686" s="197"/>
      <c r="G6686" s="197"/>
      <c r="H6686" s="197"/>
      <c r="I6686" s="197"/>
      <c r="K6686" s="235"/>
      <c r="L6686" s="199" t="str">
        <f>_xlfn.XLOOKUP($B6684,シフト抽出!$19:$19,シフト抽出!$24:$24,"該当なし",0,1)</f>
        <v>該当なし</v>
      </c>
    </row>
    <row r="6687" spans="1:12">
      <c r="A6687" s="195"/>
      <c r="B6687" s="195" t="s">
        <v>206</v>
      </c>
      <c r="C6687"/>
      <c r="D6687" s="197" t="s">
        <v>851</v>
      </c>
      <c r="E6687" s="197"/>
      <c r="F6687" s="197" t="s">
        <v>238</v>
      </c>
      <c r="G6687" s="197"/>
      <c r="H6687" s="197"/>
      <c r="I6687" s="197"/>
      <c r="K6687" s="224" t="s">
        <v>260</v>
      </c>
      <c r="L6687" s="200" t="str">
        <f>_xlfn.XLOOKUP($B6684,シフト抽出!$19:$19,シフト抽出!$26:$26,"該当なし",0,1)</f>
        <v>該当なし</v>
      </c>
    </row>
    <row r="6688" spans="1:12">
      <c r="A6688" s="195"/>
      <c r="B6688" s="195" t="s">
        <v>207</v>
      </c>
      <c r="C6688"/>
      <c r="D6688" s="197" t="s">
        <v>851</v>
      </c>
      <c r="E6688" s="197"/>
      <c r="F6688" s="197" t="s">
        <v>238</v>
      </c>
      <c r="G6688" s="197"/>
      <c r="H6688" s="197"/>
      <c r="I6688" s="197"/>
      <c r="K6688" s="225"/>
      <c r="L6688" s="201" t="str">
        <f>_xlfn.XLOOKUP($B6684,シフト抽出!$19:$19,シフト抽出!$27:$27,"該当なし",0,1)</f>
        <v>該当なし</v>
      </c>
    </row>
    <row r="6689" spans="1:12">
      <c r="A6689" s="195"/>
      <c r="B6689" s="202" t="s">
        <v>208</v>
      </c>
      <c r="C6689"/>
      <c r="D6689" s="197" t="s">
        <v>851</v>
      </c>
      <c r="E6689" s="197" t="s">
        <v>420</v>
      </c>
      <c r="F6689" s="197" t="s">
        <v>238</v>
      </c>
      <c r="G6689" s="197" t="s">
        <v>788</v>
      </c>
      <c r="H6689" s="197"/>
      <c r="I6689" s="197"/>
      <c r="J6689" s="203"/>
      <c r="K6689" s="225"/>
      <c r="L6689" s="201" t="str">
        <f>_xlfn.XLOOKUP($B6684,シフト抽出!$19:$19,シフト抽出!$28:$28,"該当なし",0,1)</f>
        <v>該当なし</v>
      </c>
    </row>
    <row r="6690" spans="1:12" ht="15.75" thickBot="1">
      <c r="A6690" s="195"/>
      <c r="B6690" s="195" t="s">
        <v>205</v>
      </c>
      <c r="C6690"/>
      <c r="D6690" s="197" t="s">
        <v>851</v>
      </c>
      <c r="E6690" s="197" t="s">
        <v>420</v>
      </c>
      <c r="F6690" s="197" t="s">
        <v>238</v>
      </c>
      <c r="G6690" s="197" t="s">
        <v>989</v>
      </c>
      <c r="H6690" s="197"/>
      <c r="I6690" s="197"/>
      <c r="J6690" s="203"/>
      <c r="K6690" s="226"/>
      <c r="L6690" s="204" t="str">
        <f>_xlfn.XLOOKUP($B6684,シフト抽出!$19:$19,シフト抽出!$29:$29,"該当なし",0,1)</f>
        <v>該当なし</v>
      </c>
    </row>
    <row r="6691" spans="1:12" ht="15.75" thickBot="1">
      <c r="A6691" s="195"/>
      <c r="B6691" s="195" t="s">
        <v>206</v>
      </c>
      <c r="C6691"/>
      <c r="D6691" s="197" t="s">
        <v>851</v>
      </c>
      <c r="E6691" s="197" t="s">
        <v>420</v>
      </c>
      <c r="F6691" s="197" t="s">
        <v>238</v>
      </c>
      <c r="G6691" s="197" t="s">
        <v>22</v>
      </c>
      <c r="H6691" s="197"/>
      <c r="I6691" s="197"/>
      <c r="K6691" s="205" t="s">
        <v>261</v>
      </c>
      <c r="L6691" s="205">
        <f>_xlfn.XLOOKUP($B6684,予定表!B:B,予定表!R:R,"該当なし",0,1)</f>
        <v>0</v>
      </c>
    </row>
    <row r="6692" spans="1:12">
      <c r="A6692" s="195"/>
      <c r="B6692" s="195" t="s">
        <v>207</v>
      </c>
      <c r="C6692"/>
      <c r="D6692" s="197" t="s">
        <v>851</v>
      </c>
      <c r="E6692" s="197" t="s">
        <v>420</v>
      </c>
      <c r="F6692" s="197" t="s">
        <v>238</v>
      </c>
      <c r="G6692" s="197" t="s">
        <v>788</v>
      </c>
      <c r="H6692" s="197"/>
      <c r="I6692" s="197"/>
      <c r="K6692" s="227" t="s">
        <v>262</v>
      </c>
      <c r="L6692" s="206" t="str">
        <f>_xlfn.XLOOKUP($B6684,予定表!$B:$B,予定表!E:E,"該当なし",0,1)</f>
        <v>ジャクソン</v>
      </c>
    </row>
    <row r="6693" spans="1:12">
      <c r="A6693" s="195"/>
      <c r="B6693" s="196" t="s">
        <v>209</v>
      </c>
      <c r="C6693"/>
      <c r="D6693" s="197" t="s">
        <v>851</v>
      </c>
      <c r="E6693" s="197" t="s">
        <v>420</v>
      </c>
      <c r="F6693" s="197"/>
      <c r="G6693" s="197" t="s">
        <v>788</v>
      </c>
      <c r="H6693" s="197" t="s">
        <v>4</v>
      </c>
      <c r="I6693" s="197"/>
      <c r="K6693" s="228"/>
      <c r="L6693" s="207" t="str">
        <f>_xlfn.XLOOKUP($B6684,予定表!$B:$B,予定表!F:F,"該当なし",0,1)</f>
        <v>IWD(㈱大勝)</v>
      </c>
    </row>
    <row r="6694" spans="1:12">
      <c r="A6694" s="195"/>
      <c r="B6694" s="195" t="s">
        <v>205</v>
      </c>
      <c r="C6694"/>
      <c r="D6694" s="197" t="s">
        <v>851</v>
      </c>
      <c r="E6694" s="197" t="s">
        <v>420</v>
      </c>
      <c r="F6694" s="197" t="s">
        <v>264</v>
      </c>
      <c r="G6694" s="197" t="s">
        <v>268</v>
      </c>
      <c r="H6694" s="197" t="s">
        <v>60</v>
      </c>
      <c r="I6694" s="197"/>
      <c r="K6694" s="228"/>
      <c r="L6694" s="207" t="str">
        <f>_xlfn.XLOOKUP($B6684,予定表!$B:$B,予定表!G:G,"該当なし",0,1)</f>
        <v>ディーミング</v>
      </c>
    </row>
    <row r="6695" spans="1:12">
      <c r="A6695" s="195"/>
      <c r="B6695" s="195" t="s">
        <v>206</v>
      </c>
      <c r="C6695"/>
      <c r="D6695" s="197"/>
      <c r="E6695" s="197" t="s">
        <v>414</v>
      </c>
      <c r="F6695" s="197" t="s">
        <v>416</v>
      </c>
      <c r="G6695" s="197" t="s">
        <v>268</v>
      </c>
      <c r="H6695" s="197" t="s">
        <v>60</v>
      </c>
      <c r="I6695" s="197"/>
      <c r="K6695" s="228"/>
      <c r="L6695" s="207" t="str">
        <f>_xlfn.XLOOKUP($B6684,予定表!$B:$B,予定表!H:H,"該当なし",0,1)</f>
        <v>'資さん 平塚</v>
      </c>
    </row>
    <row r="6696" spans="1:12">
      <c r="A6696" s="195"/>
      <c r="B6696" s="195" t="s">
        <v>207</v>
      </c>
      <c r="C6696"/>
      <c r="D6696" s="197" t="s">
        <v>239</v>
      </c>
      <c r="E6696" s="197" t="s">
        <v>414</v>
      </c>
      <c r="F6696" s="197" t="s">
        <v>771</v>
      </c>
      <c r="G6696" s="197" t="s">
        <v>268</v>
      </c>
      <c r="H6696" s="197" t="s">
        <v>60</v>
      </c>
      <c r="I6696" s="197"/>
      <c r="K6696" s="228"/>
      <c r="L6696" s="207" t="str">
        <f>_xlfn.XLOOKUP($B6684,予定表!$B:$B,予定表!I:I,"該当なし",0,1)</f>
        <v>カインズAM8</v>
      </c>
    </row>
    <row r="6697" spans="1:12">
      <c r="A6697" s="195"/>
      <c r="B6697" s="196" t="s">
        <v>212</v>
      </c>
      <c r="C6697"/>
      <c r="D6697" s="197" t="s">
        <v>240</v>
      </c>
      <c r="E6697" s="197" t="s">
        <v>414</v>
      </c>
      <c r="F6697" s="197" t="s">
        <v>416</v>
      </c>
      <c r="G6697" s="197" t="s">
        <v>268</v>
      </c>
      <c r="H6697" s="197"/>
      <c r="I6697" s="197"/>
      <c r="K6697" s="228"/>
      <c r="L6697" s="207">
        <f>_xlfn.XLOOKUP($B6684,予定表!$B:$B,予定表!J:J,"該当なし",0,1)</f>
        <v>0</v>
      </c>
    </row>
    <row r="6698" spans="1:12">
      <c r="A6698" s="195"/>
      <c r="B6698" s="195" t="s">
        <v>205</v>
      </c>
      <c r="C6698"/>
      <c r="D6698" s="197" t="s">
        <v>425</v>
      </c>
      <c r="E6698" s="197" t="s">
        <v>414</v>
      </c>
      <c r="F6698" s="197" t="s">
        <v>416</v>
      </c>
      <c r="G6698" s="197" t="s">
        <v>268</v>
      </c>
      <c r="H6698" s="197" t="s">
        <v>848</v>
      </c>
      <c r="I6698" s="197"/>
      <c r="K6698" s="228"/>
      <c r="L6698" s="207">
        <f>_xlfn.XLOOKUP($B6684,予定表!$B:$B,予定表!K:K,"該当なし",0,1)</f>
        <v>0</v>
      </c>
    </row>
    <row r="6699" spans="1:12">
      <c r="A6699" s="195"/>
      <c r="B6699" s="195" t="s">
        <v>206</v>
      </c>
      <c r="C6699"/>
      <c r="D6699" s="197" t="s">
        <v>353</v>
      </c>
      <c r="E6699" s="197" t="s">
        <v>854</v>
      </c>
      <c r="F6699" s="197" t="s">
        <v>416</v>
      </c>
      <c r="G6699" s="197" t="s">
        <v>515</v>
      </c>
      <c r="H6699" s="197" t="s">
        <v>848</v>
      </c>
      <c r="I6699" s="197"/>
      <c r="K6699" s="228"/>
      <c r="L6699" s="207">
        <f>_xlfn.XLOOKUP($B6684,予定表!$B:$B,予定表!L:L,"該当なし",0,1)</f>
        <v>0</v>
      </c>
    </row>
    <row r="6700" spans="1:12" ht="15.75" thickBot="1">
      <c r="A6700" s="195"/>
      <c r="B6700" s="195" t="s">
        <v>207</v>
      </c>
      <c r="C6700"/>
      <c r="D6700" s="197" t="s">
        <v>353</v>
      </c>
      <c r="E6700" s="197" t="s">
        <v>854</v>
      </c>
      <c r="F6700" s="197"/>
      <c r="G6700" s="197" t="s">
        <v>515</v>
      </c>
      <c r="H6700" s="197" t="s">
        <v>848</v>
      </c>
      <c r="I6700" s="197"/>
      <c r="K6700" s="229"/>
      <c r="L6700" s="204" t="str">
        <f>_xlfn.XLOOKUP($A6681,ﾘｽﾄマスタ!$U$8:$U$17,ﾘｽﾄマスタ!$V$8:$V$17,"",0)</f>
        <v>LIXIL厚木</v>
      </c>
    </row>
    <row r="6701" spans="1:12" ht="15.75" thickBot="1">
      <c r="A6701" s="195"/>
      <c r="B6701" s="196" t="s">
        <v>251</v>
      </c>
      <c r="C6701"/>
      <c r="D6701" s="197" t="s">
        <v>111</v>
      </c>
      <c r="E6701" s="197" t="s">
        <v>854</v>
      </c>
      <c r="F6701" s="197" t="s">
        <v>988</v>
      </c>
      <c r="G6701" s="197" t="s">
        <v>515</v>
      </c>
      <c r="H6701" s="197" t="s">
        <v>848</v>
      </c>
      <c r="I6701" s="197"/>
      <c r="K6701" s="208" t="s">
        <v>277</v>
      </c>
      <c r="L6701" s="208" t="str">
        <f>_xlfn.XLOOKUP($B6684,シフト抽出!$19:$19,シフト抽出!$30:$30,"該当なし",0,1)</f>
        <v>該当なし</v>
      </c>
    </row>
    <row r="6702" spans="1:12">
      <c r="A6702" s="195"/>
      <c r="B6702" s="195" t="s">
        <v>205</v>
      </c>
      <c r="C6702"/>
      <c r="D6702" s="197" t="s">
        <v>111</v>
      </c>
      <c r="E6702" s="197" t="s">
        <v>854</v>
      </c>
      <c r="F6702" s="197" t="s">
        <v>280</v>
      </c>
      <c r="G6702" s="197" t="s">
        <v>269</v>
      </c>
      <c r="H6702" s="197" t="s">
        <v>848</v>
      </c>
      <c r="I6702" s="197"/>
    </row>
    <row r="6703" spans="1:12">
      <c r="A6703" s="195"/>
      <c r="B6703" s="195" t="s">
        <v>206</v>
      </c>
      <c r="C6703"/>
      <c r="D6703" s="197" t="s">
        <v>111</v>
      </c>
      <c r="E6703" s="197" t="s">
        <v>216</v>
      </c>
      <c r="F6703" s="197" t="s">
        <v>215</v>
      </c>
      <c r="G6703" s="197" t="s">
        <v>269</v>
      </c>
      <c r="H6703" s="197" t="s">
        <v>848</v>
      </c>
      <c r="I6703" s="197"/>
    </row>
    <row r="6704" spans="1:12">
      <c r="A6704" s="195"/>
      <c r="B6704" s="195" t="s">
        <v>207</v>
      </c>
      <c r="C6704"/>
      <c r="D6704" s="197" t="s">
        <v>111</v>
      </c>
      <c r="E6704" s="197" t="s">
        <v>216</v>
      </c>
      <c r="F6704" s="197" t="s">
        <v>51</v>
      </c>
      <c r="G6704" s="197" t="s">
        <v>446</v>
      </c>
      <c r="H6704" s="197" t="s">
        <v>848</v>
      </c>
      <c r="I6704" s="197"/>
    </row>
    <row r="6705" spans="1:9">
      <c r="A6705" s="195"/>
      <c r="B6705" s="196" t="s">
        <v>217</v>
      </c>
      <c r="C6705"/>
      <c r="D6705" s="197" t="s">
        <v>111</v>
      </c>
      <c r="E6705" s="197" t="s">
        <v>216</v>
      </c>
      <c r="F6705" s="197" t="s">
        <v>51</v>
      </c>
      <c r="G6705" s="197" t="s">
        <v>446</v>
      </c>
      <c r="H6705" s="197" t="s">
        <v>848</v>
      </c>
      <c r="I6705" s="197"/>
    </row>
    <row r="6706" spans="1:9">
      <c r="A6706" s="195"/>
      <c r="B6706" s="195" t="s">
        <v>205</v>
      </c>
      <c r="C6706"/>
      <c r="D6706" s="197" t="s">
        <v>111</v>
      </c>
      <c r="E6706" s="197" t="s">
        <v>216</v>
      </c>
      <c r="F6706" s="197" t="s">
        <v>51</v>
      </c>
      <c r="G6706" s="197" t="s">
        <v>114</v>
      </c>
      <c r="H6706" s="197" t="s">
        <v>848</v>
      </c>
      <c r="I6706" s="197"/>
    </row>
    <row r="6707" spans="1:9">
      <c r="A6707" s="195"/>
      <c r="B6707" s="195" t="s">
        <v>206</v>
      </c>
      <c r="C6707"/>
      <c r="D6707" s="197" t="s">
        <v>111</v>
      </c>
      <c r="E6707" s="197" t="s">
        <v>216</v>
      </c>
      <c r="F6707" s="197" t="s">
        <v>51</v>
      </c>
      <c r="G6707" s="197" t="s">
        <v>114</v>
      </c>
      <c r="H6707" s="197" t="s">
        <v>848</v>
      </c>
      <c r="I6707" s="197"/>
    </row>
    <row r="6708" spans="1:9">
      <c r="A6708" s="195"/>
      <c r="B6708" s="195" t="s">
        <v>207</v>
      </c>
      <c r="C6708"/>
      <c r="D6708" s="197" t="s">
        <v>111</v>
      </c>
      <c r="E6708" s="197" t="s">
        <v>216</v>
      </c>
      <c r="F6708" s="197" t="s">
        <v>51</v>
      </c>
      <c r="G6708" s="197" t="s">
        <v>114</v>
      </c>
      <c r="H6708" s="197" t="s">
        <v>848</v>
      </c>
      <c r="I6708" s="197"/>
    </row>
    <row r="6709" spans="1:9">
      <c r="A6709" s="195"/>
      <c r="B6709" s="196" t="s">
        <v>219</v>
      </c>
      <c r="C6709"/>
      <c r="D6709" s="197"/>
      <c r="E6709" s="197"/>
      <c r="F6709" s="197"/>
      <c r="G6709" s="197"/>
      <c r="H6709" s="197"/>
      <c r="I6709" s="197"/>
    </row>
    <row r="6710" spans="1:9">
      <c r="A6710" s="195"/>
      <c r="B6710" s="195" t="s">
        <v>205</v>
      </c>
      <c r="C6710"/>
      <c r="D6710" s="197"/>
      <c r="E6710" s="197"/>
      <c r="F6710" s="197"/>
      <c r="G6710" s="197"/>
      <c r="H6710" s="197"/>
      <c r="I6710" s="197"/>
    </row>
    <row r="6711" spans="1:9">
      <c r="A6711" s="195"/>
      <c r="B6711" s="195" t="s">
        <v>206</v>
      </c>
      <c r="C6711"/>
      <c r="D6711" s="197"/>
      <c r="E6711" s="197"/>
      <c r="F6711" s="197"/>
      <c r="G6711" s="197"/>
      <c r="H6711" s="197"/>
      <c r="I6711" s="197"/>
    </row>
    <row r="6712" spans="1:9">
      <c r="A6712" s="195"/>
      <c r="B6712" s="195" t="s">
        <v>207</v>
      </c>
      <c r="C6712"/>
      <c r="D6712" s="197"/>
      <c r="E6712" s="197"/>
      <c r="F6712" s="197"/>
      <c r="G6712" s="197"/>
      <c r="H6712" s="197"/>
      <c r="I6712" s="197"/>
    </row>
    <row r="6713" spans="1:9">
      <c r="A6713" s="195"/>
      <c r="B6713" s="196" t="s">
        <v>220</v>
      </c>
      <c r="C6713"/>
      <c r="D6713" s="189"/>
      <c r="E6713" s="197"/>
      <c r="F6713" s="189" t="s">
        <v>867</v>
      </c>
      <c r="G6713" s="189"/>
      <c r="H6713" s="197" t="s">
        <v>231</v>
      </c>
      <c r="I6713" s="197"/>
    </row>
    <row r="6714" spans="1:9">
      <c r="A6714" s="195"/>
      <c r="B6714" s="195" t="s">
        <v>205</v>
      </c>
      <c r="C6714"/>
      <c r="D6714" s="197" t="s">
        <v>224</v>
      </c>
      <c r="E6714" s="197" t="s">
        <v>273</v>
      </c>
      <c r="F6714" s="197" t="s">
        <v>759</v>
      </c>
      <c r="G6714" s="197" t="s">
        <v>56</v>
      </c>
      <c r="H6714" s="197" t="s">
        <v>231</v>
      </c>
      <c r="I6714" s="197" t="s">
        <v>416</v>
      </c>
    </row>
    <row r="6715" spans="1:9">
      <c r="A6715" s="195"/>
      <c r="B6715" s="195" t="s">
        <v>206</v>
      </c>
      <c r="C6715"/>
      <c r="D6715" s="197" t="s">
        <v>224</v>
      </c>
      <c r="E6715" s="197" t="s">
        <v>273</v>
      </c>
      <c r="F6715" s="197" t="s">
        <v>759</v>
      </c>
      <c r="G6715" s="197" t="s">
        <v>56</v>
      </c>
      <c r="H6715" s="197" t="s">
        <v>211</v>
      </c>
      <c r="I6715" s="197" t="s">
        <v>999</v>
      </c>
    </row>
    <row r="6716" spans="1:9">
      <c r="A6716" s="195"/>
      <c r="B6716" s="195" t="s">
        <v>207</v>
      </c>
      <c r="C6716"/>
      <c r="D6716" s="197" t="s">
        <v>224</v>
      </c>
      <c r="E6716" s="197" t="s">
        <v>266</v>
      </c>
      <c r="F6716" s="197" t="s">
        <v>759</v>
      </c>
      <c r="G6716" s="197" t="s">
        <v>56</v>
      </c>
      <c r="H6716" s="197" t="s">
        <v>211</v>
      </c>
      <c r="I6716" s="197" t="s">
        <v>416</v>
      </c>
    </row>
    <row r="6717" spans="1:9">
      <c r="A6717" s="195"/>
      <c r="B6717" s="196" t="s">
        <v>222</v>
      </c>
      <c r="C6717"/>
      <c r="D6717" s="197" t="s">
        <v>423</v>
      </c>
      <c r="E6717" s="197" t="s">
        <v>266</v>
      </c>
      <c r="F6717" s="197" t="s">
        <v>759</v>
      </c>
      <c r="G6717" s="197" t="s">
        <v>56</v>
      </c>
      <c r="H6717" s="197"/>
      <c r="I6717" s="197" t="s">
        <v>416</v>
      </c>
    </row>
    <row r="6718" spans="1:9">
      <c r="A6718" s="195"/>
      <c r="B6718" s="195" t="s">
        <v>205</v>
      </c>
      <c r="C6718"/>
      <c r="D6718" s="197" t="s">
        <v>588</v>
      </c>
      <c r="E6718" s="197" t="s">
        <v>252</v>
      </c>
      <c r="F6718" s="197" t="s">
        <v>416</v>
      </c>
      <c r="G6718" s="197" t="s">
        <v>56</v>
      </c>
      <c r="H6718" s="197" t="s">
        <v>856</v>
      </c>
      <c r="I6718" s="197" t="s">
        <v>416</v>
      </c>
    </row>
    <row r="6719" spans="1:9">
      <c r="A6719" s="195"/>
      <c r="B6719" s="195" t="s">
        <v>206</v>
      </c>
      <c r="C6719"/>
      <c r="D6719" s="197" t="s">
        <v>127</v>
      </c>
      <c r="E6719" s="197" t="s">
        <v>252</v>
      </c>
      <c r="F6719" s="197" t="s">
        <v>954</v>
      </c>
      <c r="G6719" s="197"/>
      <c r="H6719" s="197" t="s">
        <v>856</v>
      </c>
      <c r="I6719" s="197" t="s">
        <v>416</v>
      </c>
    </row>
    <row r="6720" spans="1:9">
      <c r="A6720" s="195"/>
      <c r="B6720" s="195" t="s">
        <v>207</v>
      </c>
      <c r="C6720"/>
      <c r="D6720" s="197" t="s">
        <v>761</v>
      </c>
      <c r="E6720" s="197" t="s">
        <v>252</v>
      </c>
      <c r="F6720" s="197" t="s">
        <v>416</v>
      </c>
      <c r="G6720" s="197" t="s">
        <v>270</v>
      </c>
      <c r="H6720" s="197" t="s">
        <v>856</v>
      </c>
      <c r="I6720" s="197" t="s">
        <v>416</v>
      </c>
    </row>
    <row r="6721" spans="1:12">
      <c r="A6721" s="195"/>
      <c r="B6721" s="196" t="s">
        <v>223</v>
      </c>
      <c r="C6721"/>
      <c r="D6721" s="197" t="s">
        <v>761</v>
      </c>
      <c r="E6721" s="197" t="s">
        <v>252</v>
      </c>
      <c r="F6721" s="197" t="s">
        <v>951</v>
      </c>
      <c r="G6721" s="197" t="s">
        <v>270</v>
      </c>
      <c r="H6721" s="197" t="s">
        <v>856</v>
      </c>
      <c r="I6721" s="197" t="s">
        <v>416</v>
      </c>
    </row>
    <row r="6722" spans="1:12">
      <c r="A6722" s="195"/>
      <c r="B6722" s="195" t="s">
        <v>205</v>
      </c>
      <c r="C6722"/>
      <c r="D6722" s="197" t="s">
        <v>761</v>
      </c>
      <c r="E6722" s="197" t="s">
        <v>252</v>
      </c>
      <c r="F6722" s="197" t="s">
        <v>416</v>
      </c>
      <c r="G6722" s="197" t="s">
        <v>270</v>
      </c>
      <c r="H6722" s="197" t="s">
        <v>856</v>
      </c>
      <c r="I6722" s="197" t="s">
        <v>416</v>
      </c>
    </row>
    <row r="6723" spans="1:12">
      <c r="A6723" s="195"/>
      <c r="B6723" s="195" t="s">
        <v>206</v>
      </c>
      <c r="C6723"/>
      <c r="D6723" s="197" t="s">
        <v>761</v>
      </c>
      <c r="E6723" s="197" t="s">
        <v>252</v>
      </c>
      <c r="F6723" s="197" t="s">
        <v>416</v>
      </c>
      <c r="G6723" s="197" t="s">
        <v>270</v>
      </c>
      <c r="H6723" s="197" t="s">
        <v>856</v>
      </c>
      <c r="I6723" s="197" t="s">
        <v>416</v>
      </c>
    </row>
    <row r="6724" spans="1:12">
      <c r="A6724" s="195"/>
      <c r="B6724" s="195" t="s">
        <v>207</v>
      </c>
      <c r="C6724"/>
      <c r="D6724" s="197" t="s">
        <v>214</v>
      </c>
      <c r="E6724" s="197" t="s">
        <v>252</v>
      </c>
      <c r="F6724" s="197" t="s">
        <v>416</v>
      </c>
      <c r="G6724" s="197" t="s">
        <v>270</v>
      </c>
      <c r="H6724" s="197" t="s">
        <v>856</v>
      </c>
      <c r="I6724" s="197" t="s">
        <v>416</v>
      </c>
    </row>
    <row r="6725" spans="1:12">
      <c r="A6725" s="195"/>
      <c r="B6725" s="196" t="s">
        <v>225</v>
      </c>
      <c r="C6725"/>
      <c r="D6725" s="197" t="s">
        <v>214</v>
      </c>
      <c r="E6725" s="197" t="s">
        <v>252</v>
      </c>
      <c r="F6725" s="197" t="s">
        <v>62</v>
      </c>
      <c r="G6725" s="197" t="s">
        <v>270</v>
      </c>
      <c r="H6725" s="197" t="s">
        <v>415</v>
      </c>
      <c r="I6725" s="197"/>
    </row>
    <row r="6726" spans="1:12">
      <c r="A6726" s="195"/>
      <c r="B6726" s="195" t="s">
        <v>205</v>
      </c>
      <c r="C6726"/>
      <c r="D6726" s="197" t="s">
        <v>214</v>
      </c>
      <c r="E6726" s="197" t="s">
        <v>252</v>
      </c>
      <c r="F6726" s="197" t="s">
        <v>62</v>
      </c>
      <c r="G6726" s="197" t="s">
        <v>270</v>
      </c>
      <c r="H6726" s="209" t="s">
        <v>415</v>
      </c>
      <c r="I6726" s="197"/>
    </row>
    <row r="6727" spans="1:12">
      <c r="A6727" s="195"/>
      <c r="B6727" s="195" t="s">
        <v>206</v>
      </c>
      <c r="C6727"/>
      <c r="D6727" s="197" t="s">
        <v>214</v>
      </c>
      <c r="E6727" s="197" t="s">
        <v>252</v>
      </c>
      <c r="F6727" s="197" t="s">
        <v>62</v>
      </c>
      <c r="G6727" s="197" t="s">
        <v>270</v>
      </c>
      <c r="H6727" s="209" t="s">
        <v>415</v>
      </c>
      <c r="I6727" s="197"/>
    </row>
    <row r="6728" spans="1:12">
      <c r="A6728" s="195"/>
      <c r="B6728" s="195" t="s">
        <v>207</v>
      </c>
      <c r="C6728"/>
      <c r="D6728" s="197"/>
      <c r="E6728" s="197" t="s">
        <v>252</v>
      </c>
      <c r="F6728" s="197" t="s">
        <v>62</v>
      </c>
      <c r="G6728" s="197" t="s">
        <v>270</v>
      </c>
      <c r="H6728" s="209" t="s">
        <v>415</v>
      </c>
      <c r="I6728" s="197"/>
    </row>
    <row r="6729" spans="1:12">
      <c r="A6729" s="195"/>
      <c r="B6729" s="196" t="s">
        <v>226</v>
      </c>
      <c r="C6729"/>
      <c r="D6729" s="197"/>
      <c r="E6729" s="197"/>
      <c r="F6729" s="197"/>
      <c r="G6729" s="197" t="s">
        <v>270</v>
      </c>
      <c r="H6729" s="209"/>
      <c r="I6729" s="197"/>
    </row>
    <row r="6730" spans="1:12">
      <c r="A6730" s="195"/>
      <c r="B6730" s="195" t="s">
        <v>205</v>
      </c>
      <c r="C6730"/>
      <c r="D6730" s="197"/>
      <c r="E6730" s="197"/>
      <c r="F6730" s="197"/>
      <c r="G6730" s="197" t="s">
        <v>270</v>
      </c>
      <c r="H6730" s="209"/>
      <c r="I6730" s="209"/>
    </row>
    <row r="6731" spans="1:12">
      <c r="A6731" s="195"/>
      <c r="B6731" s="195" t="s">
        <v>206</v>
      </c>
      <c r="C6731"/>
      <c r="D6731" s="197"/>
      <c r="E6731" s="197"/>
      <c r="F6731" s="197"/>
      <c r="G6731" s="197" t="s">
        <v>270</v>
      </c>
      <c r="H6731" s="209"/>
      <c r="I6731" s="209"/>
    </row>
    <row r="6732" spans="1:12">
      <c r="A6732" s="195"/>
      <c r="B6732" s="195" t="s">
        <v>207</v>
      </c>
      <c r="C6732"/>
      <c r="D6732" s="197"/>
      <c r="E6732" s="197"/>
      <c r="F6732" s="197"/>
      <c r="G6732" s="197" t="s">
        <v>270</v>
      </c>
      <c r="H6732" s="209"/>
      <c r="I6732" s="209"/>
    </row>
    <row r="6733" spans="1:12">
      <c r="A6733" s="195"/>
      <c r="B6733" s="196" t="s">
        <v>227</v>
      </c>
      <c r="C6733"/>
      <c r="D6733" s="197"/>
      <c r="E6733" s="197"/>
      <c r="F6733" s="197"/>
      <c r="G6733" s="197"/>
      <c r="H6733" s="209"/>
      <c r="I6733" s="209"/>
      <c r="K6733"/>
    </row>
    <row r="6734" spans="1:12" ht="29.25" thickBot="1">
      <c r="A6734" s="182" t="str">
        <f>"回収シフト  第"&amp;ROUNDUP(DAY(B6737)/7,0)  &amp;"  "&amp;TEXT(B6737,"aaaa")</f>
        <v>回収シフト  第4  土曜日</v>
      </c>
      <c r="B6734" s="183"/>
      <c r="C6734" s="183"/>
      <c r="D6734" s="183"/>
      <c r="E6734" s="183"/>
      <c r="F6734" s="183"/>
      <c r="G6734" s="184"/>
      <c r="H6734" s="184"/>
      <c r="K6734" s="183"/>
      <c r="L6734" s="183"/>
    </row>
    <row r="6735" spans="1:12" ht="15.75" thickBot="1">
      <c r="A6735"/>
      <c r="B6735"/>
      <c r="C6735"/>
      <c r="D6735" s="186" t="s">
        <v>201</v>
      </c>
      <c r="E6735" s="186" t="s">
        <v>202</v>
      </c>
      <c r="F6735" s="186" t="s">
        <v>203</v>
      </c>
      <c r="G6735" s="186" t="s">
        <v>204</v>
      </c>
      <c r="H6735" s="186" t="s">
        <v>267</v>
      </c>
      <c r="K6735" s="230" t="s">
        <v>257</v>
      </c>
      <c r="L6735" s="231"/>
    </row>
    <row r="6736" spans="1:12">
      <c r="A6736" s="187"/>
      <c r="B6736" s="188">
        <v>46119</v>
      </c>
      <c r="C6736" s="187"/>
      <c r="D6736" s="189"/>
      <c r="E6736" s="189"/>
      <c r="F6736" s="189"/>
      <c r="G6736" s="189"/>
      <c r="H6736" s="189"/>
      <c r="K6736" s="232" t="s">
        <v>258</v>
      </c>
      <c r="L6736" s="190" t="str">
        <f>_xlfn.XLOOKUP($B6737,シフト抽出!$19:$19,シフト抽出!$20:$20,"該当なし",0,1)</f>
        <v>該当なし</v>
      </c>
    </row>
    <row r="6737" spans="1:12" ht="19.5" thickBot="1">
      <c r="A6737"/>
      <c r="B6737" s="191">
        <f>B6684+1</f>
        <v>46256</v>
      </c>
      <c r="C6737" s="192"/>
      <c r="D6737" s="193"/>
      <c r="E6737" s="193"/>
      <c r="F6737" s="193"/>
      <c r="G6737" s="193"/>
      <c r="H6737" s="193"/>
      <c r="K6737" s="233"/>
      <c r="L6737" s="194" t="str">
        <f>_xlfn.XLOOKUP($B6737,シフト抽出!$19:$19,シフト抽出!$21:$21,"該当なし",0,1)</f>
        <v>該当なし</v>
      </c>
    </row>
    <row r="6738" spans="1:12">
      <c r="A6738" s="195"/>
      <c r="B6738" s="196">
        <v>0.25</v>
      </c>
      <c r="C6738"/>
      <c r="D6738" s="197"/>
      <c r="E6738" s="196"/>
      <c r="F6738" s="197"/>
      <c r="G6738" s="197"/>
      <c r="H6738" s="197"/>
      <c r="K6738" s="234" t="s">
        <v>259</v>
      </c>
      <c r="L6738" s="198" t="str">
        <f>_xlfn.XLOOKUP($B6737,シフト抽出!$19:$19,シフト抽出!$23:$23,"該当なし",0,1)</f>
        <v>該当なし</v>
      </c>
    </row>
    <row r="6739" spans="1:12" ht="15.75" thickBot="1">
      <c r="A6739" s="195"/>
      <c r="B6739" s="195" t="s">
        <v>205</v>
      </c>
      <c r="C6739"/>
      <c r="D6739" s="197"/>
      <c r="E6739" s="197"/>
      <c r="F6739" s="197"/>
      <c r="G6739" s="197"/>
      <c r="H6739" s="197"/>
      <c r="K6739" s="235"/>
      <c r="L6739" s="199" t="str">
        <f>_xlfn.XLOOKUP($B6737,シフト抽出!$19:$19,シフト抽出!$24:$24,"該当なし",0,1)</f>
        <v>該当なし</v>
      </c>
    </row>
    <row r="6740" spans="1:12">
      <c r="A6740" s="195"/>
      <c r="B6740" s="195" t="s">
        <v>206</v>
      </c>
      <c r="C6740"/>
      <c r="D6740" s="197"/>
      <c r="E6740" s="197"/>
      <c r="F6740" s="197"/>
      <c r="G6740" s="197"/>
      <c r="H6740" s="197"/>
      <c r="K6740" s="224" t="s">
        <v>260</v>
      </c>
      <c r="L6740" s="200" t="str">
        <f>_xlfn.XLOOKUP($B6737,シフト抽出!$19:$19,シフト抽出!$26:$26,"該当なし",0,1)</f>
        <v>該当なし</v>
      </c>
    </row>
    <row r="6741" spans="1:12">
      <c r="A6741" s="195"/>
      <c r="B6741" s="195" t="s">
        <v>207</v>
      </c>
      <c r="C6741"/>
      <c r="D6741" s="197"/>
      <c r="E6741" s="197"/>
      <c r="F6741" s="197"/>
      <c r="G6741" s="197"/>
      <c r="H6741" s="197"/>
      <c r="K6741" s="225"/>
      <c r="L6741" s="201" t="str">
        <f>_xlfn.XLOOKUP($B6737,シフト抽出!$19:$19,シフト抽出!$27:$27,"該当なし",0,1)</f>
        <v>該当なし</v>
      </c>
    </row>
    <row r="6742" spans="1:12">
      <c r="A6742" s="195"/>
      <c r="B6742" s="202" t="s">
        <v>208</v>
      </c>
      <c r="C6742"/>
      <c r="D6742" s="197"/>
      <c r="E6742" s="197"/>
      <c r="F6742" s="197"/>
      <c r="G6742" s="197"/>
      <c r="H6742" s="197"/>
      <c r="J6742" s="203"/>
      <c r="K6742" s="225"/>
      <c r="L6742" s="201" t="str">
        <f>_xlfn.XLOOKUP($B6737,シフト抽出!$19:$19,シフト抽出!$28:$28,"該当なし",0,1)</f>
        <v>該当なし</v>
      </c>
    </row>
    <row r="6743" spans="1:12" ht="15.75" thickBot="1">
      <c r="A6743" s="195"/>
      <c r="B6743" s="195" t="s">
        <v>205</v>
      </c>
      <c r="C6743"/>
      <c r="D6743" s="197"/>
      <c r="E6743" s="197"/>
      <c r="F6743" s="197"/>
      <c r="G6743" s="197"/>
      <c r="H6743" s="197"/>
      <c r="J6743" s="203"/>
      <c r="K6743" s="226"/>
      <c r="L6743" s="204" t="str">
        <f>_xlfn.XLOOKUP($B6737,シフト抽出!$19:$19,シフト抽出!$29:$29,"該当なし",0,1)</f>
        <v>該当なし</v>
      </c>
    </row>
    <row r="6744" spans="1:12" ht="15.75" thickBot="1">
      <c r="A6744" s="195"/>
      <c r="B6744" s="195" t="s">
        <v>206</v>
      </c>
      <c r="C6744"/>
      <c r="D6744" s="197"/>
      <c r="E6744" s="197"/>
      <c r="F6744" s="197"/>
      <c r="G6744" s="197"/>
      <c r="H6744" s="197"/>
      <c r="K6744" s="205" t="s">
        <v>261</v>
      </c>
      <c r="L6744" s="205">
        <f>_xlfn.XLOOKUP($B6737,予定表!B:B,予定表!R:R,"該当なし",0,1)</f>
        <v>0</v>
      </c>
    </row>
    <row r="6745" spans="1:12">
      <c r="A6745" s="195"/>
      <c r="B6745" s="195" t="s">
        <v>207</v>
      </c>
      <c r="C6745"/>
      <c r="D6745" s="197"/>
      <c r="E6745" s="197"/>
      <c r="F6745" s="197"/>
      <c r="G6745" s="197"/>
      <c r="H6745" s="197"/>
      <c r="K6745" s="227" t="s">
        <v>262</v>
      </c>
      <c r="L6745" s="206">
        <f>_xlfn.XLOOKUP($B6737,予定表!$B:$B,予定表!E:E,"該当なし",0,1)</f>
        <v>0</v>
      </c>
    </row>
    <row r="6746" spans="1:12">
      <c r="A6746" s="195"/>
      <c r="B6746" s="196" t="s">
        <v>209</v>
      </c>
      <c r="C6746"/>
      <c r="D6746" s="197" t="s">
        <v>4</v>
      </c>
      <c r="E6746" s="197" t="s">
        <v>4</v>
      </c>
      <c r="F6746" s="197"/>
      <c r="G6746" s="197"/>
      <c r="H6746" s="197"/>
      <c r="K6746" s="228"/>
      <c r="L6746" s="207">
        <f>_xlfn.XLOOKUP($B6737,予定表!$B:$B,予定表!F:F,"該当なし",0,1)</f>
        <v>0</v>
      </c>
    </row>
    <row r="6747" spans="1:12">
      <c r="A6747" s="195"/>
      <c r="B6747" s="195" t="s">
        <v>205</v>
      </c>
      <c r="C6747"/>
      <c r="D6747" s="197" t="s">
        <v>268</v>
      </c>
      <c r="E6747" s="197" t="s">
        <v>793</v>
      </c>
      <c r="F6747" s="197"/>
      <c r="G6747" s="197"/>
      <c r="H6747" s="197"/>
      <c r="K6747" s="228"/>
      <c r="L6747" s="207">
        <f>_xlfn.XLOOKUP($B6737,予定表!$B:$B,予定表!G:G,"該当なし",0,1)</f>
        <v>0</v>
      </c>
    </row>
    <row r="6748" spans="1:12">
      <c r="A6748" s="195"/>
      <c r="B6748" s="195" t="s">
        <v>206</v>
      </c>
      <c r="C6748"/>
      <c r="D6748" s="197" t="s">
        <v>268</v>
      </c>
      <c r="E6748" s="197" t="s">
        <v>989</v>
      </c>
      <c r="F6748" s="197"/>
      <c r="G6748" s="197"/>
      <c r="H6748" s="197"/>
      <c r="K6748" s="228"/>
      <c r="L6748" s="207">
        <f>_xlfn.XLOOKUP($B6737,予定表!$B:$B,予定表!H:H,"該当なし",0,1)</f>
        <v>0</v>
      </c>
    </row>
    <row r="6749" spans="1:12">
      <c r="A6749" s="195"/>
      <c r="B6749" s="195" t="s">
        <v>207</v>
      </c>
      <c r="C6749"/>
      <c r="D6749" s="197" t="s">
        <v>268</v>
      </c>
      <c r="E6749" s="197" t="s">
        <v>22</v>
      </c>
      <c r="F6749" s="197"/>
      <c r="G6749" s="197"/>
      <c r="H6749" s="197"/>
      <c r="K6749" s="228"/>
      <c r="L6749" s="207" t="str">
        <f>_xlfn.XLOOKUP($B6737,予定表!$B:$B,予定表!I:I,"該当なし",0,1)</f>
        <v>カインズAM8</v>
      </c>
    </row>
    <row r="6750" spans="1:12">
      <c r="A6750" s="195"/>
      <c r="B6750" s="196" t="s">
        <v>212</v>
      </c>
      <c r="C6750"/>
      <c r="D6750" s="197" t="s">
        <v>268</v>
      </c>
      <c r="E6750" s="197" t="s">
        <v>22</v>
      </c>
      <c r="F6750" s="197"/>
      <c r="G6750" s="197"/>
      <c r="H6750" s="197"/>
      <c r="K6750" s="228"/>
      <c r="L6750" s="207">
        <f>_xlfn.XLOOKUP($B6737,予定表!$B:$B,予定表!J:J,"該当なし",0,1)</f>
        <v>0</v>
      </c>
    </row>
    <row r="6751" spans="1:12">
      <c r="A6751" s="195"/>
      <c r="B6751" s="195" t="s">
        <v>205</v>
      </c>
      <c r="C6751"/>
      <c r="D6751" s="197" t="s">
        <v>268</v>
      </c>
      <c r="E6751" s="197" t="s">
        <v>793</v>
      </c>
      <c r="F6751" s="197"/>
      <c r="G6751" s="197"/>
      <c r="H6751" s="197"/>
      <c r="K6751" s="228"/>
      <c r="L6751" s="207">
        <f>_xlfn.XLOOKUP($B6737,予定表!$B:$B,予定表!K:K,"該当なし",0,1)</f>
        <v>0</v>
      </c>
    </row>
    <row r="6752" spans="1:12">
      <c r="A6752" s="195"/>
      <c r="B6752" s="195" t="s">
        <v>206</v>
      </c>
      <c r="C6752"/>
      <c r="D6752" s="197" t="s">
        <v>515</v>
      </c>
      <c r="E6752" s="197" t="s">
        <v>241</v>
      </c>
      <c r="F6752" s="197"/>
      <c r="G6752" s="197"/>
      <c r="H6752" s="197"/>
      <c r="K6752" s="228"/>
      <c r="L6752" s="207">
        <f>_xlfn.XLOOKUP($B6737,予定表!$B:$B,予定表!L:L,"該当なし",0,1)</f>
        <v>0</v>
      </c>
    </row>
    <row r="6753" spans="1:12" ht="15.75" thickBot="1">
      <c r="A6753" s="195"/>
      <c r="B6753" s="195" t="s">
        <v>207</v>
      </c>
      <c r="C6753"/>
      <c r="D6753" s="197" t="s">
        <v>515</v>
      </c>
      <c r="E6753" s="197" t="s">
        <v>241</v>
      </c>
      <c r="F6753" s="197"/>
      <c r="G6753" s="197"/>
      <c r="H6753" s="197"/>
      <c r="K6753" s="229"/>
      <c r="L6753" s="204" t="str">
        <f>_xlfn.XLOOKUP($A6734,ﾘｽﾄマスタ!$U$8:$U$17,ﾘｽﾄマスタ!$V$8:$V$17,"",0)</f>
        <v/>
      </c>
    </row>
    <row r="6754" spans="1:12" ht="15.75" thickBot="1">
      <c r="A6754" s="195"/>
      <c r="B6754" s="196" t="s">
        <v>251</v>
      </c>
      <c r="C6754"/>
      <c r="D6754" s="197" t="s">
        <v>515</v>
      </c>
      <c r="E6754" s="197" t="s">
        <v>114</v>
      </c>
      <c r="F6754" s="197"/>
      <c r="G6754" s="197"/>
      <c r="H6754" s="197"/>
      <c r="K6754" s="208" t="s">
        <v>277</v>
      </c>
      <c r="L6754" s="208" t="str">
        <f>_xlfn.XLOOKUP($B6737,シフト抽出!$19:$19,シフト抽出!$30:$30,"該当なし",0,1)</f>
        <v>該当なし</v>
      </c>
    </row>
    <row r="6755" spans="1:12">
      <c r="A6755" s="195"/>
      <c r="B6755" s="195" t="s">
        <v>205</v>
      </c>
      <c r="C6755"/>
      <c r="D6755" s="197" t="s">
        <v>242</v>
      </c>
      <c r="E6755" s="197" t="s">
        <v>114</v>
      </c>
      <c r="F6755" s="197"/>
      <c r="G6755" s="197"/>
      <c r="H6755" s="197"/>
    </row>
    <row r="6756" spans="1:12">
      <c r="A6756" s="195"/>
      <c r="B6756" s="195" t="s">
        <v>206</v>
      </c>
      <c r="C6756"/>
      <c r="D6756" s="197" t="s">
        <v>242</v>
      </c>
      <c r="E6756" s="197"/>
      <c r="F6756" s="197"/>
      <c r="G6756" s="197"/>
      <c r="H6756" s="197"/>
    </row>
    <row r="6757" spans="1:12">
      <c r="A6757" s="195"/>
      <c r="B6757" s="195" t="s">
        <v>207</v>
      </c>
      <c r="C6757"/>
      <c r="D6757" s="197" t="s">
        <v>242</v>
      </c>
      <c r="E6757" s="197" t="s">
        <v>244</v>
      </c>
      <c r="F6757" s="197"/>
      <c r="G6757" s="197"/>
      <c r="H6757" s="197"/>
    </row>
    <row r="6758" spans="1:12">
      <c r="A6758" s="195"/>
      <c r="B6758" s="196" t="s">
        <v>217</v>
      </c>
      <c r="C6758"/>
      <c r="D6758" s="197" t="s">
        <v>242</v>
      </c>
      <c r="E6758" s="197" t="s">
        <v>851</v>
      </c>
      <c r="F6758" s="197"/>
      <c r="G6758" s="197"/>
      <c r="H6758" s="197"/>
    </row>
    <row r="6759" spans="1:12">
      <c r="A6759" s="195"/>
      <c r="B6759" s="195" t="s">
        <v>205</v>
      </c>
      <c r="C6759"/>
      <c r="D6759" s="197" t="s">
        <v>242</v>
      </c>
      <c r="E6759" s="197" t="s">
        <v>851</v>
      </c>
      <c r="F6759" s="197"/>
      <c r="G6759" s="197"/>
      <c r="H6759" s="197"/>
    </row>
    <row r="6760" spans="1:12">
      <c r="A6760" s="195"/>
      <c r="B6760" s="195" t="s">
        <v>206</v>
      </c>
      <c r="C6760"/>
      <c r="D6760" s="197" t="s">
        <v>242</v>
      </c>
      <c r="E6760" s="197" t="s">
        <v>851</v>
      </c>
      <c r="F6760" s="197"/>
      <c r="G6760" s="197"/>
      <c r="H6760" s="197"/>
    </row>
    <row r="6761" spans="1:12">
      <c r="A6761" s="195"/>
      <c r="B6761" s="195" t="s">
        <v>207</v>
      </c>
      <c r="C6761"/>
      <c r="D6761" s="197"/>
      <c r="E6761" s="197" t="s">
        <v>851</v>
      </c>
      <c r="F6761" s="197"/>
      <c r="G6761" s="197"/>
      <c r="H6761" s="197"/>
    </row>
    <row r="6762" spans="1:12">
      <c r="A6762" s="195"/>
      <c r="B6762" s="196" t="s">
        <v>219</v>
      </c>
      <c r="C6762"/>
      <c r="D6762" s="197"/>
      <c r="E6762" s="197" t="s">
        <v>851</v>
      </c>
      <c r="F6762" s="197"/>
      <c r="G6762" s="197"/>
      <c r="H6762" s="197"/>
    </row>
    <row r="6763" spans="1:12">
      <c r="A6763" s="195"/>
      <c r="B6763" s="195" t="s">
        <v>205</v>
      </c>
      <c r="C6763"/>
      <c r="D6763" s="197"/>
      <c r="E6763" s="197" t="s">
        <v>851</v>
      </c>
      <c r="F6763" s="197"/>
      <c r="G6763" s="197"/>
      <c r="H6763" s="197"/>
    </row>
    <row r="6764" spans="1:12">
      <c r="A6764" s="195"/>
      <c r="B6764" s="195" t="s">
        <v>206</v>
      </c>
      <c r="C6764"/>
      <c r="D6764" s="197"/>
      <c r="E6764" s="197"/>
      <c r="F6764" s="197"/>
      <c r="G6764" s="197"/>
      <c r="H6764" s="197"/>
    </row>
    <row r="6765" spans="1:12">
      <c r="A6765" s="195"/>
      <c r="B6765" s="195" t="s">
        <v>207</v>
      </c>
      <c r="C6765"/>
      <c r="D6765" s="197"/>
      <c r="E6765" s="197"/>
      <c r="F6765" s="197"/>
      <c r="G6765" s="197"/>
      <c r="H6765" s="197"/>
    </row>
    <row r="6766" spans="1:12">
      <c r="A6766" s="195"/>
      <c r="B6766" s="196" t="s">
        <v>220</v>
      </c>
      <c r="C6766"/>
      <c r="D6766" s="197" t="s">
        <v>7</v>
      </c>
      <c r="E6766" s="197" t="s">
        <v>7</v>
      </c>
      <c r="F6766" s="197"/>
      <c r="G6766" s="189"/>
      <c r="H6766" s="197"/>
    </row>
    <row r="6767" spans="1:12">
      <c r="A6767" s="195"/>
      <c r="B6767" s="195" t="s">
        <v>205</v>
      </c>
      <c r="C6767"/>
      <c r="D6767" s="197" t="s">
        <v>886</v>
      </c>
      <c r="E6767" s="197" t="s">
        <v>228</v>
      </c>
      <c r="F6767" s="197"/>
      <c r="G6767" s="197"/>
      <c r="H6767" s="197"/>
    </row>
    <row r="6768" spans="1:12">
      <c r="A6768" s="195"/>
      <c r="B6768" s="195" t="s">
        <v>206</v>
      </c>
      <c r="C6768"/>
      <c r="D6768" s="197" t="s">
        <v>886</v>
      </c>
      <c r="E6768" s="197" t="s">
        <v>228</v>
      </c>
      <c r="F6768" s="197"/>
      <c r="G6768" s="197"/>
      <c r="H6768" s="197"/>
    </row>
    <row r="6769" spans="1:8">
      <c r="A6769" s="195"/>
      <c r="B6769" s="195" t="s">
        <v>207</v>
      </c>
      <c r="C6769"/>
      <c r="D6769" s="197" t="s">
        <v>886</v>
      </c>
      <c r="E6769" s="197" t="s">
        <v>228</v>
      </c>
      <c r="F6769" s="197"/>
      <c r="G6769" s="197"/>
      <c r="H6769" s="197"/>
    </row>
    <row r="6770" spans="1:8">
      <c r="A6770" s="195"/>
      <c r="B6770" s="196" t="s">
        <v>222</v>
      </c>
      <c r="C6770"/>
      <c r="D6770" s="197" t="s">
        <v>886</v>
      </c>
      <c r="E6770" s="197" t="s">
        <v>228</v>
      </c>
      <c r="F6770" s="197"/>
      <c r="G6770" s="197"/>
      <c r="H6770" s="197"/>
    </row>
    <row r="6771" spans="1:8">
      <c r="A6771" s="195"/>
      <c r="B6771" s="195" t="s">
        <v>205</v>
      </c>
      <c r="C6771"/>
      <c r="D6771" s="197"/>
      <c r="E6771" s="197" t="s">
        <v>228</v>
      </c>
      <c r="F6771" s="197"/>
      <c r="G6771" s="197"/>
      <c r="H6771" s="197"/>
    </row>
    <row r="6772" spans="1:8">
      <c r="A6772" s="195"/>
      <c r="B6772" s="195" t="s">
        <v>206</v>
      </c>
      <c r="C6772"/>
      <c r="D6772" s="197" t="s">
        <v>270</v>
      </c>
      <c r="E6772" s="197" t="s">
        <v>228</v>
      </c>
      <c r="F6772" s="197"/>
      <c r="G6772" s="197"/>
      <c r="H6772" s="197"/>
    </row>
    <row r="6773" spans="1:8">
      <c r="A6773" s="195"/>
      <c r="B6773" s="195" t="s">
        <v>207</v>
      </c>
      <c r="C6773"/>
      <c r="D6773" s="197" t="s">
        <v>270</v>
      </c>
      <c r="E6773" s="197" t="s">
        <v>228</v>
      </c>
      <c r="F6773" s="197"/>
      <c r="G6773" s="197"/>
      <c r="H6773" s="197"/>
    </row>
    <row r="6774" spans="1:8">
      <c r="A6774" s="195"/>
      <c r="B6774" s="196" t="s">
        <v>223</v>
      </c>
      <c r="C6774"/>
      <c r="D6774" s="197" t="s">
        <v>270</v>
      </c>
      <c r="E6774" s="197" t="s">
        <v>228</v>
      </c>
      <c r="F6774" s="197"/>
      <c r="G6774" s="197"/>
      <c r="H6774" s="197"/>
    </row>
    <row r="6775" spans="1:8">
      <c r="A6775" s="195"/>
      <c r="B6775" s="195" t="s">
        <v>205</v>
      </c>
      <c r="C6775"/>
      <c r="D6775" s="197" t="s">
        <v>270</v>
      </c>
      <c r="E6775" s="197" t="s">
        <v>273</v>
      </c>
      <c r="F6775" s="197"/>
      <c r="G6775" s="197"/>
      <c r="H6775" s="197"/>
    </row>
    <row r="6776" spans="1:8">
      <c r="A6776" s="195"/>
      <c r="B6776" s="195" t="s">
        <v>206</v>
      </c>
      <c r="C6776"/>
      <c r="D6776" s="197" t="s">
        <v>270</v>
      </c>
      <c r="E6776" s="197" t="s">
        <v>273</v>
      </c>
      <c r="F6776" s="197"/>
      <c r="G6776" s="197"/>
      <c r="H6776" s="197"/>
    </row>
    <row r="6777" spans="1:8">
      <c r="A6777" s="195"/>
      <c r="B6777" s="195" t="s">
        <v>207</v>
      </c>
      <c r="C6777"/>
      <c r="D6777" s="197" t="s">
        <v>270</v>
      </c>
      <c r="E6777" s="197" t="s">
        <v>273</v>
      </c>
      <c r="F6777" s="197"/>
      <c r="G6777" s="197"/>
      <c r="H6777" s="197"/>
    </row>
    <row r="6778" spans="1:8">
      <c r="A6778" s="195"/>
      <c r="B6778" s="196" t="s">
        <v>225</v>
      </c>
      <c r="C6778"/>
      <c r="D6778" s="197" t="s">
        <v>270</v>
      </c>
      <c r="E6778" s="197" t="s">
        <v>263</v>
      </c>
      <c r="F6778" s="197"/>
      <c r="G6778" s="197"/>
      <c r="H6778" s="197"/>
    </row>
    <row r="6779" spans="1:8">
      <c r="A6779" s="195"/>
      <c r="B6779" s="195" t="s">
        <v>205</v>
      </c>
      <c r="C6779"/>
      <c r="D6779" s="197" t="s">
        <v>270</v>
      </c>
      <c r="E6779" s="197" t="s">
        <v>263</v>
      </c>
      <c r="F6779" s="197"/>
      <c r="G6779" s="197"/>
      <c r="H6779" s="209"/>
    </row>
    <row r="6780" spans="1:8">
      <c r="A6780" s="195"/>
      <c r="B6780" s="195" t="s">
        <v>206</v>
      </c>
      <c r="C6780"/>
      <c r="D6780" s="197" t="s">
        <v>270</v>
      </c>
      <c r="E6780" s="197" t="s">
        <v>263</v>
      </c>
      <c r="F6780" s="197"/>
      <c r="G6780" s="197"/>
      <c r="H6780" s="209"/>
    </row>
    <row r="6781" spans="1:8">
      <c r="A6781" s="195"/>
      <c r="B6781" s="195" t="s">
        <v>207</v>
      </c>
      <c r="C6781"/>
      <c r="D6781" s="197" t="s">
        <v>270</v>
      </c>
      <c r="E6781" s="197" t="s">
        <v>263</v>
      </c>
      <c r="F6781" s="197"/>
      <c r="G6781" s="197"/>
      <c r="H6781" s="209"/>
    </row>
    <row r="6782" spans="1:8">
      <c r="A6782" s="195"/>
      <c r="B6782" s="196" t="s">
        <v>226</v>
      </c>
      <c r="C6782"/>
      <c r="D6782" s="197" t="s">
        <v>270</v>
      </c>
      <c r="E6782" s="197"/>
      <c r="F6782" s="197"/>
      <c r="G6782" s="197"/>
      <c r="H6782" s="209"/>
    </row>
    <row r="6783" spans="1:8">
      <c r="A6783" s="195"/>
      <c r="B6783" s="195" t="s">
        <v>205</v>
      </c>
      <c r="C6783"/>
      <c r="D6783" s="197" t="s">
        <v>270</v>
      </c>
      <c r="E6783" s="197"/>
      <c r="F6783" s="197"/>
      <c r="G6783" s="197"/>
      <c r="H6783" s="209"/>
    </row>
    <row r="6784" spans="1:8">
      <c r="A6784" s="195"/>
      <c r="B6784" s="195" t="s">
        <v>206</v>
      </c>
      <c r="C6784"/>
      <c r="D6784" s="197" t="s">
        <v>270</v>
      </c>
      <c r="E6784" s="197"/>
      <c r="F6784" s="197"/>
      <c r="G6784" s="197"/>
      <c r="H6784" s="209"/>
    </row>
    <row r="6785" spans="1:12">
      <c r="A6785" s="195"/>
      <c r="B6785" s="195" t="s">
        <v>207</v>
      </c>
      <c r="C6785"/>
      <c r="D6785" s="197" t="s">
        <v>270</v>
      </c>
      <c r="E6785" s="197"/>
      <c r="F6785" s="197"/>
      <c r="G6785" s="197"/>
      <c r="H6785" s="209"/>
    </row>
    <row r="6786" spans="1:12">
      <c r="A6786" s="195"/>
      <c r="B6786" s="196" t="s">
        <v>227</v>
      </c>
      <c r="C6786"/>
      <c r="D6786" s="197"/>
      <c r="E6786" s="197"/>
      <c r="F6786" s="197"/>
      <c r="G6786" s="197"/>
      <c r="H6786" s="209"/>
      <c r="K6786"/>
    </row>
    <row r="6787" spans="1:12" ht="29.25" thickBot="1">
      <c r="A6787" s="213" t="str">
        <f>"回収シフト  第"&amp;ROUNDUP(DAY(B6790)/7,0)  &amp;"  "&amp;TEXT(B6790,"aaaa")</f>
        <v>回収シフト  第4  日曜日</v>
      </c>
      <c r="B6787" s="214"/>
      <c r="C6787" s="214"/>
      <c r="D6787" s="214"/>
      <c r="E6787" s="214"/>
      <c r="F6787" s="214"/>
      <c r="G6787" s="215"/>
      <c r="H6787" s="215"/>
      <c r="K6787" s="214"/>
      <c r="L6787" s="214"/>
    </row>
    <row r="6788" spans="1:12" ht="15.75" thickBot="1">
      <c r="A6788"/>
      <c r="B6788"/>
      <c r="C6788"/>
      <c r="D6788" s="186" t="s">
        <v>201</v>
      </c>
      <c r="E6788" s="186" t="s">
        <v>202</v>
      </c>
      <c r="F6788" s="186" t="s">
        <v>203</v>
      </c>
      <c r="G6788" s="186" t="s">
        <v>204</v>
      </c>
      <c r="H6788" s="186" t="s">
        <v>267</v>
      </c>
      <c r="K6788" s="230" t="s">
        <v>257</v>
      </c>
      <c r="L6788" s="231"/>
    </row>
    <row r="6789" spans="1:12">
      <c r="A6789" s="187"/>
      <c r="B6789" s="188">
        <v>46119</v>
      </c>
      <c r="C6789" s="187"/>
      <c r="D6789" s="189"/>
      <c r="E6789" s="189"/>
      <c r="F6789" s="189"/>
      <c r="G6789" s="189"/>
      <c r="H6789" s="189"/>
      <c r="K6789" s="232" t="s">
        <v>258</v>
      </c>
      <c r="L6789" s="190" t="str">
        <f>_xlfn.XLOOKUP($B6790,シフト抽出!$19:$19,シフト抽出!$20:$20,"該当なし",0,1)</f>
        <v>該当なし</v>
      </c>
    </row>
    <row r="6790" spans="1:12" ht="19.5" thickBot="1">
      <c r="A6790"/>
      <c r="B6790" s="191">
        <f>B6737+1</f>
        <v>46257</v>
      </c>
      <c r="C6790" s="192"/>
      <c r="D6790" s="216"/>
      <c r="E6790" s="216"/>
      <c r="F6790" s="216"/>
      <c r="G6790" s="216"/>
      <c r="H6790" s="216"/>
      <c r="K6790" s="233"/>
      <c r="L6790" s="194" t="str">
        <f>_xlfn.XLOOKUP($B6790,シフト抽出!$19:$19,シフト抽出!$21:$21,"該当なし",0,1)</f>
        <v>該当なし</v>
      </c>
    </row>
    <row r="6791" spans="1:12">
      <c r="A6791" s="195"/>
      <c r="B6791" s="196">
        <v>0.25</v>
      </c>
      <c r="C6791"/>
      <c r="D6791" s="197"/>
      <c r="E6791" s="196"/>
      <c r="F6791" s="197"/>
      <c r="G6791" s="197"/>
      <c r="H6791" s="197"/>
      <c r="K6791" s="234" t="s">
        <v>259</v>
      </c>
      <c r="L6791" s="198" t="str">
        <f>_xlfn.XLOOKUP($B6790,シフト抽出!$19:$19,シフト抽出!$23:$23,"該当なし",0,1)</f>
        <v>該当なし</v>
      </c>
    </row>
    <row r="6792" spans="1:12" ht="15.75" thickBot="1">
      <c r="A6792" s="195"/>
      <c r="B6792" s="195" t="s">
        <v>205</v>
      </c>
      <c r="C6792"/>
      <c r="D6792" s="197"/>
      <c r="E6792" s="197"/>
      <c r="F6792" s="197"/>
      <c r="G6792" s="197"/>
      <c r="H6792" s="197"/>
      <c r="K6792" s="235"/>
      <c r="L6792" s="199" t="str">
        <f>_xlfn.XLOOKUP($B6790,シフト抽出!$19:$19,シフト抽出!$24:$24,"該当なし",0,1)</f>
        <v>該当なし</v>
      </c>
    </row>
    <row r="6793" spans="1:12">
      <c r="A6793" s="195"/>
      <c r="B6793" s="195" t="s">
        <v>206</v>
      </c>
      <c r="C6793"/>
      <c r="D6793" s="197"/>
      <c r="E6793" s="197"/>
      <c r="F6793" s="197"/>
      <c r="G6793" s="197"/>
      <c r="H6793" s="197"/>
      <c r="K6793" s="224" t="s">
        <v>260</v>
      </c>
      <c r="L6793" s="200" t="str">
        <f>_xlfn.XLOOKUP($B6790,シフト抽出!$19:$19,シフト抽出!$26:$26,"該当なし",0,1)</f>
        <v>該当なし</v>
      </c>
    </row>
    <row r="6794" spans="1:12">
      <c r="A6794" s="195"/>
      <c r="B6794" s="195" t="s">
        <v>207</v>
      </c>
      <c r="C6794"/>
      <c r="D6794" s="197"/>
      <c r="E6794" s="197"/>
      <c r="F6794" s="197"/>
      <c r="G6794" s="197"/>
      <c r="H6794" s="197"/>
      <c r="K6794" s="225"/>
      <c r="L6794" s="201" t="str">
        <f>_xlfn.XLOOKUP($B6790,シフト抽出!$19:$19,シフト抽出!$27:$27,"該当なし",0,1)</f>
        <v>該当なし</v>
      </c>
    </row>
    <row r="6795" spans="1:12">
      <c r="A6795" s="195"/>
      <c r="B6795" s="202" t="s">
        <v>208</v>
      </c>
      <c r="C6795"/>
      <c r="D6795" s="197"/>
      <c r="E6795" s="197"/>
      <c r="F6795" s="197"/>
      <c r="G6795" s="197"/>
      <c r="H6795" s="197"/>
      <c r="J6795" s="203"/>
      <c r="K6795" s="225"/>
      <c r="L6795" s="201" t="str">
        <f>_xlfn.XLOOKUP($B6790,シフト抽出!$19:$19,シフト抽出!$28:$28,"該当なし",0,1)</f>
        <v>該当なし</v>
      </c>
    </row>
    <row r="6796" spans="1:12" ht="15.75" thickBot="1">
      <c r="A6796" s="195"/>
      <c r="B6796" s="195" t="s">
        <v>205</v>
      </c>
      <c r="C6796"/>
      <c r="D6796" s="197"/>
      <c r="E6796" s="197"/>
      <c r="F6796" s="197"/>
      <c r="G6796" s="197"/>
      <c r="H6796" s="197"/>
      <c r="J6796" s="203"/>
      <c r="K6796" s="226"/>
      <c r="L6796" s="204" t="str">
        <f>_xlfn.XLOOKUP($B6790,シフト抽出!$19:$19,シフト抽出!$29:$29,"該当なし",0,1)</f>
        <v>該当なし</v>
      </c>
    </row>
    <row r="6797" spans="1:12" ht="15.75" thickBot="1">
      <c r="A6797" s="195"/>
      <c r="B6797" s="195" t="s">
        <v>206</v>
      </c>
      <c r="C6797"/>
      <c r="D6797" s="197"/>
      <c r="E6797" s="197"/>
      <c r="F6797" s="197"/>
      <c r="G6797" s="197"/>
      <c r="H6797" s="197"/>
      <c r="K6797" s="205" t="s">
        <v>261</v>
      </c>
      <c r="L6797" s="205">
        <f>_xlfn.XLOOKUP($B6790,予定表!B:B,予定表!R:R,"該当なし",0,1)</f>
        <v>0</v>
      </c>
    </row>
    <row r="6798" spans="1:12">
      <c r="A6798" s="195"/>
      <c r="B6798" s="195" t="s">
        <v>207</v>
      </c>
      <c r="C6798"/>
      <c r="D6798" s="197"/>
      <c r="E6798" s="197"/>
      <c r="F6798" s="197"/>
      <c r="G6798" s="197"/>
      <c r="H6798" s="197"/>
      <c r="K6798" s="227" t="s">
        <v>262</v>
      </c>
      <c r="L6798" s="206">
        <f>_xlfn.XLOOKUP($B6790,予定表!$B:$B,予定表!E:E,"該当なし",0,1)</f>
        <v>0</v>
      </c>
    </row>
    <row r="6799" spans="1:12">
      <c r="A6799" s="195"/>
      <c r="B6799" s="196" t="s">
        <v>209</v>
      </c>
      <c r="C6799"/>
      <c r="D6799" s="197"/>
      <c r="E6799" s="197"/>
      <c r="F6799" s="197"/>
      <c r="G6799" s="197"/>
      <c r="H6799" s="197"/>
      <c r="K6799" s="228"/>
      <c r="L6799" s="207">
        <f>_xlfn.XLOOKUP($B6790,予定表!$B:$B,予定表!F:F,"該当なし",0,1)</f>
        <v>0</v>
      </c>
    </row>
    <row r="6800" spans="1:12">
      <c r="A6800" s="195"/>
      <c r="B6800" s="195" t="s">
        <v>205</v>
      </c>
      <c r="C6800"/>
      <c r="D6800" s="197"/>
      <c r="E6800" s="197"/>
      <c r="F6800" s="197"/>
      <c r="G6800" s="197"/>
      <c r="H6800" s="197"/>
      <c r="K6800" s="228"/>
      <c r="L6800" s="207">
        <f>_xlfn.XLOOKUP($B6790,予定表!$B:$B,予定表!G:G,"該当なし",0,1)</f>
        <v>0</v>
      </c>
    </row>
    <row r="6801" spans="1:12">
      <c r="A6801" s="195"/>
      <c r="B6801" s="195" t="s">
        <v>206</v>
      </c>
      <c r="C6801"/>
      <c r="D6801" s="197"/>
      <c r="E6801" s="197"/>
      <c r="F6801" s="197"/>
      <c r="G6801" s="197"/>
      <c r="H6801" s="197"/>
      <c r="K6801" s="228"/>
      <c r="L6801" s="207" t="str">
        <f>_xlfn.XLOOKUP($B6790,予定表!$B:$B,予定表!H:H,"該当なし",0,1)</f>
        <v>'資さん 平塚</v>
      </c>
    </row>
    <row r="6802" spans="1:12">
      <c r="A6802" s="195"/>
      <c r="B6802" s="195" t="s">
        <v>207</v>
      </c>
      <c r="C6802"/>
      <c r="D6802" s="197"/>
      <c r="E6802" s="197"/>
      <c r="F6802" s="197"/>
      <c r="G6802" s="197"/>
      <c r="H6802" s="197"/>
      <c r="K6802" s="228"/>
      <c r="L6802" s="207" t="str">
        <f>_xlfn.XLOOKUP($B6790,予定表!$B:$B,予定表!I:I,"該当なし",0,1)</f>
        <v>カインズAM8</v>
      </c>
    </row>
    <row r="6803" spans="1:12">
      <c r="A6803" s="195"/>
      <c r="B6803" s="196" t="s">
        <v>212</v>
      </c>
      <c r="C6803"/>
      <c r="D6803" s="197"/>
      <c r="E6803" s="197"/>
      <c r="F6803" s="197"/>
      <c r="G6803" s="197"/>
      <c r="H6803" s="197"/>
      <c r="K6803" s="228"/>
      <c r="L6803" s="207">
        <f>_xlfn.XLOOKUP($B6790,予定表!$B:$B,予定表!J:J,"該当なし",0,1)</f>
        <v>0</v>
      </c>
    </row>
    <row r="6804" spans="1:12">
      <c r="A6804" s="195"/>
      <c r="B6804" s="195" t="s">
        <v>205</v>
      </c>
      <c r="C6804"/>
      <c r="D6804" s="197"/>
      <c r="E6804" s="197"/>
      <c r="F6804" s="197"/>
      <c r="G6804" s="197"/>
      <c r="H6804" s="197"/>
      <c r="K6804" s="228"/>
      <c r="L6804" s="207">
        <f>_xlfn.XLOOKUP($B6790,予定表!$B:$B,予定表!K:K,"該当なし",0,1)</f>
        <v>0</v>
      </c>
    </row>
    <row r="6805" spans="1:12">
      <c r="A6805" s="195"/>
      <c r="B6805" s="195" t="s">
        <v>206</v>
      </c>
      <c r="C6805"/>
      <c r="D6805" s="197"/>
      <c r="E6805" s="197"/>
      <c r="F6805" s="197"/>
      <c r="G6805" s="197"/>
      <c r="H6805" s="197"/>
      <c r="K6805" s="228"/>
      <c r="L6805" s="207">
        <f>_xlfn.XLOOKUP($B6790,予定表!$B:$B,予定表!L:L,"該当なし",0,1)</f>
        <v>0</v>
      </c>
    </row>
    <row r="6806" spans="1:12" ht="15.75" thickBot="1">
      <c r="A6806" s="195"/>
      <c r="B6806" s="195" t="s">
        <v>207</v>
      </c>
      <c r="C6806"/>
      <c r="D6806" s="197"/>
      <c r="E6806" s="197"/>
      <c r="F6806" s="197"/>
      <c r="G6806" s="197"/>
      <c r="H6806" s="197"/>
      <c r="K6806" s="229"/>
      <c r="L6806" s="204" t="str">
        <f>_xlfn.XLOOKUP($A6787,ﾘｽﾄマスタ!$U$8:$U$17,ﾘｽﾄマスタ!$V$8:$V$17,"",0)</f>
        <v/>
      </c>
    </row>
    <row r="6807" spans="1:12" ht="15.75" thickBot="1">
      <c r="A6807" s="195"/>
      <c r="B6807" s="196" t="s">
        <v>251</v>
      </c>
      <c r="C6807"/>
      <c r="D6807" s="197"/>
      <c r="E6807" s="197"/>
      <c r="F6807" s="197"/>
      <c r="G6807" s="197"/>
      <c r="H6807" s="197"/>
      <c r="K6807" s="208" t="s">
        <v>277</v>
      </c>
      <c r="L6807" s="208" t="str">
        <f>_xlfn.XLOOKUP($B6790,シフト抽出!$19:$19,シフト抽出!$30:$30,"該当なし",0,1)</f>
        <v>該当なし</v>
      </c>
    </row>
    <row r="6808" spans="1:12">
      <c r="A6808" s="195"/>
      <c r="B6808" s="195" t="s">
        <v>205</v>
      </c>
      <c r="C6808"/>
      <c r="D6808" s="197"/>
      <c r="E6808" s="197"/>
      <c r="F6808" s="197"/>
      <c r="G6808" s="197"/>
      <c r="H6808" s="197"/>
    </row>
    <row r="6809" spans="1:12">
      <c r="A6809" s="195"/>
      <c r="B6809" s="195" t="s">
        <v>206</v>
      </c>
      <c r="C6809"/>
      <c r="D6809" s="197"/>
      <c r="E6809" s="197"/>
      <c r="F6809" s="197"/>
      <c r="G6809" s="197"/>
      <c r="H6809" s="197"/>
    </row>
    <row r="6810" spans="1:12">
      <c r="A6810" s="195"/>
      <c r="B6810" s="195" t="s">
        <v>207</v>
      </c>
      <c r="C6810"/>
      <c r="D6810" s="197"/>
      <c r="E6810" s="197"/>
      <c r="F6810" s="197"/>
      <c r="G6810" s="197"/>
      <c r="H6810" s="197"/>
    </row>
    <row r="6811" spans="1:12">
      <c r="A6811" s="195"/>
      <c r="B6811" s="196" t="s">
        <v>217</v>
      </c>
      <c r="C6811"/>
      <c r="D6811" s="197"/>
      <c r="E6811" s="197"/>
      <c r="F6811" s="197"/>
      <c r="G6811" s="197"/>
      <c r="H6811" s="197"/>
    </row>
    <row r="6812" spans="1:12">
      <c r="A6812" s="195"/>
      <c r="B6812" s="195" t="s">
        <v>205</v>
      </c>
      <c r="C6812"/>
      <c r="D6812" s="197"/>
      <c r="E6812" s="197"/>
      <c r="F6812" s="197"/>
      <c r="G6812" s="197"/>
      <c r="H6812" s="197"/>
    </row>
    <row r="6813" spans="1:12">
      <c r="A6813" s="195"/>
      <c r="B6813" s="195" t="s">
        <v>206</v>
      </c>
      <c r="C6813"/>
      <c r="D6813" s="197"/>
      <c r="E6813" s="197"/>
      <c r="F6813" s="197"/>
      <c r="G6813" s="197"/>
      <c r="H6813" s="197"/>
    </row>
    <row r="6814" spans="1:12">
      <c r="A6814" s="195"/>
      <c r="B6814" s="195" t="s">
        <v>207</v>
      </c>
      <c r="C6814"/>
      <c r="D6814" s="197"/>
      <c r="E6814" s="197"/>
      <c r="F6814" s="197"/>
      <c r="G6814" s="197"/>
      <c r="H6814" s="197"/>
    </row>
    <row r="6815" spans="1:12">
      <c r="A6815" s="195"/>
      <c r="B6815" s="196" t="s">
        <v>219</v>
      </c>
      <c r="C6815"/>
      <c r="D6815" s="197"/>
      <c r="E6815" s="197"/>
      <c r="F6815" s="197"/>
      <c r="G6815" s="197"/>
      <c r="H6815" s="197"/>
    </row>
    <row r="6816" spans="1:12">
      <c r="A6816" s="195"/>
      <c r="B6816" s="195" t="s">
        <v>205</v>
      </c>
      <c r="C6816"/>
      <c r="D6816" s="197"/>
      <c r="E6816" s="197"/>
      <c r="F6816" s="197"/>
      <c r="G6816" s="197"/>
      <c r="H6816" s="197"/>
    </row>
    <row r="6817" spans="1:8">
      <c r="A6817" s="195"/>
      <c r="B6817" s="195" t="s">
        <v>206</v>
      </c>
      <c r="C6817"/>
      <c r="D6817" s="197"/>
      <c r="E6817" s="197"/>
      <c r="F6817" s="197"/>
      <c r="G6817" s="197"/>
      <c r="H6817" s="197"/>
    </row>
    <row r="6818" spans="1:8">
      <c r="A6818" s="195"/>
      <c r="B6818" s="195" t="s">
        <v>207</v>
      </c>
      <c r="C6818"/>
      <c r="D6818" s="197"/>
      <c r="E6818" s="197"/>
      <c r="F6818" s="197"/>
      <c r="G6818" s="197"/>
      <c r="H6818" s="197"/>
    </row>
    <row r="6819" spans="1:8">
      <c r="A6819" s="195"/>
      <c r="B6819" s="196" t="s">
        <v>220</v>
      </c>
      <c r="C6819"/>
      <c r="D6819" s="197"/>
      <c r="E6819" s="197"/>
      <c r="F6819" s="197"/>
      <c r="G6819" s="189"/>
      <c r="H6819" s="197"/>
    </row>
    <row r="6820" spans="1:8">
      <c r="A6820" s="195"/>
      <c r="B6820" s="195" t="s">
        <v>205</v>
      </c>
      <c r="C6820"/>
      <c r="D6820" s="197"/>
      <c r="E6820" s="197"/>
      <c r="F6820" s="197"/>
      <c r="G6820" s="197"/>
      <c r="H6820" s="197"/>
    </row>
    <row r="6821" spans="1:8">
      <c r="A6821" s="195"/>
      <c r="B6821" s="195" t="s">
        <v>206</v>
      </c>
      <c r="C6821"/>
      <c r="D6821" s="197"/>
      <c r="E6821" s="197"/>
      <c r="F6821" s="197"/>
      <c r="G6821" s="197"/>
      <c r="H6821" s="197"/>
    </row>
    <row r="6822" spans="1:8">
      <c r="A6822" s="195"/>
      <c r="B6822" s="195" t="s">
        <v>207</v>
      </c>
      <c r="C6822"/>
      <c r="D6822" s="197"/>
      <c r="E6822" s="197"/>
      <c r="F6822" s="197"/>
      <c r="G6822" s="197"/>
      <c r="H6822" s="197"/>
    </row>
    <row r="6823" spans="1:8">
      <c r="A6823" s="195"/>
      <c r="B6823" s="196" t="s">
        <v>222</v>
      </c>
      <c r="C6823"/>
      <c r="D6823" s="197"/>
      <c r="E6823" s="197"/>
      <c r="F6823" s="197"/>
      <c r="G6823" s="197"/>
      <c r="H6823" s="197"/>
    </row>
    <row r="6824" spans="1:8">
      <c r="A6824" s="195"/>
      <c r="B6824" s="195" t="s">
        <v>205</v>
      </c>
      <c r="C6824"/>
      <c r="D6824" s="197"/>
      <c r="E6824" s="197"/>
      <c r="F6824" s="197"/>
      <c r="G6824" s="197"/>
      <c r="H6824" s="197"/>
    </row>
    <row r="6825" spans="1:8">
      <c r="A6825" s="195"/>
      <c r="B6825" s="195" t="s">
        <v>206</v>
      </c>
      <c r="C6825"/>
      <c r="D6825" s="197"/>
      <c r="E6825" s="197"/>
      <c r="F6825" s="197"/>
      <c r="G6825" s="197"/>
      <c r="H6825" s="197"/>
    </row>
    <row r="6826" spans="1:8">
      <c r="A6826" s="195"/>
      <c r="B6826" s="195" t="s">
        <v>207</v>
      </c>
      <c r="C6826"/>
      <c r="D6826" s="197"/>
      <c r="E6826" s="197"/>
      <c r="F6826" s="197"/>
      <c r="G6826" s="197"/>
      <c r="H6826" s="197"/>
    </row>
    <row r="6827" spans="1:8">
      <c r="A6827" s="195"/>
      <c r="B6827" s="196" t="s">
        <v>223</v>
      </c>
      <c r="C6827"/>
      <c r="D6827" s="197"/>
      <c r="E6827" s="197"/>
      <c r="F6827" s="197"/>
      <c r="G6827" s="197"/>
      <c r="H6827" s="197"/>
    </row>
    <row r="6828" spans="1:8">
      <c r="A6828" s="195"/>
      <c r="B6828" s="195" t="s">
        <v>205</v>
      </c>
      <c r="C6828"/>
      <c r="D6828" s="197"/>
      <c r="E6828" s="197"/>
      <c r="F6828" s="197"/>
      <c r="G6828" s="197"/>
      <c r="H6828" s="197"/>
    </row>
    <row r="6829" spans="1:8">
      <c r="A6829" s="195"/>
      <c r="B6829" s="195" t="s">
        <v>206</v>
      </c>
      <c r="C6829"/>
      <c r="D6829" s="197"/>
      <c r="E6829" s="197"/>
      <c r="F6829" s="197"/>
      <c r="G6829" s="197"/>
      <c r="H6829" s="197"/>
    </row>
    <row r="6830" spans="1:8">
      <c r="A6830" s="195"/>
      <c r="B6830" s="195" t="s">
        <v>207</v>
      </c>
      <c r="C6830"/>
      <c r="D6830" s="197"/>
      <c r="E6830" s="197"/>
      <c r="F6830" s="197"/>
      <c r="G6830" s="197"/>
      <c r="H6830" s="197"/>
    </row>
    <row r="6831" spans="1:8">
      <c r="A6831" s="195"/>
      <c r="B6831" s="196" t="s">
        <v>225</v>
      </c>
      <c r="C6831"/>
      <c r="D6831" s="197"/>
      <c r="E6831" s="197"/>
      <c r="F6831" s="197"/>
      <c r="G6831" s="197"/>
      <c r="H6831" s="197"/>
    </row>
    <row r="6832" spans="1:8">
      <c r="A6832" s="195"/>
      <c r="B6832" s="195" t="s">
        <v>205</v>
      </c>
      <c r="C6832"/>
      <c r="D6832" s="197"/>
      <c r="E6832" s="197"/>
      <c r="F6832" s="197"/>
      <c r="G6832" s="197"/>
      <c r="H6832" s="209"/>
    </row>
    <row r="6833" spans="1:12">
      <c r="A6833" s="195"/>
      <c r="B6833" s="195" t="s">
        <v>206</v>
      </c>
      <c r="C6833"/>
      <c r="D6833" s="197"/>
      <c r="E6833" s="197"/>
      <c r="F6833" s="197"/>
      <c r="G6833" s="197"/>
      <c r="H6833" s="209"/>
    </row>
    <row r="6834" spans="1:12">
      <c r="A6834" s="195"/>
      <c r="B6834" s="195" t="s">
        <v>207</v>
      </c>
      <c r="C6834"/>
      <c r="D6834" s="197"/>
      <c r="E6834" s="197"/>
      <c r="F6834" s="197"/>
      <c r="G6834" s="197"/>
      <c r="H6834" s="209"/>
    </row>
    <row r="6835" spans="1:12">
      <c r="A6835" s="195"/>
      <c r="B6835" s="196" t="s">
        <v>226</v>
      </c>
      <c r="C6835"/>
      <c r="D6835" s="197"/>
      <c r="E6835" s="197"/>
      <c r="F6835" s="197"/>
      <c r="G6835" s="197"/>
      <c r="H6835" s="209"/>
    </row>
    <row r="6836" spans="1:12">
      <c r="A6836" s="195"/>
      <c r="B6836" s="195" t="s">
        <v>205</v>
      </c>
      <c r="C6836"/>
      <c r="D6836" s="197"/>
      <c r="E6836" s="197"/>
      <c r="F6836" s="197"/>
      <c r="G6836" s="197"/>
      <c r="H6836" s="209"/>
    </row>
    <row r="6837" spans="1:12">
      <c r="A6837" s="195"/>
      <c r="B6837" s="195" t="s">
        <v>206</v>
      </c>
      <c r="C6837"/>
      <c r="D6837" s="197"/>
      <c r="E6837" s="197"/>
      <c r="F6837" s="197"/>
      <c r="G6837" s="197"/>
      <c r="H6837" s="209"/>
    </row>
    <row r="6838" spans="1:12">
      <c r="A6838" s="195"/>
      <c r="B6838" s="195" t="s">
        <v>207</v>
      </c>
      <c r="C6838"/>
      <c r="D6838" s="197"/>
      <c r="E6838" s="197"/>
      <c r="F6838" s="197"/>
      <c r="G6838" s="197"/>
      <c r="H6838" s="209"/>
    </row>
    <row r="6839" spans="1:12">
      <c r="A6839" s="195"/>
      <c r="B6839" s="196" t="s">
        <v>227</v>
      </c>
      <c r="C6839"/>
      <c r="D6839" s="197"/>
      <c r="E6839" s="197"/>
      <c r="F6839" s="197"/>
      <c r="G6839" s="197"/>
      <c r="H6839" s="209"/>
      <c r="K6839"/>
    </row>
    <row r="6840" spans="1:12" ht="29.25" thickBot="1">
      <c r="A6840" s="213" t="str">
        <f>"回収シフト  第"&amp;ROUNDUP(DAY(B6843)/7,0)  &amp;"  "&amp;TEXT(B6843,"aaaa")</f>
        <v>回収シフト  第4  月曜日</v>
      </c>
      <c r="B6840" s="214"/>
      <c r="C6840" s="214"/>
      <c r="D6840" s="214"/>
      <c r="E6840" s="214"/>
      <c r="F6840" s="214"/>
      <c r="G6840" s="215"/>
      <c r="H6840" s="215"/>
      <c r="I6840" s="215"/>
      <c r="K6840" s="214"/>
      <c r="L6840" s="214"/>
    </row>
    <row r="6841" spans="1:12" ht="15.75" thickBot="1">
      <c r="A6841"/>
      <c r="B6841"/>
      <c r="C6841"/>
      <c r="D6841" s="186" t="s">
        <v>201</v>
      </c>
      <c r="E6841" s="186" t="s">
        <v>202</v>
      </c>
      <c r="F6841" s="186" t="s">
        <v>203</v>
      </c>
      <c r="G6841" s="186" t="s">
        <v>204</v>
      </c>
      <c r="H6841" s="186" t="s">
        <v>267</v>
      </c>
      <c r="I6841" s="222" t="s">
        <v>267</v>
      </c>
      <c r="K6841" s="230" t="s">
        <v>257</v>
      </c>
      <c r="L6841" s="231"/>
    </row>
    <row r="6842" spans="1:12">
      <c r="A6842" s="187"/>
      <c r="B6842" s="188">
        <v>45495</v>
      </c>
      <c r="C6842" s="187"/>
      <c r="D6842" s="189" t="s">
        <v>864</v>
      </c>
      <c r="E6842" s="189" t="s">
        <v>849</v>
      </c>
      <c r="F6842" s="189" t="s">
        <v>1001</v>
      </c>
      <c r="G6842" s="189" t="s">
        <v>863</v>
      </c>
      <c r="H6842" s="189" t="s">
        <v>852</v>
      </c>
      <c r="I6842" s="223"/>
      <c r="K6842" s="232" t="s">
        <v>258</v>
      </c>
      <c r="L6842" s="190" t="str">
        <f>_xlfn.XLOOKUP($B6843,シフト抽出!$19:$19,シフト抽出!$20:$20,"該当なし",0,1)</f>
        <v>該当なし</v>
      </c>
    </row>
    <row r="6843" spans="1:12" ht="19.5" thickBot="1">
      <c r="A6843"/>
      <c r="B6843" s="191">
        <f>B6790+1</f>
        <v>46258</v>
      </c>
      <c r="C6843" s="192" t="e">
        <v>#REF!</v>
      </c>
      <c r="D6843" s="216"/>
      <c r="E6843" s="216"/>
      <c r="F6843" s="216"/>
      <c r="G6843" s="216"/>
      <c r="H6843" s="216"/>
      <c r="I6843" s="220"/>
      <c r="K6843" s="233"/>
      <c r="L6843" s="194" t="str">
        <f>_xlfn.XLOOKUP($B6843,シフト抽出!$19:$19,シフト抽出!$21:$21,"該当なし",0,1)</f>
        <v>該当なし</v>
      </c>
    </row>
    <row r="6844" spans="1:12">
      <c r="A6844" s="195"/>
      <c r="B6844" s="196">
        <v>0.25</v>
      </c>
      <c r="C6844"/>
      <c r="D6844" s="197"/>
      <c r="E6844" s="196"/>
      <c r="F6844" s="197"/>
      <c r="G6844" s="197"/>
      <c r="H6844" s="197"/>
      <c r="I6844" s="209"/>
      <c r="K6844" s="234" t="s">
        <v>259</v>
      </c>
      <c r="L6844" s="198" t="str">
        <f>_xlfn.XLOOKUP($B6843,シフト抽出!$19:$19,シフト抽出!$23:$23,"該当なし",0,1)</f>
        <v>該当なし</v>
      </c>
    </row>
    <row r="6845" spans="1:12" ht="15.75" thickBot="1">
      <c r="A6845" s="195"/>
      <c r="B6845" s="195" t="s">
        <v>205</v>
      </c>
      <c r="C6845"/>
      <c r="D6845" s="197"/>
      <c r="E6845" s="197"/>
      <c r="F6845" s="197"/>
      <c r="G6845" s="197"/>
      <c r="H6845" s="197"/>
      <c r="I6845" s="209"/>
      <c r="K6845" s="235"/>
      <c r="L6845" s="199" t="str">
        <f>_xlfn.XLOOKUP($B6843,シフト抽出!$19:$19,シフト抽出!$24:$24,"該当なし",0,1)</f>
        <v>該当なし</v>
      </c>
    </row>
    <row r="6846" spans="1:12">
      <c r="A6846" s="195"/>
      <c r="B6846" s="195" t="s">
        <v>206</v>
      </c>
      <c r="C6846"/>
      <c r="D6846" s="197"/>
      <c r="E6846" s="197"/>
      <c r="F6846" s="197"/>
      <c r="G6846" s="197"/>
      <c r="H6846" s="197"/>
      <c r="I6846" s="209"/>
      <c r="K6846" s="224" t="s">
        <v>260</v>
      </c>
      <c r="L6846" s="200" t="str">
        <f>_xlfn.XLOOKUP($B6843,シフト抽出!$19:$19,シフト抽出!$26:$26,"該当なし",0,1)</f>
        <v>該当なし</v>
      </c>
    </row>
    <row r="6847" spans="1:12">
      <c r="A6847" s="195"/>
      <c r="B6847" s="195" t="s">
        <v>207</v>
      </c>
      <c r="C6847"/>
      <c r="D6847" s="197"/>
      <c r="E6847" s="197"/>
      <c r="F6847" s="197" t="s">
        <v>107</v>
      </c>
      <c r="G6847" s="197"/>
      <c r="H6847" s="197"/>
      <c r="I6847" s="209"/>
      <c r="K6847" s="225"/>
      <c r="L6847" s="201" t="str">
        <f>_xlfn.XLOOKUP($B6843,シフト抽出!$19:$19,シフト抽出!$27:$27,"該当なし",0,1)</f>
        <v>該当なし</v>
      </c>
    </row>
    <row r="6848" spans="1:12">
      <c r="A6848" s="195"/>
      <c r="B6848" s="202" t="s">
        <v>208</v>
      </c>
      <c r="C6848"/>
      <c r="D6848" s="197"/>
      <c r="E6848" s="197"/>
      <c r="F6848" s="197"/>
      <c r="G6848" s="197"/>
      <c r="H6848" s="197"/>
      <c r="I6848" s="209"/>
      <c r="J6848" s="203"/>
      <c r="K6848" s="225"/>
      <c r="L6848" s="201" t="str">
        <f>_xlfn.XLOOKUP($B6843,シフト抽出!$19:$19,シフト抽出!$28:$28,"該当なし",0,1)</f>
        <v>該当なし</v>
      </c>
    </row>
    <row r="6849" spans="1:12" ht="15.75" thickBot="1">
      <c r="A6849" s="195"/>
      <c r="B6849" s="195" t="s">
        <v>205</v>
      </c>
      <c r="C6849"/>
      <c r="D6849" s="197"/>
      <c r="E6849" s="197"/>
      <c r="F6849" s="197"/>
      <c r="G6849" s="197"/>
      <c r="H6849" s="197"/>
      <c r="I6849" s="209"/>
      <c r="J6849" s="203"/>
      <c r="K6849" s="226"/>
      <c r="L6849" s="204" t="str">
        <f>_xlfn.XLOOKUP($B6843,シフト抽出!$19:$19,シフト抽出!$29:$29,"該当なし",0,1)</f>
        <v>該当なし</v>
      </c>
    </row>
    <row r="6850" spans="1:12" ht="15.75" thickBot="1">
      <c r="A6850" s="195"/>
      <c r="B6850" s="195" t="s">
        <v>206</v>
      </c>
      <c r="C6850"/>
      <c r="D6850" s="197"/>
      <c r="E6850" s="197"/>
      <c r="F6850" s="197"/>
      <c r="G6850" s="197"/>
      <c r="H6850" s="197"/>
      <c r="I6850" s="209"/>
      <c r="K6850" s="205" t="s">
        <v>261</v>
      </c>
      <c r="L6850" s="205">
        <f>_xlfn.XLOOKUP($B6843,予定表!B:B,予定表!R:R,"該当なし",0,1)</f>
        <v>0</v>
      </c>
    </row>
    <row r="6851" spans="1:12">
      <c r="A6851" s="195"/>
      <c r="B6851" s="195" t="s">
        <v>207</v>
      </c>
      <c r="C6851"/>
      <c r="D6851" s="197"/>
      <c r="E6851" s="197"/>
      <c r="F6851" s="197"/>
      <c r="G6851" s="197"/>
      <c r="H6851" s="197"/>
      <c r="I6851" s="209"/>
      <c r="K6851" s="227" t="s">
        <v>262</v>
      </c>
      <c r="L6851" s="206">
        <f>_xlfn.XLOOKUP($B6843,予定表!$B:$B,予定表!E:E,"該当なし",0,1)</f>
        <v>0</v>
      </c>
    </row>
    <row r="6852" spans="1:12">
      <c r="A6852" s="195"/>
      <c r="B6852" s="196" t="s">
        <v>209</v>
      </c>
      <c r="C6852"/>
      <c r="D6852" s="197" t="s">
        <v>264</v>
      </c>
      <c r="E6852" s="197" t="s">
        <v>414</v>
      </c>
      <c r="F6852" s="197" t="s">
        <v>851</v>
      </c>
      <c r="G6852" s="197" t="s">
        <v>268</v>
      </c>
      <c r="H6852" s="197" t="s">
        <v>793</v>
      </c>
      <c r="I6852" s="209"/>
      <c r="K6852" s="228"/>
      <c r="L6852" s="207">
        <f>_xlfn.XLOOKUP($B6843,予定表!$B:$B,予定表!F:F,"該当なし",0,1)</f>
        <v>0</v>
      </c>
    </row>
    <row r="6853" spans="1:12">
      <c r="A6853" s="195"/>
      <c r="B6853" s="195" t="s">
        <v>205</v>
      </c>
      <c r="C6853"/>
      <c r="D6853" s="197" t="s">
        <v>793</v>
      </c>
      <c r="E6853" s="197" t="s">
        <v>414</v>
      </c>
      <c r="F6853" s="197" t="s">
        <v>851</v>
      </c>
      <c r="G6853" s="197" t="s">
        <v>268</v>
      </c>
      <c r="H6853" s="197" t="s">
        <v>973</v>
      </c>
      <c r="I6853" s="209"/>
      <c r="K6853" s="228"/>
      <c r="L6853" s="207" t="str">
        <f>_xlfn.XLOOKUP($B6843,予定表!$B:$B,予定表!G:G,"該当なし",0,1)</f>
        <v>ディーミング</v>
      </c>
    </row>
    <row r="6854" spans="1:12">
      <c r="A6854" s="195"/>
      <c r="B6854" s="195" t="s">
        <v>206</v>
      </c>
      <c r="C6854"/>
      <c r="D6854" s="197" t="s">
        <v>119</v>
      </c>
      <c r="E6854" s="197" t="s">
        <v>414</v>
      </c>
      <c r="F6854" s="197" t="s">
        <v>851</v>
      </c>
      <c r="G6854" s="197" t="s">
        <v>268</v>
      </c>
      <c r="H6854" s="197" t="s">
        <v>848</v>
      </c>
      <c r="I6854" s="209"/>
      <c r="K6854" s="228"/>
      <c r="L6854" s="207" t="str">
        <f>_xlfn.XLOOKUP($B6843,予定表!$B:$B,予定表!H:H,"該当なし",0,1)</f>
        <v>'資さん 平塚</v>
      </c>
    </row>
    <row r="6855" spans="1:12">
      <c r="A6855" s="195"/>
      <c r="B6855" s="195" t="s">
        <v>207</v>
      </c>
      <c r="C6855"/>
      <c r="D6855" s="197" t="s">
        <v>278</v>
      </c>
      <c r="E6855" s="197" t="s">
        <v>414</v>
      </c>
      <c r="F6855" s="197" t="s">
        <v>851</v>
      </c>
      <c r="G6855" s="197" t="s">
        <v>268</v>
      </c>
      <c r="H6855" s="197" t="s">
        <v>848</v>
      </c>
      <c r="I6855" s="209"/>
      <c r="K6855" s="228"/>
      <c r="L6855" s="207" t="str">
        <f>_xlfn.XLOOKUP($B6843,予定表!$B:$B,予定表!I:I,"該当なし",0,1)</f>
        <v>カインズAM8</v>
      </c>
    </row>
    <row r="6856" spans="1:12">
      <c r="A6856" s="195"/>
      <c r="B6856" s="196" t="s">
        <v>212</v>
      </c>
      <c r="C6856"/>
      <c r="D6856" s="197" t="s">
        <v>213</v>
      </c>
      <c r="E6856" s="197" t="s">
        <v>862</v>
      </c>
      <c r="F6856" s="197" t="s">
        <v>851</v>
      </c>
      <c r="G6856" s="197" t="s">
        <v>268</v>
      </c>
      <c r="H6856" s="197" t="s">
        <v>848</v>
      </c>
      <c r="I6856" s="209"/>
      <c r="K6856" s="228"/>
      <c r="L6856" s="207">
        <f>_xlfn.XLOOKUP($B6843,予定表!$B:$B,予定表!J:J,"該当なし",0,1)</f>
        <v>0</v>
      </c>
    </row>
    <row r="6857" spans="1:12">
      <c r="A6857" s="195"/>
      <c r="B6857" s="195" t="s">
        <v>205</v>
      </c>
      <c r="C6857"/>
      <c r="D6857" s="197" t="s">
        <v>144</v>
      </c>
      <c r="E6857" s="197" t="s">
        <v>214</v>
      </c>
      <c r="F6857" s="197" t="s">
        <v>851</v>
      </c>
      <c r="G6857" s="197" t="s">
        <v>268</v>
      </c>
      <c r="H6857" s="197" t="s">
        <v>848</v>
      </c>
      <c r="I6857" s="209"/>
      <c r="K6857" s="228"/>
      <c r="L6857" s="207">
        <f>_xlfn.XLOOKUP($B6843,予定表!$B:$B,予定表!K:K,"該当なし",0,1)</f>
        <v>0</v>
      </c>
    </row>
    <row r="6858" spans="1:12">
      <c r="A6858" s="195"/>
      <c r="B6858" s="195" t="s">
        <v>206</v>
      </c>
      <c r="C6858"/>
      <c r="D6858" s="197" t="s">
        <v>144</v>
      </c>
      <c r="E6858" s="197" t="s">
        <v>214</v>
      </c>
      <c r="F6858" s="197" t="s">
        <v>851</v>
      </c>
      <c r="G6858" s="197" t="s">
        <v>515</v>
      </c>
      <c r="H6858" s="197" t="s">
        <v>848</v>
      </c>
      <c r="I6858" s="209"/>
      <c r="K6858" s="228"/>
      <c r="L6858" s="207">
        <f>_xlfn.XLOOKUP($B6843,予定表!$B:$B,予定表!L:L,"該当なし",0,1)</f>
        <v>0</v>
      </c>
    </row>
    <row r="6859" spans="1:12" ht="15.75" thickBot="1">
      <c r="A6859" s="195"/>
      <c r="B6859" s="195" t="s">
        <v>207</v>
      </c>
      <c r="C6859"/>
      <c r="D6859" s="197" t="s">
        <v>218</v>
      </c>
      <c r="E6859" s="197" t="s">
        <v>214</v>
      </c>
      <c r="F6859" s="197" t="s">
        <v>851</v>
      </c>
      <c r="G6859" s="197" t="s">
        <v>515</v>
      </c>
      <c r="H6859" s="197" t="s">
        <v>848</v>
      </c>
      <c r="I6859" s="209"/>
      <c r="K6859" s="229"/>
      <c r="L6859" s="204" t="str">
        <f>_xlfn.XLOOKUP($A6840,ﾘｽﾄマスタ!$U$8:$U$17,ﾘｽﾄマスタ!$V$8:$V$17,"",0)</f>
        <v/>
      </c>
    </row>
    <row r="6860" spans="1:12" ht="15.75" thickBot="1">
      <c r="A6860" s="195"/>
      <c r="B6860" s="196" t="s">
        <v>251</v>
      </c>
      <c r="C6860"/>
      <c r="D6860" s="197" t="s">
        <v>78</v>
      </c>
      <c r="E6860" s="197" t="s">
        <v>214</v>
      </c>
      <c r="F6860" s="197" t="s">
        <v>851</v>
      </c>
      <c r="G6860" s="197" t="s">
        <v>269</v>
      </c>
      <c r="H6860" s="197" t="s">
        <v>848</v>
      </c>
      <c r="I6860" s="209"/>
      <c r="K6860" s="208" t="s">
        <v>277</v>
      </c>
      <c r="L6860" s="208" t="str">
        <f>_xlfn.XLOOKUP($B6843,シフト抽出!$19:$19,シフト抽出!$30:$30,"該当なし",0,1)</f>
        <v>該当なし</v>
      </c>
    </row>
    <row r="6861" spans="1:12">
      <c r="A6861" s="195"/>
      <c r="B6861" s="195" t="s">
        <v>205</v>
      </c>
      <c r="C6861"/>
      <c r="D6861" s="197" t="s">
        <v>78</v>
      </c>
      <c r="E6861" s="197" t="s">
        <v>761</v>
      </c>
      <c r="F6861" s="197"/>
      <c r="G6861" s="197" t="s">
        <v>269</v>
      </c>
      <c r="H6861" s="197" t="s">
        <v>229</v>
      </c>
      <c r="I6861" s="209"/>
    </row>
    <row r="6862" spans="1:12">
      <c r="A6862" s="195"/>
      <c r="B6862" s="195" t="s">
        <v>206</v>
      </c>
      <c r="C6862"/>
      <c r="D6862" s="197" t="s">
        <v>146</v>
      </c>
      <c r="E6862" s="197" t="s">
        <v>761</v>
      </c>
      <c r="F6862" s="197"/>
      <c r="G6862" s="197" t="s">
        <v>269</v>
      </c>
      <c r="H6862" s="197" t="s">
        <v>229</v>
      </c>
      <c r="I6862" s="209"/>
    </row>
    <row r="6863" spans="1:12">
      <c r="A6863" s="195"/>
      <c r="B6863" s="195" t="s">
        <v>207</v>
      </c>
      <c r="C6863"/>
      <c r="D6863" s="197" t="s">
        <v>146</v>
      </c>
      <c r="E6863" s="197" t="s">
        <v>761</v>
      </c>
      <c r="F6863" s="197"/>
      <c r="G6863" s="197" t="s">
        <v>269</v>
      </c>
      <c r="H6863" s="197" t="s">
        <v>229</v>
      </c>
      <c r="I6863" s="209"/>
    </row>
    <row r="6864" spans="1:12">
      <c r="A6864" s="195"/>
      <c r="B6864" s="196" t="s">
        <v>217</v>
      </c>
      <c r="C6864"/>
      <c r="D6864" s="197" t="s">
        <v>264</v>
      </c>
      <c r="E6864" s="197" t="s">
        <v>761</v>
      </c>
      <c r="F6864" s="197" t="s">
        <v>51</v>
      </c>
      <c r="G6864" s="197" t="s">
        <v>446</v>
      </c>
      <c r="H6864" s="197" t="s">
        <v>230</v>
      </c>
      <c r="I6864" s="209"/>
    </row>
    <row r="6865" spans="1:9">
      <c r="A6865" s="195"/>
      <c r="B6865" s="195" t="s">
        <v>205</v>
      </c>
      <c r="C6865"/>
      <c r="D6865" s="197"/>
      <c r="E6865" s="197"/>
      <c r="F6865" s="197" t="s">
        <v>51</v>
      </c>
      <c r="G6865" s="197" t="s">
        <v>446</v>
      </c>
      <c r="H6865" s="197" t="s">
        <v>230</v>
      </c>
      <c r="I6865" s="209"/>
    </row>
    <row r="6866" spans="1:9">
      <c r="A6866" s="195"/>
      <c r="B6866" s="195" t="s">
        <v>206</v>
      </c>
      <c r="C6866"/>
      <c r="D6866" s="197"/>
      <c r="E6866" s="197"/>
      <c r="F6866" s="197" t="s">
        <v>51</v>
      </c>
      <c r="G6866" s="197" t="s">
        <v>114</v>
      </c>
      <c r="H6866" s="197" t="s">
        <v>230</v>
      </c>
      <c r="I6866" s="209"/>
    </row>
    <row r="6867" spans="1:9">
      <c r="A6867" s="195"/>
      <c r="B6867" s="195" t="s">
        <v>207</v>
      </c>
      <c r="C6867"/>
      <c r="D6867" s="197"/>
      <c r="E6867" s="197"/>
      <c r="F6867" s="197" t="s">
        <v>51</v>
      </c>
      <c r="G6867" s="197" t="s">
        <v>114</v>
      </c>
      <c r="H6867" s="197" t="s">
        <v>230</v>
      </c>
      <c r="I6867" s="209"/>
    </row>
    <row r="6868" spans="1:9">
      <c r="A6868" s="195"/>
      <c r="B6868" s="196" t="s">
        <v>219</v>
      </c>
      <c r="C6868"/>
      <c r="D6868" s="197"/>
      <c r="E6868" s="197"/>
      <c r="F6868" s="197"/>
      <c r="G6868" s="197"/>
      <c r="H6868" s="197"/>
      <c r="I6868" s="209"/>
    </row>
    <row r="6869" spans="1:9">
      <c r="A6869" s="195"/>
      <c r="B6869" s="195" t="s">
        <v>205</v>
      </c>
      <c r="C6869"/>
      <c r="D6869" s="197"/>
      <c r="E6869" s="197"/>
      <c r="F6869" s="197"/>
      <c r="G6869" s="197"/>
      <c r="H6869" s="197"/>
      <c r="I6869" s="209"/>
    </row>
    <row r="6870" spans="1:9">
      <c r="A6870" s="195"/>
      <c r="B6870" s="195" t="s">
        <v>206</v>
      </c>
      <c r="C6870"/>
      <c r="D6870" s="197"/>
      <c r="E6870" s="197"/>
      <c r="F6870" s="197"/>
      <c r="G6870" s="197"/>
      <c r="H6870" s="197"/>
      <c r="I6870" s="209"/>
    </row>
    <row r="6871" spans="1:9">
      <c r="A6871" s="195"/>
      <c r="B6871" s="195" t="s">
        <v>207</v>
      </c>
      <c r="C6871"/>
      <c r="D6871" s="197"/>
      <c r="E6871" s="197"/>
      <c r="F6871" s="197"/>
      <c r="G6871" s="197"/>
      <c r="H6871" s="197"/>
      <c r="I6871" s="209"/>
    </row>
    <row r="6872" spans="1:9">
      <c r="A6872" s="195"/>
      <c r="B6872" s="196" t="s">
        <v>220</v>
      </c>
      <c r="C6872"/>
      <c r="D6872" s="189" t="s">
        <v>923</v>
      </c>
      <c r="E6872" s="189"/>
      <c r="F6872" s="189"/>
      <c r="G6872" s="189" t="s">
        <v>890</v>
      </c>
      <c r="H6872" s="189"/>
      <c r="I6872" s="209"/>
    </row>
    <row r="6873" spans="1:9">
      <c r="A6873" s="195"/>
      <c r="B6873" s="195" t="s">
        <v>205</v>
      </c>
      <c r="C6873"/>
      <c r="D6873" s="197" t="s">
        <v>759</v>
      </c>
      <c r="E6873" s="197" t="s">
        <v>848</v>
      </c>
      <c r="F6873" s="197" t="s">
        <v>224</v>
      </c>
      <c r="G6873" s="197" t="s">
        <v>56</v>
      </c>
      <c r="H6873" s="197" t="s">
        <v>415</v>
      </c>
      <c r="I6873" s="209"/>
    </row>
    <row r="6874" spans="1:9">
      <c r="A6874" s="195"/>
      <c r="B6874" s="195" t="s">
        <v>206</v>
      </c>
      <c r="C6874"/>
      <c r="D6874" s="197" t="s">
        <v>759</v>
      </c>
      <c r="E6874" s="197" t="s">
        <v>848</v>
      </c>
      <c r="F6874" s="197" t="s">
        <v>224</v>
      </c>
      <c r="G6874" s="197" t="s">
        <v>56</v>
      </c>
      <c r="H6874" s="197" t="s">
        <v>415</v>
      </c>
      <c r="I6874" s="209"/>
    </row>
    <row r="6875" spans="1:9">
      <c r="A6875" s="195"/>
      <c r="B6875" s="195" t="s">
        <v>207</v>
      </c>
      <c r="C6875"/>
      <c r="D6875" s="197" t="s">
        <v>759</v>
      </c>
      <c r="E6875" s="197" t="s">
        <v>848</v>
      </c>
      <c r="F6875" s="197" t="s">
        <v>224</v>
      </c>
      <c r="G6875" s="197" t="s">
        <v>56</v>
      </c>
      <c r="H6875" s="197" t="s">
        <v>415</v>
      </c>
      <c r="I6875" s="209"/>
    </row>
    <row r="6876" spans="1:9">
      <c r="A6876" s="195"/>
      <c r="B6876" s="196" t="s">
        <v>222</v>
      </c>
      <c r="C6876"/>
      <c r="D6876" s="197" t="s">
        <v>759</v>
      </c>
      <c r="E6876" s="197" t="s">
        <v>273</v>
      </c>
      <c r="F6876" s="197" t="s">
        <v>865</v>
      </c>
      <c r="G6876" s="197"/>
      <c r="H6876" s="197" t="s">
        <v>415</v>
      </c>
      <c r="I6876" s="209"/>
    </row>
    <row r="6877" spans="1:9">
      <c r="A6877" s="195"/>
      <c r="B6877" s="195" t="s">
        <v>205</v>
      </c>
      <c r="C6877"/>
      <c r="D6877" s="197" t="s">
        <v>759</v>
      </c>
      <c r="E6877" s="197" t="s">
        <v>273</v>
      </c>
      <c r="F6877" s="197" t="s">
        <v>866</v>
      </c>
      <c r="G6877" s="197" t="s">
        <v>270</v>
      </c>
      <c r="H6877" s="197" t="s">
        <v>415</v>
      </c>
      <c r="I6877" s="209"/>
    </row>
    <row r="6878" spans="1:9">
      <c r="A6878" s="195"/>
      <c r="B6878" s="195" t="s">
        <v>206</v>
      </c>
      <c r="C6878"/>
      <c r="D6878" s="197" t="s">
        <v>216</v>
      </c>
      <c r="E6878" s="197" t="s">
        <v>273</v>
      </c>
      <c r="F6878" s="189"/>
      <c r="G6878" s="197" t="s">
        <v>270</v>
      </c>
      <c r="H6878" s="197" t="s">
        <v>415</v>
      </c>
      <c r="I6878" s="209"/>
    </row>
    <row r="6879" spans="1:9">
      <c r="A6879" s="195"/>
      <c r="B6879" s="195" t="s">
        <v>207</v>
      </c>
      <c r="C6879"/>
      <c r="D6879" s="197" t="s">
        <v>216</v>
      </c>
      <c r="E6879" s="197" t="s">
        <v>252</v>
      </c>
      <c r="F6879" s="197" t="s">
        <v>416</v>
      </c>
      <c r="G6879" s="197" t="s">
        <v>270</v>
      </c>
      <c r="H6879" s="197" t="s">
        <v>415</v>
      </c>
      <c r="I6879" s="209"/>
    </row>
    <row r="6880" spans="1:9">
      <c r="A6880" s="195"/>
      <c r="B6880" s="196" t="s">
        <v>223</v>
      </c>
      <c r="C6880"/>
      <c r="D6880" s="197" t="s">
        <v>216</v>
      </c>
      <c r="E6880" s="197" t="s">
        <v>252</v>
      </c>
      <c r="F6880" s="197" t="s">
        <v>771</v>
      </c>
      <c r="G6880" s="197" t="s">
        <v>270</v>
      </c>
      <c r="H6880" s="197" t="s">
        <v>415</v>
      </c>
      <c r="I6880" s="209"/>
    </row>
    <row r="6881" spans="1:12">
      <c r="A6881" s="195"/>
      <c r="B6881" s="195" t="s">
        <v>205</v>
      </c>
      <c r="C6881"/>
      <c r="D6881" s="197" t="s">
        <v>216</v>
      </c>
      <c r="E6881" s="197" t="s">
        <v>252</v>
      </c>
      <c r="F6881" s="197" t="s">
        <v>416</v>
      </c>
      <c r="G6881" s="197" t="s">
        <v>270</v>
      </c>
      <c r="H6881" s="197" t="s">
        <v>415</v>
      </c>
      <c r="I6881" s="209"/>
    </row>
    <row r="6882" spans="1:12">
      <c r="A6882" s="195"/>
      <c r="B6882" s="195" t="s">
        <v>206</v>
      </c>
      <c r="C6882"/>
      <c r="D6882" s="197" t="s">
        <v>216</v>
      </c>
      <c r="E6882" s="197" t="s">
        <v>252</v>
      </c>
      <c r="F6882" s="197" t="s">
        <v>416</v>
      </c>
      <c r="G6882" s="197" t="s">
        <v>270</v>
      </c>
      <c r="H6882" s="197" t="s">
        <v>415</v>
      </c>
      <c r="I6882" s="209"/>
    </row>
    <row r="6883" spans="1:12">
      <c r="A6883" s="195"/>
      <c r="B6883" s="195" t="s">
        <v>207</v>
      </c>
      <c r="C6883"/>
      <c r="D6883" s="197" t="s">
        <v>215</v>
      </c>
      <c r="E6883" s="197" t="s">
        <v>252</v>
      </c>
      <c r="F6883" s="197" t="s">
        <v>416</v>
      </c>
      <c r="G6883" s="197" t="s">
        <v>270</v>
      </c>
      <c r="H6883" s="197" t="s">
        <v>415</v>
      </c>
      <c r="I6883" s="209"/>
    </row>
    <row r="6884" spans="1:12">
      <c r="A6884" s="195"/>
      <c r="B6884" s="196" t="s">
        <v>225</v>
      </c>
      <c r="C6884"/>
      <c r="D6884" s="197" t="s">
        <v>280</v>
      </c>
      <c r="E6884" s="197" t="s">
        <v>252</v>
      </c>
      <c r="F6884" s="197" t="s">
        <v>416</v>
      </c>
      <c r="G6884" s="197" t="s">
        <v>270</v>
      </c>
      <c r="H6884" s="197" t="s">
        <v>415</v>
      </c>
      <c r="I6884" s="209"/>
    </row>
    <row r="6885" spans="1:12">
      <c r="A6885" s="195"/>
      <c r="B6885" s="195" t="s">
        <v>205</v>
      </c>
      <c r="C6885"/>
      <c r="D6885" s="197" t="s">
        <v>127</v>
      </c>
      <c r="E6885" s="197" t="s">
        <v>252</v>
      </c>
      <c r="F6885" s="197" t="s">
        <v>416</v>
      </c>
      <c r="G6885" s="197" t="s">
        <v>270</v>
      </c>
      <c r="H6885" s="209" t="s">
        <v>415</v>
      </c>
      <c r="I6885" s="209"/>
    </row>
    <row r="6886" spans="1:12">
      <c r="A6886" s="195"/>
      <c r="B6886" s="195" t="s">
        <v>206</v>
      </c>
      <c r="C6886"/>
      <c r="D6886" s="197"/>
      <c r="E6886" s="197" t="s">
        <v>252</v>
      </c>
      <c r="F6886" s="197"/>
      <c r="G6886" s="197" t="s">
        <v>270</v>
      </c>
      <c r="H6886" s="209" t="s">
        <v>415</v>
      </c>
      <c r="I6886" s="209"/>
    </row>
    <row r="6887" spans="1:12">
      <c r="A6887" s="195"/>
      <c r="B6887" s="195" t="s">
        <v>207</v>
      </c>
      <c r="C6887"/>
      <c r="D6887" s="197"/>
      <c r="E6887" s="197" t="s">
        <v>252</v>
      </c>
      <c r="F6887" s="197"/>
      <c r="G6887" s="197" t="s">
        <v>270</v>
      </c>
      <c r="H6887" s="209" t="s">
        <v>415</v>
      </c>
      <c r="I6887" s="209"/>
    </row>
    <row r="6888" spans="1:12">
      <c r="A6888" s="195"/>
      <c r="B6888" s="196" t="s">
        <v>226</v>
      </c>
      <c r="C6888"/>
      <c r="D6888" s="197"/>
      <c r="E6888" s="197"/>
      <c r="F6888" s="197"/>
      <c r="G6888" s="197" t="s">
        <v>270</v>
      </c>
      <c r="H6888" s="209" t="s">
        <v>415</v>
      </c>
      <c r="I6888" s="209"/>
    </row>
    <row r="6889" spans="1:12">
      <c r="A6889" s="195"/>
      <c r="B6889" s="195" t="s">
        <v>205</v>
      </c>
      <c r="C6889"/>
      <c r="D6889" s="197"/>
      <c r="E6889" s="197"/>
      <c r="F6889" s="197"/>
      <c r="G6889" s="197" t="s">
        <v>270</v>
      </c>
      <c r="H6889" s="209"/>
      <c r="I6889" s="209"/>
    </row>
    <row r="6890" spans="1:12">
      <c r="A6890" s="195"/>
      <c r="B6890" s="195" t="s">
        <v>206</v>
      </c>
      <c r="C6890"/>
      <c r="D6890" s="197"/>
      <c r="E6890" s="197"/>
      <c r="F6890" s="197"/>
      <c r="G6890" s="197" t="s">
        <v>270</v>
      </c>
      <c r="H6890" s="209"/>
      <c r="I6890" s="209"/>
    </row>
    <row r="6891" spans="1:12">
      <c r="A6891" s="195"/>
      <c r="B6891" s="195" t="s">
        <v>207</v>
      </c>
      <c r="C6891"/>
      <c r="D6891" s="197"/>
      <c r="E6891" s="197"/>
      <c r="F6891" s="197"/>
      <c r="G6891" s="197" t="s">
        <v>270</v>
      </c>
      <c r="H6891" s="209"/>
      <c r="I6891" s="209"/>
    </row>
    <row r="6892" spans="1:12">
      <c r="A6892" s="195"/>
      <c r="B6892" s="196" t="s">
        <v>227</v>
      </c>
      <c r="C6892"/>
      <c r="D6892" s="197"/>
      <c r="E6892" s="197"/>
      <c r="F6892" s="197"/>
      <c r="G6892" s="197"/>
      <c r="H6892" s="209"/>
      <c r="I6892" s="209"/>
      <c r="K6892"/>
    </row>
    <row r="6893" spans="1:12" ht="29.25" thickBot="1">
      <c r="A6893" s="213" t="str">
        <f>"回収シフト  第"&amp;ROUNDUP(DAY(B6896)/7,0)  &amp;"  "&amp;TEXT(B6896,"aaaa")</f>
        <v>回収シフト  第4  火曜日</v>
      </c>
      <c r="B6893" s="214"/>
      <c r="C6893" s="214"/>
      <c r="D6893" s="214"/>
      <c r="E6893" s="214"/>
      <c r="F6893" s="214"/>
      <c r="G6893" s="215"/>
      <c r="H6893" s="215"/>
      <c r="I6893" s="215"/>
      <c r="K6893" s="214"/>
      <c r="L6893" s="214"/>
    </row>
    <row r="6894" spans="1:12" ht="15.75" thickBot="1">
      <c r="A6894"/>
      <c r="B6894"/>
      <c r="C6894"/>
      <c r="D6894" s="186" t="s">
        <v>201</v>
      </c>
      <c r="E6894" s="186" t="s">
        <v>202</v>
      </c>
      <c r="F6894" s="186" t="s">
        <v>203</v>
      </c>
      <c r="G6894" s="186" t="s">
        <v>204</v>
      </c>
      <c r="H6894" s="186" t="s">
        <v>267</v>
      </c>
      <c r="I6894" s="222" t="s">
        <v>267</v>
      </c>
      <c r="K6894" s="230" t="s">
        <v>257</v>
      </c>
      <c r="L6894" s="231"/>
    </row>
    <row r="6895" spans="1:12">
      <c r="A6895" s="187"/>
      <c r="B6895" s="188">
        <v>46119</v>
      </c>
      <c r="C6895" s="187"/>
      <c r="D6895" s="189" t="s">
        <v>859</v>
      </c>
      <c r="E6895" s="189" t="s">
        <v>248</v>
      </c>
      <c r="F6895" s="189" t="s">
        <v>921</v>
      </c>
      <c r="G6895" s="189" t="s">
        <v>890</v>
      </c>
      <c r="H6895" s="189" t="s">
        <v>852</v>
      </c>
      <c r="I6895" s="189" t="s">
        <v>1016</v>
      </c>
      <c r="K6895" s="232" t="s">
        <v>258</v>
      </c>
      <c r="L6895" s="190" t="str">
        <f>_xlfn.XLOOKUP($B6896,シフト抽出!$19:$19,シフト抽出!$20:$20,"該当なし",0,1)</f>
        <v>該当なし</v>
      </c>
    </row>
    <row r="6896" spans="1:12" ht="19.5" thickBot="1">
      <c r="A6896"/>
      <c r="B6896" s="191">
        <f>B6843+1</f>
        <v>46259</v>
      </c>
      <c r="C6896" s="192"/>
      <c r="D6896" s="216"/>
      <c r="E6896" s="216"/>
      <c r="F6896" s="216"/>
      <c r="G6896" s="216"/>
      <c r="H6896" s="216"/>
      <c r="I6896" s="220"/>
      <c r="K6896" s="233"/>
      <c r="L6896" s="194" t="str">
        <f>_xlfn.XLOOKUP($B6896,シフト抽出!$19:$19,シフト抽出!$21:$21,"該当なし",0,1)</f>
        <v>該当なし</v>
      </c>
    </row>
    <row r="6897" spans="1:12">
      <c r="A6897" s="195"/>
      <c r="B6897" s="196">
        <v>0.25</v>
      </c>
      <c r="C6897"/>
      <c r="D6897" s="197"/>
      <c r="E6897" s="196"/>
      <c r="F6897" s="197"/>
      <c r="G6897" s="197"/>
      <c r="H6897" s="197"/>
      <c r="I6897" s="209"/>
      <c r="K6897" s="234" t="s">
        <v>259</v>
      </c>
      <c r="L6897" s="198" t="str">
        <f>_xlfn.XLOOKUP($B6896,シフト抽出!$19:$19,シフト抽出!$23:$23,"該当なし",0,1)</f>
        <v>該当なし</v>
      </c>
    </row>
    <row r="6898" spans="1:12" ht="15.75" thickBot="1">
      <c r="A6898" s="195"/>
      <c r="B6898" s="195" t="s">
        <v>205</v>
      </c>
      <c r="C6898"/>
      <c r="D6898" s="197"/>
      <c r="E6898" s="197"/>
      <c r="F6898" s="197"/>
      <c r="G6898" s="197"/>
      <c r="H6898" s="197"/>
      <c r="I6898" s="209"/>
      <c r="K6898" s="235"/>
      <c r="L6898" s="199" t="str">
        <f>_xlfn.XLOOKUP($B6896,シフト抽出!$19:$19,シフト抽出!$24:$24,"該当なし",0,1)</f>
        <v>該当なし</v>
      </c>
    </row>
    <row r="6899" spans="1:12">
      <c r="A6899" s="195"/>
      <c r="B6899" s="195" t="s">
        <v>206</v>
      </c>
      <c r="C6899"/>
      <c r="D6899" s="197"/>
      <c r="E6899" s="197"/>
      <c r="F6899" s="197"/>
      <c r="G6899" s="197"/>
      <c r="H6899" s="197"/>
      <c r="I6899" s="209"/>
      <c r="K6899" s="224" t="s">
        <v>260</v>
      </c>
      <c r="L6899" s="200" t="str">
        <f>_xlfn.XLOOKUP($B6896,シフト抽出!$19:$19,シフト抽出!$26:$26,"該当なし",0,1)</f>
        <v>該当なし</v>
      </c>
    </row>
    <row r="6900" spans="1:12">
      <c r="A6900" s="195"/>
      <c r="B6900" s="195" t="s">
        <v>207</v>
      </c>
      <c r="C6900"/>
      <c r="D6900" s="197"/>
      <c r="E6900" s="197"/>
      <c r="F6900" s="197"/>
      <c r="G6900" s="197"/>
      <c r="H6900" s="197"/>
      <c r="I6900" s="209"/>
      <c r="K6900" s="225"/>
      <c r="L6900" s="201" t="str">
        <f>_xlfn.XLOOKUP($B6896,シフト抽出!$19:$19,シフト抽出!$27:$27,"該当なし",0,1)</f>
        <v>該当なし</v>
      </c>
    </row>
    <row r="6901" spans="1:12">
      <c r="A6901" s="195"/>
      <c r="B6901" s="202" t="s">
        <v>208</v>
      </c>
      <c r="C6901"/>
      <c r="D6901" s="197" t="s">
        <v>4</v>
      </c>
      <c r="E6901" s="197" t="s">
        <v>4</v>
      </c>
      <c r="F6901" s="197"/>
      <c r="G6901" s="197" t="s">
        <v>4</v>
      </c>
      <c r="H6901" s="197"/>
      <c r="I6901" s="209"/>
      <c r="J6901" s="203"/>
      <c r="K6901" s="225"/>
      <c r="L6901" s="201" t="str">
        <f>_xlfn.XLOOKUP($B6896,シフト抽出!$19:$19,シフト抽出!$28:$28,"該当なし",0,1)</f>
        <v>該当なし</v>
      </c>
    </row>
    <row r="6902" spans="1:12" ht="15.75" thickBot="1">
      <c r="A6902" s="195"/>
      <c r="B6902" s="195" t="s">
        <v>205</v>
      </c>
      <c r="C6902"/>
      <c r="D6902" s="197" t="s">
        <v>414</v>
      </c>
      <c r="E6902" s="197" t="s">
        <v>420</v>
      </c>
      <c r="F6902" s="197"/>
      <c r="G6902" s="197" t="s">
        <v>22</v>
      </c>
      <c r="H6902" s="197"/>
      <c r="I6902" s="209" t="s">
        <v>851</v>
      </c>
      <c r="J6902" s="203"/>
      <c r="K6902" s="226"/>
      <c r="L6902" s="204" t="str">
        <f>_xlfn.XLOOKUP($B6896,シフト抽出!$19:$19,シフト抽出!$29:$29,"該当なし",0,1)</f>
        <v>該当なし</v>
      </c>
    </row>
    <row r="6903" spans="1:12" ht="15.75" thickBot="1">
      <c r="A6903" s="195"/>
      <c r="B6903" s="195" t="s">
        <v>206</v>
      </c>
      <c r="C6903"/>
      <c r="D6903" s="197" t="s">
        <v>414</v>
      </c>
      <c r="E6903" s="197" t="s">
        <v>420</v>
      </c>
      <c r="F6903" s="197"/>
      <c r="G6903" s="197" t="s">
        <v>22</v>
      </c>
      <c r="H6903" s="197"/>
      <c r="I6903" s="209" t="s">
        <v>851</v>
      </c>
      <c r="K6903" s="205" t="s">
        <v>261</v>
      </c>
      <c r="L6903" s="205">
        <f>_xlfn.XLOOKUP($B6896,予定表!B:B,予定表!R:R,"該当なし",0,1)</f>
        <v>0</v>
      </c>
    </row>
    <row r="6904" spans="1:12">
      <c r="A6904" s="195"/>
      <c r="B6904" s="195" t="s">
        <v>207</v>
      </c>
      <c r="C6904"/>
      <c r="D6904" s="197" t="s">
        <v>414</v>
      </c>
      <c r="E6904" s="197" t="s">
        <v>420</v>
      </c>
      <c r="F6904" s="197"/>
      <c r="G6904" s="197" t="s">
        <v>268</v>
      </c>
      <c r="H6904" s="197"/>
      <c r="I6904" s="209" t="s">
        <v>851</v>
      </c>
      <c r="K6904" s="227" t="s">
        <v>262</v>
      </c>
      <c r="L6904" s="206">
        <f>_xlfn.XLOOKUP($B6896,予定表!$B:$B,予定表!E:E,"該当なし",0,1)</f>
        <v>0</v>
      </c>
    </row>
    <row r="6905" spans="1:12">
      <c r="A6905" s="195"/>
      <c r="B6905" s="196" t="s">
        <v>209</v>
      </c>
      <c r="C6905"/>
      <c r="D6905" s="197" t="s">
        <v>414</v>
      </c>
      <c r="E6905" s="197" t="s">
        <v>420</v>
      </c>
      <c r="F6905" s="197" t="s">
        <v>416</v>
      </c>
      <c r="G6905" s="197" t="s">
        <v>268</v>
      </c>
      <c r="H6905" s="197" t="s">
        <v>4</v>
      </c>
      <c r="I6905" s="209" t="s">
        <v>851</v>
      </c>
      <c r="K6905" s="228"/>
      <c r="L6905" s="207">
        <f>_xlfn.XLOOKUP($B6896,予定表!$B:$B,予定表!F:F,"該当なし",0,1)</f>
        <v>0</v>
      </c>
    </row>
    <row r="6906" spans="1:12">
      <c r="A6906" s="195"/>
      <c r="B6906" s="195" t="s">
        <v>205</v>
      </c>
      <c r="C6906"/>
      <c r="D6906" s="197" t="s">
        <v>414</v>
      </c>
      <c r="E6906" s="197" t="s">
        <v>420</v>
      </c>
      <c r="F6906" s="197" t="s">
        <v>1003</v>
      </c>
      <c r="G6906" s="197" t="s">
        <v>268</v>
      </c>
      <c r="H6906" s="197" t="s">
        <v>60</v>
      </c>
      <c r="I6906" s="209" t="s">
        <v>851</v>
      </c>
      <c r="K6906" s="228"/>
      <c r="L6906" s="207">
        <f>_xlfn.XLOOKUP($B6896,予定表!$B:$B,予定表!G:G,"該当なし",0,1)</f>
        <v>0</v>
      </c>
    </row>
    <row r="6907" spans="1:12">
      <c r="A6907" s="195"/>
      <c r="B6907" s="195" t="s">
        <v>206</v>
      </c>
      <c r="C6907"/>
      <c r="D6907" s="197" t="s">
        <v>214</v>
      </c>
      <c r="E6907" s="197" t="s">
        <v>273</v>
      </c>
      <c r="F6907" s="197" t="s">
        <v>416</v>
      </c>
      <c r="G6907" s="197" t="s">
        <v>268</v>
      </c>
      <c r="H6907" s="197" t="s">
        <v>60</v>
      </c>
      <c r="I6907" s="209" t="s">
        <v>851</v>
      </c>
      <c r="K6907" s="228"/>
      <c r="L6907" s="207">
        <f>_xlfn.XLOOKUP($B6896,予定表!$B:$B,予定表!H:H,"該当なし",0,1)</f>
        <v>0</v>
      </c>
    </row>
    <row r="6908" spans="1:12">
      <c r="A6908" s="195"/>
      <c r="B6908" s="195" t="s">
        <v>207</v>
      </c>
      <c r="C6908"/>
      <c r="D6908" s="197" t="s">
        <v>214</v>
      </c>
      <c r="E6908" s="197" t="s">
        <v>273</v>
      </c>
      <c r="F6908" s="197" t="s">
        <v>416</v>
      </c>
      <c r="G6908" s="197" t="s">
        <v>268</v>
      </c>
      <c r="H6908" s="197" t="s">
        <v>60</v>
      </c>
      <c r="I6908" s="209" t="s">
        <v>851</v>
      </c>
      <c r="K6908" s="228"/>
      <c r="L6908" s="207" t="str">
        <f>_xlfn.XLOOKUP($B6896,予定表!$B:$B,予定表!I:I,"該当なし",0,1)</f>
        <v>カインズAM8</v>
      </c>
    </row>
    <row r="6909" spans="1:12">
      <c r="A6909" s="195"/>
      <c r="B6909" s="196" t="s">
        <v>212</v>
      </c>
      <c r="C6909"/>
      <c r="D6909" s="197" t="s">
        <v>214</v>
      </c>
      <c r="E6909" s="197" t="s">
        <v>273</v>
      </c>
      <c r="F6909" s="197" t="s">
        <v>416</v>
      </c>
      <c r="G6909" s="197" t="s">
        <v>169</v>
      </c>
      <c r="H6909" s="197"/>
      <c r="I6909" s="209" t="s">
        <v>851</v>
      </c>
      <c r="K6909" s="228"/>
      <c r="L6909" s="207">
        <f>_xlfn.XLOOKUP($B6896,予定表!$B:$B,予定表!J:J,"該当なし",0,1)</f>
        <v>0</v>
      </c>
    </row>
    <row r="6910" spans="1:12">
      <c r="A6910" s="195"/>
      <c r="B6910" s="195" t="s">
        <v>205</v>
      </c>
      <c r="C6910"/>
      <c r="D6910" s="197" t="s">
        <v>214</v>
      </c>
      <c r="E6910" s="197" t="s">
        <v>953</v>
      </c>
      <c r="F6910" s="197" t="s">
        <v>416</v>
      </c>
      <c r="G6910" s="197" t="s">
        <v>169</v>
      </c>
      <c r="H6910" s="197" t="s">
        <v>848</v>
      </c>
      <c r="I6910" s="209" t="s">
        <v>851</v>
      </c>
      <c r="K6910" s="228"/>
      <c r="L6910" s="207">
        <f>_xlfn.XLOOKUP($B6896,予定表!$B:$B,予定表!K:K,"該当なし",0,1)</f>
        <v>0</v>
      </c>
    </row>
    <row r="6911" spans="1:12">
      <c r="A6911" s="195"/>
      <c r="B6911" s="195" t="s">
        <v>206</v>
      </c>
      <c r="C6911"/>
      <c r="D6911" s="197" t="s">
        <v>761</v>
      </c>
      <c r="E6911" s="197" t="s">
        <v>228</v>
      </c>
      <c r="F6911" s="197" t="s">
        <v>416</v>
      </c>
      <c r="G6911" s="197" t="s">
        <v>169</v>
      </c>
      <c r="H6911" s="197" t="s">
        <v>848</v>
      </c>
      <c r="I6911" s="209" t="s">
        <v>353</v>
      </c>
      <c r="K6911" s="228"/>
      <c r="L6911" s="207">
        <f>_xlfn.XLOOKUP($B6896,予定表!$B:$B,予定表!L:L,"該当なし",0,1)</f>
        <v>0</v>
      </c>
    </row>
    <row r="6912" spans="1:12" ht="15.75" thickBot="1">
      <c r="A6912" s="195"/>
      <c r="B6912" s="195" t="s">
        <v>207</v>
      </c>
      <c r="C6912"/>
      <c r="D6912" s="197" t="s">
        <v>761</v>
      </c>
      <c r="E6912" s="197" t="s">
        <v>228</v>
      </c>
      <c r="F6912" s="197" t="s">
        <v>416</v>
      </c>
      <c r="G6912" s="197" t="s">
        <v>169</v>
      </c>
      <c r="H6912" s="197" t="s">
        <v>848</v>
      </c>
      <c r="I6912" s="209" t="s">
        <v>353</v>
      </c>
      <c r="K6912" s="229"/>
      <c r="L6912" s="204" t="str">
        <f>_xlfn.XLOOKUP($A6893,ﾘｽﾄマスタ!$U$8:$U$17,ﾘｽﾄマスタ!$V$8:$V$17,"",0)</f>
        <v>東冷厚木,ﾏﾙﾅｶ</v>
      </c>
    </row>
    <row r="6913" spans="1:12" ht="15.75" thickBot="1">
      <c r="A6913" s="195"/>
      <c r="B6913" s="196" t="s">
        <v>251</v>
      </c>
      <c r="C6913"/>
      <c r="D6913" s="197" t="s">
        <v>761</v>
      </c>
      <c r="E6913" s="197" t="s">
        <v>228</v>
      </c>
      <c r="F6913" s="197" t="s">
        <v>416</v>
      </c>
      <c r="G6913" s="197" t="s">
        <v>169</v>
      </c>
      <c r="H6913" s="197" t="s">
        <v>848</v>
      </c>
      <c r="I6913" s="209" t="s">
        <v>353</v>
      </c>
      <c r="K6913" s="208" t="s">
        <v>277</v>
      </c>
      <c r="L6913" s="208" t="str">
        <f>_xlfn.XLOOKUP($B6896,シフト抽出!$19:$19,シフト抽出!$30:$30,"該当なし",0,1)</f>
        <v>該当なし</v>
      </c>
    </row>
    <row r="6914" spans="1:12">
      <c r="A6914" s="195"/>
      <c r="B6914" s="195" t="s">
        <v>205</v>
      </c>
      <c r="C6914"/>
      <c r="D6914" s="197" t="s">
        <v>88</v>
      </c>
      <c r="E6914" s="197" t="s">
        <v>228</v>
      </c>
      <c r="F6914" s="197" t="s">
        <v>416</v>
      </c>
      <c r="G6914" s="197" t="s">
        <v>279</v>
      </c>
      <c r="H6914" s="197" t="s">
        <v>848</v>
      </c>
      <c r="I6914" s="209" t="s">
        <v>62</v>
      </c>
    </row>
    <row r="6915" spans="1:12">
      <c r="A6915" s="195"/>
      <c r="B6915" s="195" t="s">
        <v>206</v>
      </c>
      <c r="C6915"/>
      <c r="D6915" s="197" t="s">
        <v>88</v>
      </c>
      <c r="E6915" s="197" t="s">
        <v>263</v>
      </c>
      <c r="F6915" s="197" t="s">
        <v>416</v>
      </c>
      <c r="G6915" s="197" t="s">
        <v>279</v>
      </c>
      <c r="H6915" s="197" t="s">
        <v>229</v>
      </c>
      <c r="I6915" s="209" t="s">
        <v>62</v>
      </c>
    </row>
    <row r="6916" spans="1:12">
      <c r="A6916" s="195"/>
      <c r="B6916" s="195" t="s">
        <v>207</v>
      </c>
      <c r="C6916"/>
      <c r="D6916" s="197" t="s">
        <v>51</v>
      </c>
      <c r="E6916" s="197" t="s">
        <v>263</v>
      </c>
      <c r="F6916" s="197" t="s">
        <v>416</v>
      </c>
      <c r="G6916" s="197" t="s">
        <v>279</v>
      </c>
      <c r="H6916" s="197" t="s">
        <v>229</v>
      </c>
      <c r="I6916" s="209" t="s">
        <v>62</v>
      </c>
    </row>
    <row r="6917" spans="1:12">
      <c r="A6917" s="195"/>
      <c r="B6917" s="196" t="s">
        <v>217</v>
      </c>
      <c r="C6917"/>
      <c r="D6917" s="197" t="s">
        <v>51</v>
      </c>
      <c r="E6917" s="197" t="s">
        <v>263</v>
      </c>
      <c r="F6917" s="197" t="s">
        <v>416</v>
      </c>
      <c r="G6917" s="197" t="s">
        <v>279</v>
      </c>
      <c r="H6917" s="197" t="s">
        <v>230</v>
      </c>
      <c r="I6917" s="209" t="s">
        <v>62</v>
      </c>
    </row>
    <row r="6918" spans="1:12">
      <c r="A6918" s="195"/>
      <c r="B6918" s="195" t="s">
        <v>205</v>
      </c>
      <c r="C6918"/>
      <c r="D6918" s="197" t="s">
        <v>51</v>
      </c>
      <c r="E6918" s="197" t="s">
        <v>263</v>
      </c>
      <c r="F6918" s="197" t="s">
        <v>416</v>
      </c>
      <c r="G6918" s="197" t="s">
        <v>279</v>
      </c>
      <c r="H6918" s="197" t="s">
        <v>230</v>
      </c>
      <c r="I6918" s="209" t="s">
        <v>62</v>
      </c>
    </row>
    <row r="6919" spans="1:12">
      <c r="A6919" s="195"/>
      <c r="B6919" s="195" t="s">
        <v>206</v>
      </c>
      <c r="C6919"/>
      <c r="D6919" s="197" t="s">
        <v>51</v>
      </c>
      <c r="E6919" s="197" t="s">
        <v>263</v>
      </c>
      <c r="F6919" s="197"/>
      <c r="G6919" s="197" t="s">
        <v>279</v>
      </c>
      <c r="H6919" s="197" t="s">
        <v>230</v>
      </c>
      <c r="I6919" s="209" t="s">
        <v>62</v>
      </c>
    </row>
    <row r="6920" spans="1:12">
      <c r="A6920" s="195"/>
      <c r="B6920" s="195" t="s">
        <v>207</v>
      </c>
      <c r="C6920"/>
      <c r="D6920" s="197"/>
      <c r="E6920" s="197" t="s">
        <v>263</v>
      </c>
      <c r="F6920" s="197"/>
      <c r="G6920" s="197" t="s">
        <v>279</v>
      </c>
      <c r="H6920" s="197" t="s">
        <v>230</v>
      </c>
      <c r="I6920" s="209" t="s">
        <v>62</v>
      </c>
    </row>
    <row r="6921" spans="1:12">
      <c r="A6921" s="195"/>
      <c r="B6921" s="196" t="s">
        <v>219</v>
      </c>
      <c r="C6921"/>
      <c r="D6921" s="197"/>
      <c r="E6921" s="197"/>
      <c r="F6921" s="197"/>
      <c r="G6921" s="197"/>
      <c r="H6921" s="197" t="s">
        <v>230</v>
      </c>
      <c r="I6921" s="209"/>
    </row>
    <row r="6922" spans="1:12">
      <c r="A6922" s="195"/>
      <c r="B6922" s="195" t="s">
        <v>205</v>
      </c>
      <c r="C6922"/>
      <c r="D6922" s="197"/>
      <c r="E6922" s="197"/>
      <c r="F6922" s="197"/>
      <c r="G6922" s="197"/>
      <c r="H6922" s="197" t="s">
        <v>230</v>
      </c>
      <c r="I6922" s="209"/>
    </row>
    <row r="6923" spans="1:12">
      <c r="A6923" s="195"/>
      <c r="B6923" s="195" t="s">
        <v>206</v>
      </c>
      <c r="C6923"/>
      <c r="D6923" s="197"/>
      <c r="E6923" s="197"/>
      <c r="F6923" s="197"/>
      <c r="G6923" s="197"/>
      <c r="H6923" s="197"/>
      <c r="I6923" s="209"/>
    </row>
    <row r="6924" spans="1:12">
      <c r="A6924" s="195"/>
      <c r="B6924" s="195" t="s">
        <v>207</v>
      </c>
      <c r="C6924"/>
      <c r="D6924" s="197"/>
      <c r="E6924" s="197"/>
      <c r="F6924" s="197"/>
      <c r="G6924" s="197"/>
      <c r="H6924" s="197"/>
      <c r="I6924" s="209"/>
    </row>
    <row r="6925" spans="1:12">
      <c r="A6925" s="195"/>
      <c r="B6925" s="196" t="s">
        <v>220</v>
      </c>
      <c r="C6925"/>
      <c r="D6925" s="189"/>
      <c r="E6925" s="197"/>
      <c r="F6925" s="197"/>
      <c r="G6925" s="197"/>
      <c r="H6925" s="197"/>
      <c r="I6925" s="209"/>
    </row>
    <row r="6926" spans="1:12">
      <c r="A6926" s="195"/>
      <c r="B6926" s="195" t="s">
        <v>205</v>
      </c>
      <c r="C6926"/>
      <c r="D6926" s="197" t="s">
        <v>114</v>
      </c>
      <c r="E6926" s="197" t="s">
        <v>233</v>
      </c>
      <c r="F6926" s="197" t="s">
        <v>416</v>
      </c>
      <c r="G6926" s="197" t="s">
        <v>56</v>
      </c>
      <c r="H6926" s="197" t="s">
        <v>390</v>
      </c>
      <c r="I6926" s="209" t="s">
        <v>416</v>
      </c>
    </row>
    <row r="6927" spans="1:12">
      <c r="A6927" s="195"/>
      <c r="B6927" s="195" t="s">
        <v>206</v>
      </c>
      <c r="C6927"/>
      <c r="D6927" s="197" t="s">
        <v>114</v>
      </c>
      <c r="E6927" s="197" t="s">
        <v>233</v>
      </c>
      <c r="F6927" s="197" t="s">
        <v>1003</v>
      </c>
      <c r="G6927" s="197" t="s">
        <v>56</v>
      </c>
      <c r="H6927" s="197" t="s">
        <v>390</v>
      </c>
      <c r="I6927" s="209" t="s">
        <v>1004</v>
      </c>
    </row>
    <row r="6928" spans="1:12">
      <c r="A6928" s="195"/>
      <c r="B6928" s="195" t="s">
        <v>207</v>
      </c>
      <c r="C6928"/>
      <c r="D6928" s="197" t="s">
        <v>129</v>
      </c>
      <c r="E6928" s="197" t="s">
        <v>233</v>
      </c>
      <c r="F6928" s="197" t="s">
        <v>416</v>
      </c>
      <c r="G6928" s="197" t="s">
        <v>56</v>
      </c>
      <c r="H6928" s="197"/>
      <c r="I6928" s="209" t="s">
        <v>416</v>
      </c>
    </row>
    <row r="6929" spans="1:9">
      <c r="A6929" s="195"/>
      <c r="B6929" s="196" t="s">
        <v>222</v>
      </c>
      <c r="C6929"/>
      <c r="D6929" s="197" t="s">
        <v>129</v>
      </c>
      <c r="E6929" s="197" t="s">
        <v>252</v>
      </c>
      <c r="F6929" s="197" t="s">
        <v>416</v>
      </c>
      <c r="G6929" s="197" t="s">
        <v>56</v>
      </c>
      <c r="H6929" s="197" t="s">
        <v>231</v>
      </c>
      <c r="I6929" s="209" t="s">
        <v>416</v>
      </c>
    </row>
    <row r="6930" spans="1:9">
      <c r="A6930" s="195"/>
      <c r="B6930" s="195" t="s">
        <v>205</v>
      </c>
      <c r="C6930"/>
      <c r="D6930" s="197" t="s">
        <v>129</v>
      </c>
      <c r="E6930" s="197" t="s">
        <v>252</v>
      </c>
      <c r="F6930" s="197" t="s">
        <v>416</v>
      </c>
      <c r="G6930" s="197"/>
      <c r="H6930" s="197" t="s">
        <v>232</v>
      </c>
      <c r="I6930" s="209" t="s">
        <v>416</v>
      </c>
    </row>
    <row r="6931" spans="1:9">
      <c r="A6931" s="195"/>
      <c r="B6931" s="195" t="s">
        <v>206</v>
      </c>
      <c r="C6931"/>
      <c r="D6931" s="197"/>
      <c r="E6931" s="197" t="s">
        <v>252</v>
      </c>
      <c r="F6931" s="197" t="s">
        <v>416</v>
      </c>
      <c r="G6931" s="197" t="s">
        <v>270</v>
      </c>
      <c r="H6931" s="197" t="s">
        <v>211</v>
      </c>
      <c r="I6931" s="209" t="s">
        <v>416</v>
      </c>
    </row>
    <row r="6932" spans="1:9">
      <c r="A6932" s="195"/>
      <c r="B6932" s="195" t="s">
        <v>207</v>
      </c>
      <c r="C6932"/>
      <c r="D6932" s="197" t="s">
        <v>515</v>
      </c>
      <c r="E6932" s="197" t="s">
        <v>252</v>
      </c>
      <c r="F6932" s="197" t="s">
        <v>416</v>
      </c>
      <c r="G6932" s="197" t="s">
        <v>270</v>
      </c>
      <c r="H6932" s="197" t="s">
        <v>211</v>
      </c>
      <c r="I6932" s="209" t="s">
        <v>416</v>
      </c>
    </row>
    <row r="6933" spans="1:9">
      <c r="A6933" s="195"/>
      <c r="B6933" s="196" t="s">
        <v>223</v>
      </c>
      <c r="C6933"/>
      <c r="D6933" s="197" t="s">
        <v>515</v>
      </c>
      <c r="E6933" s="197" t="s">
        <v>252</v>
      </c>
      <c r="F6933" s="197" t="s">
        <v>416</v>
      </c>
      <c r="G6933" s="197" t="s">
        <v>270</v>
      </c>
      <c r="H6933" s="197"/>
      <c r="I6933" s="209" t="s">
        <v>416</v>
      </c>
    </row>
    <row r="6934" spans="1:9">
      <c r="A6934" s="195"/>
      <c r="B6934" s="195" t="s">
        <v>205</v>
      </c>
      <c r="C6934"/>
      <c r="D6934" s="197" t="s">
        <v>269</v>
      </c>
      <c r="E6934" s="197" t="s">
        <v>252</v>
      </c>
      <c r="F6934" s="197" t="s">
        <v>416</v>
      </c>
      <c r="G6934" s="197" t="s">
        <v>270</v>
      </c>
      <c r="H6934" s="197" t="s">
        <v>856</v>
      </c>
      <c r="I6934" s="209" t="s">
        <v>416</v>
      </c>
    </row>
    <row r="6935" spans="1:9">
      <c r="A6935" s="195"/>
      <c r="B6935" s="195" t="s">
        <v>206</v>
      </c>
      <c r="C6935"/>
      <c r="D6935" s="197" t="s">
        <v>269</v>
      </c>
      <c r="E6935" s="197" t="s">
        <v>252</v>
      </c>
      <c r="F6935" s="197" t="s">
        <v>416</v>
      </c>
      <c r="G6935" s="197" t="s">
        <v>270</v>
      </c>
      <c r="H6935" s="197" t="s">
        <v>856</v>
      </c>
      <c r="I6935" s="209" t="s">
        <v>416</v>
      </c>
    </row>
    <row r="6936" spans="1:9">
      <c r="A6936" s="195"/>
      <c r="B6936" s="195" t="s">
        <v>207</v>
      </c>
      <c r="C6936"/>
      <c r="D6936" s="197" t="s">
        <v>269</v>
      </c>
      <c r="E6936" s="197" t="s">
        <v>252</v>
      </c>
      <c r="F6936" s="197" t="s">
        <v>416</v>
      </c>
      <c r="G6936" s="197" t="s">
        <v>270</v>
      </c>
      <c r="H6936" s="197" t="s">
        <v>856</v>
      </c>
      <c r="I6936" s="209" t="s">
        <v>416</v>
      </c>
    </row>
    <row r="6937" spans="1:9">
      <c r="A6937" s="195"/>
      <c r="B6937" s="196" t="s">
        <v>225</v>
      </c>
      <c r="C6937"/>
      <c r="D6937" s="197" t="s">
        <v>269</v>
      </c>
      <c r="E6937" s="197" t="s">
        <v>252</v>
      </c>
      <c r="F6937" s="197" t="s">
        <v>416</v>
      </c>
      <c r="G6937" s="197" t="s">
        <v>270</v>
      </c>
      <c r="H6937" s="197" t="s">
        <v>856</v>
      </c>
      <c r="I6937" s="209"/>
    </row>
    <row r="6938" spans="1:9">
      <c r="A6938" s="195"/>
      <c r="B6938" s="195" t="s">
        <v>205</v>
      </c>
      <c r="C6938"/>
      <c r="D6938" s="197" t="s">
        <v>475</v>
      </c>
      <c r="E6938" s="197" t="s">
        <v>252</v>
      </c>
      <c r="F6938" s="197" t="s">
        <v>416</v>
      </c>
      <c r="G6938" s="197" t="s">
        <v>270</v>
      </c>
      <c r="H6938" s="209" t="s">
        <v>856</v>
      </c>
      <c r="I6938" s="209"/>
    </row>
    <row r="6939" spans="1:9">
      <c r="A6939" s="195"/>
      <c r="B6939" s="195" t="s">
        <v>206</v>
      </c>
      <c r="C6939"/>
      <c r="D6939" s="197" t="s">
        <v>361</v>
      </c>
      <c r="E6939" s="197" t="s">
        <v>252</v>
      </c>
      <c r="F6939" s="197" t="s">
        <v>416</v>
      </c>
      <c r="G6939" s="197" t="s">
        <v>270</v>
      </c>
      <c r="H6939" s="209" t="s">
        <v>856</v>
      </c>
      <c r="I6939" s="209"/>
    </row>
    <row r="6940" spans="1:9">
      <c r="A6940" s="195"/>
      <c r="B6940" s="195" t="s">
        <v>207</v>
      </c>
      <c r="C6940"/>
      <c r="D6940" s="197"/>
      <c r="E6940" s="197"/>
      <c r="F6940" s="197"/>
      <c r="G6940" s="197"/>
      <c r="H6940" s="209"/>
      <c r="I6940" s="209"/>
    </row>
    <row r="6941" spans="1:9">
      <c r="A6941" s="195"/>
      <c r="B6941" s="196" t="s">
        <v>226</v>
      </c>
      <c r="C6941"/>
      <c r="D6941" s="197"/>
      <c r="E6941" s="197"/>
      <c r="F6941" s="197"/>
      <c r="G6941" s="197"/>
      <c r="H6941" s="209"/>
      <c r="I6941" s="209"/>
    </row>
    <row r="6942" spans="1:9">
      <c r="A6942" s="195"/>
      <c r="B6942" s="195" t="s">
        <v>205</v>
      </c>
      <c r="C6942"/>
      <c r="D6942" s="197"/>
      <c r="E6942" s="197"/>
      <c r="F6942" s="197"/>
      <c r="G6942" s="197"/>
      <c r="H6942" s="209"/>
      <c r="I6942" s="209"/>
    </row>
    <row r="6943" spans="1:9">
      <c r="A6943" s="195"/>
      <c r="B6943" s="195" t="s">
        <v>206</v>
      </c>
      <c r="C6943"/>
      <c r="D6943" s="197"/>
      <c r="E6943" s="197"/>
      <c r="F6943" s="197"/>
      <c r="G6943" s="197"/>
      <c r="H6943" s="209"/>
      <c r="I6943" s="209"/>
    </row>
    <row r="6944" spans="1:9">
      <c r="A6944" s="195"/>
      <c r="B6944" s="195" t="s">
        <v>207</v>
      </c>
      <c r="C6944"/>
      <c r="D6944" s="197"/>
      <c r="E6944" s="197"/>
      <c r="F6944" s="197"/>
      <c r="G6944" s="197"/>
      <c r="H6944" s="209"/>
      <c r="I6944" s="209"/>
    </row>
    <row r="6945" spans="1:12">
      <c r="A6945" s="195"/>
      <c r="B6945" s="196" t="s">
        <v>227</v>
      </c>
      <c r="C6945"/>
      <c r="D6945" s="197"/>
      <c r="E6945" s="197"/>
      <c r="F6945" s="197"/>
      <c r="G6945" s="197"/>
      <c r="H6945" s="209"/>
      <c r="I6945" s="209"/>
      <c r="K6945"/>
    </row>
    <row r="6946" spans="1:12" ht="29.25" thickBot="1">
      <c r="A6946" s="213" t="str">
        <f>"回収シフト  第"&amp;ROUNDUP(DAY(B6949)/7,0)  &amp;"  "&amp;TEXT(B6949,"aaaa")</f>
        <v>回収シフト  第4  水曜日</v>
      </c>
      <c r="B6946" s="214"/>
      <c r="C6946" s="214"/>
      <c r="D6946" s="214"/>
      <c r="E6946" s="214"/>
      <c r="F6946" s="214"/>
      <c r="G6946" s="215"/>
      <c r="H6946" s="215"/>
      <c r="I6946" s="215"/>
      <c r="K6946" s="214"/>
      <c r="L6946" s="214"/>
    </row>
    <row r="6947" spans="1:12" ht="15.75" thickBot="1">
      <c r="A6947"/>
      <c r="B6947"/>
      <c r="C6947"/>
      <c r="D6947" s="186" t="s">
        <v>201</v>
      </c>
      <c r="E6947" s="186" t="s">
        <v>202</v>
      </c>
      <c r="F6947" s="186" t="s">
        <v>203</v>
      </c>
      <c r="G6947" s="186" t="s">
        <v>204</v>
      </c>
      <c r="H6947" s="186" t="s">
        <v>267</v>
      </c>
      <c r="I6947" s="186" t="s">
        <v>987</v>
      </c>
      <c r="K6947" s="230" t="s">
        <v>257</v>
      </c>
      <c r="L6947" s="231"/>
    </row>
    <row r="6948" spans="1:12">
      <c r="A6948" s="187"/>
      <c r="B6948" s="188">
        <v>46119</v>
      </c>
      <c r="C6948" s="187"/>
      <c r="D6948" s="189" t="s">
        <v>859</v>
      </c>
      <c r="E6948" s="189" t="s">
        <v>849</v>
      </c>
      <c r="F6948" s="189" t="s">
        <v>921</v>
      </c>
      <c r="G6948" s="189" t="s">
        <v>857</v>
      </c>
      <c r="H6948" s="189" t="s">
        <v>852</v>
      </c>
      <c r="I6948" s="189" t="s">
        <v>1017</v>
      </c>
      <c r="K6948" s="232" t="s">
        <v>258</v>
      </c>
      <c r="L6948" s="190" t="str">
        <f>_xlfn.XLOOKUP($B6949,シフト抽出!$19:$19,シフト抽出!$20:$20,"該当なし",0,1)</f>
        <v>該当なし</v>
      </c>
    </row>
    <row r="6949" spans="1:12" ht="19.5" thickBot="1">
      <c r="A6949"/>
      <c r="B6949" s="191">
        <f>B6896+1</f>
        <v>46260</v>
      </c>
      <c r="C6949" s="192" t="e">
        <v>#REF!</v>
      </c>
      <c r="D6949" s="216"/>
      <c r="E6949" s="216"/>
      <c r="F6949" s="216"/>
      <c r="G6949" s="216"/>
      <c r="H6949" s="216"/>
      <c r="I6949" s="216"/>
      <c r="K6949" s="233"/>
      <c r="L6949" s="194" t="str">
        <f>_xlfn.XLOOKUP($B6949,シフト抽出!$19:$19,シフト抽出!$21:$21,"該当なし",0,1)</f>
        <v>該当なし</v>
      </c>
    </row>
    <row r="6950" spans="1:12">
      <c r="A6950" s="195"/>
      <c r="B6950" s="196">
        <v>0.25</v>
      </c>
      <c r="C6950"/>
      <c r="D6950" s="197"/>
      <c r="E6950" s="197"/>
      <c r="F6950" s="197"/>
      <c r="G6950" s="197"/>
      <c r="H6950" s="197"/>
      <c r="I6950" s="197"/>
      <c r="K6950" s="234" t="s">
        <v>259</v>
      </c>
      <c r="L6950" s="198" t="str">
        <f>_xlfn.XLOOKUP($B6949,シフト抽出!$19:$19,シフト抽出!$23:$23,"該当なし",0,1)</f>
        <v>該当なし</v>
      </c>
    </row>
    <row r="6951" spans="1:12" ht="15.75" thickBot="1">
      <c r="A6951" s="195"/>
      <c r="B6951" s="195" t="s">
        <v>205</v>
      </c>
      <c r="C6951"/>
      <c r="D6951" s="197"/>
      <c r="E6951" s="197"/>
      <c r="F6951" s="197"/>
      <c r="G6951" s="197"/>
      <c r="H6951" s="197"/>
      <c r="I6951" s="197"/>
      <c r="K6951" s="235"/>
      <c r="L6951" s="199" t="str">
        <f>_xlfn.XLOOKUP($B6949,シフト抽出!$19:$19,シフト抽出!$24:$24,"該当なし",0,1)</f>
        <v>該当なし</v>
      </c>
    </row>
    <row r="6952" spans="1:12">
      <c r="A6952" s="195"/>
      <c r="B6952" s="195" t="s">
        <v>206</v>
      </c>
      <c r="C6952"/>
      <c r="D6952" s="197"/>
      <c r="E6952" s="197"/>
      <c r="F6952" s="197"/>
      <c r="G6952" s="197"/>
      <c r="H6952" s="197"/>
      <c r="I6952" s="197"/>
      <c r="K6952" s="224" t="s">
        <v>260</v>
      </c>
      <c r="L6952" s="200" t="str">
        <f>_xlfn.XLOOKUP($B6949,シフト抽出!$19:$19,シフト抽出!$26:$26,"該当なし",0,1)</f>
        <v>該当なし</v>
      </c>
    </row>
    <row r="6953" spans="1:12">
      <c r="A6953" s="195"/>
      <c r="B6953" s="195" t="s">
        <v>207</v>
      </c>
      <c r="C6953"/>
      <c r="D6953" s="197"/>
      <c r="E6953" s="197"/>
      <c r="F6953" s="197"/>
      <c r="G6953" s="197"/>
      <c r="H6953" s="197"/>
      <c r="I6953" s="197"/>
      <c r="K6953" s="225"/>
      <c r="L6953" s="201" t="str">
        <f>_xlfn.XLOOKUP($B6949,シフト抽出!$19:$19,シフト抽出!$27:$27,"該当なし",0,1)</f>
        <v>該当なし</v>
      </c>
    </row>
    <row r="6954" spans="1:12">
      <c r="A6954" s="195"/>
      <c r="B6954" s="202" t="s">
        <v>208</v>
      </c>
      <c r="C6954"/>
      <c r="D6954" s="197"/>
      <c r="E6954" s="197"/>
      <c r="F6954" s="197"/>
      <c r="G6954" s="197"/>
      <c r="H6954" s="197"/>
      <c r="I6954" s="197"/>
      <c r="J6954" s="203"/>
      <c r="K6954" s="225"/>
      <c r="L6954" s="201" t="str">
        <f>_xlfn.XLOOKUP($B6949,シフト抽出!$19:$19,シフト抽出!$28:$28,"該当なし",0,1)</f>
        <v>該当なし</v>
      </c>
    </row>
    <row r="6955" spans="1:12" ht="15.75" thickBot="1">
      <c r="A6955" s="195"/>
      <c r="B6955" s="195" t="s">
        <v>205</v>
      </c>
      <c r="C6955"/>
      <c r="D6955" s="197"/>
      <c r="E6955" s="197"/>
      <c r="F6955" s="197"/>
      <c r="G6955" s="197"/>
      <c r="H6955" s="197"/>
      <c r="I6955" s="197"/>
      <c r="J6955" s="203"/>
      <c r="K6955" s="226"/>
      <c r="L6955" s="204" t="str">
        <f>_xlfn.XLOOKUP($B6949,シフト抽出!$19:$19,シフト抽出!$29:$29,"該当なし",0,1)</f>
        <v>該当なし</v>
      </c>
    </row>
    <row r="6956" spans="1:12" ht="15.75" thickBot="1">
      <c r="A6956" s="195"/>
      <c r="B6956" s="195" t="s">
        <v>206</v>
      </c>
      <c r="C6956"/>
      <c r="D6956" s="197"/>
      <c r="E6956" s="197"/>
      <c r="F6956" s="197"/>
      <c r="G6956" s="197"/>
      <c r="H6956" s="197"/>
      <c r="I6956" s="197"/>
      <c r="K6956" s="205" t="s">
        <v>261</v>
      </c>
      <c r="L6956" s="205">
        <f>_xlfn.XLOOKUP($B6949,予定表!B:B,予定表!R:R,"該当なし",0,1)</f>
        <v>0</v>
      </c>
    </row>
    <row r="6957" spans="1:12">
      <c r="A6957" s="195"/>
      <c r="B6957" s="195" t="s">
        <v>207</v>
      </c>
      <c r="C6957"/>
      <c r="D6957" s="197"/>
      <c r="E6957" s="197"/>
      <c r="F6957" s="197"/>
      <c r="G6957" s="197"/>
      <c r="H6957" s="197"/>
      <c r="I6957" s="197"/>
      <c r="K6957" s="227" t="s">
        <v>262</v>
      </c>
      <c r="L6957" s="206">
        <f>_xlfn.XLOOKUP($B6949,予定表!$B:$B,予定表!E:E,"該当なし",0,1)</f>
        <v>0</v>
      </c>
    </row>
    <row r="6958" spans="1:12">
      <c r="A6958" s="195"/>
      <c r="B6958" s="196" t="s">
        <v>209</v>
      </c>
      <c r="C6958"/>
      <c r="D6958" s="197" t="s">
        <v>851</v>
      </c>
      <c r="E6958" s="197" t="s">
        <v>414</v>
      </c>
      <c r="F6958" s="197" t="s">
        <v>416</v>
      </c>
      <c r="G6958" s="197" t="s">
        <v>268</v>
      </c>
      <c r="H6958" s="197" t="s">
        <v>60</v>
      </c>
      <c r="I6958" s="197" t="s">
        <v>793</v>
      </c>
      <c r="K6958" s="228"/>
      <c r="L6958" s="207" t="str">
        <f>_xlfn.XLOOKUP($B6949,予定表!$B:$B,予定表!F:F,"該当なし",0,1)</f>
        <v>EFCなし</v>
      </c>
    </row>
    <row r="6959" spans="1:12">
      <c r="A6959" s="195"/>
      <c r="B6959" s="195" t="s">
        <v>205</v>
      </c>
      <c r="C6959"/>
      <c r="D6959" s="197" t="s">
        <v>851</v>
      </c>
      <c r="E6959" s="197" t="s">
        <v>414</v>
      </c>
      <c r="F6959" s="197" t="s">
        <v>1003</v>
      </c>
      <c r="G6959" s="197" t="s">
        <v>268</v>
      </c>
      <c r="H6959" s="197" t="s">
        <v>60</v>
      </c>
      <c r="I6959" s="197" t="s">
        <v>22</v>
      </c>
      <c r="K6959" s="228"/>
      <c r="L6959" s="207" t="str">
        <f>_xlfn.XLOOKUP($B6949,予定表!$B:$B,予定表!G:G,"該当なし",0,1)</f>
        <v>ディーミング</v>
      </c>
    </row>
    <row r="6960" spans="1:12">
      <c r="A6960" s="195"/>
      <c r="B6960" s="195" t="s">
        <v>206</v>
      </c>
      <c r="C6960"/>
      <c r="D6960" s="197" t="s">
        <v>851</v>
      </c>
      <c r="E6960" s="197" t="s">
        <v>414</v>
      </c>
      <c r="F6960" s="197" t="s">
        <v>416</v>
      </c>
      <c r="G6960" s="197" t="s">
        <v>268</v>
      </c>
      <c r="H6960" s="197" t="s">
        <v>60</v>
      </c>
      <c r="I6960" s="197" t="s">
        <v>793</v>
      </c>
      <c r="K6960" s="228"/>
      <c r="L6960" s="207" t="str">
        <f>_xlfn.XLOOKUP($B6949,予定表!$B:$B,予定表!H:H,"該当なし",0,1)</f>
        <v>'資さん 平塚</v>
      </c>
    </row>
    <row r="6961" spans="1:12">
      <c r="A6961" s="195"/>
      <c r="B6961" s="195" t="s">
        <v>207</v>
      </c>
      <c r="C6961"/>
      <c r="D6961" s="197" t="s">
        <v>851</v>
      </c>
      <c r="E6961" s="197" t="s">
        <v>414</v>
      </c>
      <c r="F6961" s="197" t="s">
        <v>416</v>
      </c>
      <c r="G6961" s="197" t="s">
        <v>268</v>
      </c>
      <c r="H6961" s="197"/>
      <c r="I6961" s="197" t="s">
        <v>264</v>
      </c>
      <c r="K6961" s="228"/>
      <c r="L6961" s="207" t="str">
        <f>_xlfn.XLOOKUP($B6949,予定表!$B:$B,予定表!I:I,"該当なし",0,1)</f>
        <v>カインズAM8</v>
      </c>
    </row>
    <row r="6962" spans="1:12">
      <c r="A6962" s="195"/>
      <c r="B6962" s="196" t="s">
        <v>212</v>
      </c>
      <c r="C6962"/>
      <c r="D6962" s="197" t="s">
        <v>851</v>
      </c>
      <c r="E6962" s="197" t="s">
        <v>414</v>
      </c>
      <c r="F6962" s="197" t="s">
        <v>416</v>
      </c>
      <c r="G6962" s="197" t="s">
        <v>268</v>
      </c>
      <c r="H6962" s="197" t="s">
        <v>848</v>
      </c>
      <c r="I6962" s="197" t="s">
        <v>280</v>
      </c>
      <c r="K6962" s="228"/>
      <c r="L6962" s="207">
        <f>_xlfn.XLOOKUP($B6949,予定表!$B:$B,予定表!J:J,"該当なし",0,1)</f>
        <v>0</v>
      </c>
    </row>
    <row r="6963" spans="1:12">
      <c r="A6963" s="195"/>
      <c r="B6963" s="195" t="s">
        <v>205</v>
      </c>
      <c r="C6963"/>
      <c r="D6963" s="197" t="s">
        <v>851</v>
      </c>
      <c r="E6963" s="197" t="s">
        <v>414</v>
      </c>
      <c r="F6963" s="197" t="s">
        <v>416</v>
      </c>
      <c r="G6963" s="197" t="s">
        <v>268</v>
      </c>
      <c r="H6963" s="197" t="s">
        <v>848</v>
      </c>
      <c r="I6963" s="197" t="s">
        <v>215</v>
      </c>
      <c r="K6963" s="228"/>
      <c r="L6963" s="207">
        <f>_xlfn.XLOOKUP($B6949,予定表!$B:$B,予定表!K:K,"該当なし",0,1)</f>
        <v>0</v>
      </c>
    </row>
    <row r="6964" spans="1:12">
      <c r="A6964" s="195"/>
      <c r="B6964" s="195" t="s">
        <v>206</v>
      </c>
      <c r="C6964"/>
      <c r="D6964" s="197" t="s">
        <v>851</v>
      </c>
      <c r="E6964" s="197" t="s">
        <v>214</v>
      </c>
      <c r="F6964" s="197" t="s">
        <v>416</v>
      </c>
      <c r="G6964" s="197" t="s">
        <v>515</v>
      </c>
      <c r="H6964" s="197" t="s">
        <v>848</v>
      </c>
      <c r="I6964" s="197" t="s">
        <v>127</v>
      </c>
      <c r="K6964" s="228"/>
      <c r="L6964" s="207">
        <f>_xlfn.XLOOKUP($B6949,予定表!$B:$B,予定表!L:L,"該当なし",0,1)</f>
        <v>0</v>
      </c>
    </row>
    <row r="6965" spans="1:12" ht="15.75" thickBot="1">
      <c r="A6965" s="195"/>
      <c r="B6965" s="195" t="s">
        <v>207</v>
      </c>
      <c r="C6965"/>
      <c r="D6965" s="197" t="s">
        <v>851</v>
      </c>
      <c r="E6965" s="197" t="s">
        <v>214</v>
      </c>
      <c r="F6965" s="197" t="s">
        <v>416</v>
      </c>
      <c r="G6965" s="197" t="s">
        <v>515</v>
      </c>
      <c r="H6965" s="197" t="s">
        <v>848</v>
      </c>
      <c r="I6965" s="197" t="s">
        <v>397</v>
      </c>
      <c r="K6965" s="229"/>
      <c r="L6965" s="204" t="str">
        <f>_xlfn.XLOOKUP($A6946,ﾘｽﾄマスタ!$U$8:$U$17,ﾘｽﾄマスタ!$V$8:$V$17,"",0)</f>
        <v>裕源・自衛隊</v>
      </c>
    </row>
    <row r="6966" spans="1:12" ht="15.75" thickBot="1">
      <c r="A6966" s="195"/>
      <c r="B6966" s="196" t="s">
        <v>251</v>
      </c>
      <c r="C6966"/>
      <c r="D6966" s="197"/>
      <c r="E6966" s="197" t="s">
        <v>214</v>
      </c>
      <c r="F6966" s="197" t="s">
        <v>416</v>
      </c>
      <c r="G6966" s="197" t="s">
        <v>515</v>
      </c>
      <c r="H6966" s="197" t="s">
        <v>848</v>
      </c>
      <c r="I6966" s="197"/>
      <c r="K6966" s="208" t="s">
        <v>277</v>
      </c>
      <c r="L6966" s="208" t="str">
        <f>_xlfn.XLOOKUP($B6949,シフト抽出!$19:$19,シフト抽出!$30:$30,"該当なし",0,1)</f>
        <v>該当なし</v>
      </c>
    </row>
    <row r="6967" spans="1:12">
      <c r="A6967" s="195"/>
      <c r="B6967" s="195" t="s">
        <v>205</v>
      </c>
      <c r="C6967"/>
      <c r="D6967" s="197" t="s">
        <v>416</v>
      </c>
      <c r="E6967" s="197" t="s">
        <v>761</v>
      </c>
      <c r="F6967" s="197" t="s">
        <v>416</v>
      </c>
      <c r="G6967" s="197" t="s">
        <v>269</v>
      </c>
      <c r="H6967" s="197" t="s">
        <v>848</v>
      </c>
      <c r="I6967" s="197" t="s">
        <v>252</v>
      </c>
    </row>
    <row r="6968" spans="1:12">
      <c r="A6968" s="195"/>
      <c r="B6968" s="195" t="s">
        <v>206</v>
      </c>
      <c r="C6968"/>
      <c r="D6968" s="197" t="s">
        <v>771</v>
      </c>
      <c r="E6968" s="197" t="s">
        <v>761</v>
      </c>
      <c r="F6968" s="197" t="s">
        <v>416</v>
      </c>
      <c r="G6968" s="197" t="s">
        <v>269</v>
      </c>
      <c r="H6968" s="197" t="s">
        <v>229</v>
      </c>
      <c r="I6968" s="197" t="s">
        <v>252</v>
      </c>
    </row>
    <row r="6969" spans="1:12">
      <c r="A6969" s="195"/>
      <c r="B6969" s="195" t="s">
        <v>207</v>
      </c>
      <c r="C6969"/>
      <c r="D6969" s="197" t="s">
        <v>416</v>
      </c>
      <c r="E6969" s="197" t="s">
        <v>761</v>
      </c>
      <c r="F6969" s="197" t="s">
        <v>416</v>
      </c>
      <c r="G6969" s="197" t="s">
        <v>446</v>
      </c>
      <c r="H6969" s="197" t="s">
        <v>229</v>
      </c>
      <c r="I6969" s="197" t="s">
        <v>252</v>
      </c>
    </row>
    <row r="6970" spans="1:12">
      <c r="A6970" s="195"/>
      <c r="B6970" s="196" t="s">
        <v>217</v>
      </c>
      <c r="C6970"/>
      <c r="D6970" s="197" t="s">
        <v>416</v>
      </c>
      <c r="E6970" s="197" t="s">
        <v>761</v>
      </c>
      <c r="F6970" s="197" t="s">
        <v>416</v>
      </c>
      <c r="G6970" s="197" t="s">
        <v>446</v>
      </c>
      <c r="H6970" s="197" t="s">
        <v>230</v>
      </c>
      <c r="I6970" s="197" t="s">
        <v>252</v>
      </c>
    </row>
    <row r="6971" spans="1:12">
      <c r="A6971" s="195"/>
      <c r="B6971" s="195" t="s">
        <v>205</v>
      </c>
      <c r="C6971"/>
      <c r="D6971" s="197" t="s">
        <v>224</v>
      </c>
      <c r="E6971" s="197" t="s">
        <v>51</v>
      </c>
      <c r="F6971" s="197" t="s">
        <v>416</v>
      </c>
      <c r="G6971" s="197" t="s">
        <v>114</v>
      </c>
      <c r="H6971" s="197" t="s">
        <v>230</v>
      </c>
      <c r="I6971" s="197" t="s">
        <v>252</v>
      </c>
    </row>
    <row r="6972" spans="1:12">
      <c r="A6972" s="195"/>
      <c r="B6972" s="195" t="s">
        <v>206</v>
      </c>
      <c r="C6972"/>
      <c r="D6972" s="197" t="s">
        <v>224</v>
      </c>
      <c r="E6972" s="197" t="s">
        <v>51</v>
      </c>
      <c r="F6972" s="197"/>
      <c r="G6972" s="197" t="s">
        <v>114</v>
      </c>
      <c r="H6972" s="197" t="s">
        <v>230</v>
      </c>
      <c r="I6972" s="197" t="s">
        <v>252</v>
      </c>
    </row>
    <row r="6973" spans="1:12">
      <c r="A6973" s="195"/>
      <c r="B6973" s="195" t="s">
        <v>207</v>
      </c>
      <c r="C6973"/>
      <c r="D6973" s="197" t="s">
        <v>224</v>
      </c>
      <c r="E6973" s="197" t="s">
        <v>51</v>
      </c>
      <c r="F6973" s="197"/>
      <c r="G6973" s="197"/>
      <c r="H6973" s="197" t="s">
        <v>230</v>
      </c>
      <c r="I6973" s="197" t="s">
        <v>252</v>
      </c>
    </row>
    <row r="6974" spans="1:12">
      <c r="A6974" s="195"/>
      <c r="B6974" s="196" t="s">
        <v>219</v>
      </c>
      <c r="C6974"/>
      <c r="D6974" s="197" t="s">
        <v>224</v>
      </c>
      <c r="E6974" s="197" t="s">
        <v>51</v>
      </c>
      <c r="F6974" s="197"/>
      <c r="G6974" s="197"/>
      <c r="H6974" s="197"/>
      <c r="I6974" s="197" t="s">
        <v>252</v>
      </c>
    </row>
    <row r="6975" spans="1:12">
      <c r="A6975" s="195"/>
      <c r="B6975" s="195" t="s">
        <v>205</v>
      </c>
      <c r="C6975"/>
      <c r="D6975" s="197"/>
      <c r="E6975" s="197"/>
      <c r="F6975" s="197"/>
      <c r="G6975" s="197"/>
      <c r="H6975" s="197"/>
      <c r="I6975" s="197" t="s">
        <v>252</v>
      </c>
    </row>
    <row r="6976" spans="1:12">
      <c r="A6976" s="195"/>
      <c r="B6976" s="195" t="s">
        <v>206</v>
      </c>
      <c r="C6976"/>
      <c r="D6976" s="197"/>
      <c r="E6976" s="197"/>
      <c r="F6976" s="197"/>
      <c r="G6976" s="197"/>
      <c r="H6976" s="197"/>
      <c r="I6976" s="197"/>
    </row>
    <row r="6977" spans="1:9">
      <c r="A6977" s="195"/>
      <c r="B6977" s="195" t="s">
        <v>207</v>
      </c>
      <c r="C6977"/>
      <c r="D6977" s="221"/>
      <c r="E6977" s="221"/>
      <c r="F6977" s="221"/>
      <c r="G6977" s="221"/>
      <c r="H6977" s="221"/>
      <c r="I6977" s="221"/>
    </row>
    <row r="6978" spans="1:9">
      <c r="A6978" s="195"/>
      <c r="B6978" s="196" t="s">
        <v>220</v>
      </c>
      <c r="C6978"/>
      <c r="D6978" s="189"/>
      <c r="E6978" s="189"/>
      <c r="F6978" s="221"/>
      <c r="G6978" s="189" t="s">
        <v>925</v>
      </c>
      <c r="H6978" s="197"/>
      <c r="I6978" s="197"/>
    </row>
    <row r="6979" spans="1:9">
      <c r="A6979" s="195"/>
      <c r="B6979" s="195" t="s">
        <v>205</v>
      </c>
      <c r="C6979"/>
      <c r="D6979" s="197" t="s">
        <v>878</v>
      </c>
      <c r="E6979" s="197" t="s">
        <v>273</v>
      </c>
      <c r="F6979" s="221" t="s">
        <v>416</v>
      </c>
      <c r="G6979" s="197" t="s">
        <v>56</v>
      </c>
      <c r="H6979" s="197" t="s">
        <v>415</v>
      </c>
      <c r="I6979" s="209" t="s">
        <v>416</v>
      </c>
    </row>
    <row r="6980" spans="1:9">
      <c r="A6980" s="195"/>
      <c r="B6980" s="195" t="s">
        <v>206</v>
      </c>
      <c r="C6980"/>
      <c r="D6980" s="197" t="s">
        <v>878</v>
      </c>
      <c r="E6980" s="197" t="s">
        <v>273</v>
      </c>
      <c r="F6980" s="221" t="s">
        <v>1003</v>
      </c>
      <c r="G6980" s="197" t="s">
        <v>56</v>
      </c>
      <c r="H6980" s="197" t="s">
        <v>415</v>
      </c>
      <c r="I6980" s="209" t="s">
        <v>1004</v>
      </c>
    </row>
    <row r="6981" spans="1:9">
      <c r="A6981" s="195"/>
      <c r="B6981" s="195" t="s">
        <v>207</v>
      </c>
      <c r="C6981"/>
      <c r="D6981" s="197" t="s">
        <v>878</v>
      </c>
      <c r="E6981" s="197" t="s">
        <v>273</v>
      </c>
      <c r="F6981" s="221" t="s">
        <v>416</v>
      </c>
      <c r="G6981" s="197" t="s">
        <v>56</v>
      </c>
      <c r="H6981" s="197" t="s">
        <v>415</v>
      </c>
      <c r="I6981" s="209" t="s">
        <v>416</v>
      </c>
    </row>
    <row r="6982" spans="1:9">
      <c r="A6982" s="195"/>
      <c r="B6982" s="196" t="s">
        <v>222</v>
      </c>
      <c r="C6982"/>
      <c r="D6982" s="197" t="s">
        <v>523</v>
      </c>
      <c r="E6982" s="197" t="s">
        <v>273</v>
      </c>
      <c r="F6982" s="221" t="s">
        <v>416</v>
      </c>
      <c r="G6982" s="197"/>
      <c r="H6982" s="197" t="s">
        <v>415</v>
      </c>
      <c r="I6982" s="209" t="s">
        <v>416</v>
      </c>
    </row>
    <row r="6983" spans="1:9">
      <c r="A6983" s="195"/>
      <c r="B6983" s="195" t="s">
        <v>205</v>
      </c>
      <c r="C6983"/>
      <c r="D6983" s="197" t="s">
        <v>523</v>
      </c>
      <c r="E6983" s="197" t="s">
        <v>186</v>
      </c>
      <c r="F6983" s="221" t="s">
        <v>416</v>
      </c>
      <c r="G6983" s="197" t="s">
        <v>270</v>
      </c>
      <c r="H6983" s="197" t="s">
        <v>415</v>
      </c>
      <c r="I6983" s="209" t="s">
        <v>1005</v>
      </c>
    </row>
    <row r="6984" spans="1:9">
      <c r="A6984" s="195"/>
      <c r="B6984" s="195" t="s">
        <v>206</v>
      </c>
      <c r="C6984"/>
      <c r="D6984" s="197" t="s">
        <v>759</v>
      </c>
      <c r="E6984" s="197" t="s">
        <v>186</v>
      </c>
      <c r="F6984" s="221" t="s">
        <v>416</v>
      </c>
      <c r="G6984" s="197" t="s">
        <v>270</v>
      </c>
      <c r="H6984" s="197" t="s">
        <v>415</v>
      </c>
      <c r="I6984" s="209" t="s">
        <v>416</v>
      </c>
    </row>
    <row r="6985" spans="1:9">
      <c r="A6985" s="195"/>
      <c r="B6985" s="195" t="s">
        <v>207</v>
      </c>
      <c r="C6985"/>
      <c r="D6985" s="197" t="s">
        <v>759</v>
      </c>
      <c r="E6985" s="197" t="s">
        <v>186</v>
      </c>
      <c r="F6985" s="221" t="s">
        <v>416</v>
      </c>
      <c r="G6985" s="197" t="s">
        <v>270</v>
      </c>
      <c r="H6985" s="197" t="s">
        <v>415</v>
      </c>
      <c r="I6985" s="209" t="s">
        <v>416</v>
      </c>
    </row>
    <row r="6986" spans="1:9">
      <c r="A6986" s="195"/>
      <c r="B6986" s="196" t="s">
        <v>223</v>
      </c>
      <c r="C6986"/>
      <c r="D6986" s="197" t="s">
        <v>366</v>
      </c>
      <c r="E6986" s="197" t="s">
        <v>252</v>
      </c>
      <c r="F6986" s="221" t="s">
        <v>416</v>
      </c>
      <c r="G6986" s="197" t="s">
        <v>270</v>
      </c>
      <c r="H6986" s="197" t="s">
        <v>415</v>
      </c>
      <c r="I6986" s="209" t="s">
        <v>416</v>
      </c>
    </row>
    <row r="6987" spans="1:9">
      <c r="A6987" s="195"/>
      <c r="B6987" s="195" t="s">
        <v>205</v>
      </c>
      <c r="C6987"/>
      <c r="D6987" s="197" t="s">
        <v>366</v>
      </c>
      <c r="E6987" s="197" t="s">
        <v>252</v>
      </c>
      <c r="F6987" s="221" t="s">
        <v>416</v>
      </c>
      <c r="G6987" s="197" t="s">
        <v>270</v>
      </c>
      <c r="H6987" s="197" t="s">
        <v>415</v>
      </c>
      <c r="I6987" s="209" t="s">
        <v>416</v>
      </c>
    </row>
    <row r="6988" spans="1:9">
      <c r="A6988" s="195"/>
      <c r="B6988" s="195" t="s">
        <v>206</v>
      </c>
      <c r="C6988"/>
      <c r="D6988" s="197" t="s">
        <v>366</v>
      </c>
      <c r="E6988" s="197" t="s">
        <v>252</v>
      </c>
      <c r="F6988" s="221" t="s">
        <v>416</v>
      </c>
      <c r="G6988" s="197" t="s">
        <v>270</v>
      </c>
      <c r="H6988" s="197" t="s">
        <v>415</v>
      </c>
      <c r="I6988" s="209" t="s">
        <v>416</v>
      </c>
    </row>
    <row r="6989" spans="1:9">
      <c r="A6989" s="195"/>
      <c r="B6989" s="195" t="s">
        <v>207</v>
      </c>
      <c r="C6989"/>
      <c r="D6989" s="197" t="s">
        <v>216</v>
      </c>
      <c r="E6989" s="197" t="s">
        <v>252</v>
      </c>
      <c r="F6989" s="197" t="s">
        <v>416</v>
      </c>
      <c r="G6989" s="197" t="s">
        <v>270</v>
      </c>
      <c r="H6989" s="197" t="s">
        <v>415</v>
      </c>
      <c r="I6989" s="209" t="s">
        <v>416</v>
      </c>
    </row>
    <row r="6990" spans="1:9">
      <c r="A6990" s="195"/>
      <c r="B6990" s="196" t="s">
        <v>225</v>
      </c>
      <c r="C6990"/>
      <c r="D6990" s="197" t="s">
        <v>216</v>
      </c>
      <c r="E6990" s="197" t="s">
        <v>252</v>
      </c>
      <c r="F6990" s="197" t="s">
        <v>416</v>
      </c>
      <c r="G6990" s="197" t="s">
        <v>270</v>
      </c>
      <c r="H6990" s="197" t="s">
        <v>415</v>
      </c>
      <c r="I6990" s="209"/>
    </row>
    <row r="6991" spans="1:9">
      <c r="A6991" s="195"/>
      <c r="B6991" s="195" t="s">
        <v>205</v>
      </c>
      <c r="C6991"/>
      <c r="D6991" s="197" t="s">
        <v>216</v>
      </c>
      <c r="E6991" s="197" t="s">
        <v>252</v>
      </c>
      <c r="F6991" s="197" t="s">
        <v>416</v>
      </c>
      <c r="G6991" s="197" t="s">
        <v>270</v>
      </c>
      <c r="H6991" s="197" t="s">
        <v>415</v>
      </c>
      <c r="I6991" s="209"/>
    </row>
    <row r="6992" spans="1:9">
      <c r="A6992" s="195"/>
      <c r="B6992" s="195" t="s">
        <v>206</v>
      </c>
      <c r="C6992"/>
      <c r="D6992" s="197" t="s">
        <v>216</v>
      </c>
      <c r="E6992" s="197" t="s">
        <v>252</v>
      </c>
      <c r="F6992" s="197" t="s">
        <v>416</v>
      </c>
      <c r="G6992" s="197" t="s">
        <v>270</v>
      </c>
      <c r="H6992" s="197" t="s">
        <v>415</v>
      </c>
      <c r="I6992" s="209"/>
    </row>
    <row r="6993" spans="1:12">
      <c r="A6993" s="195"/>
      <c r="B6993" s="195" t="s">
        <v>207</v>
      </c>
      <c r="C6993"/>
      <c r="D6993" s="197"/>
      <c r="E6993" s="197" t="s">
        <v>252</v>
      </c>
      <c r="F6993" s="197"/>
      <c r="G6993" s="197" t="s">
        <v>270</v>
      </c>
      <c r="H6993" s="197"/>
      <c r="I6993" s="209"/>
    </row>
    <row r="6994" spans="1:12">
      <c r="A6994" s="195"/>
      <c r="B6994" s="196" t="s">
        <v>226</v>
      </c>
      <c r="C6994"/>
      <c r="D6994" s="197"/>
      <c r="E6994" s="197"/>
      <c r="F6994" s="197"/>
      <c r="G6994" s="197" t="s">
        <v>270</v>
      </c>
      <c r="H6994" s="209"/>
      <c r="I6994" s="209"/>
    </row>
    <row r="6995" spans="1:12">
      <c r="A6995" s="195"/>
      <c r="B6995" s="195" t="s">
        <v>205</v>
      </c>
      <c r="C6995"/>
      <c r="D6995" s="197"/>
      <c r="E6995" s="197"/>
      <c r="F6995" s="197"/>
      <c r="G6995" s="197"/>
      <c r="H6995" s="209"/>
      <c r="I6995" s="209"/>
    </row>
    <row r="6996" spans="1:12">
      <c r="A6996" s="195"/>
      <c r="B6996" s="195" t="s">
        <v>206</v>
      </c>
      <c r="C6996"/>
      <c r="D6996" s="197"/>
      <c r="E6996" s="197"/>
      <c r="F6996" s="197"/>
      <c r="G6996" s="197"/>
      <c r="H6996" s="209"/>
      <c r="I6996" s="209"/>
    </row>
    <row r="6997" spans="1:12">
      <c r="A6997" s="195"/>
      <c r="B6997" s="195" t="s">
        <v>207</v>
      </c>
      <c r="C6997"/>
      <c r="D6997" s="197"/>
      <c r="E6997" s="197"/>
      <c r="F6997" s="197"/>
      <c r="G6997" s="197"/>
      <c r="H6997" s="209"/>
      <c r="I6997" s="209"/>
    </row>
    <row r="6998" spans="1:12">
      <c r="A6998" s="195"/>
      <c r="B6998" s="196" t="s">
        <v>227</v>
      </c>
      <c r="C6998"/>
      <c r="D6998" s="197"/>
      <c r="E6998" s="197"/>
      <c r="F6998" s="197"/>
      <c r="G6998" s="197"/>
      <c r="H6998" s="209"/>
      <c r="I6998" s="209"/>
      <c r="K6998"/>
    </row>
    <row r="6999" spans="1:12" ht="29.25" thickBot="1">
      <c r="A6999" s="213" t="str">
        <f>"回収シフト  第"&amp;ROUNDUP(DAY(B7002)/7,0)  &amp;"  "&amp;TEXT(B7002,"aaaa")</f>
        <v>回収シフト  第4  木曜日</v>
      </c>
      <c r="B6999" s="214"/>
      <c r="C6999" s="214"/>
      <c r="D6999" s="214"/>
      <c r="E6999" s="214"/>
      <c r="F6999" s="214"/>
      <c r="G6999" s="215"/>
      <c r="H6999" s="215"/>
      <c r="I6999" s="215"/>
      <c r="K6999" s="214"/>
      <c r="L6999" s="214"/>
    </row>
    <row r="7000" spans="1:12" ht="15.75" thickBot="1">
      <c r="A7000"/>
      <c r="B7000"/>
      <c r="C7000"/>
      <c r="D7000" s="186" t="s">
        <v>201</v>
      </c>
      <c r="E7000" s="186" t="s">
        <v>202</v>
      </c>
      <c r="F7000" s="186" t="s">
        <v>203</v>
      </c>
      <c r="G7000" s="186" t="s">
        <v>204</v>
      </c>
      <c r="H7000" s="186" t="s">
        <v>267</v>
      </c>
      <c r="I7000" s="222" t="s">
        <v>267</v>
      </c>
      <c r="K7000" s="230" t="s">
        <v>257</v>
      </c>
      <c r="L7000" s="231"/>
    </row>
    <row r="7001" spans="1:12">
      <c r="A7001" s="187"/>
      <c r="B7001" s="188">
        <v>46119</v>
      </c>
      <c r="C7001" s="187"/>
      <c r="D7001" s="189" t="s">
        <v>923</v>
      </c>
      <c r="E7001" s="189" t="s">
        <v>858</v>
      </c>
      <c r="F7001" s="189" t="s">
        <v>891</v>
      </c>
      <c r="G7001" s="189" t="s">
        <v>728</v>
      </c>
      <c r="H7001" s="189" t="s">
        <v>852</v>
      </c>
      <c r="I7001" s="223" t="s">
        <v>852</v>
      </c>
      <c r="K7001" s="232" t="s">
        <v>258</v>
      </c>
      <c r="L7001" s="190" t="str">
        <f>_xlfn.XLOOKUP($B7002,シフト抽出!$19:$19,シフト抽出!$20:$20,"該当なし",0,1)</f>
        <v>該当なし</v>
      </c>
    </row>
    <row r="7002" spans="1:12" ht="19.5" thickBot="1">
      <c r="A7002"/>
      <c r="B7002" s="191">
        <f>B6949+1</f>
        <v>46261</v>
      </c>
      <c r="C7002" s="192"/>
      <c r="D7002" s="216"/>
      <c r="E7002" s="216"/>
      <c r="F7002" s="216"/>
      <c r="G7002" s="216"/>
      <c r="H7002" s="216"/>
      <c r="I7002" s="216"/>
      <c r="K7002" s="233"/>
      <c r="L7002" s="194" t="str">
        <f>_xlfn.XLOOKUP($B7002,シフト抽出!$19:$19,シフト抽出!$21:$21,"該当なし",0,1)</f>
        <v>該当なし</v>
      </c>
    </row>
    <row r="7003" spans="1:12">
      <c r="A7003" s="195"/>
      <c r="B7003" s="196">
        <v>0.25</v>
      </c>
      <c r="C7003"/>
      <c r="D7003" s="197"/>
      <c r="E7003" s="196"/>
      <c r="F7003" s="197"/>
      <c r="G7003" s="197"/>
      <c r="H7003" s="197"/>
      <c r="I7003" s="197"/>
      <c r="K7003" s="234" t="s">
        <v>259</v>
      </c>
      <c r="L7003" s="198" t="str">
        <f>_xlfn.XLOOKUP($B7002,シフト抽出!$19:$19,シフト抽出!$23:$23,"該当なし",0,1)</f>
        <v>該当なし</v>
      </c>
    </row>
    <row r="7004" spans="1:12" ht="15.75" thickBot="1">
      <c r="A7004" s="195"/>
      <c r="B7004" s="195" t="s">
        <v>205</v>
      </c>
      <c r="C7004"/>
      <c r="D7004" s="197"/>
      <c r="E7004" s="197"/>
      <c r="F7004" s="197"/>
      <c r="G7004" s="197"/>
      <c r="H7004" s="197"/>
      <c r="I7004" s="209"/>
      <c r="K7004" s="235"/>
      <c r="L7004" s="199" t="str">
        <f>_xlfn.XLOOKUP($B7002,シフト抽出!$19:$19,シフト抽出!$24:$24,"該当なし",0,1)</f>
        <v>該当なし</v>
      </c>
    </row>
    <row r="7005" spans="1:12">
      <c r="A7005" s="195"/>
      <c r="B7005" s="195" t="s">
        <v>206</v>
      </c>
      <c r="C7005"/>
      <c r="D7005" s="197"/>
      <c r="E7005" s="197"/>
      <c r="F7005" s="197"/>
      <c r="G7005" s="197"/>
      <c r="H7005" s="197"/>
      <c r="I7005" s="209"/>
      <c r="K7005" s="224" t="s">
        <v>260</v>
      </c>
      <c r="L7005" s="200" t="str">
        <f>_xlfn.XLOOKUP($B7002,シフト抽出!$19:$19,シフト抽出!$26:$26,"該当なし",0,1)</f>
        <v>該当なし</v>
      </c>
    </row>
    <row r="7006" spans="1:12">
      <c r="A7006" s="195"/>
      <c r="B7006" s="195" t="s">
        <v>207</v>
      </c>
      <c r="C7006"/>
      <c r="D7006" s="197"/>
      <c r="E7006" s="197"/>
      <c r="F7006" s="197"/>
      <c r="G7006" s="197"/>
      <c r="H7006" s="197"/>
      <c r="I7006" s="209"/>
      <c r="K7006" s="225"/>
      <c r="L7006" s="201" t="str">
        <f>_xlfn.XLOOKUP($B7002,シフト抽出!$19:$19,シフト抽出!$27:$27,"該当なし",0,1)</f>
        <v>該当なし</v>
      </c>
    </row>
    <row r="7007" spans="1:12">
      <c r="A7007" s="195"/>
      <c r="B7007" s="202" t="s">
        <v>208</v>
      </c>
      <c r="C7007"/>
      <c r="D7007" s="197" t="s">
        <v>4</v>
      </c>
      <c r="E7007" s="197" t="s">
        <v>4</v>
      </c>
      <c r="F7007" s="197"/>
      <c r="G7007" s="197" t="s">
        <v>4</v>
      </c>
      <c r="H7007" s="197"/>
      <c r="I7007" s="209" t="s">
        <v>4</v>
      </c>
      <c r="J7007" s="203"/>
      <c r="K7007" s="225"/>
      <c r="L7007" s="201" t="str">
        <f>_xlfn.XLOOKUP($B7002,シフト抽出!$19:$19,シフト抽出!$28:$28,"該当なし",0,1)</f>
        <v>該当なし</v>
      </c>
    </row>
    <row r="7008" spans="1:12" ht="15.75" thickBot="1">
      <c r="A7008" s="195"/>
      <c r="B7008" s="195" t="s">
        <v>205</v>
      </c>
      <c r="C7008"/>
      <c r="D7008" s="197" t="s">
        <v>414</v>
      </c>
      <c r="E7008" s="197" t="s">
        <v>421</v>
      </c>
      <c r="F7008" s="197"/>
      <c r="G7008" s="197" t="s">
        <v>22</v>
      </c>
      <c r="H7008" s="197"/>
      <c r="I7008" s="209" t="s">
        <v>851</v>
      </c>
      <c r="J7008" s="203"/>
      <c r="K7008" s="226"/>
      <c r="L7008" s="204" t="str">
        <f>_xlfn.XLOOKUP($B7002,シフト抽出!$19:$19,シフト抽出!$29:$29,"該当なし",0,1)</f>
        <v>該当なし</v>
      </c>
    </row>
    <row r="7009" spans="1:12" ht="15.75" thickBot="1">
      <c r="A7009" s="195"/>
      <c r="B7009" s="195" t="s">
        <v>206</v>
      </c>
      <c r="C7009"/>
      <c r="D7009" s="197" t="s">
        <v>414</v>
      </c>
      <c r="E7009" s="197" t="s">
        <v>421</v>
      </c>
      <c r="F7009" s="197"/>
      <c r="G7009" s="197" t="s">
        <v>22</v>
      </c>
      <c r="H7009" s="197"/>
      <c r="I7009" s="209" t="s">
        <v>851</v>
      </c>
      <c r="K7009" s="205" t="s">
        <v>261</v>
      </c>
      <c r="L7009" s="205">
        <f>_xlfn.XLOOKUP($B7002,予定表!B:B,予定表!R:R,"該当なし",0,1)</f>
        <v>0</v>
      </c>
    </row>
    <row r="7010" spans="1:12">
      <c r="A7010" s="195"/>
      <c r="B7010" s="195" t="s">
        <v>207</v>
      </c>
      <c r="C7010"/>
      <c r="D7010" s="197" t="s">
        <v>414</v>
      </c>
      <c r="E7010" s="197" t="s">
        <v>421</v>
      </c>
      <c r="F7010" s="197"/>
      <c r="G7010" s="197" t="s">
        <v>22</v>
      </c>
      <c r="H7010" s="197"/>
      <c r="I7010" s="209" t="s">
        <v>851</v>
      </c>
      <c r="K7010" s="227" t="s">
        <v>262</v>
      </c>
      <c r="L7010" s="206">
        <f>_xlfn.XLOOKUP($B7002,予定表!$B:$B,予定表!E:E,"該当なし",0,1)</f>
        <v>0</v>
      </c>
    </row>
    <row r="7011" spans="1:12">
      <c r="A7011" s="195"/>
      <c r="B7011" s="196" t="s">
        <v>209</v>
      </c>
      <c r="C7011"/>
      <c r="D7011" s="197" t="s">
        <v>414</v>
      </c>
      <c r="E7011" s="197" t="s">
        <v>421</v>
      </c>
      <c r="F7011" s="197" t="s">
        <v>70</v>
      </c>
      <c r="G7011" s="197" t="s">
        <v>268</v>
      </c>
      <c r="H7011" s="197" t="s">
        <v>4</v>
      </c>
      <c r="I7011" s="209" t="s">
        <v>851</v>
      </c>
      <c r="K7011" s="228"/>
      <c r="L7011" s="207">
        <f>_xlfn.XLOOKUP($B7002,予定表!$B:$B,予定表!F:F,"該当なし",0,1)</f>
        <v>0</v>
      </c>
    </row>
    <row r="7012" spans="1:12">
      <c r="A7012" s="195"/>
      <c r="B7012" s="195" t="s">
        <v>205</v>
      </c>
      <c r="C7012"/>
      <c r="D7012" s="197" t="s">
        <v>414</v>
      </c>
      <c r="E7012" s="197" t="s">
        <v>421</v>
      </c>
      <c r="F7012" s="197" t="s">
        <v>70</v>
      </c>
      <c r="G7012" s="197" t="s">
        <v>268</v>
      </c>
      <c r="H7012" s="197" t="s">
        <v>60</v>
      </c>
      <c r="I7012" s="209" t="s">
        <v>851</v>
      </c>
      <c r="K7012" s="228"/>
      <c r="L7012" s="207">
        <f>_xlfn.XLOOKUP($B7002,予定表!$B:$B,予定表!G:G,"該当なし",0,1)</f>
        <v>0</v>
      </c>
    </row>
    <row r="7013" spans="1:12">
      <c r="A7013" s="195"/>
      <c r="B7013" s="195" t="s">
        <v>206</v>
      </c>
      <c r="C7013"/>
      <c r="D7013" s="197" t="s">
        <v>214</v>
      </c>
      <c r="E7013" s="197" t="s">
        <v>934</v>
      </c>
      <c r="F7013" s="197" t="s">
        <v>70</v>
      </c>
      <c r="G7013" s="197" t="s">
        <v>268</v>
      </c>
      <c r="H7013" s="197" t="s">
        <v>60</v>
      </c>
      <c r="I7013" s="209" t="s">
        <v>851</v>
      </c>
      <c r="K7013" s="228"/>
      <c r="L7013" s="207" t="str">
        <f>_xlfn.XLOOKUP($B7002,予定表!$B:$B,予定表!H:H,"該当なし",0,1)</f>
        <v>鴻池戸田15</v>
      </c>
    </row>
    <row r="7014" spans="1:12">
      <c r="A7014" s="195"/>
      <c r="B7014" s="195" t="s">
        <v>207</v>
      </c>
      <c r="C7014"/>
      <c r="D7014" s="197" t="s">
        <v>214</v>
      </c>
      <c r="E7014" s="197" t="s">
        <v>273</v>
      </c>
      <c r="F7014" s="197" t="s">
        <v>70</v>
      </c>
      <c r="G7014" s="197" t="s">
        <v>268</v>
      </c>
      <c r="H7014" s="197" t="s">
        <v>60</v>
      </c>
      <c r="I7014" s="209"/>
      <c r="K7014" s="228"/>
      <c r="L7014" s="207" t="str">
        <f>_xlfn.XLOOKUP($B7002,予定表!$B:$B,予定表!I:I,"該当なし",0,1)</f>
        <v>カインズAM8</v>
      </c>
    </row>
    <row r="7015" spans="1:12">
      <c r="A7015" s="195"/>
      <c r="B7015" s="196" t="s">
        <v>212</v>
      </c>
      <c r="C7015"/>
      <c r="D7015" s="197" t="s">
        <v>214</v>
      </c>
      <c r="E7015" s="197" t="s">
        <v>273</v>
      </c>
      <c r="F7015" s="197" t="s">
        <v>70</v>
      </c>
      <c r="G7015" s="197" t="s">
        <v>268</v>
      </c>
      <c r="H7015" s="197"/>
      <c r="I7015" s="209"/>
      <c r="K7015" s="228"/>
      <c r="L7015" s="207">
        <f>_xlfn.XLOOKUP($B7002,予定表!$B:$B,予定表!J:J,"該当なし",0,1)</f>
        <v>0</v>
      </c>
    </row>
    <row r="7016" spans="1:12">
      <c r="A7016" s="195"/>
      <c r="B7016" s="195" t="s">
        <v>205</v>
      </c>
      <c r="C7016"/>
      <c r="D7016" s="197" t="s">
        <v>761</v>
      </c>
      <c r="E7016" s="197" t="s">
        <v>228</v>
      </c>
      <c r="F7016" s="197" t="s">
        <v>70</v>
      </c>
      <c r="G7016" s="197" t="s">
        <v>268</v>
      </c>
      <c r="H7016" s="197" t="s">
        <v>230</v>
      </c>
      <c r="I7016" s="209"/>
      <c r="K7016" s="228"/>
      <c r="L7016" s="207">
        <f>_xlfn.XLOOKUP($B7002,予定表!$B:$B,予定表!K:K,"該当なし",0,1)</f>
        <v>0</v>
      </c>
    </row>
    <row r="7017" spans="1:12">
      <c r="A7017" s="195"/>
      <c r="B7017" s="195" t="s">
        <v>206</v>
      </c>
      <c r="C7017"/>
      <c r="D7017" s="197" t="s">
        <v>761</v>
      </c>
      <c r="E7017" s="197" t="s">
        <v>228</v>
      </c>
      <c r="F7017" s="197" t="s">
        <v>70</v>
      </c>
      <c r="G7017" s="197" t="s">
        <v>169</v>
      </c>
      <c r="H7017" s="197" t="s">
        <v>230</v>
      </c>
      <c r="I7017" s="209"/>
      <c r="K7017" s="228"/>
      <c r="L7017" s="207">
        <f>_xlfn.XLOOKUP($B7002,予定表!$B:$B,予定表!L:L,"該当なし",0,1)</f>
        <v>0</v>
      </c>
    </row>
    <row r="7018" spans="1:12" ht="15.75" thickBot="1">
      <c r="A7018" s="195"/>
      <c r="B7018" s="195" t="s">
        <v>207</v>
      </c>
      <c r="C7018"/>
      <c r="D7018" s="197" t="s">
        <v>761</v>
      </c>
      <c r="E7018" s="197" t="s">
        <v>959</v>
      </c>
      <c r="F7018" s="197" t="s">
        <v>70</v>
      </c>
      <c r="G7018" s="197" t="s">
        <v>169</v>
      </c>
      <c r="H7018" s="197" t="s">
        <v>230</v>
      </c>
      <c r="I7018" s="209"/>
      <c r="K7018" s="229"/>
      <c r="L7018" s="204" t="str">
        <f>_xlfn.XLOOKUP($A6999,ﾘｽﾄマスタ!$U$8:$U$17,ﾘｽﾄマスタ!$V$8:$V$17,"",0)</f>
        <v/>
      </c>
    </row>
    <row r="7019" spans="1:12" ht="15.75" thickBot="1">
      <c r="A7019" s="195"/>
      <c r="B7019" s="196" t="s">
        <v>251</v>
      </c>
      <c r="C7019"/>
      <c r="D7019" s="197" t="s">
        <v>7</v>
      </c>
      <c r="E7019" s="197" t="s">
        <v>228</v>
      </c>
      <c r="F7019" s="197" t="s">
        <v>70</v>
      </c>
      <c r="G7019" s="197" t="s">
        <v>169</v>
      </c>
      <c r="H7019" s="197" t="s">
        <v>229</v>
      </c>
      <c r="I7019" s="209"/>
      <c r="K7019" s="208" t="s">
        <v>277</v>
      </c>
      <c r="L7019" s="208" t="str">
        <f>_xlfn.XLOOKUP($B7002,シフト抽出!$19:$19,シフト抽出!$30:$30,"該当なし",0,1)</f>
        <v>該当なし</v>
      </c>
    </row>
    <row r="7020" spans="1:12">
      <c r="A7020" s="195"/>
      <c r="B7020" s="195" t="s">
        <v>205</v>
      </c>
      <c r="C7020"/>
      <c r="D7020" s="197" t="s">
        <v>129</v>
      </c>
      <c r="E7020" s="197" t="s">
        <v>228</v>
      </c>
      <c r="F7020" s="197" t="s">
        <v>70</v>
      </c>
      <c r="G7020" s="197" t="s">
        <v>169</v>
      </c>
      <c r="H7020" s="197" t="s">
        <v>229</v>
      </c>
      <c r="I7020" s="209"/>
    </row>
    <row r="7021" spans="1:12">
      <c r="A7021" s="195"/>
      <c r="B7021" s="195" t="s">
        <v>206</v>
      </c>
      <c r="C7021"/>
      <c r="D7021" s="197" t="s">
        <v>129</v>
      </c>
      <c r="E7021" s="197" t="s">
        <v>263</v>
      </c>
      <c r="F7021" s="197" t="s">
        <v>70</v>
      </c>
      <c r="G7021" s="197" t="s">
        <v>169</v>
      </c>
      <c r="H7021" s="197" t="s">
        <v>848</v>
      </c>
      <c r="I7021" s="209"/>
    </row>
    <row r="7022" spans="1:12">
      <c r="A7022" s="195"/>
      <c r="B7022" s="195" t="s">
        <v>207</v>
      </c>
      <c r="C7022"/>
      <c r="D7022" s="197" t="s">
        <v>129</v>
      </c>
      <c r="E7022" s="197" t="s">
        <v>263</v>
      </c>
      <c r="F7022" s="197" t="s">
        <v>70</v>
      </c>
      <c r="G7022" s="197" t="s">
        <v>75</v>
      </c>
      <c r="H7022" s="197" t="s">
        <v>848</v>
      </c>
      <c r="I7022" s="209"/>
    </row>
    <row r="7023" spans="1:12">
      <c r="A7023" s="195"/>
      <c r="B7023" s="196" t="s">
        <v>217</v>
      </c>
      <c r="C7023"/>
      <c r="D7023" s="197" t="s">
        <v>129</v>
      </c>
      <c r="E7023" s="197" t="s">
        <v>263</v>
      </c>
      <c r="F7023" s="197" t="s">
        <v>70</v>
      </c>
      <c r="G7023" s="197" t="s">
        <v>169</v>
      </c>
      <c r="H7023" s="197" t="s">
        <v>848</v>
      </c>
      <c r="I7023" s="209"/>
    </row>
    <row r="7024" spans="1:12">
      <c r="A7024" s="195"/>
      <c r="B7024" s="195" t="s">
        <v>205</v>
      </c>
      <c r="C7024"/>
      <c r="D7024" s="197" t="s">
        <v>51</v>
      </c>
      <c r="E7024" s="197" t="s">
        <v>848</v>
      </c>
      <c r="F7024" s="197" t="s">
        <v>70</v>
      </c>
      <c r="G7024" s="197" t="s">
        <v>169</v>
      </c>
      <c r="H7024" s="197" t="s">
        <v>848</v>
      </c>
      <c r="I7024" s="209"/>
    </row>
    <row r="7025" spans="1:9">
      <c r="A7025" s="195"/>
      <c r="B7025" s="195" t="s">
        <v>206</v>
      </c>
      <c r="C7025"/>
      <c r="D7025" s="197" t="s">
        <v>51</v>
      </c>
      <c r="E7025" s="197" t="s">
        <v>848</v>
      </c>
      <c r="F7025" s="197" t="s">
        <v>70</v>
      </c>
      <c r="G7025" s="197" t="s">
        <v>278</v>
      </c>
      <c r="H7025" s="197" t="s">
        <v>848</v>
      </c>
      <c r="I7025" s="209"/>
    </row>
    <row r="7026" spans="1:9">
      <c r="A7026" s="195"/>
      <c r="B7026" s="195" t="s">
        <v>207</v>
      </c>
      <c r="C7026"/>
      <c r="D7026" s="197" t="s">
        <v>51</v>
      </c>
      <c r="E7026" s="197" t="s">
        <v>848</v>
      </c>
      <c r="F7026" s="197" t="s">
        <v>70</v>
      </c>
      <c r="G7026" s="197" t="s">
        <v>278</v>
      </c>
      <c r="H7026" s="197" t="s">
        <v>848</v>
      </c>
      <c r="I7026" s="209"/>
    </row>
    <row r="7027" spans="1:9">
      <c r="A7027" s="195"/>
      <c r="B7027" s="196" t="s">
        <v>219</v>
      </c>
      <c r="C7027" s="197"/>
      <c r="D7027" s="197"/>
      <c r="E7027" s="197"/>
      <c r="F7027" s="197" t="s">
        <v>70</v>
      </c>
      <c r="G7027" s="197"/>
      <c r="H7027" s="197"/>
      <c r="I7027" s="209"/>
    </row>
    <row r="7028" spans="1:9">
      <c r="A7028" s="195"/>
      <c r="B7028" s="195" t="s">
        <v>205</v>
      </c>
      <c r="C7028"/>
      <c r="D7028" s="197"/>
      <c r="E7028" s="197"/>
      <c r="F7028" s="197" t="s">
        <v>70</v>
      </c>
      <c r="G7028" s="197"/>
      <c r="H7028" s="197"/>
      <c r="I7028" s="209"/>
    </row>
    <row r="7029" spans="1:9">
      <c r="A7029" s="195"/>
      <c r="B7029" s="195" t="s">
        <v>206</v>
      </c>
      <c r="C7029"/>
      <c r="D7029" s="197"/>
      <c r="E7029" s="197"/>
      <c r="F7029" s="197"/>
      <c r="G7029" s="197"/>
      <c r="H7029" s="197"/>
      <c r="I7029" s="209"/>
    </row>
    <row r="7030" spans="1:9">
      <c r="A7030" s="195"/>
      <c r="B7030" s="195" t="s">
        <v>207</v>
      </c>
      <c r="C7030"/>
      <c r="D7030" s="197"/>
      <c r="E7030" s="197"/>
      <c r="F7030" s="197"/>
      <c r="G7030" s="197"/>
      <c r="H7030" s="197"/>
      <c r="I7030" s="209"/>
    </row>
    <row r="7031" spans="1:9">
      <c r="A7031" s="195"/>
      <c r="B7031" s="196" t="s">
        <v>220</v>
      </c>
      <c r="C7031"/>
      <c r="D7031" s="189" t="s">
        <v>978</v>
      </c>
      <c r="E7031" s="189" t="s">
        <v>937</v>
      </c>
      <c r="F7031" s="197"/>
      <c r="G7031" s="197"/>
      <c r="H7031" s="197"/>
      <c r="I7031" s="209"/>
    </row>
    <row r="7032" spans="1:9">
      <c r="A7032" s="195"/>
      <c r="B7032" s="195" t="s">
        <v>205</v>
      </c>
      <c r="C7032"/>
      <c r="D7032" s="197" t="s">
        <v>114</v>
      </c>
      <c r="E7032" s="197" t="s">
        <v>95</v>
      </c>
      <c r="F7032" s="197" t="s">
        <v>252</v>
      </c>
      <c r="G7032" s="197" t="s">
        <v>56</v>
      </c>
      <c r="H7032" s="197" t="s">
        <v>415</v>
      </c>
      <c r="I7032" s="209" t="s">
        <v>416</v>
      </c>
    </row>
    <row r="7033" spans="1:9">
      <c r="A7033" s="195"/>
      <c r="B7033" s="195" t="s">
        <v>206</v>
      </c>
      <c r="C7033"/>
      <c r="D7033" s="197" t="s">
        <v>114</v>
      </c>
      <c r="E7033" s="197" t="s">
        <v>95</v>
      </c>
      <c r="F7033" s="197" t="s">
        <v>252</v>
      </c>
      <c r="G7033" s="197" t="s">
        <v>56</v>
      </c>
      <c r="H7033" s="197" t="s">
        <v>415</v>
      </c>
      <c r="I7033" s="209" t="s">
        <v>1004</v>
      </c>
    </row>
    <row r="7034" spans="1:9">
      <c r="A7034" s="195"/>
      <c r="B7034" s="195" t="s">
        <v>207</v>
      </c>
      <c r="C7034"/>
      <c r="D7034" s="197" t="s">
        <v>515</v>
      </c>
      <c r="E7034" s="197" t="s">
        <v>95</v>
      </c>
      <c r="F7034" s="197" t="s">
        <v>252</v>
      </c>
      <c r="G7034" s="197" t="s">
        <v>56</v>
      </c>
      <c r="H7034" s="197" t="s">
        <v>415</v>
      </c>
      <c r="I7034" s="209" t="s">
        <v>416</v>
      </c>
    </row>
    <row r="7035" spans="1:9">
      <c r="A7035" s="195"/>
      <c r="B7035" s="196" t="s">
        <v>222</v>
      </c>
      <c r="C7035"/>
      <c r="D7035" s="197" t="s">
        <v>515</v>
      </c>
      <c r="E7035" s="197" t="s">
        <v>95</v>
      </c>
      <c r="F7035" s="197" t="s">
        <v>252</v>
      </c>
      <c r="G7035" s="197" t="s">
        <v>56</v>
      </c>
      <c r="H7035" s="197" t="s">
        <v>415</v>
      </c>
      <c r="I7035" s="209" t="s">
        <v>416</v>
      </c>
    </row>
    <row r="7036" spans="1:9">
      <c r="A7036" s="195"/>
      <c r="B7036" s="195" t="s">
        <v>205</v>
      </c>
      <c r="C7036"/>
      <c r="D7036" s="197" t="s">
        <v>515</v>
      </c>
      <c r="E7036" s="197" t="s">
        <v>95</v>
      </c>
      <c r="F7036" s="197" t="s">
        <v>252</v>
      </c>
      <c r="G7036" s="197"/>
      <c r="H7036" s="197" t="s">
        <v>415</v>
      </c>
      <c r="I7036" s="209" t="s">
        <v>416</v>
      </c>
    </row>
    <row r="7037" spans="1:9">
      <c r="A7037" s="195"/>
      <c r="B7037" s="195" t="s">
        <v>206</v>
      </c>
      <c r="C7037"/>
      <c r="D7037" s="197" t="s">
        <v>269</v>
      </c>
      <c r="E7037" s="197" t="s">
        <v>95</v>
      </c>
      <c r="F7037" s="197" t="s">
        <v>252</v>
      </c>
      <c r="G7037" s="197" t="s">
        <v>270</v>
      </c>
      <c r="H7037" s="197" t="s">
        <v>415</v>
      </c>
      <c r="I7037" s="209" t="s">
        <v>416</v>
      </c>
    </row>
    <row r="7038" spans="1:9">
      <c r="A7038" s="195"/>
      <c r="B7038" s="195" t="s">
        <v>207</v>
      </c>
      <c r="C7038"/>
      <c r="D7038" s="197" t="s">
        <v>269</v>
      </c>
      <c r="E7038" s="197" t="s">
        <v>95</v>
      </c>
      <c r="F7038" s="197" t="s">
        <v>252</v>
      </c>
      <c r="G7038" s="197" t="s">
        <v>270</v>
      </c>
      <c r="H7038" s="197" t="s">
        <v>415</v>
      </c>
      <c r="I7038" s="209" t="s">
        <v>416</v>
      </c>
    </row>
    <row r="7039" spans="1:9">
      <c r="A7039" s="195"/>
      <c r="B7039" s="196" t="s">
        <v>223</v>
      </c>
      <c r="C7039"/>
      <c r="D7039" s="197" t="s">
        <v>362</v>
      </c>
      <c r="E7039" s="197" t="s">
        <v>252</v>
      </c>
      <c r="F7039" s="197" t="s">
        <v>252</v>
      </c>
      <c r="G7039" s="197" t="s">
        <v>270</v>
      </c>
      <c r="H7039" s="197" t="s">
        <v>538</v>
      </c>
      <c r="I7039" s="209" t="s">
        <v>416</v>
      </c>
    </row>
    <row r="7040" spans="1:9">
      <c r="A7040" s="195"/>
      <c r="B7040" s="195" t="s">
        <v>205</v>
      </c>
      <c r="C7040"/>
      <c r="D7040" s="197" t="s">
        <v>237</v>
      </c>
      <c r="E7040" s="197" t="s">
        <v>252</v>
      </c>
      <c r="F7040" s="197" t="s">
        <v>252</v>
      </c>
      <c r="G7040" s="197" t="s">
        <v>270</v>
      </c>
      <c r="H7040" s="197" t="s">
        <v>1006</v>
      </c>
      <c r="I7040" s="209" t="s">
        <v>416</v>
      </c>
    </row>
    <row r="7041" spans="1:12">
      <c r="A7041" s="195"/>
      <c r="B7041" s="195" t="s">
        <v>206</v>
      </c>
      <c r="C7041"/>
      <c r="D7041" s="197" t="s">
        <v>236</v>
      </c>
      <c r="E7041" s="197" t="s">
        <v>252</v>
      </c>
      <c r="F7041" s="197" t="s">
        <v>252</v>
      </c>
      <c r="G7041" s="197" t="s">
        <v>270</v>
      </c>
      <c r="H7041" s="197" t="s">
        <v>416</v>
      </c>
      <c r="I7041" s="209" t="s">
        <v>416</v>
      </c>
    </row>
    <row r="7042" spans="1:12">
      <c r="A7042" s="195"/>
      <c r="B7042" s="195" t="s">
        <v>207</v>
      </c>
      <c r="C7042"/>
      <c r="D7042" s="197" t="s">
        <v>193</v>
      </c>
      <c r="E7042" s="197" t="s">
        <v>252</v>
      </c>
      <c r="F7042" s="197" t="s">
        <v>252</v>
      </c>
      <c r="G7042" s="197" t="s">
        <v>270</v>
      </c>
      <c r="H7042" s="197"/>
      <c r="I7042" s="209" t="s">
        <v>416</v>
      </c>
    </row>
    <row r="7043" spans="1:12">
      <c r="A7043" s="195"/>
      <c r="B7043" s="196" t="s">
        <v>225</v>
      </c>
      <c r="C7043"/>
      <c r="D7043" s="197"/>
      <c r="E7043" s="197" t="s">
        <v>252</v>
      </c>
      <c r="F7043" s="197" t="s">
        <v>252</v>
      </c>
      <c r="G7043" s="197" t="s">
        <v>270</v>
      </c>
      <c r="H7043" s="197" t="s">
        <v>415</v>
      </c>
      <c r="I7043" s="209" t="s">
        <v>416</v>
      </c>
    </row>
    <row r="7044" spans="1:12">
      <c r="A7044" s="195"/>
      <c r="B7044" s="195" t="s">
        <v>205</v>
      </c>
      <c r="C7044"/>
      <c r="D7044" s="197"/>
      <c r="E7044" s="197" t="s">
        <v>395</v>
      </c>
      <c r="F7044" s="197" t="s">
        <v>252</v>
      </c>
      <c r="G7044" s="197" t="s">
        <v>270</v>
      </c>
      <c r="H7044" s="197" t="s">
        <v>415</v>
      </c>
      <c r="I7044" s="209" t="s">
        <v>416</v>
      </c>
    </row>
    <row r="7045" spans="1:12">
      <c r="A7045" s="195"/>
      <c r="B7045" s="195" t="s">
        <v>206</v>
      </c>
      <c r="C7045"/>
      <c r="D7045" s="197"/>
      <c r="E7045" s="197"/>
      <c r="F7045" s="197"/>
      <c r="G7045" s="197" t="s">
        <v>270</v>
      </c>
      <c r="H7045" s="197" t="s">
        <v>415</v>
      </c>
      <c r="I7045" s="209"/>
    </row>
    <row r="7046" spans="1:12">
      <c r="A7046" s="195"/>
      <c r="B7046" s="195" t="s">
        <v>207</v>
      </c>
      <c r="C7046"/>
      <c r="D7046" s="197"/>
      <c r="E7046" s="197"/>
      <c r="F7046" s="197"/>
      <c r="G7046" s="197" t="s">
        <v>270</v>
      </c>
      <c r="H7046" s="197" t="s">
        <v>415</v>
      </c>
      <c r="I7046" s="209"/>
    </row>
    <row r="7047" spans="1:12">
      <c r="A7047" s="195"/>
      <c r="B7047" s="196" t="s">
        <v>226</v>
      </c>
      <c r="C7047"/>
      <c r="D7047" s="197"/>
      <c r="E7047" s="197"/>
      <c r="F7047" s="197"/>
      <c r="G7047" s="197"/>
      <c r="H7047" s="209"/>
      <c r="I7047" s="209"/>
    </row>
    <row r="7048" spans="1:12">
      <c r="A7048" s="195"/>
      <c r="B7048" s="195" t="s">
        <v>205</v>
      </c>
      <c r="C7048"/>
      <c r="D7048" s="197"/>
      <c r="E7048" s="197"/>
      <c r="F7048" s="197"/>
      <c r="G7048" s="197"/>
      <c r="H7048" s="209"/>
      <c r="I7048" s="209"/>
    </row>
    <row r="7049" spans="1:12">
      <c r="A7049" s="195"/>
      <c r="B7049" s="195" t="s">
        <v>206</v>
      </c>
      <c r="C7049"/>
      <c r="D7049" s="197"/>
      <c r="E7049" s="197"/>
      <c r="F7049" s="197"/>
      <c r="G7049" s="197"/>
      <c r="H7049" s="209"/>
      <c r="I7049" s="209"/>
    </row>
    <row r="7050" spans="1:12">
      <c r="A7050" s="195"/>
      <c r="B7050" s="195" t="s">
        <v>207</v>
      </c>
      <c r="C7050"/>
      <c r="D7050" s="197"/>
      <c r="E7050" s="197"/>
      <c r="F7050" s="197"/>
      <c r="G7050" s="197"/>
      <c r="H7050" s="209"/>
      <c r="I7050" s="209"/>
    </row>
    <row r="7051" spans="1:12">
      <c r="A7051" s="195"/>
      <c r="B7051" s="196" t="s">
        <v>227</v>
      </c>
      <c r="C7051"/>
      <c r="D7051" s="197"/>
      <c r="E7051" s="197"/>
      <c r="F7051" s="197"/>
      <c r="G7051" s="197"/>
      <c r="H7051" s="209"/>
      <c r="I7051" s="209"/>
      <c r="K7051"/>
    </row>
    <row r="7052" spans="1:12" ht="29.25" thickBot="1">
      <c r="A7052" s="213" t="str">
        <f>"回収シフト  第"&amp;ROUNDUP(DAY(B7055)/7,0)  &amp;"  "&amp;TEXT(B7055,"aaaa")</f>
        <v>回収シフト  第4  金曜日</v>
      </c>
      <c r="B7052" s="214"/>
      <c r="C7052" s="214"/>
      <c r="D7052" s="214"/>
      <c r="E7052" s="214"/>
      <c r="F7052" s="214"/>
      <c r="G7052" s="215"/>
      <c r="H7052" s="215"/>
      <c r="I7052" s="215"/>
      <c r="K7052" s="214"/>
      <c r="L7052" s="214"/>
    </row>
    <row r="7053" spans="1:12" ht="15.75" thickBot="1">
      <c r="A7053"/>
      <c r="B7053"/>
      <c r="C7053"/>
      <c r="D7053" s="186" t="s">
        <v>201</v>
      </c>
      <c r="E7053" s="186" t="s">
        <v>202</v>
      </c>
      <c r="F7053" s="186" t="s">
        <v>203</v>
      </c>
      <c r="G7053" s="186" t="s">
        <v>204</v>
      </c>
      <c r="H7053" s="186" t="s">
        <v>267</v>
      </c>
      <c r="I7053" s="222" t="s">
        <v>987</v>
      </c>
      <c r="K7053" s="230" t="s">
        <v>257</v>
      </c>
      <c r="L7053" s="231"/>
    </row>
    <row r="7054" spans="1:12">
      <c r="A7054" s="187"/>
      <c r="B7054" s="188">
        <v>46119</v>
      </c>
      <c r="C7054" s="187"/>
      <c r="D7054" s="189" t="s">
        <v>926</v>
      </c>
      <c r="E7054" s="189" t="s">
        <v>937</v>
      </c>
      <c r="F7054" s="189" t="s">
        <v>69</v>
      </c>
      <c r="G7054" s="189" t="s">
        <v>867</v>
      </c>
      <c r="H7054" s="189" t="s">
        <v>972</v>
      </c>
      <c r="I7054" s="223"/>
      <c r="K7054" s="232" t="s">
        <v>258</v>
      </c>
      <c r="L7054" s="190" t="str">
        <f>_xlfn.XLOOKUP($B7055,シフト抽出!$19:$19,シフト抽出!$20:$20,"該当なし",0,1)</f>
        <v>該当なし</v>
      </c>
    </row>
    <row r="7055" spans="1:12" ht="19.5" thickBot="1">
      <c r="A7055"/>
      <c r="B7055" s="191">
        <f>B7002+1</f>
        <v>46262</v>
      </c>
      <c r="C7055" s="192"/>
      <c r="D7055" s="216"/>
      <c r="E7055" s="216"/>
      <c r="F7055" s="216"/>
      <c r="G7055" s="216"/>
      <c r="H7055" s="216"/>
      <c r="I7055" s="216"/>
      <c r="K7055" s="233"/>
      <c r="L7055" s="194" t="str">
        <f>_xlfn.XLOOKUP($B7055,シフト抽出!$19:$19,シフト抽出!$21:$21,"該当なし",0,1)</f>
        <v>該当なし</v>
      </c>
    </row>
    <row r="7056" spans="1:12">
      <c r="A7056" s="195"/>
      <c r="B7056" s="196">
        <v>0.25</v>
      </c>
      <c r="C7056"/>
      <c r="D7056" s="197"/>
      <c r="E7056" s="196"/>
      <c r="F7056" s="197"/>
      <c r="G7056" s="197"/>
      <c r="H7056" s="197"/>
      <c r="I7056" s="209"/>
      <c r="K7056" s="234" t="s">
        <v>259</v>
      </c>
      <c r="L7056" s="198" t="str">
        <f>_xlfn.XLOOKUP($B7055,シフト抽出!$19:$19,シフト抽出!$23:$23,"該当なし",0,1)</f>
        <v>該当なし</v>
      </c>
    </row>
    <row r="7057" spans="1:12" ht="15.75" thickBot="1">
      <c r="A7057" s="195"/>
      <c r="B7057" s="195" t="s">
        <v>205</v>
      </c>
      <c r="C7057"/>
      <c r="D7057" s="197"/>
      <c r="E7057" s="197" t="s">
        <v>4</v>
      </c>
      <c r="F7057" s="197"/>
      <c r="G7057" s="197"/>
      <c r="H7057" s="197"/>
      <c r="I7057" s="209"/>
      <c r="K7057" s="235"/>
      <c r="L7057" s="199" t="str">
        <f>_xlfn.XLOOKUP($B7055,シフト抽出!$19:$19,シフト抽出!$24:$24,"該当なし",0,1)</f>
        <v>該当なし</v>
      </c>
    </row>
    <row r="7058" spans="1:12">
      <c r="A7058" s="195"/>
      <c r="B7058" s="195" t="s">
        <v>206</v>
      </c>
      <c r="C7058"/>
      <c r="D7058" s="197" t="s">
        <v>851</v>
      </c>
      <c r="E7058" s="197" t="s">
        <v>273</v>
      </c>
      <c r="F7058" s="197" t="s">
        <v>238</v>
      </c>
      <c r="G7058" s="197"/>
      <c r="H7058" s="197"/>
      <c r="I7058" s="209"/>
      <c r="J7058" s="197" t="s">
        <v>238</v>
      </c>
      <c r="K7058" s="224" t="s">
        <v>260</v>
      </c>
      <c r="L7058" s="200" t="str">
        <f>_xlfn.XLOOKUP($B7055,シフト抽出!$19:$19,シフト抽出!$26:$26,"該当なし",0,1)</f>
        <v>該当なし</v>
      </c>
    </row>
    <row r="7059" spans="1:12">
      <c r="A7059" s="195"/>
      <c r="B7059" s="195" t="s">
        <v>207</v>
      </c>
      <c r="C7059"/>
      <c r="D7059" s="197" t="s">
        <v>851</v>
      </c>
      <c r="E7059" s="197" t="s">
        <v>273</v>
      </c>
      <c r="F7059" s="197" t="s">
        <v>238</v>
      </c>
      <c r="G7059" s="197"/>
      <c r="H7059" s="197"/>
      <c r="I7059" s="209"/>
      <c r="J7059" s="197" t="s">
        <v>238</v>
      </c>
      <c r="K7059" s="225"/>
      <c r="L7059" s="201" t="str">
        <f>_xlfn.XLOOKUP($B7055,シフト抽出!$19:$19,シフト抽出!$27:$27,"該当なし",0,1)</f>
        <v>該当なし</v>
      </c>
    </row>
    <row r="7060" spans="1:12">
      <c r="A7060" s="195"/>
      <c r="B7060" s="202" t="s">
        <v>208</v>
      </c>
      <c r="C7060"/>
      <c r="D7060" s="197" t="s">
        <v>851</v>
      </c>
      <c r="E7060" s="197" t="s">
        <v>420</v>
      </c>
      <c r="F7060" s="197" t="s">
        <v>238</v>
      </c>
      <c r="G7060" s="197" t="s">
        <v>22</v>
      </c>
      <c r="H7060" s="197"/>
      <c r="I7060" s="209"/>
      <c r="J7060" s="197" t="s">
        <v>238</v>
      </c>
      <c r="K7060" s="225"/>
      <c r="L7060" s="201" t="str">
        <f>_xlfn.XLOOKUP($B7055,シフト抽出!$19:$19,シフト抽出!$28:$28,"該当なし",0,1)</f>
        <v>該当なし</v>
      </c>
    </row>
    <row r="7061" spans="1:12" ht="15.75" thickBot="1">
      <c r="A7061" s="195"/>
      <c r="B7061" s="195" t="s">
        <v>205</v>
      </c>
      <c r="C7061"/>
      <c r="D7061" s="197" t="s">
        <v>851</v>
      </c>
      <c r="E7061" s="197" t="s">
        <v>420</v>
      </c>
      <c r="F7061" s="197" t="s">
        <v>238</v>
      </c>
      <c r="G7061" s="197" t="s">
        <v>22</v>
      </c>
      <c r="H7061" s="197"/>
      <c r="I7061" s="209"/>
      <c r="J7061" s="197" t="s">
        <v>238</v>
      </c>
      <c r="K7061" s="226"/>
      <c r="L7061" s="204" t="str">
        <f>_xlfn.XLOOKUP($B7055,シフト抽出!$19:$19,シフト抽出!$29:$29,"該当なし",0,1)</f>
        <v>該当なし</v>
      </c>
    </row>
    <row r="7062" spans="1:12" ht="15.75" thickBot="1">
      <c r="A7062" s="195"/>
      <c r="B7062" s="195" t="s">
        <v>206</v>
      </c>
      <c r="C7062"/>
      <c r="D7062" s="197" t="s">
        <v>851</v>
      </c>
      <c r="E7062" s="197" t="s">
        <v>420</v>
      </c>
      <c r="F7062" s="197" t="s">
        <v>238</v>
      </c>
      <c r="G7062" s="197" t="s">
        <v>788</v>
      </c>
      <c r="H7062" s="197"/>
      <c r="I7062" s="209"/>
      <c r="K7062" s="205" t="s">
        <v>261</v>
      </c>
      <c r="L7062" s="205">
        <f>_xlfn.XLOOKUP($B7055,予定表!B:B,予定表!R:R,"該当なし",0,1)</f>
        <v>0</v>
      </c>
    </row>
    <row r="7063" spans="1:12">
      <c r="A7063" s="195"/>
      <c r="B7063" s="195" t="s">
        <v>207</v>
      </c>
      <c r="C7063"/>
      <c r="D7063" s="197" t="s">
        <v>851</v>
      </c>
      <c r="E7063" s="197" t="s">
        <v>420</v>
      </c>
      <c r="F7063" s="197"/>
      <c r="G7063" s="197" t="s">
        <v>788</v>
      </c>
      <c r="H7063" s="189"/>
      <c r="I7063" s="209"/>
      <c r="K7063" s="227" t="s">
        <v>262</v>
      </c>
      <c r="L7063" s="206">
        <f>_xlfn.XLOOKUP($B7055,予定表!$B:$B,予定表!E:E,"該当なし",0,1)</f>
        <v>0</v>
      </c>
    </row>
    <row r="7064" spans="1:12">
      <c r="A7064" s="195"/>
      <c r="B7064" s="196" t="s">
        <v>209</v>
      </c>
      <c r="C7064"/>
      <c r="D7064" s="197" t="s">
        <v>851</v>
      </c>
      <c r="E7064" s="197" t="s">
        <v>414</v>
      </c>
      <c r="F7064" s="197" t="s">
        <v>416</v>
      </c>
      <c r="G7064" s="197" t="s">
        <v>268</v>
      </c>
      <c r="H7064" s="197" t="s">
        <v>60</v>
      </c>
      <c r="I7064" s="209"/>
      <c r="K7064" s="228"/>
      <c r="L7064" s="207" t="str">
        <f>_xlfn.XLOOKUP($B7055,予定表!$B:$B,予定表!F:F,"該当なし",0,1)</f>
        <v>IWD(㈱大勝)</v>
      </c>
    </row>
    <row r="7065" spans="1:12">
      <c r="A7065" s="195"/>
      <c r="B7065" s="195" t="s">
        <v>205</v>
      </c>
      <c r="C7065"/>
      <c r="D7065" s="197" t="s">
        <v>851</v>
      </c>
      <c r="E7065" s="197" t="s">
        <v>414</v>
      </c>
      <c r="F7065" s="197" t="s">
        <v>771</v>
      </c>
      <c r="G7065" s="197" t="s">
        <v>268</v>
      </c>
      <c r="H7065" s="197" t="s">
        <v>60</v>
      </c>
      <c r="I7065" s="209"/>
      <c r="K7065" s="228"/>
      <c r="L7065" s="207" t="str">
        <f>_xlfn.XLOOKUP($B7055,予定表!$B:$B,予定表!G:G,"該当なし",0,1)</f>
        <v>ディーミング</v>
      </c>
    </row>
    <row r="7066" spans="1:12">
      <c r="A7066" s="195"/>
      <c r="B7066" s="195" t="s">
        <v>206</v>
      </c>
      <c r="C7066"/>
      <c r="D7066" s="197"/>
      <c r="E7066" s="197" t="s">
        <v>414</v>
      </c>
      <c r="F7066" s="197" t="s">
        <v>416</v>
      </c>
      <c r="G7066" s="197" t="s">
        <v>268</v>
      </c>
      <c r="H7066" s="197" t="s">
        <v>60</v>
      </c>
      <c r="I7066" s="209"/>
      <c r="K7066" s="228"/>
      <c r="L7066" s="207" t="str">
        <f>_xlfn.XLOOKUP($B7055,予定表!$B:$B,予定表!H:H,"該当なし",0,1)</f>
        <v>'資さん 平塚</v>
      </c>
    </row>
    <row r="7067" spans="1:12">
      <c r="A7067" s="195"/>
      <c r="B7067" s="195" t="s">
        <v>207</v>
      </c>
      <c r="C7067"/>
      <c r="D7067" s="197" t="s">
        <v>264</v>
      </c>
      <c r="E7067" s="197" t="s">
        <v>854</v>
      </c>
      <c r="F7067" s="197" t="s">
        <v>416</v>
      </c>
      <c r="G7067" s="197" t="s">
        <v>268</v>
      </c>
      <c r="H7067" s="197" t="s">
        <v>60</v>
      </c>
      <c r="I7067" s="209"/>
      <c r="K7067" s="228"/>
      <c r="L7067" s="207" t="str">
        <f>_xlfn.XLOOKUP($B7055,予定表!$B:$B,予定表!I:I,"該当なし",0,1)</f>
        <v>カインズAM8</v>
      </c>
    </row>
    <row r="7068" spans="1:12">
      <c r="A7068" s="195"/>
      <c r="B7068" s="196" t="s">
        <v>212</v>
      </c>
      <c r="C7068"/>
      <c r="D7068" s="197" t="s">
        <v>239</v>
      </c>
      <c r="E7068" s="197" t="s">
        <v>854</v>
      </c>
      <c r="F7068" s="197" t="s">
        <v>416</v>
      </c>
      <c r="G7068" s="197" t="s">
        <v>268</v>
      </c>
      <c r="H7068" s="197"/>
      <c r="I7068" s="209"/>
      <c r="K7068" s="228"/>
      <c r="L7068" s="207">
        <f>_xlfn.XLOOKUP($B7055,予定表!$B:$B,予定表!J:J,"該当なし",0,1)</f>
        <v>0</v>
      </c>
    </row>
    <row r="7069" spans="1:12">
      <c r="A7069" s="195"/>
      <c r="B7069" s="195" t="s">
        <v>205</v>
      </c>
      <c r="C7069"/>
      <c r="D7069" s="197" t="s">
        <v>425</v>
      </c>
      <c r="E7069" s="197" t="s">
        <v>854</v>
      </c>
      <c r="F7069" s="197" t="s">
        <v>416</v>
      </c>
      <c r="G7069" s="197" t="s">
        <v>268</v>
      </c>
      <c r="H7069" s="197" t="s">
        <v>848</v>
      </c>
      <c r="I7069" s="209"/>
      <c r="K7069" s="228"/>
      <c r="L7069" s="207">
        <f>_xlfn.XLOOKUP($B7055,予定表!$B:$B,予定表!K:K,"該当なし",0,1)</f>
        <v>0</v>
      </c>
    </row>
    <row r="7070" spans="1:12">
      <c r="A7070" s="195"/>
      <c r="B7070" s="195" t="s">
        <v>206</v>
      </c>
      <c r="C7070"/>
      <c r="D7070" s="197" t="s">
        <v>240</v>
      </c>
      <c r="E7070" s="197" t="s">
        <v>854</v>
      </c>
      <c r="F7070" s="197" t="s">
        <v>416</v>
      </c>
      <c r="G7070" s="197" t="s">
        <v>515</v>
      </c>
      <c r="H7070" s="197" t="s">
        <v>848</v>
      </c>
      <c r="I7070" s="209"/>
      <c r="K7070" s="228"/>
      <c r="L7070" s="207">
        <f>_xlfn.XLOOKUP($B7055,予定表!$B:$B,予定表!L:L,"該当なし",0,1)</f>
        <v>0</v>
      </c>
    </row>
    <row r="7071" spans="1:12" ht="15.75" thickBot="1">
      <c r="A7071" s="195"/>
      <c r="B7071" s="195" t="s">
        <v>207</v>
      </c>
      <c r="C7071"/>
      <c r="D7071" s="197" t="s">
        <v>240</v>
      </c>
      <c r="E7071" s="197" t="s">
        <v>216</v>
      </c>
      <c r="F7071" s="197" t="s">
        <v>224</v>
      </c>
      <c r="G7071" s="197" t="s">
        <v>515</v>
      </c>
      <c r="H7071" s="197" t="s">
        <v>848</v>
      </c>
      <c r="I7071" s="209"/>
      <c r="K7071" s="229"/>
      <c r="L7071" s="204" t="str">
        <f>_xlfn.XLOOKUP($A7052,ﾘｽﾄマスタ!$U$8:$U$17,ﾘｽﾄマスタ!$V$8:$V$17,"",0)</f>
        <v/>
      </c>
    </row>
    <row r="7072" spans="1:12" ht="15.75" thickBot="1">
      <c r="A7072" s="195"/>
      <c r="B7072" s="196" t="s">
        <v>251</v>
      </c>
      <c r="C7072"/>
      <c r="D7072" s="197" t="s">
        <v>353</v>
      </c>
      <c r="E7072" s="197" t="s">
        <v>216</v>
      </c>
      <c r="F7072" s="197" t="s">
        <v>224</v>
      </c>
      <c r="G7072" s="197" t="s">
        <v>515</v>
      </c>
      <c r="H7072" s="197" t="s">
        <v>848</v>
      </c>
      <c r="I7072" s="209"/>
      <c r="K7072" s="208" t="s">
        <v>277</v>
      </c>
      <c r="L7072" s="208" t="str">
        <f>_xlfn.XLOOKUP($B7055,シフト抽出!$19:$19,シフト抽出!$30:$30,"該当なし",0,1)</f>
        <v>該当なし</v>
      </c>
    </row>
    <row r="7073" spans="1:9">
      <c r="A7073" s="195"/>
      <c r="B7073" s="195" t="s">
        <v>205</v>
      </c>
      <c r="C7073"/>
      <c r="D7073" s="197" t="s">
        <v>353</v>
      </c>
      <c r="E7073" s="197" t="s">
        <v>216</v>
      </c>
      <c r="F7073" s="197" t="s">
        <v>224</v>
      </c>
      <c r="G7073" s="197" t="s">
        <v>269</v>
      </c>
      <c r="H7073" s="197" t="s">
        <v>848</v>
      </c>
      <c r="I7073" s="209"/>
    </row>
    <row r="7074" spans="1:9">
      <c r="A7074" s="195"/>
      <c r="B7074" s="195" t="s">
        <v>206</v>
      </c>
      <c r="C7074"/>
      <c r="D7074" s="197" t="s">
        <v>353</v>
      </c>
      <c r="E7074" s="197" t="s">
        <v>216</v>
      </c>
      <c r="F7074" s="197" t="s">
        <v>215</v>
      </c>
      <c r="G7074" s="197" t="s">
        <v>269</v>
      </c>
      <c r="H7074" s="197" t="s">
        <v>848</v>
      </c>
      <c r="I7074" s="209"/>
    </row>
    <row r="7075" spans="1:9">
      <c r="A7075" s="195"/>
      <c r="B7075" s="195" t="s">
        <v>207</v>
      </c>
      <c r="C7075"/>
      <c r="D7075" s="197" t="s">
        <v>761</v>
      </c>
      <c r="E7075" s="197" t="s">
        <v>214</v>
      </c>
      <c r="F7075" s="197" t="s">
        <v>280</v>
      </c>
      <c r="G7075" s="197" t="s">
        <v>446</v>
      </c>
      <c r="H7075" s="197" t="s">
        <v>848</v>
      </c>
      <c r="I7075" s="209"/>
    </row>
    <row r="7076" spans="1:9">
      <c r="A7076" s="195"/>
      <c r="B7076" s="196" t="s">
        <v>217</v>
      </c>
      <c r="C7076"/>
      <c r="D7076" s="197" t="s">
        <v>761</v>
      </c>
      <c r="E7076" s="197" t="s">
        <v>214</v>
      </c>
      <c r="F7076" s="197" t="s">
        <v>88</v>
      </c>
      <c r="G7076" s="197" t="s">
        <v>446</v>
      </c>
      <c r="H7076" s="197" t="s">
        <v>848</v>
      </c>
      <c r="I7076" s="209"/>
    </row>
    <row r="7077" spans="1:9">
      <c r="A7077" s="195"/>
      <c r="B7077" s="195" t="s">
        <v>205</v>
      </c>
      <c r="C7077"/>
      <c r="D7077" s="189" t="s">
        <v>868</v>
      </c>
      <c r="E7077" s="197" t="s">
        <v>214</v>
      </c>
      <c r="F7077" s="197"/>
      <c r="G7077" s="197" t="s">
        <v>114</v>
      </c>
      <c r="H7077" s="197" t="s">
        <v>848</v>
      </c>
      <c r="I7077" s="209"/>
    </row>
    <row r="7078" spans="1:9">
      <c r="A7078" s="195"/>
      <c r="B7078" s="195" t="s">
        <v>206</v>
      </c>
      <c r="C7078"/>
      <c r="D7078" s="197"/>
      <c r="E7078" s="197" t="s">
        <v>214</v>
      </c>
      <c r="F7078" s="197"/>
      <c r="G7078" s="197" t="s">
        <v>114</v>
      </c>
      <c r="H7078" s="197" t="s">
        <v>848</v>
      </c>
      <c r="I7078" s="209"/>
    </row>
    <row r="7079" spans="1:9">
      <c r="A7079" s="195"/>
      <c r="B7079" s="195" t="s">
        <v>207</v>
      </c>
      <c r="C7079"/>
      <c r="D7079" s="197"/>
      <c r="E7079" s="197"/>
      <c r="F7079" s="197"/>
      <c r="G7079" s="197" t="s">
        <v>51</v>
      </c>
      <c r="H7079" s="197"/>
      <c r="I7079" s="209"/>
    </row>
    <row r="7080" spans="1:9">
      <c r="A7080" s="195"/>
      <c r="B7080" s="196" t="s">
        <v>219</v>
      </c>
      <c r="C7080"/>
      <c r="D7080" s="197"/>
      <c r="E7080" s="197"/>
      <c r="F7080" s="197"/>
      <c r="G7080" s="197" t="s">
        <v>51</v>
      </c>
      <c r="H7080" s="197"/>
      <c r="I7080" s="209"/>
    </row>
    <row r="7081" spans="1:9">
      <c r="A7081" s="195"/>
      <c r="B7081" s="195" t="s">
        <v>205</v>
      </c>
      <c r="C7081"/>
      <c r="D7081" s="197"/>
      <c r="E7081" s="197"/>
      <c r="F7081" s="197"/>
      <c r="G7081" s="197" t="s">
        <v>51</v>
      </c>
      <c r="H7081" s="197"/>
      <c r="I7081" s="209"/>
    </row>
    <row r="7082" spans="1:9">
      <c r="A7082" s="195"/>
      <c r="B7082" s="195" t="s">
        <v>206</v>
      </c>
      <c r="C7082"/>
      <c r="D7082" s="197"/>
      <c r="E7082" s="197"/>
      <c r="F7082" s="197"/>
      <c r="G7082" s="197"/>
      <c r="H7082" s="197"/>
      <c r="I7082" s="209"/>
    </row>
    <row r="7083" spans="1:9">
      <c r="A7083" s="195"/>
      <c r="B7083" s="195" t="s">
        <v>207</v>
      </c>
      <c r="C7083"/>
      <c r="D7083" s="197"/>
      <c r="E7083" s="197"/>
      <c r="F7083" s="197"/>
      <c r="G7083" s="197"/>
      <c r="H7083" s="197" t="s">
        <v>231</v>
      </c>
      <c r="I7083" s="209"/>
    </row>
    <row r="7084" spans="1:9">
      <c r="A7084" s="195"/>
      <c r="B7084" s="196" t="s">
        <v>220</v>
      </c>
      <c r="C7084"/>
      <c r="D7084" s="189" t="s">
        <v>926</v>
      </c>
      <c r="E7084" s="197"/>
      <c r="F7084" s="197"/>
      <c r="G7084" s="197"/>
      <c r="H7084" s="197" t="s">
        <v>231</v>
      </c>
      <c r="I7084" s="209"/>
    </row>
    <row r="7085" spans="1:9">
      <c r="A7085" s="195"/>
      <c r="B7085" s="195" t="s">
        <v>205</v>
      </c>
      <c r="C7085"/>
      <c r="D7085" s="197" t="s">
        <v>759</v>
      </c>
      <c r="E7085" s="197" t="s">
        <v>215</v>
      </c>
      <c r="F7085" s="197"/>
      <c r="G7085" s="197" t="s">
        <v>56</v>
      </c>
      <c r="H7085" s="197" t="s">
        <v>211</v>
      </c>
      <c r="I7085" s="209" t="s">
        <v>416</v>
      </c>
    </row>
    <row r="7086" spans="1:9">
      <c r="A7086" s="195"/>
      <c r="B7086" s="195" t="s">
        <v>206</v>
      </c>
      <c r="C7086"/>
      <c r="D7086" s="197" t="s">
        <v>759</v>
      </c>
      <c r="E7086" s="197" t="s">
        <v>280</v>
      </c>
      <c r="F7086" s="197"/>
      <c r="G7086" s="197" t="s">
        <v>56</v>
      </c>
      <c r="H7086" s="197" t="s">
        <v>211</v>
      </c>
      <c r="I7086" s="209" t="s">
        <v>1004</v>
      </c>
    </row>
    <row r="7087" spans="1:9">
      <c r="A7087" s="195"/>
      <c r="B7087" s="195" t="s">
        <v>207</v>
      </c>
      <c r="C7087"/>
      <c r="D7087" s="197" t="s">
        <v>759</v>
      </c>
      <c r="E7087" s="197" t="s">
        <v>88</v>
      </c>
      <c r="F7087" s="197"/>
      <c r="G7087" s="197" t="s">
        <v>56</v>
      </c>
      <c r="H7087" s="197" t="s">
        <v>211</v>
      </c>
      <c r="I7087" s="209" t="s">
        <v>416</v>
      </c>
    </row>
    <row r="7088" spans="1:9">
      <c r="A7088" s="195"/>
      <c r="B7088" s="196" t="s">
        <v>222</v>
      </c>
      <c r="C7088"/>
      <c r="D7088" s="197" t="s">
        <v>759</v>
      </c>
      <c r="E7088" s="197" t="s">
        <v>266</v>
      </c>
      <c r="F7088" s="197"/>
      <c r="G7088" s="197"/>
      <c r="H7088" s="197"/>
      <c r="I7088" s="209" t="s">
        <v>416</v>
      </c>
    </row>
    <row r="7089" spans="1:11">
      <c r="A7089" s="195"/>
      <c r="B7089" s="195" t="s">
        <v>205</v>
      </c>
      <c r="C7089"/>
      <c r="D7089" s="197" t="s">
        <v>416</v>
      </c>
      <c r="E7089" s="197" t="s">
        <v>266</v>
      </c>
      <c r="F7089" s="197"/>
      <c r="G7089" s="197" t="s">
        <v>793</v>
      </c>
      <c r="H7089" s="197" t="s">
        <v>856</v>
      </c>
      <c r="I7089" s="209" t="s">
        <v>416</v>
      </c>
    </row>
    <row r="7090" spans="1:11">
      <c r="A7090" s="195"/>
      <c r="B7090" s="195" t="s">
        <v>206</v>
      </c>
      <c r="C7090"/>
      <c r="D7090" s="197" t="s">
        <v>951</v>
      </c>
      <c r="E7090" s="197" t="s">
        <v>266</v>
      </c>
      <c r="F7090" s="197"/>
      <c r="G7090" s="197" t="s">
        <v>977</v>
      </c>
      <c r="H7090" s="197" t="s">
        <v>856</v>
      </c>
      <c r="I7090" s="209" t="s">
        <v>416</v>
      </c>
    </row>
    <row r="7091" spans="1:11">
      <c r="A7091" s="195"/>
      <c r="B7091" s="195" t="s">
        <v>207</v>
      </c>
      <c r="C7091"/>
      <c r="D7091" s="197" t="s">
        <v>416</v>
      </c>
      <c r="E7091" s="197" t="s">
        <v>266</v>
      </c>
      <c r="F7091" s="197"/>
      <c r="G7091" s="197" t="s">
        <v>270</v>
      </c>
      <c r="H7091" s="197" t="s">
        <v>856</v>
      </c>
      <c r="I7091" s="209" t="s">
        <v>416</v>
      </c>
    </row>
    <row r="7092" spans="1:11">
      <c r="A7092" s="195"/>
      <c r="B7092" s="196" t="s">
        <v>223</v>
      </c>
      <c r="C7092"/>
      <c r="D7092" s="197" t="s">
        <v>416</v>
      </c>
      <c r="E7092" s="197" t="s">
        <v>252</v>
      </c>
      <c r="F7092" s="197"/>
      <c r="G7092" s="197" t="s">
        <v>270</v>
      </c>
      <c r="H7092" s="197" t="s">
        <v>856</v>
      </c>
      <c r="I7092" s="209" t="s">
        <v>416</v>
      </c>
    </row>
    <row r="7093" spans="1:11">
      <c r="A7093" s="195"/>
      <c r="B7093" s="195" t="s">
        <v>205</v>
      </c>
      <c r="C7093"/>
      <c r="D7093" s="197" t="s">
        <v>954</v>
      </c>
      <c r="E7093" s="197" t="s">
        <v>252</v>
      </c>
      <c r="F7093" s="197"/>
      <c r="G7093" s="197" t="s">
        <v>270</v>
      </c>
      <c r="H7093" s="197" t="s">
        <v>856</v>
      </c>
      <c r="I7093" s="209" t="s">
        <v>416</v>
      </c>
    </row>
    <row r="7094" spans="1:11">
      <c r="A7094" s="195"/>
      <c r="B7094" s="195" t="s">
        <v>206</v>
      </c>
      <c r="C7094"/>
      <c r="D7094" s="197" t="s">
        <v>416</v>
      </c>
      <c r="E7094" s="197" t="s">
        <v>252</v>
      </c>
      <c r="F7094" s="197"/>
      <c r="G7094" s="197" t="s">
        <v>270</v>
      </c>
      <c r="H7094" s="197" t="s">
        <v>856</v>
      </c>
      <c r="I7094" s="209" t="s">
        <v>416</v>
      </c>
    </row>
    <row r="7095" spans="1:11">
      <c r="A7095" s="195"/>
      <c r="B7095" s="195" t="s">
        <v>207</v>
      </c>
      <c r="C7095"/>
      <c r="D7095" s="197" t="s">
        <v>423</v>
      </c>
      <c r="E7095" s="197" t="s">
        <v>252</v>
      </c>
      <c r="F7095" s="197"/>
      <c r="G7095" s="197" t="s">
        <v>270</v>
      </c>
      <c r="H7095" s="197" t="s">
        <v>856</v>
      </c>
      <c r="I7095" s="209" t="s">
        <v>416</v>
      </c>
    </row>
    <row r="7096" spans="1:11">
      <c r="A7096" s="195"/>
      <c r="B7096" s="196" t="s">
        <v>225</v>
      </c>
      <c r="C7096"/>
      <c r="D7096" s="197" t="s">
        <v>588</v>
      </c>
      <c r="E7096" s="197" t="s">
        <v>252</v>
      </c>
      <c r="F7096" s="197"/>
      <c r="G7096" s="197" t="s">
        <v>270</v>
      </c>
      <c r="H7096" s="197" t="s">
        <v>415</v>
      </c>
      <c r="I7096" s="209" t="s">
        <v>416</v>
      </c>
    </row>
    <row r="7097" spans="1:11">
      <c r="A7097" s="195"/>
      <c r="B7097" s="195" t="s">
        <v>205</v>
      </c>
      <c r="C7097"/>
      <c r="D7097" s="197" t="s">
        <v>127</v>
      </c>
      <c r="E7097" s="197" t="s">
        <v>252</v>
      </c>
      <c r="F7097" s="197"/>
      <c r="G7097" s="197" t="s">
        <v>270</v>
      </c>
      <c r="H7097" s="209" t="s">
        <v>415</v>
      </c>
      <c r="I7097" s="209" t="s">
        <v>416</v>
      </c>
    </row>
    <row r="7098" spans="1:11">
      <c r="A7098" s="195"/>
      <c r="B7098" s="195" t="s">
        <v>206</v>
      </c>
      <c r="C7098"/>
      <c r="D7098" s="197"/>
      <c r="E7098" s="197" t="s">
        <v>252</v>
      </c>
      <c r="F7098" s="197"/>
      <c r="G7098" s="197" t="s">
        <v>270</v>
      </c>
      <c r="H7098" s="209" t="s">
        <v>415</v>
      </c>
      <c r="I7098" s="209"/>
    </row>
    <row r="7099" spans="1:11">
      <c r="A7099" s="195"/>
      <c r="B7099" s="195" t="s">
        <v>207</v>
      </c>
      <c r="C7099"/>
      <c r="D7099" s="197"/>
      <c r="E7099" s="197" t="s">
        <v>252</v>
      </c>
      <c r="F7099" s="197"/>
      <c r="G7099" s="197" t="s">
        <v>270</v>
      </c>
      <c r="H7099" s="209" t="s">
        <v>415</v>
      </c>
      <c r="I7099" s="209"/>
    </row>
    <row r="7100" spans="1:11">
      <c r="A7100" s="195"/>
      <c r="B7100" s="196" t="s">
        <v>226</v>
      </c>
      <c r="C7100"/>
      <c r="D7100" s="197"/>
      <c r="E7100" s="197"/>
      <c r="F7100" s="197"/>
      <c r="G7100" s="197" t="s">
        <v>270</v>
      </c>
      <c r="H7100" s="209"/>
      <c r="I7100" s="209"/>
    </row>
    <row r="7101" spans="1:11">
      <c r="A7101" s="195"/>
      <c r="B7101" s="195" t="s">
        <v>205</v>
      </c>
      <c r="C7101"/>
      <c r="D7101" s="197"/>
      <c r="E7101" s="197"/>
      <c r="F7101" s="197"/>
      <c r="G7101" s="197" t="s">
        <v>270</v>
      </c>
      <c r="H7101" s="209"/>
      <c r="I7101" s="209"/>
    </row>
    <row r="7102" spans="1:11">
      <c r="A7102" s="195"/>
      <c r="B7102" s="195" t="s">
        <v>206</v>
      </c>
      <c r="C7102"/>
      <c r="D7102" s="197"/>
      <c r="E7102" s="197"/>
      <c r="F7102" s="197"/>
      <c r="G7102" s="197" t="s">
        <v>270</v>
      </c>
      <c r="H7102" s="209"/>
      <c r="I7102" s="209"/>
    </row>
    <row r="7103" spans="1:11">
      <c r="A7103" s="195"/>
      <c r="B7103" s="195" t="s">
        <v>207</v>
      </c>
      <c r="C7103"/>
      <c r="D7103" s="197"/>
      <c r="E7103" s="197"/>
      <c r="F7103" s="197"/>
      <c r="G7103" s="197" t="s">
        <v>270</v>
      </c>
      <c r="H7103" s="209"/>
      <c r="I7103" s="209"/>
    </row>
    <row r="7104" spans="1:11">
      <c r="A7104" s="195"/>
      <c r="B7104" s="196" t="s">
        <v>227</v>
      </c>
      <c r="C7104"/>
      <c r="D7104" s="197"/>
      <c r="E7104" s="197"/>
      <c r="F7104" s="197"/>
      <c r="G7104" s="197"/>
      <c r="H7104" s="209"/>
      <c r="I7104" s="209"/>
      <c r="K7104"/>
    </row>
    <row r="7105" spans="1:12" ht="29.25" thickBot="1">
      <c r="A7105" s="213" t="str">
        <f>"回収シフト  第"&amp;ROUNDUP(DAY(B7108)/7,0)  &amp;"  "&amp;TEXT(B7108,"aaaa")</f>
        <v>回収シフト  第5  土曜日</v>
      </c>
      <c r="B7105" s="214"/>
      <c r="C7105" s="214"/>
      <c r="D7105" s="214"/>
      <c r="E7105" s="214"/>
      <c r="F7105" s="214"/>
      <c r="G7105" s="215"/>
      <c r="H7105" s="215"/>
      <c r="I7105" s="215"/>
      <c r="K7105" s="214"/>
      <c r="L7105" s="214"/>
    </row>
    <row r="7106" spans="1:12" ht="15.75" thickBot="1">
      <c r="A7106"/>
      <c r="B7106"/>
      <c r="C7106"/>
      <c r="D7106" s="186" t="s">
        <v>201</v>
      </c>
      <c r="E7106" s="186" t="s">
        <v>202</v>
      </c>
      <c r="F7106" s="186" t="s">
        <v>203</v>
      </c>
      <c r="G7106" s="186" t="s">
        <v>204</v>
      </c>
      <c r="H7106" s="186" t="s">
        <v>267</v>
      </c>
      <c r="I7106" s="186" t="s">
        <v>267</v>
      </c>
      <c r="K7106" s="230" t="s">
        <v>257</v>
      </c>
      <c r="L7106" s="231"/>
    </row>
    <row r="7107" spans="1:12">
      <c r="A7107" s="187"/>
      <c r="B7107" s="188">
        <v>46119</v>
      </c>
      <c r="C7107" s="187"/>
      <c r="D7107" s="189"/>
      <c r="E7107" s="189"/>
      <c r="F7107" s="189"/>
      <c r="G7107" s="189"/>
      <c r="H7107" s="189"/>
      <c r="I7107" s="223"/>
      <c r="K7107" s="232" t="s">
        <v>258</v>
      </c>
      <c r="L7107" s="190" t="str">
        <f>_xlfn.XLOOKUP($B7108,シフト抽出!$19:$19,シフト抽出!$20:$20,"該当なし",0,1)</f>
        <v>該当なし</v>
      </c>
    </row>
    <row r="7108" spans="1:12" ht="19.5" thickBot="1">
      <c r="A7108"/>
      <c r="B7108" s="191">
        <f>B7055+1</f>
        <v>46263</v>
      </c>
      <c r="C7108" s="192"/>
      <c r="D7108" s="216"/>
      <c r="E7108" s="216"/>
      <c r="F7108" s="216"/>
      <c r="G7108" s="216"/>
      <c r="H7108" s="216"/>
      <c r="I7108" s="220"/>
      <c r="K7108" s="233"/>
      <c r="L7108" s="194" t="str">
        <f>_xlfn.XLOOKUP($B7108,シフト抽出!$19:$19,シフト抽出!$21:$21,"該当なし",0,1)</f>
        <v>該当なし</v>
      </c>
    </row>
    <row r="7109" spans="1:12">
      <c r="A7109" s="195"/>
      <c r="B7109" s="196">
        <v>0.25</v>
      </c>
      <c r="C7109"/>
      <c r="D7109" s="197"/>
      <c r="E7109" s="196"/>
      <c r="F7109" s="197"/>
      <c r="G7109" s="197"/>
      <c r="H7109" s="197"/>
      <c r="I7109" s="209"/>
      <c r="K7109" s="234" t="s">
        <v>259</v>
      </c>
      <c r="L7109" s="198" t="str">
        <f>_xlfn.XLOOKUP($B7108,シフト抽出!$19:$19,シフト抽出!$23:$23,"該当なし",0,1)</f>
        <v>該当なし</v>
      </c>
    </row>
    <row r="7110" spans="1:12" ht="15.75" thickBot="1">
      <c r="A7110" s="195"/>
      <c r="B7110" s="195" t="s">
        <v>205</v>
      </c>
      <c r="C7110"/>
      <c r="D7110" s="197"/>
      <c r="E7110" s="197"/>
      <c r="F7110" s="197"/>
      <c r="G7110" s="197"/>
      <c r="H7110" s="197"/>
      <c r="I7110" s="209"/>
      <c r="K7110" s="235"/>
      <c r="L7110" s="199" t="str">
        <f>_xlfn.XLOOKUP($B7108,シフト抽出!$19:$19,シフト抽出!$24:$24,"該当なし",0,1)</f>
        <v>該当なし</v>
      </c>
    </row>
    <row r="7111" spans="1:12">
      <c r="A7111" s="195"/>
      <c r="B7111" s="195" t="s">
        <v>206</v>
      </c>
      <c r="C7111"/>
      <c r="D7111" s="197"/>
      <c r="E7111" s="197"/>
      <c r="F7111" s="197"/>
      <c r="G7111" s="197"/>
      <c r="H7111" s="197"/>
      <c r="I7111" s="209"/>
      <c r="K7111" s="224" t="s">
        <v>260</v>
      </c>
      <c r="L7111" s="200" t="str">
        <f>_xlfn.XLOOKUP($B7108,シフト抽出!$19:$19,シフト抽出!$26:$26,"該当なし",0,1)</f>
        <v>該当なし</v>
      </c>
    </row>
    <row r="7112" spans="1:12">
      <c r="A7112" s="195"/>
      <c r="B7112" s="195" t="s">
        <v>207</v>
      </c>
      <c r="C7112"/>
      <c r="D7112" s="197"/>
      <c r="E7112" s="197"/>
      <c r="F7112" s="197"/>
      <c r="G7112" s="197"/>
      <c r="H7112" s="197"/>
      <c r="I7112" s="209"/>
      <c r="K7112" s="225"/>
      <c r="L7112" s="201" t="str">
        <f>_xlfn.XLOOKUP($B7108,シフト抽出!$19:$19,シフト抽出!$27:$27,"該当なし",0,1)</f>
        <v>該当なし</v>
      </c>
    </row>
    <row r="7113" spans="1:12">
      <c r="A7113" s="195"/>
      <c r="B7113" s="202" t="s">
        <v>208</v>
      </c>
      <c r="C7113"/>
      <c r="D7113" s="197"/>
      <c r="E7113" s="197"/>
      <c r="F7113" s="197"/>
      <c r="G7113" s="197"/>
      <c r="H7113" s="197"/>
      <c r="I7113" s="209"/>
      <c r="J7113" s="203"/>
      <c r="K7113" s="225"/>
      <c r="L7113" s="201" t="str">
        <f>_xlfn.XLOOKUP($B7108,シフト抽出!$19:$19,シフト抽出!$28:$28,"該当なし",0,1)</f>
        <v>該当なし</v>
      </c>
    </row>
    <row r="7114" spans="1:12" ht="15.75" thickBot="1">
      <c r="A7114" s="195"/>
      <c r="B7114" s="195" t="s">
        <v>205</v>
      </c>
      <c r="C7114"/>
      <c r="D7114" s="197"/>
      <c r="E7114" s="197"/>
      <c r="F7114" s="197"/>
      <c r="G7114" s="197"/>
      <c r="H7114" s="197"/>
      <c r="I7114" s="209"/>
      <c r="J7114" s="203"/>
      <c r="K7114" s="226"/>
      <c r="L7114" s="204" t="str">
        <f>_xlfn.XLOOKUP($B7108,シフト抽出!$19:$19,シフト抽出!$29:$29,"該当なし",0,1)</f>
        <v>該当なし</v>
      </c>
    </row>
    <row r="7115" spans="1:12" ht="15.75" thickBot="1">
      <c r="A7115" s="195"/>
      <c r="B7115" s="195" t="s">
        <v>206</v>
      </c>
      <c r="C7115"/>
      <c r="D7115" s="197"/>
      <c r="E7115" s="197"/>
      <c r="F7115" s="197"/>
      <c r="G7115" s="197"/>
      <c r="H7115" s="197"/>
      <c r="I7115" s="209"/>
      <c r="K7115" s="205" t="s">
        <v>261</v>
      </c>
      <c r="L7115" s="205">
        <f>_xlfn.XLOOKUP($B7108,予定表!B:B,予定表!R:R,"該当なし",0,1)</f>
        <v>0</v>
      </c>
    </row>
    <row r="7116" spans="1:12">
      <c r="A7116" s="195"/>
      <c r="B7116" s="195" t="s">
        <v>207</v>
      </c>
      <c r="C7116"/>
      <c r="D7116" s="197"/>
      <c r="E7116" s="197"/>
      <c r="F7116" s="197"/>
      <c r="G7116" s="197"/>
      <c r="H7116" s="197"/>
      <c r="I7116" s="209"/>
      <c r="K7116" s="227" t="s">
        <v>262</v>
      </c>
      <c r="L7116" s="206">
        <f>_xlfn.XLOOKUP($B7108,予定表!$B:$B,予定表!E:E,"該当なし",0,1)</f>
        <v>0</v>
      </c>
    </row>
    <row r="7117" spans="1:12">
      <c r="A7117" s="195"/>
      <c r="B7117" s="196" t="s">
        <v>209</v>
      </c>
      <c r="C7117"/>
      <c r="D7117" s="197" t="s">
        <v>4</v>
      </c>
      <c r="E7117" s="197" t="s">
        <v>4</v>
      </c>
      <c r="F7117" s="197"/>
      <c r="G7117" s="197"/>
      <c r="H7117" s="197"/>
      <c r="I7117" s="209"/>
      <c r="K7117" s="228"/>
      <c r="L7117" s="207">
        <f>_xlfn.XLOOKUP($B7108,予定表!$B:$B,予定表!F:F,"該当なし",0,1)</f>
        <v>0</v>
      </c>
    </row>
    <row r="7118" spans="1:12">
      <c r="A7118" s="195"/>
      <c r="B7118" s="195" t="s">
        <v>205</v>
      </c>
      <c r="C7118"/>
      <c r="D7118" s="197" t="s">
        <v>268</v>
      </c>
      <c r="E7118" s="197" t="s">
        <v>22</v>
      </c>
      <c r="F7118" s="197"/>
      <c r="G7118" s="197"/>
      <c r="H7118" s="197"/>
      <c r="I7118" s="209"/>
      <c r="K7118" s="228"/>
      <c r="L7118" s="207">
        <f>_xlfn.XLOOKUP($B7108,予定表!$B:$B,予定表!G:G,"該当なし",0,1)</f>
        <v>0</v>
      </c>
    </row>
    <row r="7119" spans="1:12">
      <c r="A7119" s="195"/>
      <c r="B7119" s="195" t="s">
        <v>206</v>
      </c>
      <c r="C7119"/>
      <c r="D7119" s="197" t="s">
        <v>268</v>
      </c>
      <c r="E7119" s="197" t="s">
        <v>22</v>
      </c>
      <c r="F7119" s="197"/>
      <c r="G7119" s="197"/>
      <c r="H7119" s="197"/>
      <c r="I7119" s="209"/>
      <c r="K7119" s="228"/>
      <c r="L7119" s="207">
        <f>_xlfn.XLOOKUP($B7108,予定表!$B:$B,予定表!H:H,"該当なし",0,1)</f>
        <v>0</v>
      </c>
    </row>
    <row r="7120" spans="1:12">
      <c r="A7120" s="195"/>
      <c r="B7120" s="195" t="s">
        <v>207</v>
      </c>
      <c r="C7120"/>
      <c r="D7120" s="197" t="s">
        <v>268</v>
      </c>
      <c r="E7120" s="197" t="s">
        <v>793</v>
      </c>
      <c r="F7120" s="197"/>
      <c r="G7120" s="197"/>
      <c r="H7120" s="197"/>
      <c r="I7120" s="209"/>
      <c r="K7120" s="228"/>
      <c r="L7120" s="207" t="str">
        <f>_xlfn.XLOOKUP($B7108,予定表!$B:$B,予定表!I:I,"該当なし",0,1)</f>
        <v>カインズAM8</v>
      </c>
    </row>
    <row r="7121" spans="1:12">
      <c r="A7121" s="195"/>
      <c r="B7121" s="196" t="s">
        <v>212</v>
      </c>
      <c r="C7121"/>
      <c r="D7121" s="197" t="s">
        <v>268</v>
      </c>
      <c r="E7121" s="197" t="s">
        <v>241</v>
      </c>
      <c r="F7121" s="197"/>
      <c r="G7121" s="197"/>
      <c r="H7121" s="197"/>
      <c r="I7121" s="209"/>
      <c r="K7121" s="228"/>
      <c r="L7121" s="207">
        <f>_xlfn.XLOOKUP($B7108,予定表!$B:$B,予定表!J:J,"該当なし",0,1)</f>
        <v>0</v>
      </c>
    </row>
    <row r="7122" spans="1:12">
      <c r="A7122" s="195"/>
      <c r="B7122" s="195" t="s">
        <v>205</v>
      </c>
      <c r="C7122"/>
      <c r="D7122" s="197" t="s">
        <v>268</v>
      </c>
      <c r="E7122" s="197" t="s">
        <v>241</v>
      </c>
      <c r="F7122" s="197"/>
      <c r="G7122" s="197"/>
      <c r="H7122" s="197"/>
      <c r="I7122" s="209"/>
      <c r="K7122" s="228"/>
      <c r="L7122" s="207">
        <f>_xlfn.XLOOKUP($B7108,予定表!$B:$B,予定表!K:K,"該当なし",0,1)</f>
        <v>0</v>
      </c>
    </row>
    <row r="7123" spans="1:12">
      <c r="A7123" s="195"/>
      <c r="B7123" s="195" t="s">
        <v>206</v>
      </c>
      <c r="C7123"/>
      <c r="D7123" s="197" t="s">
        <v>515</v>
      </c>
      <c r="E7123" s="197"/>
      <c r="F7123" s="197"/>
      <c r="G7123" s="197"/>
      <c r="H7123" s="197"/>
      <c r="I7123" s="209"/>
      <c r="K7123" s="228"/>
      <c r="L7123" s="207">
        <f>_xlfn.XLOOKUP($B7108,予定表!$B:$B,予定表!L:L,"該当なし",0,1)</f>
        <v>0</v>
      </c>
    </row>
    <row r="7124" spans="1:12" ht="15.75" thickBot="1">
      <c r="A7124" s="195"/>
      <c r="B7124" s="195" t="s">
        <v>207</v>
      </c>
      <c r="C7124"/>
      <c r="D7124" s="197" t="s">
        <v>515</v>
      </c>
      <c r="E7124" s="197" t="s">
        <v>851</v>
      </c>
      <c r="F7124" s="197"/>
      <c r="G7124" s="197"/>
      <c r="H7124" s="197"/>
      <c r="I7124" s="209"/>
      <c r="K7124" s="229"/>
      <c r="L7124" s="204" t="str">
        <f>_xlfn.XLOOKUP($A7105,ﾘｽﾄマスタ!$U$8:$U$17,ﾘｽﾄマスタ!$V$8:$V$17,"",0)</f>
        <v/>
      </c>
    </row>
    <row r="7125" spans="1:12" ht="15.75" thickBot="1">
      <c r="A7125" s="195"/>
      <c r="B7125" s="196" t="s">
        <v>251</v>
      </c>
      <c r="C7125"/>
      <c r="D7125" s="197" t="s">
        <v>244</v>
      </c>
      <c r="E7125" s="197" t="s">
        <v>851</v>
      </c>
      <c r="F7125" s="197"/>
      <c r="G7125" s="197"/>
      <c r="H7125" s="197"/>
      <c r="I7125" s="209"/>
      <c r="K7125" s="208" t="s">
        <v>277</v>
      </c>
      <c r="L7125" s="208" t="str">
        <f>_xlfn.XLOOKUP($B7108,シフト抽出!$19:$19,シフト抽出!$30:$30,"該当なし",0,1)</f>
        <v>該当なし</v>
      </c>
    </row>
    <row r="7126" spans="1:12">
      <c r="A7126" s="195"/>
      <c r="B7126" s="195" t="s">
        <v>205</v>
      </c>
      <c r="C7126"/>
      <c r="D7126" s="197" t="s">
        <v>244</v>
      </c>
      <c r="E7126" s="197" t="s">
        <v>851</v>
      </c>
      <c r="F7126" s="197"/>
      <c r="G7126" s="197"/>
      <c r="H7126" s="197"/>
      <c r="I7126" s="209"/>
    </row>
    <row r="7127" spans="1:12">
      <c r="A7127" s="195"/>
      <c r="B7127" s="195" t="s">
        <v>206</v>
      </c>
      <c r="C7127"/>
      <c r="D7127" s="197" t="s">
        <v>114</v>
      </c>
      <c r="E7127" s="197" t="s">
        <v>851</v>
      </c>
      <c r="F7127" s="197"/>
      <c r="G7127" s="197"/>
      <c r="H7127" s="197"/>
      <c r="I7127" s="209"/>
    </row>
    <row r="7128" spans="1:12">
      <c r="A7128" s="195"/>
      <c r="B7128" s="195" t="s">
        <v>207</v>
      </c>
      <c r="C7128"/>
      <c r="D7128" s="197" t="s">
        <v>114</v>
      </c>
      <c r="E7128" s="197" t="s">
        <v>851</v>
      </c>
      <c r="F7128" s="197"/>
      <c r="G7128" s="197"/>
      <c r="H7128" s="197"/>
      <c r="I7128" s="209"/>
    </row>
    <row r="7129" spans="1:12">
      <c r="A7129" s="195"/>
      <c r="B7129" s="196" t="s">
        <v>217</v>
      </c>
      <c r="C7129"/>
      <c r="D7129" s="197"/>
      <c r="E7129" s="197" t="s">
        <v>851</v>
      </c>
      <c r="F7129" s="197"/>
      <c r="G7129" s="197"/>
      <c r="H7129" s="197"/>
      <c r="I7129" s="209"/>
    </row>
    <row r="7130" spans="1:12">
      <c r="A7130" s="195"/>
      <c r="B7130" s="195" t="s">
        <v>205</v>
      </c>
      <c r="C7130"/>
      <c r="D7130" s="197"/>
      <c r="E7130" s="197" t="s">
        <v>851</v>
      </c>
      <c r="F7130" s="197"/>
      <c r="G7130" s="197"/>
      <c r="H7130" s="197"/>
      <c r="I7130" s="209"/>
    </row>
    <row r="7131" spans="1:12">
      <c r="A7131" s="195"/>
      <c r="B7131" s="195" t="s">
        <v>206</v>
      </c>
      <c r="C7131"/>
      <c r="D7131" s="197"/>
      <c r="E7131" s="197" t="s">
        <v>851</v>
      </c>
      <c r="F7131" s="197"/>
      <c r="G7131" s="197"/>
      <c r="H7131" s="197"/>
      <c r="I7131" s="209"/>
    </row>
    <row r="7132" spans="1:12">
      <c r="A7132" s="195"/>
      <c r="B7132" s="195" t="s">
        <v>207</v>
      </c>
      <c r="C7132"/>
      <c r="D7132" s="197"/>
      <c r="E7132" s="197"/>
      <c r="F7132" s="197"/>
      <c r="G7132" s="197"/>
      <c r="H7132" s="197"/>
      <c r="I7132" s="209"/>
    </row>
    <row r="7133" spans="1:12">
      <c r="A7133" s="195"/>
      <c r="B7133" s="196" t="s">
        <v>219</v>
      </c>
      <c r="C7133"/>
      <c r="D7133" s="197"/>
      <c r="E7133" s="197"/>
      <c r="F7133" s="197"/>
      <c r="G7133" s="197"/>
      <c r="H7133" s="197"/>
      <c r="I7133" s="209"/>
    </row>
    <row r="7134" spans="1:12">
      <c r="A7134" s="195"/>
      <c r="B7134" s="195" t="s">
        <v>205</v>
      </c>
      <c r="C7134"/>
      <c r="D7134" s="197"/>
      <c r="E7134" s="197"/>
      <c r="F7134" s="197"/>
      <c r="G7134" s="197"/>
      <c r="H7134" s="197"/>
      <c r="I7134" s="209"/>
    </row>
    <row r="7135" spans="1:12">
      <c r="A7135" s="195"/>
      <c r="B7135" s="195" t="s">
        <v>206</v>
      </c>
      <c r="C7135"/>
      <c r="D7135" s="197"/>
      <c r="E7135" s="197"/>
      <c r="F7135" s="197"/>
      <c r="G7135" s="197"/>
      <c r="H7135" s="197"/>
      <c r="I7135" s="209"/>
    </row>
    <row r="7136" spans="1:12">
      <c r="A7136" s="195"/>
      <c r="B7136" s="195" t="s">
        <v>207</v>
      </c>
      <c r="C7136"/>
      <c r="D7136" s="197"/>
      <c r="E7136" s="197"/>
      <c r="F7136" s="197"/>
      <c r="G7136" s="197"/>
      <c r="H7136" s="197"/>
      <c r="I7136" s="209"/>
    </row>
    <row r="7137" spans="1:9">
      <c r="A7137" s="195"/>
      <c r="B7137" s="196" t="s">
        <v>220</v>
      </c>
      <c r="C7137"/>
      <c r="D7137" s="197" t="s">
        <v>7</v>
      </c>
      <c r="E7137" s="197" t="s">
        <v>7</v>
      </c>
      <c r="F7137" s="197"/>
      <c r="G7137" s="189"/>
      <c r="H7137" s="197"/>
      <c r="I7137" s="209"/>
    </row>
    <row r="7138" spans="1:9">
      <c r="A7138" s="195"/>
      <c r="B7138" s="195" t="s">
        <v>205</v>
      </c>
      <c r="C7138"/>
      <c r="D7138" s="197" t="s">
        <v>416</v>
      </c>
      <c r="E7138" s="197" t="s">
        <v>228</v>
      </c>
      <c r="F7138" s="197"/>
      <c r="G7138" s="197"/>
      <c r="H7138" s="197"/>
      <c r="I7138" s="209"/>
    </row>
    <row r="7139" spans="1:9">
      <c r="A7139" s="195"/>
      <c r="B7139" s="195" t="s">
        <v>206</v>
      </c>
      <c r="C7139"/>
      <c r="D7139" s="197" t="s">
        <v>997</v>
      </c>
      <c r="E7139" s="197" t="s">
        <v>228</v>
      </c>
      <c r="F7139" s="197"/>
      <c r="G7139" s="197"/>
      <c r="H7139" s="197"/>
      <c r="I7139" s="209"/>
    </row>
    <row r="7140" spans="1:9">
      <c r="A7140" s="195"/>
      <c r="B7140" s="195" t="s">
        <v>207</v>
      </c>
      <c r="C7140"/>
      <c r="D7140" s="197" t="s">
        <v>416</v>
      </c>
      <c r="E7140" s="197" t="s">
        <v>228</v>
      </c>
      <c r="F7140" s="197"/>
      <c r="G7140" s="197"/>
      <c r="H7140" s="197"/>
      <c r="I7140" s="209"/>
    </row>
    <row r="7141" spans="1:9">
      <c r="A7141" s="195"/>
      <c r="B7141" s="196" t="s">
        <v>222</v>
      </c>
      <c r="C7141"/>
      <c r="D7141" s="197" t="s">
        <v>416</v>
      </c>
      <c r="E7141" s="197" t="s">
        <v>228</v>
      </c>
      <c r="F7141" s="197"/>
      <c r="G7141" s="197"/>
      <c r="H7141" s="197"/>
      <c r="I7141" s="209"/>
    </row>
    <row r="7142" spans="1:9">
      <c r="A7142" s="195"/>
      <c r="B7142" s="195" t="s">
        <v>205</v>
      </c>
      <c r="C7142"/>
      <c r="D7142" s="197" t="s">
        <v>416</v>
      </c>
      <c r="E7142" s="197" t="s">
        <v>228</v>
      </c>
      <c r="F7142" s="197"/>
      <c r="G7142" s="197"/>
      <c r="H7142" s="197"/>
      <c r="I7142" s="209"/>
    </row>
    <row r="7143" spans="1:9">
      <c r="A7143" s="195"/>
      <c r="B7143" s="195" t="s">
        <v>206</v>
      </c>
      <c r="C7143"/>
      <c r="D7143" s="197" t="s">
        <v>270</v>
      </c>
      <c r="E7143" s="197" t="s">
        <v>228</v>
      </c>
      <c r="F7143" s="197"/>
      <c r="G7143" s="197"/>
      <c r="H7143" s="197"/>
      <c r="I7143" s="209"/>
    </row>
    <row r="7144" spans="1:9">
      <c r="A7144" s="195"/>
      <c r="B7144" s="195" t="s">
        <v>207</v>
      </c>
      <c r="C7144"/>
      <c r="D7144" s="197" t="s">
        <v>270</v>
      </c>
      <c r="E7144" s="197" t="s">
        <v>228</v>
      </c>
      <c r="F7144" s="197"/>
      <c r="G7144" s="197"/>
      <c r="H7144" s="197"/>
      <c r="I7144" s="209"/>
    </row>
    <row r="7145" spans="1:9">
      <c r="A7145" s="195"/>
      <c r="B7145" s="196" t="s">
        <v>223</v>
      </c>
      <c r="C7145"/>
      <c r="D7145" s="197" t="s">
        <v>270</v>
      </c>
      <c r="E7145" s="197" t="s">
        <v>228</v>
      </c>
      <c r="F7145" s="197"/>
      <c r="G7145" s="197"/>
      <c r="H7145" s="197"/>
      <c r="I7145" s="209"/>
    </row>
    <row r="7146" spans="1:9">
      <c r="A7146" s="195"/>
      <c r="B7146" s="195" t="s">
        <v>205</v>
      </c>
      <c r="C7146"/>
      <c r="D7146" s="197" t="s">
        <v>270</v>
      </c>
      <c r="E7146" s="197" t="s">
        <v>273</v>
      </c>
      <c r="F7146" s="197"/>
      <c r="G7146" s="197"/>
      <c r="H7146" s="197"/>
      <c r="I7146" s="209"/>
    </row>
    <row r="7147" spans="1:9">
      <c r="A7147" s="195"/>
      <c r="B7147" s="195" t="s">
        <v>206</v>
      </c>
      <c r="C7147"/>
      <c r="D7147" s="197" t="s">
        <v>270</v>
      </c>
      <c r="E7147" s="197" t="s">
        <v>273</v>
      </c>
      <c r="F7147" s="197"/>
      <c r="G7147" s="197"/>
      <c r="H7147" s="197"/>
      <c r="I7147" s="209"/>
    </row>
    <row r="7148" spans="1:9">
      <c r="A7148" s="195"/>
      <c r="B7148" s="195" t="s">
        <v>207</v>
      </c>
      <c r="C7148"/>
      <c r="D7148" s="197" t="s">
        <v>270</v>
      </c>
      <c r="E7148" s="197" t="s">
        <v>273</v>
      </c>
      <c r="F7148" s="197"/>
      <c r="G7148" s="197"/>
      <c r="H7148" s="197"/>
      <c r="I7148" s="209"/>
    </row>
    <row r="7149" spans="1:9">
      <c r="A7149" s="195"/>
      <c r="B7149" s="196" t="s">
        <v>225</v>
      </c>
      <c r="C7149"/>
      <c r="D7149" s="197" t="s">
        <v>270</v>
      </c>
      <c r="E7149" s="197" t="s">
        <v>263</v>
      </c>
      <c r="F7149" s="197"/>
      <c r="G7149" s="197"/>
      <c r="H7149" s="197"/>
      <c r="I7149" s="209"/>
    </row>
    <row r="7150" spans="1:9">
      <c r="A7150" s="195"/>
      <c r="B7150" s="195" t="s">
        <v>205</v>
      </c>
      <c r="C7150"/>
      <c r="D7150" s="197" t="s">
        <v>270</v>
      </c>
      <c r="E7150" s="197" t="s">
        <v>263</v>
      </c>
      <c r="F7150" s="197"/>
      <c r="G7150" s="197"/>
      <c r="H7150" s="209"/>
      <c r="I7150" s="209"/>
    </row>
    <row r="7151" spans="1:9">
      <c r="A7151" s="195"/>
      <c r="B7151" s="195" t="s">
        <v>206</v>
      </c>
      <c r="C7151"/>
      <c r="D7151" s="197" t="s">
        <v>270</v>
      </c>
      <c r="E7151" s="197" t="s">
        <v>263</v>
      </c>
      <c r="F7151" s="197"/>
      <c r="G7151" s="197"/>
      <c r="H7151" s="209"/>
      <c r="I7151" s="209"/>
    </row>
    <row r="7152" spans="1:9">
      <c r="A7152" s="195"/>
      <c r="B7152" s="195" t="s">
        <v>207</v>
      </c>
      <c r="C7152"/>
      <c r="D7152" s="197" t="s">
        <v>270</v>
      </c>
      <c r="E7152" s="197" t="s">
        <v>263</v>
      </c>
      <c r="F7152" s="197"/>
      <c r="G7152" s="197"/>
      <c r="H7152" s="209"/>
      <c r="I7152" s="209"/>
    </row>
    <row r="7153" spans="1:11">
      <c r="A7153" s="195"/>
      <c r="B7153" s="196" t="s">
        <v>226</v>
      </c>
      <c r="C7153"/>
      <c r="D7153" s="197" t="s">
        <v>270</v>
      </c>
      <c r="E7153" s="197"/>
      <c r="F7153" s="197"/>
      <c r="G7153" s="197"/>
      <c r="H7153" s="209"/>
      <c r="I7153" s="209"/>
    </row>
    <row r="7154" spans="1:11">
      <c r="A7154" s="195"/>
      <c r="B7154" s="195" t="s">
        <v>205</v>
      </c>
      <c r="C7154"/>
      <c r="D7154" s="197" t="s">
        <v>270</v>
      </c>
      <c r="E7154" s="197"/>
      <c r="F7154" s="197"/>
      <c r="G7154" s="197"/>
      <c r="H7154" s="209"/>
      <c r="I7154" s="209"/>
    </row>
    <row r="7155" spans="1:11">
      <c r="A7155" s="195"/>
      <c r="B7155" s="195" t="s">
        <v>206</v>
      </c>
      <c r="C7155"/>
      <c r="D7155" s="197" t="s">
        <v>270</v>
      </c>
      <c r="E7155" s="197"/>
      <c r="F7155" s="197"/>
      <c r="G7155" s="197"/>
      <c r="H7155" s="209"/>
      <c r="I7155" s="209"/>
    </row>
    <row r="7156" spans="1:11">
      <c r="A7156" s="195"/>
      <c r="B7156" s="195" t="s">
        <v>207</v>
      </c>
      <c r="C7156"/>
      <c r="D7156" s="197" t="s">
        <v>270</v>
      </c>
      <c r="E7156" s="197"/>
      <c r="F7156" s="197"/>
      <c r="G7156" s="197"/>
      <c r="H7156" s="209"/>
      <c r="I7156" s="209"/>
    </row>
    <row r="7157" spans="1:11">
      <c r="A7157" s="195"/>
      <c r="B7157" s="196" t="s">
        <v>227</v>
      </c>
      <c r="C7157"/>
      <c r="D7157" s="197"/>
      <c r="E7157" s="197"/>
      <c r="F7157" s="197"/>
      <c r="G7157" s="197"/>
      <c r="H7157" s="209"/>
      <c r="I7157" s="209"/>
      <c r="K7157"/>
    </row>
  </sheetData>
  <dataConsolidate/>
  <mergeCells count="676">
    <mergeCell ref="K6851:K6859"/>
    <mergeCell ref="K6894:L6894"/>
    <mergeCell ref="K6895:K6896"/>
    <mergeCell ref="K6897:K6898"/>
    <mergeCell ref="K6899:K6902"/>
    <mergeCell ref="K6904:K6912"/>
    <mergeCell ref="K6947:L6947"/>
    <mergeCell ref="K6948:K6949"/>
    <mergeCell ref="K6950:K6951"/>
    <mergeCell ref="K7107:K7108"/>
    <mergeCell ref="K7109:K7110"/>
    <mergeCell ref="K7111:K7114"/>
    <mergeCell ref="K7116:K7124"/>
    <mergeCell ref="K6952:K6955"/>
    <mergeCell ref="K6957:K6965"/>
    <mergeCell ref="K7000:L7000"/>
    <mergeCell ref="K7001:K7002"/>
    <mergeCell ref="K7003:K7004"/>
    <mergeCell ref="K7005:K7008"/>
    <mergeCell ref="K7010:K7018"/>
    <mergeCell ref="K7053:L7053"/>
    <mergeCell ref="K7054:K7055"/>
    <mergeCell ref="K7056:K7057"/>
    <mergeCell ref="K7058:K7061"/>
    <mergeCell ref="K7063:K7071"/>
    <mergeCell ref="K7106:L7106"/>
    <mergeCell ref="K6842:K6843"/>
    <mergeCell ref="K6844:K6845"/>
    <mergeCell ref="K6846:K6849"/>
    <mergeCell ref="K6683:K6684"/>
    <mergeCell ref="K6685:K6686"/>
    <mergeCell ref="K6687:K6690"/>
    <mergeCell ref="K6692:K6700"/>
    <mergeCell ref="K6735:L6735"/>
    <mergeCell ref="K6736:K6737"/>
    <mergeCell ref="K6738:K6739"/>
    <mergeCell ref="K6740:K6743"/>
    <mergeCell ref="K6745:K6753"/>
    <mergeCell ref="K6788:L6788"/>
    <mergeCell ref="K6789:K6790"/>
    <mergeCell ref="K6791:K6792"/>
    <mergeCell ref="K6793:K6796"/>
    <mergeCell ref="K6798:K6806"/>
    <mergeCell ref="K6841:L6841"/>
    <mergeCell ref="K6579:K6580"/>
    <mergeCell ref="K6581:K6584"/>
    <mergeCell ref="K6586:K6594"/>
    <mergeCell ref="K6629:L6629"/>
    <mergeCell ref="K6630:K6631"/>
    <mergeCell ref="K6632:K6633"/>
    <mergeCell ref="K6634:K6637"/>
    <mergeCell ref="K6639:K6647"/>
    <mergeCell ref="K6682:L6682"/>
    <mergeCell ref="K6475:K6478"/>
    <mergeCell ref="K6480:K6488"/>
    <mergeCell ref="K6523:L6523"/>
    <mergeCell ref="K6524:K6525"/>
    <mergeCell ref="K6526:K6527"/>
    <mergeCell ref="K6528:K6531"/>
    <mergeCell ref="K6533:K6541"/>
    <mergeCell ref="K6576:L6576"/>
    <mergeCell ref="K6577:K6578"/>
    <mergeCell ref="K6321:K6329"/>
    <mergeCell ref="K6364:L6364"/>
    <mergeCell ref="K6365:K6366"/>
    <mergeCell ref="K6367:K6368"/>
    <mergeCell ref="K6369:K6372"/>
    <mergeCell ref="K6374:K6382"/>
    <mergeCell ref="K6470:L6470"/>
    <mergeCell ref="K6471:K6472"/>
    <mergeCell ref="K6473:K6474"/>
    <mergeCell ref="K6417:L6417"/>
    <mergeCell ref="K6418:K6419"/>
    <mergeCell ref="K6420:K6421"/>
    <mergeCell ref="K6422:K6425"/>
    <mergeCell ref="K6427:K6435"/>
    <mergeCell ref="K6258:L6258"/>
    <mergeCell ref="K6259:K6260"/>
    <mergeCell ref="K6261:K6262"/>
    <mergeCell ref="K6263:K6266"/>
    <mergeCell ref="K6268:K6276"/>
    <mergeCell ref="K6311:L6311"/>
    <mergeCell ref="K6312:K6313"/>
    <mergeCell ref="K6314:K6315"/>
    <mergeCell ref="K6316:K6319"/>
    <mergeCell ref="K6153:K6154"/>
    <mergeCell ref="K6155:K6156"/>
    <mergeCell ref="K6157:K6160"/>
    <mergeCell ref="K6162:K6170"/>
    <mergeCell ref="K6205:L6205"/>
    <mergeCell ref="K6206:K6207"/>
    <mergeCell ref="K6208:K6209"/>
    <mergeCell ref="K6210:K6213"/>
    <mergeCell ref="K6215:K6223"/>
    <mergeCell ref="K5996:K5997"/>
    <mergeCell ref="K5998:K6001"/>
    <mergeCell ref="K6003:K6011"/>
    <mergeCell ref="K6099:L6099"/>
    <mergeCell ref="K6100:K6101"/>
    <mergeCell ref="K6102:K6103"/>
    <mergeCell ref="K6104:K6107"/>
    <mergeCell ref="K6109:K6117"/>
    <mergeCell ref="K6152:L6152"/>
    <mergeCell ref="K6046:L6046"/>
    <mergeCell ref="K6047:K6048"/>
    <mergeCell ref="K6049:K6050"/>
    <mergeCell ref="K6051:K6054"/>
    <mergeCell ref="K6056:K6064"/>
    <mergeCell ref="K5892:K5895"/>
    <mergeCell ref="K5897:K5905"/>
    <mergeCell ref="K5940:L5940"/>
    <mergeCell ref="K5941:K5942"/>
    <mergeCell ref="K5943:K5944"/>
    <mergeCell ref="K5945:K5948"/>
    <mergeCell ref="K5950:K5958"/>
    <mergeCell ref="K5993:L5993"/>
    <mergeCell ref="K5994:K5995"/>
    <mergeCell ref="K5791:K5799"/>
    <mergeCell ref="K5834:L5834"/>
    <mergeCell ref="K5835:K5836"/>
    <mergeCell ref="K5837:K5838"/>
    <mergeCell ref="K5839:K5842"/>
    <mergeCell ref="K5844:K5852"/>
    <mergeCell ref="K5887:L5887"/>
    <mergeCell ref="K5888:K5889"/>
    <mergeCell ref="K5890:K5891"/>
    <mergeCell ref="K5728:L5728"/>
    <mergeCell ref="K5729:K5730"/>
    <mergeCell ref="K5731:K5732"/>
    <mergeCell ref="K5733:K5736"/>
    <mergeCell ref="K5738:K5746"/>
    <mergeCell ref="K5781:L5781"/>
    <mergeCell ref="K5782:K5783"/>
    <mergeCell ref="K5784:K5785"/>
    <mergeCell ref="K5786:K5789"/>
    <mergeCell ref="K5676:K5677"/>
    <mergeCell ref="K5678:K5679"/>
    <mergeCell ref="K5680:K5683"/>
    <mergeCell ref="K5685:K5693"/>
    <mergeCell ref="K5572:K5573"/>
    <mergeCell ref="K5574:K5577"/>
    <mergeCell ref="K5579:K5587"/>
    <mergeCell ref="K5622:L5622"/>
    <mergeCell ref="K5623:K5624"/>
    <mergeCell ref="K5625:K5626"/>
    <mergeCell ref="K5627:K5630"/>
    <mergeCell ref="K5632:K5640"/>
    <mergeCell ref="K5675:L5675"/>
    <mergeCell ref="K5468:K5471"/>
    <mergeCell ref="K5473:K5481"/>
    <mergeCell ref="K5516:L5516"/>
    <mergeCell ref="K5517:K5518"/>
    <mergeCell ref="K5519:K5520"/>
    <mergeCell ref="K5521:K5524"/>
    <mergeCell ref="K5526:K5534"/>
    <mergeCell ref="K5569:L5569"/>
    <mergeCell ref="K5570:K5571"/>
    <mergeCell ref="K5367:K5375"/>
    <mergeCell ref="K5410:L5410"/>
    <mergeCell ref="K5411:K5412"/>
    <mergeCell ref="K5413:K5414"/>
    <mergeCell ref="K5415:K5418"/>
    <mergeCell ref="K5420:K5428"/>
    <mergeCell ref="K5463:L5463"/>
    <mergeCell ref="K5464:K5465"/>
    <mergeCell ref="K5466:K5467"/>
    <mergeCell ref="K5304:L5304"/>
    <mergeCell ref="K5305:K5306"/>
    <mergeCell ref="K5307:K5308"/>
    <mergeCell ref="K5309:K5312"/>
    <mergeCell ref="K5314:K5322"/>
    <mergeCell ref="K5357:L5357"/>
    <mergeCell ref="K5358:K5359"/>
    <mergeCell ref="K5360:K5361"/>
    <mergeCell ref="K5362:K5365"/>
    <mergeCell ref="K5254:K5255"/>
    <mergeCell ref="K5256:K5259"/>
    <mergeCell ref="K5261:K5269"/>
    <mergeCell ref="K5150:K5153"/>
    <mergeCell ref="K5155:K5163"/>
    <mergeCell ref="K5198:L5198"/>
    <mergeCell ref="K5199:K5200"/>
    <mergeCell ref="K5201:K5202"/>
    <mergeCell ref="K5203:K5206"/>
    <mergeCell ref="K5208:K5216"/>
    <mergeCell ref="K5251:L5251"/>
    <mergeCell ref="K5252:K5253"/>
    <mergeCell ref="K5049:K5057"/>
    <mergeCell ref="K5092:L5092"/>
    <mergeCell ref="K5093:K5094"/>
    <mergeCell ref="K5095:K5096"/>
    <mergeCell ref="K5097:K5100"/>
    <mergeCell ref="K5102:K5110"/>
    <mergeCell ref="K5145:L5145"/>
    <mergeCell ref="K5146:K5147"/>
    <mergeCell ref="K5148:K5149"/>
    <mergeCell ref="K4986:L4986"/>
    <mergeCell ref="K4987:K4988"/>
    <mergeCell ref="K4989:K4990"/>
    <mergeCell ref="K4991:K4994"/>
    <mergeCell ref="K4996:K5004"/>
    <mergeCell ref="K5039:L5039"/>
    <mergeCell ref="K5040:K5041"/>
    <mergeCell ref="K5042:K5043"/>
    <mergeCell ref="K5044:K5047"/>
    <mergeCell ref="K4139:K4140"/>
    <mergeCell ref="K4141:K4142"/>
    <mergeCell ref="K4143:K4146"/>
    <mergeCell ref="K4148:K4156"/>
    <mergeCell ref="K4721:L4721"/>
    <mergeCell ref="K4722:K4723"/>
    <mergeCell ref="K4724:K4725"/>
    <mergeCell ref="K4726:K4729"/>
    <mergeCell ref="K4731:K4739"/>
    <mergeCell ref="K4668:L4668"/>
    <mergeCell ref="K4669:K4670"/>
    <mergeCell ref="K4671:K4672"/>
    <mergeCell ref="K4673:K4676"/>
    <mergeCell ref="K4678:K4686"/>
    <mergeCell ref="K4254:K4262"/>
    <mergeCell ref="K4191:L4191"/>
    <mergeCell ref="K4192:K4193"/>
    <mergeCell ref="K4194:K4195"/>
    <mergeCell ref="K4196:K4199"/>
    <mergeCell ref="K4201:K4209"/>
    <mergeCell ref="K4244:L4244"/>
    <mergeCell ref="K4245:K4246"/>
    <mergeCell ref="K4247:K4248"/>
    <mergeCell ref="K4249:K4252"/>
    <mergeCell ref="K4086:K4087"/>
    <mergeCell ref="K4088:K4089"/>
    <mergeCell ref="K4090:K4093"/>
    <mergeCell ref="K4095:K4103"/>
    <mergeCell ref="K4138:L4138"/>
    <mergeCell ref="K3878:K3881"/>
    <mergeCell ref="K3883:K3891"/>
    <mergeCell ref="K3926:L3926"/>
    <mergeCell ref="K3927:K3928"/>
    <mergeCell ref="K3929:K3930"/>
    <mergeCell ref="K3931:K3934"/>
    <mergeCell ref="K3936:K3944"/>
    <mergeCell ref="K3979:L3979"/>
    <mergeCell ref="K3980:K3981"/>
    <mergeCell ref="K3982:K3983"/>
    <mergeCell ref="K3984:K3987"/>
    <mergeCell ref="K3989:K3997"/>
    <mergeCell ref="K4032:L4032"/>
    <mergeCell ref="K4033:K4034"/>
    <mergeCell ref="K4035:K4036"/>
    <mergeCell ref="K4037:K4040"/>
    <mergeCell ref="K4042:K4050"/>
    <mergeCell ref="K4085:L4085"/>
    <mergeCell ref="K3777:K3785"/>
    <mergeCell ref="K3820:L3820"/>
    <mergeCell ref="K3821:K3822"/>
    <mergeCell ref="K3823:K3824"/>
    <mergeCell ref="K3825:K3828"/>
    <mergeCell ref="K3830:K3838"/>
    <mergeCell ref="K3873:L3873"/>
    <mergeCell ref="K3874:K3875"/>
    <mergeCell ref="K3876:K3877"/>
    <mergeCell ref="K3714:L3714"/>
    <mergeCell ref="K3715:K3716"/>
    <mergeCell ref="K3717:K3718"/>
    <mergeCell ref="K3719:K3722"/>
    <mergeCell ref="K3724:K3732"/>
    <mergeCell ref="K3767:L3767"/>
    <mergeCell ref="K3768:K3769"/>
    <mergeCell ref="K3770:K3771"/>
    <mergeCell ref="K3772:K3775"/>
    <mergeCell ref="K3664:K3665"/>
    <mergeCell ref="K3666:K3669"/>
    <mergeCell ref="K3671:K3679"/>
    <mergeCell ref="K3560:K3563"/>
    <mergeCell ref="K3565:K3573"/>
    <mergeCell ref="K3608:L3608"/>
    <mergeCell ref="K3609:K3610"/>
    <mergeCell ref="K3611:K3612"/>
    <mergeCell ref="K3613:K3616"/>
    <mergeCell ref="K3618:K3626"/>
    <mergeCell ref="K3661:L3661"/>
    <mergeCell ref="K3662:K3663"/>
    <mergeCell ref="K3459:K3467"/>
    <mergeCell ref="K3502:L3502"/>
    <mergeCell ref="K3503:K3504"/>
    <mergeCell ref="K3505:K3506"/>
    <mergeCell ref="K3507:K3510"/>
    <mergeCell ref="K3512:K3520"/>
    <mergeCell ref="K3555:L3555"/>
    <mergeCell ref="K3556:K3557"/>
    <mergeCell ref="K3558:K3559"/>
    <mergeCell ref="K3396:L3396"/>
    <mergeCell ref="K3397:K3398"/>
    <mergeCell ref="K3399:K3400"/>
    <mergeCell ref="K3401:K3404"/>
    <mergeCell ref="K3406:K3414"/>
    <mergeCell ref="K3449:L3449"/>
    <mergeCell ref="K3450:K3451"/>
    <mergeCell ref="K3452:K3453"/>
    <mergeCell ref="K3454:K3457"/>
    <mergeCell ref="D2:E2"/>
    <mergeCell ref="K3184:L3184"/>
    <mergeCell ref="K3185:K3186"/>
    <mergeCell ref="K3187:K3188"/>
    <mergeCell ref="K3189:K3192"/>
    <mergeCell ref="K3194:K3202"/>
    <mergeCell ref="K3237:L3237"/>
    <mergeCell ref="K3238:K3239"/>
    <mergeCell ref="K3240:K3241"/>
    <mergeCell ref="K2283:L2283"/>
    <mergeCell ref="K2284:K2285"/>
    <mergeCell ref="K2286:K2287"/>
    <mergeCell ref="K2288:K2291"/>
    <mergeCell ref="K2293:K2301"/>
    <mergeCell ref="K2230:L2230"/>
    <mergeCell ref="K2231:K2232"/>
    <mergeCell ref="K2233:K2234"/>
    <mergeCell ref="K2235:K2238"/>
    <mergeCell ref="K2240:K2248"/>
    <mergeCell ref="K2177:L2177"/>
    <mergeCell ref="K2178:K2179"/>
    <mergeCell ref="K2180:K2181"/>
    <mergeCell ref="K2182:K2185"/>
    <mergeCell ref="K2187:K2195"/>
    <mergeCell ref="K3242:K3245"/>
    <mergeCell ref="K2336:L2336"/>
    <mergeCell ref="K2337:K2338"/>
    <mergeCell ref="K2339:K2340"/>
    <mergeCell ref="K2341:K2344"/>
    <mergeCell ref="K3078:L3078"/>
    <mergeCell ref="K3079:K3080"/>
    <mergeCell ref="K3081:K3082"/>
    <mergeCell ref="K3083:K3086"/>
    <mergeCell ref="K3088:K3096"/>
    <mergeCell ref="K2659:K2662"/>
    <mergeCell ref="K2664:K2672"/>
    <mergeCell ref="K2707:L2707"/>
    <mergeCell ref="K2708:K2709"/>
    <mergeCell ref="K2710:K2711"/>
    <mergeCell ref="K2548:L2548"/>
    <mergeCell ref="K2549:K2550"/>
    <mergeCell ref="K2551:K2552"/>
    <mergeCell ref="K2553:K2556"/>
    <mergeCell ref="K2558:K2566"/>
    <mergeCell ref="K2601:L2601"/>
    <mergeCell ref="K2602:K2603"/>
    <mergeCell ref="K2604:K2605"/>
    <mergeCell ref="K2606:K2609"/>
    <mergeCell ref="K2124:L2124"/>
    <mergeCell ref="K2125:K2126"/>
    <mergeCell ref="K2127:K2128"/>
    <mergeCell ref="K2129:K2132"/>
    <mergeCell ref="K2134:K2142"/>
    <mergeCell ref="K2071:L2071"/>
    <mergeCell ref="K2072:K2073"/>
    <mergeCell ref="K2074:K2075"/>
    <mergeCell ref="K2076:K2079"/>
    <mergeCell ref="K2081:K2089"/>
    <mergeCell ref="K2018:L2018"/>
    <mergeCell ref="K2019:K2020"/>
    <mergeCell ref="K2021:K2022"/>
    <mergeCell ref="K2023:K2026"/>
    <mergeCell ref="K2028:K2036"/>
    <mergeCell ref="K1965:L1965"/>
    <mergeCell ref="K1966:K1967"/>
    <mergeCell ref="K1968:K1969"/>
    <mergeCell ref="K1970:K1973"/>
    <mergeCell ref="K1975:K1983"/>
    <mergeCell ref="K1912:L1912"/>
    <mergeCell ref="K1913:K1914"/>
    <mergeCell ref="K1915:K1916"/>
    <mergeCell ref="K1917:K1920"/>
    <mergeCell ref="K1922:K1930"/>
    <mergeCell ref="K1859:L1859"/>
    <mergeCell ref="K1860:K1861"/>
    <mergeCell ref="K1862:K1863"/>
    <mergeCell ref="K1864:K1867"/>
    <mergeCell ref="K1869:K1877"/>
    <mergeCell ref="K1806:L1806"/>
    <mergeCell ref="K1807:K1808"/>
    <mergeCell ref="K1809:K1810"/>
    <mergeCell ref="K1811:K1814"/>
    <mergeCell ref="K1816:K1824"/>
    <mergeCell ref="K1753:L1753"/>
    <mergeCell ref="K1754:K1755"/>
    <mergeCell ref="K1756:K1757"/>
    <mergeCell ref="K1758:K1761"/>
    <mergeCell ref="K1763:K1771"/>
    <mergeCell ref="K1700:L1700"/>
    <mergeCell ref="K1701:K1702"/>
    <mergeCell ref="K1703:K1704"/>
    <mergeCell ref="K1705:K1708"/>
    <mergeCell ref="K1710:K1718"/>
    <mergeCell ref="K1647:L1647"/>
    <mergeCell ref="K1648:K1649"/>
    <mergeCell ref="K1650:K1651"/>
    <mergeCell ref="K1652:K1655"/>
    <mergeCell ref="K1657:K1665"/>
    <mergeCell ref="K1594:L1594"/>
    <mergeCell ref="K1595:K1596"/>
    <mergeCell ref="K1597:K1598"/>
    <mergeCell ref="K1599:K1602"/>
    <mergeCell ref="K1604:K1612"/>
    <mergeCell ref="K1541:L1541"/>
    <mergeCell ref="K1542:K1543"/>
    <mergeCell ref="K1544:K1545"/>
    <mergeCell ref="K1546:K1549"/>
    <mergeCell ref="K1551:K1559"/>
    <mergeCell ref="K1488:L1488"/>
    <mergeCell ref="K1489:K1490"/>
    <mergeCell ref="K1491:K1492"/>
    <mergeCell ref="K1493:K1496"/>
    <mergeCell ref="K1498:K1506"/>
    <mergeCell ref="K1435:L1435"/>
    <mergeCell ref="K1436:K1437"/>
    <mergeCell ref="K1438:K1439"/>
    <mergeCell ref="K1440:K1443"/>
    <mergeCell ref="K1445:K1453"/>
    <mergeCell ref="K1382:L1382"/>
    <mergeCell ref="K1383:K1384"/>
    <mergeCell ref="K1385:K1386"/>
    <mergeCell ref="K1387:K1390"/>
    <mergeCell ref="K1392:K1400"/>
    <mergeCell ref="K1329:L1329"/>
    <mergeCell ref="K1330:K1331"/>
    <mergeCell ref="K1332:K1333"/>
    <mergeCell ref="K1334:K1337"/>
    <mergeCell ref="K1339:K1347"/>
    <mergeCell ref="K1276:L1276"/>
    <mergeCell ref="K1277:K1278"/>
    <mergeCell ref="K1279:K1280"/>
    <mergeCell ref="K1281:K1284"/>
    <mergeCell ref="K1286:K1294"/>
    <mergeCell ref="K1223:L1223"/>
    <mergeCell ref="K1224:K1225"/>
    <mergeCell ref="K1226:K1227"/>
    <mergeCell ref="K1228:K1231"/>
    <mergeCell ref="K1233:K1241"/>
    <mergeCell ref="K1170:L1170"/>
    <mergeCell ref="K1171:K1172"/>
    <mergeCell ref="K1173:K1174"/>
    <mergeCell ref="K1175:K1178"/>
    <mergeCell ref="K1180:K1188"/>
    <mergeCell ref="K1117:L1117"/>
    <mergeCell ref="K1118:K1119"/>
    <mergeCell ref="K1120:K1121"/>
    <mergeCell ref="K1122:K1125"/>
    <mergeCell ref="K1127:K1135"/>
    <mergeCell ref="K1064:L1064"/>
    <mergeCell ref="K1065:K1066"/>
    <mergeCell ref="K1067:K1068"/>
    <mergeCell ref="K1069:K1072"/>
    <mergeCell ref="K1074:K1082"/>
    <mergeCell ref="K1011:L1011"/>
    <mergeCell ref="K1012:K1013"/>
    <mergeCell ref="K1014:K1015"/>
    <mergeCell ref="K1016:K1019"/>
    <mergeCell ref="K1021:K1029"/>
    <mergeCell ref="K958:L958"/>
    <mergeCell ref="K959:K960"/>
    <mergeCell ref="K961:K962"/>
    <mergeCell ref="K963:K966"/>
    <mergeCell ref="K968:K976"/>
    <mergeCell ref="K905:L905"/>
    <mergeCell ref="K906:K907"/>
    <mergeCell ref="K908:K909"/>
    <mergeCell ref="K910:K913"/>
    <mergeCell ref="K915:K923"/>
    <mergeCell ref="K852:L852"/>
    <mergeCell ref="K853:K854"/>
    <mergeCell ref="K855:K856"/>
    <mergeCell ref="K857:K860"/>
    <mergeCell ref="K862:K870"/>
    <mergeCell ref="K799:L799"/>
    <mergeCell ref="K800:K801"/>
    <mergeCell ref="K802:K803"/>
    <mergeCell ref="K804:K807"/>
    <mergeCell ref="K809:K817"/>
    <mergeCell ref="K746:L746"/>
    <mergeCell ref="K747:K748"/>
    <mergeCell ref="K749:K750"/>
    <mergeCell ref="K751:K754"/>
    <mergeCell ref="K756:K764"/>
    <mergeCell ref="K693:L693"/>
    <mergeCell ref="K694:K695"/>
    <mergeCell ref="K696:K697"/>
    <mergeCell ref="K698:K701"/>
    <mergeCell ref="K703:K711"/>
    <mergeCell ref="K640:L640"/>
    <mergeCell ref="K641:K642"/>
    <mergeCell ref="K643:K644"/>
    <mergeCell ref="K645:K648"/>
    <mergeCell ref="K650:K658"/>
    <mergeCell ref="K588:K589"/>
    <mergeCell ref="K590:K591"/>
    <mergeCell ref="K592:K595"/>
    <mergeCell ref="K597:K605"/>
    <mergeCell ref="K587:L587"/>
    <mergeCell ref="K380:K383"/>
    <mergeCell ref="K385:K393"/>
    <mergeCell ref="K322:L322"/>
    <mergeCell ref="K323:K324"/>
    <mergeCell ref="K325:K326"/>
    <mergeCell ref="K327:K330"/>
    <mergeCell ref="K332:K340"/>
    <mergeCell ref="K481:L481"/>
    <mergeCell ref="K482:K483"/>
    <mergeCell ref="K534:L534"/>
    <mergeCell ref="K535:K536"/>
    <mergeCell ref="K537:K538"/>
    <mergeCell ref="K539:K542"/>
    <mergeCell ref="K544:K552"/>
    <mergeCell ref="K484:K485"/>
    <mergeCell ref="K486:K489"/>
    <mergeCell ref="K491:K499"/>
    <mergeCell ref="K428:L428"/>
    <mergeCell ref="K429:K430"/>
    <mergeCell ref="K431:K432"/>
    <mergeCell ref="K433:K436"/>
    <mergeCell ref="K438:K446"/>
    <mergeCell ref="K272:K273"/>
    <mergeCell ref="K274:K277"/>
    <mergeCell ref="K221:K224"/>
    <mergeCell ref="K226:K234"/>
    <mergeCell ref="K269:L269"/>
    <mergeCell ref="K270:K271"/>
    <mergeCell ref="K375:L375"/>
    <mergeCell ref="K376:K377"/>
    <mergeCell ref="K378:K379"/>
    <mergeCell ref="K4:L4"/>
    <mergeCell ref="K5:K6"/>
    <mergeCell ref="K7:K8"/>
    <mergeCell ref="K9:K12"/>
    <mergeCell ref="K14:K22"/>
    <mergeCell ref="K57:L57"/>
    <mergeCell ref="K58:K59"/>
    <mergeCell ref="K219:K220"/>
    <mergeCell ref="K279:K287"/>
    <mergeCell ref="K60:K61"/>
    <mergeCell ref="K62:K65"/>
    <mergeCell ref="K67:K75"/>
    <mergeCell ref="K110:L110"/>
    <mergeCell ref="K111:K112"/>
    <mergeCell ref="K113:K114"/>
    <mergeCell ref="K115:K118"/>
    <mergeCell ref="K120:K128"/>
    <mergeCell ref="K163:L163"/>
    <mergeCell ref="K164:K165"/>
    <mergeCell ref="K166:K167"/>
    <mergeCell ref="K168:K171"/>
    <mergeCell ref="K173:K181"/>
    <mergeCell ref="K216:L216"/>
    <mergeCell ref="K217:K218"/>
    <mergeCell ref="K2346:K2354"/>
    <mergeCell ref="K2389:L2389"/>
    <mergeCell ref="K2390:K2391"/>
    <mergeCell ref="K2392:K2393"/>
    <mergeCell ref="K2394:K2397"/>
    <mergeCell ref="K2611:K2619"/>
    <mergeCell ref="K2654:L2654"/>
    <mergeCell ref="K2655:K2656"/>
    <mergeCell ref="K2657:K2658"/>
    <mergeCell ref="K2500:K2503"/>
    <mergeCell ref="K2505:K2513"/>
    <mergeCell ref="K2399:K2407"/>
    <mergeCell ref="K2442:L2442"/>
    <mergeCell ref="K2443:K2444"/>
    <mergeCell ref="K2445:K2446"/>
    <mergeCell ref="K2447:K2450"/>
    <mergeCell ref="K2452:K2460"/>
    <mergeCell ref="K2495:L2495"/>
    <mergeCell ref="K2496:K2497"/>
    <mergeCell ref="K2498:K2499"/>
    <mergeCell ref="K3134:K3135"/>
    <mergeCell ref="K3136:K3139"/>
    <mergeCell ref="K3141:K3149"/>
    <mergeCell ref="K3030:K3033"/>
    <mergeCell ref="K3035:K3043"/>
    <mergeCell ref="K2816:K2817"/>
    <mergeCell ref="K2818:K2821"/>
    <mergeCell ref="K2823:K2831"/>
    <mergeCell ref="K2712:K2715"/>
    <mergeCell ref="K2717:K2725"/>
    <mergeCell ref="K2760:L2760"/>
    <mergeCell ref="K2761:K2762"/>
    <mergeCell ref="K2763:K2764"/>
    <mergeCell ref="K2765:K2768"/>
    <mergeCell ref="K2770:K2778"/>
    <mergeCell ref="K2813:L2813"/>
    <mergeCell ref="K2814:K2815"/>
    <mergeCell ref="K3131:L3131"/>
    <mergeCell ref="K3132:K3133"/>
    <mergeCell ref="K2929:K2937"/>
    <mergeCell ref="K2972:L2972"/>
    <mergeCell ref="K2973:K2974"/>
    <mergeCell ref="K2975:K2976"/>
    <mergeCell ref="K2977:K2980"/>
    <mergeCell ref="K3348:K3351"/>
    <mergeCell ref="K3353:K3361"/>
    <mergeCell ref="K3247:K3255"/>
    <mergeCell ref="K3290:L3290"/>
    <mergeCell ref="K3291:K3292"/>
    <mergeCell ref="K3293:K3294"/>
    <mergeCell ref="K3295:K3298"/>
    <mergeCell ref="K3300:K3308"/>
    <mergeCell ref="K3343:L3343"/>
    <mergeCell ref="K3344:K3345"/>
    <mergeCell ref="K3346:K3347"/>
    <mergeCell ref="K2982:K2990"/>
    <mergeCell ref="K3025:L3025"/>
    <mergeCell ref="K3026:K3027"/>
    <mergeCell ref="K3028:K3029"/>
    <mergeCell ref="K2866:L2866"/>
    <mergeCell ref="K2867:K2868"/>
    <mergeCell ref="K2869:K2870"/>
    <mergeCell ref="K2871:K2874"/>
    <mergeCell ref="K2876:K2884"/>
    <mergeCell ref="K2919:L2919"/>
    <mergeCell ref="K2920:K2921"/>
    <mergeCell ref="K2922:K2923"/>
    <mergeCell ref="K2924:K2927"/>
    <mergeCell ref="K4297:L4297"/>
    <mergeCell ref="K4298:K4299"/>
    <mergeCell ref="K4300:K4301"/>
    <mergeCell ref="K4302:K4305"/>
    <mergeCell ref="K4307:K4315"/>
    <mergeCell ref="K4350:L4350"/>
    <mergeCell ref="K4351:K4352"/>
    <mergeCell ref="K4353:K4354"/>
    <mergeCell ref="K4355:K4358"/>
    <mergeCell ref="K4360:K4368"/>
    <mergeCell ref="K4403:L4403"/>
    <mergeCell ref="K4404:K4405"/>
    <mergeCell ref="K4406:K4407"/>
    <mergeCell ref="K4408:K4411"/>
    <mergeCell ref="K4413:K4421"/>
    <mergeCell ref="K4456:L4456"/>
    <mergeCell ref="K4457:K4458"/>
    <mergeCell ref="K4459:K4460"/>
    <mergeCell ref="K4565:K4566"/>
    <mergeCell ref="K4567:K4570"/>
    <mergeCell ref="K4572:K4580"/>
    <mergeCell ref="K4615:L4615"/>
    <mergeCell ref="K4616:K4617"/>
    <mergeCell ref="K4618:K4619"/>
    <mergeCell ref="K4620:K4623"/>
    <mergeCell ref="K4625:K4633"/>
    <mergeCell ref="K4461:K4464"/>
    <mergeCell ref="K4466:K4474"/>
    <mergeCell ref="K4509:L4509"/>
    <mergeCell ref="K4510:K4511"/>
    <mergeCell ref="K4512:K4513"/>
    <mergeCell ref="K4514:K4517"/>
    <mergeCell ref="K4519:K4527"/>
    <mergeCell ref="K4562:L4562"/>
    <mergeCell ref="K4563:K4564"/>
    <mergeCell ref="K4774:L4774"/>
    <mergeCell ref="K4775:K4776"/>
    <mergeCell ref="K4777:K4778"/>
    <mergeCell ref="K4779:K4782"/>
    <mergeCell ref="K4784:K4792"/>
    <mergeCell ref="K4827:L4827"/>
    <mergeCell ref="K4828:K4829"/>
    <mergeCell ref="K4830:K4831"/>
    <mergeCell ref="K4832:K4835"/>
    <mergeCell ref="K4938:K4941"/>
    <mergeCell ref="K4943:K4951"/>
    <mergeCell ref="K4837:K4845"/>
    <mergeCell ref="K4880:L4880"/>
    <mergeCell ref="K4881:K4882"/>
    <mergeCell ref="K4883:K4884"/>
    <mergeCell ref="K4885:K4888"/>
    <mergeCell ref="K4890:K4898"/>
    <mergeCell ref="K4933:L4933"/>
    <mergeCell ref="K4934:K4935"/>
    <mergeCell ref="K4936:K4937"/>
  </mergeCells>
  <phoneticPr fontId="13" type="Hiragana"/>
  <conditionalFormatting sqref="B7:B55 E7">
    <cfRule type="expression" dxfId="2633" priority="42183">
      <formula>(VALUE($B7)&lt;1)*Periods</formula>
    </cfRule>
  </conditionalFormatting>
  <conditionalFormatting sqref="D5:I5">
    <cfRule type="expression" dxfId="2632" priority="42040">
      <formula>LEN(D5)&gt;0</formula>
    </cfRule>
  </conditionalFormatting>
  <conditionalFormatting sqref="D9:E12 E8 D7:D8 D66:I108 D119:I161 D225:I267 D65:F65 D118:F118 D171:F171 D224:F224 D277:F277 D62:E64 D115:E117 D168:E170 D221:E223 D274:E276 F60:F64 F113:F117 F166:F170 F219:F223 F272:F276 G60:I65 G113:I118 G166:I171 G219:I224 G272:I277 E61 E114 E167 E220 E273 D60:D61 D113:D114 D166:D167 D219:D220 D272:D273 D278:I320 F7:I12 D172:I192 D200:I214 E199:I199 D194:I198 E193 G193:I193 D2659:E2662 G2657:I2660 E2658 G2661:G2662 E2608:E2621 D2606:D2621 F2657:F2662 D2622:I2631 D2715:F2715 D2712:E2714 F2710:F2714 G2710:I2715 E2711 D2738:E2738 H2738:I2738 E2632 H2632:I2632 D2633:I2652 F2604:I2621 H2661:I2705 D2686:G2705 D2685:E2685 D2663:G2684 D2739:I2758 E2764 E2817 D2763:D2764 D2816:D2817 F2763:I2770 D2765:E2770 D2771:I2790 D2818:E2823 F2816:I2823 D2792:I2811 E2844:F2844 D2824:I2841 D2842:F2843 D2845:I2864 G2842:I2844 D13:I55 D4196:E4198 D4249:E4251 F4247:F4251 E4248 E4301 D4300:D4301 E4199:E4205 F4194:I4242 E4212:E4242 D4205:D4242 G4247:I4254 D4252:F4254 D4247:D4250 D4255:I4295 D4353:D4354 D4406:D4407 D4459:D4460 D4512:D4513 E4354 E4407 D4355:E4360 D4408:E4413 F4406:I4413 E4434:F4434 D4432:F4433 G4432:I4434 D4461:E4464 E4460 F4487 H4487:I4487 F4512:I4512 E4513:I4513 F4459:I4464 G4300:I4348 D4328:F4348 F4316:F4327 F4300:F4307 D4302:E4303 D4393:I4401 D4435:I4454 D4414:I4431 D4465:I4486 D4488:I4507 D4565:D4566 D4618:D4619 D4623:F4623 D4620:E4622 F4618:F4622 G4618:I4623 E4566 E4619 H4646:I4646 D4624:I4625 D4657:I4666 G4647:I4656 F4541:F4544 D4542:E4544 G4540:I4544 D4545:I4560 D4514:I4535 D4537:I4539 C4536:I4536 D4594:D4597 D4361:I4380 D4382:E4392 G4382:I4392 F4353:I4360 D4609:I4613 J4567:J4570 F4565:I4569 G4572 G4570:I4571 G4573:I4608 F4570:F4608 D4567:E4585 D4597:E4608 E4593:E4596 D4587:E4592 E4586 E4672 D4671:D4678 F4671:I4672 D4679:I4698 G4626:I4645 D4626:F4656 D2716:I2737 E4673:I4678 D4700:I4719 H4805 F4830:H4830 D4777:H4784 F4801:F4805 D4941:F4941 F4936:F4940 G4936:H4941 H4964 D4942:H4944 D4975:H4984 G4965:H4974 H4858 D4859:H4878 D4832:D4853 G4831:H4853 D4938:E4940 E4884 E4937 G4785:H4804 D4785:E4804 D4806:H4825 F4856:F4857 E4856:E4858 E4833:F4853 E4855:F4855 G4855:H4857 D4855:D4857 D4854:H4854 F4883:H4892 D4885:E4892 I4883:I4931 D4893:H4931 G4945:H4963 D4945:F4974 D6035:I6044 D5987:I5991 J5945:J5948 G5947:H5948 D6627:I6627 F6102:H6103 E6106:I6109 D6150:I6150 F6155:I6156 D6102:D6109 F6367:F6371 G6367:H6372 D6373:H6375 D6406:H6415 G6396:H6405 D6369:E6371 F6287:F6288 E6287:E6289 G6376:H6394 D6367:D6368 D6018:D6019 I6110:I6149 D6199:I6203 G6198:I6198 H7137:I7137 G6902:I6902 D7011:I7011 D6796:F6796 H6819 D6797:H6797 E6792 E6817:F6817 E6836:H6836 E6845 E6898 E6925:F6925 F7003:H7003 E7004:H7004 D7114:F7114 E7057 E7110 C7027:E7027 E7077 D7005:H7005 D7047:H7047 D7100:E7100 F7058:G7058 G7006:H7006 I6685:I6733 G6552:I6554 F6526:I6530 I6531:I6540 D6555:I6574 D6541:I6551 F6579:I6582 I6583:I6626 F6738:F6742 G6738:H6743 D6744:H6746 D6777:H6786 G6767:H6776 D6740:E6742 F6685:H6694 D6687:E6694 G6747:H6765 E6635:F6645 E6656:E6660 D6661:H6680 G6633:H6659 F6656:F6659 E6647:F6655 D6714:H6733 D6695:H6712 D6747:F6776 D6526:D6527 D6528:E6533 D6552:F6553 D6534:H6540 F6531:H6533 D6632:D6659 D6685:D6686 D6738:D6739 D6579:D6580 D6581:E6584 F6583:H6584 D6585:H6606 D6608:H6626 F6897:I6901 D6891:I6892 D6940:I6945 G7109:I7114 D7115:I7116 D7148:I7157 G7138:I7147 D7048:I7051 J7058:J7061 G7117:I7136 F6844:I6851 I7003:I7006 I7032:I7047 I6852:I6890 I7056:I7104 G7007:I7010 G7012:I7031 I6903:I6939 I6950:I6998 F6791:F6795 G6791:H6796 D6837:H6839 G6820:H6829 D6793:E6795 G6800:H6818 F6800:F6816 F6798:H6799 E6798:E6816 F6818:F6829 F6830:H6835 E6818:E6835 D6798:D6836 D6791:D6792 D6844:D6845 D6897:D6898 D7003:D7004 D6899:E6904 D6923:F6924 G6923:H6925 D7056:D7057 D7109:D7110 D7111:E7113 F7109:F7113 D7028:E7030 D7101:H7104 F7056:H7057 D7058:E7076 D7085:D7099 E7084:E7099 D7078:E7083 D6846:E6851 D6873:E6885 F6879:F6885 D6886:H6890 G6903:H6904 D6852:H6871 D6926:H6939 D7033:E7046 G7032:H7046 G7059:G7063 G7064:H7100 H7058:H7062 D7117:F7147 F7059:F7100 G6873:H6885 F6902:F6904 D7006:F7010 D7012:E7026 F7012:F7046 D6905:H6922 F6873:F6877 D6950:H6957 D6958:E6977 D6994:H6998 G6958:H6977 D6979:E6988 G6979:G6988 F6976:F6988 D6989:G6993 H6978:H6993 F6958:F6959 G5996:I6034 G6157:I6159 G5971:H5971 F5972:I5986 I5960:I5970 E6004 F5951:H5970 D6110:H6129 E6104:H6105 I6102:I6105 D6131:H6149 I6160:I6197 D6184:D6198 G6183:H6197 E6157:F6167 F6170:H6171 F6168:F6169 E6183:E6188 G6160:H6169 D6172:H6182 E6165:E6171 D6155:D6171 D6252:H6256 D6290:F6290 G6262:H6288 D6305:H6309 H6289:H6304 D6208:H6213 I6243:I6256 I6208:I6239 G6214:H6235 D6214:E6217 I6314:I6362 D6376:F6405 D6218:D6220 E6220 D6221:E6235 D6240:E6241 D6237:D6239 F6237:G6241 D6242:G6251 E6294:G6304 D6286:D6289 G6289:G6293 E6264:F6285 E6291:F6293 D6291:D6304 F6314:H6317 D6322:E6329 D6330:F6336 F6318:F6329 G6318:H6336 D6337:H6362 D6314:D6322 D6261:D6284">
    <cfRule type="expression" dxfId="24" priority="145827">
      <formula>(VALUE($B7)&lt;1)*($B7&lt;&gt;$B$7)*LEN(C$5)*(LEN(C7)=0)*(LEN(C6)=0)</formula>
    </cfRule>
    <cfRule type="expression" dxfId="23" priority="145828">
      <formula>(VALUE($B7)&lt;1)*($B7&lt;&gt;$B$7)*LEN(C$5)</formula>
    </cfRule>
    <cfRule type="expression" dxfId="22" priority="145829" stopIfTrue="1">
      <formula>IsEntireDay*ShowAssignmentName</formula>
    </cfRule>
    <cfRule type="expression" dxfId="21" priority="145830" stopIfTrue="1">
      <formula>(1=IsColor)*ShowAssignmentName</formula>
    </cfRule>
    <cfRule type="expression" dxfId="20" priority="145831" stopIfTrue="1">
      <formula>(1=IsColor)*ShowAssignmentColor</formula>
    </cfRule>
    <cfRule type="expression" dxfId="19" priority="145832" stopIfTrue="1">
      <formula>(2=IsColor)*ShowAssignmentName</formula>
    </cfRule>
    <cfRule type="expression" dxfId="18" priority="145833" stopIfTrue="1">
      <formula>(2=IsColor)*ShowAssignmentColor</formula>
    </cfRule>
    <cfRule type="expression" dxfId="17" priority="145834" stopIfTrue="1">
      <formula>(3=IsColor)*ShowAssignmentName</formula>
    </cfRule>
    <cfRule type="expression" dxfId="16" priority="145835" stopIfTrue="1">
      <formula>(3=IsColor)*ShowAssignmentColor</formula>
    </cfRule>
    <cfRule type="expression" dxfId="15" priority="145836" stopIfTrue="1">
      <formula>(4=IsColor)*ShowAssignmentName</formula>
    </cfRule>
    <cfRule type="expression" dxfId="14" priority="145837" stopIfTrue="1">
      <formula>(4=IsColor)*ShowAssignmentColor</formula>
    </cfRule>
    <cfRule type="expression" dxfId="13" priority="145838" stopIfTrue="1">
      <formula>(5=IsColor)*ShowAssignmentName</formula>
    </cfRule>
    <cfRule type="expression" dxfId="12" priority="145839" stopIfTrue="1">
      <formula>(5=IsColor)*ShowAssignmentColor</formula>
    </cfRule>
    <cfRule type="expression" dxfId="11" priority="145840" stopIfTrue="1">
      <formula>(6=IsColor)*ShowAssignmentName</formula>
    </cfRule>
    <cfRule type="expression" dxfId="10" priority="145841" stopIfTrue="1">
      <formula>(6=IsColor)*ShowAssignmentColor</formula>
    </cfRule>
    <cfRule type="expression" dxfId="9" priority="145842" stopIfTrue="1">
      <formula>(7=IsColor)*ShowAssignmentName</formula>
    </cfRule>
    <cfRule type="expression" dxfId="8" priority="145843" stopIfTrue="1">
      <formula>(7=IsColor)*ShowAssignmentColor</formula>
    </cfRule>
    <cfRule type="expression" dxfId="7" priority="145844" stopIfTrue="1">
      <formula>(8=IsColor)*ShowAssignmentName</formula>
    </cfRule>
    <cfRule type="expression" dxfId="6" priority="145845" stopIfTrue="1">
      <formula>(8=IsColor)*ShowAssignmentColor</formula>
    </cfRule>
    <cfRule type="expression" dxfId="5" priority="145846" stopIfTrue="1">
      <formula>(9=IsColor)*ShowAssignmentName</formula>
    </cfRule>
    <cfRule type="expression" dxfId="4" priority="145847" stopIfTrue="1">
      <formula>(9=IsColor)*ShowAssignmentColor</formula>
    </cfRule>
    <cfRule type="expression" dxfId="3" priority="145848" stopIfTrue="1">
      <formula>(10=IsColor)*ShowAssignmentName</formula>
    </cfRule>
    <cfRule type="expression" dxfId="2" priority="145849" stopIfTrue="1">
      <formula>(10=IsColor)*ShowAssignmentColor</formula>
    </cfRule>
    <cfRule type="expression" dxfId="1" priority="145850" stopIfTrue="1">
      <formula>(11=IsColor)*ShowAssignmentName</formula>
    </cfRule>
    <cfRule type="expression" dxfId="0" priority="145851" stopIfTrue="1">
      <formula>(11=IsColor)*ShowAssignmentColor</formula>
    </cfRule>
  </conditionalFormatting>
  <conditionalFormatting sqref="B60:B108 B113:B161 B166:B214 B219:B267 B272:B320 E60 E113 E166 E219 E272">
    <cfRule type="expression" dxfId="2631" priority="41870">
      <formula>(VALUE($B60)&lt;1)*Periods</formula>
    </cfRule>
  </conditionalFormatting>
  <conditionalFormatting sqref="D58:I58 D111:I111 D164:I164 D217:I217 D270:I270">
    <cfRule type="expression" dxfId="2630" priority="41869">
      <formula>LEN(D58)&gt;0</formula>
    </cfRule>
  </conditionalFormatting>
  <conditionalFormatting sqref="E325">
    <cfRule type="expression" dxfId="2629" priority="41868">
      <formula>(VALUE($B325)&lt;1)*Periods</formula>
    </cfRule>
  </conditionalFormatting>
  <conditionalFormatting sqref="D323:I323">
    <cfRule type="expression" dxfId="2628" priority="41867">
      <formula>LEN(D323)&gt;0</formula>
    </cfRule>
  </conditionalFormatting>
  <conditionalFormatting sqref="D331:I373 D330:F330 D327:E329 F325:F329 G325:I330 E326 D325:D326 D384:I426 D437:I479 D490:I532 D383:F383 D436:F436 D489:F489 D380:E382 D433:E435 D486:E488 F378:F382 F431:F435 F484:F488 G378:I383 G431:I436 G484:I489 E379 E432 E485 D378:D379 D431:D432 D484:D485">
    <cfRule type="expression" dxfId="2627" priority="41842">
      <formula>(VALUE($B325)&lt;1)*($B325&lt;&gt;$B$7)*LEN(D$5)*(LEN(D325)=0)*(LEN(D324)=0)</formula>
    </cfRule>
    <cfRule type="expression" dxfId="2626" priority="41843">
      <formula>(VALUE($B325)&lt;1)*($B325&lt;&gt;$B$7)*LEN(D$5)</formula>
    </cfRule>
    <cfRule type="expression" dxfId="2625" priority="41844" stopIfTrue="1">
      <formula>IsEntireDay*ShowAssignmentName</formula>
    </cfRule>
    <cfRule type="expression" dxfId="2624" priority="41845" stopIfTrue="1">
      <formula>(1=IsColor)*ShowAssignmentName</formula>
    </cfRule>
    <cfRule type="expression" dxfId="2623" priority="41846" stopIfTrue="1">
      <formula>(1=IsColor)*ShowAssignmentColor</formula>
    </cfRule>
    <cfRule type="expression" dxfId="2622" priority="41847" stopIfTrue="1">
      <formula>(2=IsColor)*ShowAssignmentName</formula>
    </cfRule>
    <cfRule type="expression" dxfId="2621" priority="41848" stopIfTrue="1">
      <formula>(2=IsColor)*ShowAssignmentColor</formula>
    </cfRule>
    <cfRule type="expression" dxfId="2620" priority="41849" stopIfTrue="1">
      <formula>(3=IsColor)*ShowAssignmentName</formula>
    </cfRule>
    <cfRule type="expression" dxfId="2619" priority="41850" stopIfTrue="1">
      <formula>(3=IsColor)*ShowAssignmentColor</formula>
    </cfRule>
    <cfRule type="expression" dxfId="2618" priority="41851" stopIfTrue="1">
      <formula>(4=IsColor)*ShowAssignmentName</formula>
    </cfRule>
    <cfRule type="expression" dxfId="2617" priority="41852" stopIfTrue="1">
      <formula>(4=IsColor)*ShowAssignmentColor</formula>
    </cfRule>
    <cfRule type="expression" dxfId="2616" priority="41853" stopIfTrue="1">
      <formula>(5=IsColor)*ShowAssignmentName</formula>
    </cfRule>
    <cfRule type="expression" dxfId="2615" priority="41854" stopIfTrue="1">
      <formula>(5=IsColor)*ShowAssignmentColor</formula>
    </cfRule>
    <cfRule type="expression" dxfId="2614" priority="41855" stopIfTrue="1">
      <formula>(6=IsColor)*ShowAssignmentName</formula>
    </cfRule>
    <cfRule type="expression" dxfId="2613" priority="41856" stopIfTrue="1">
      <formula>(6=IsColor)*ShowAssignmentColor</formula>
    </cfRule>
    <cfRule type="expression" dxfId="2612" priority="41857" stopIfTrue="1">
      <formula>(7=IsColor)*ShowAssignmentName</formula>
    </cfRule>
    <cfRule type="expression" dxfId="2611" priority="41858" stopIfTrue="1">
      <formula>(7=IsColor)*ShowAssignmentColor</formula>
    </cfRule>
    <cfRule type="expression" dxfId="2610" priority="41859" stopIfTrue="1">
      <formula>(8=IsColor)*ShowAssignmentName</formula>
    </cfRule>
    <cfRule type="expression" dxfId="2609" priority="41860" stopIfTrue="1">
      <formula>(8=IsColor)*ShowAssignmentColor</formula>
    </cfRule>
    <cfRule type="expression" dxfId="2608" priority="41861" stopIfTrue="1">
      <formula>(9=IsColor)*ShowAssignmentName</formula>
    </cfRule>
    <cfRule type="expression" dxfId="2607" priority="41862" stopIfTrue="1">
      <formula>(9=IsColor)*ShowAssignmentColor</formula>
    </cfRule>
    <cfRule type="expression" dxfId="2606" priority="41863" stopIfTrue="1">
      <formula>(10=IsColor)*ShowAssignmentName</formula>
    </cfRule>
    <cfRule type="expression" dxfId="2605" priority="41864" stopIfTrue="1">
      <formula>(10=IsColor)*ShowAssignmentColor</formula>
    </cfRule>
    <cfRule type="expression" dxfId="2604" priority="41865" stopIfTrue="1">
      <formula>(11=IsColor)*ShowAssignmentName</formula>
    </cfRule>
    <cfRule type="expression" dxfId="2603" priority="41866" stopIfTrue="1">
      <formula>(11=IsColor)*ShowAssignmentColor</formula>
    </cfRule>
  </conditionalFormatting>
  <conditionalFormatting sqref="E378 E431 E484">
    <cfRule type="expression" dxfId="2602" priority="41841">
      <formula>(VALUE($B378)&lt;1)*Periods</formula>
    </cfRule>
  </conditionalFormatting>
  <conditionalFormatting sqref="D376:I376 D429:I429 D482:I482">
    <cfRule type="expression" dxfId="2601" priority="41840">
      <formula>LEN(D376)&gt;0</formula>
    </cfRule>
  </conditionalFormatting>
  <conditionalFormatting sqref="D543:I585 D542:F542 D595:F595 D539:E541 D592:E594 F537:F541 F590:F594 G537:I542 G590:I595 E538 E591 D537:D538 D590:D591 D596:I638">
    <cfRule type="expression" dxfId="2600" priority="41815">
      <formula>(VALUE($B537)&lt;1)*($B537&lt;&gt;$B$7)*LEN(D$5)*(LEN(D537)=0)*(LEN(D536)=0)</formula>
    </cfRule>
    <cfRule type="expression" dxfId="2599" priority="41816">
      <formula>(VALUE($B537)&lt;1)*($B537&lt;&gt;$B$7)*LEN(D$5)</formula>
    </cfRule>
    <cfRule type="expression" dxfId="2598" priority="41817" stopIfTrue="1">
      <formula>IsEntireDay*ShowAssignmentName</formula>
    </cfRule>
    <cfRule type="expression" dxfId="2597" priority="41818" stopIfTrue="1">
      <formula>(1=IsColor)*ShowAssignmentName</formula>
    </cfRule>
    <cfRule type="expression" dxfId="2596" priority="41819" stopIfTrue="1">
      <formula>(1=IsColor)*ShowAssignmentColor</formula>
    </cfRule>
    <cfRule type="expression" dxfId="2595" priority="41820" stopIfTrue="1">
      <formula>(2=IsColor)*ShowAssignmentName</formula>
    </cfRule>
    <cfRule type="expression" dxfId="2594" priority="41821" stopIfTrue="1">
      <formula>(2=IsColor)*ShowAssignmentColor</formula>
    </cfRule>
    <cfRule type="expression" dxfId="2593" priority="41822" stopIfTrue="1">
      <formula>(3=IsColor)*ShowAssignmentName</formula>
    </cfRule>
    <cfRule type="expression" dxfId="2592" priority="41823" stopIfTrue="1">
      <formula>(3=IsColor)*ShowAssignmentColor</formula>
    </cfRule>
    <cfRule type="expression" dxfId="2591" priority="41824" stopIfTrue="1">
      <formula>(4=IsColor)*ShowAssignmentName</formula>
    </cfRule>
    <cfRule type="expression" dxfId="2590" priority="41825" stopIfTrue="1">
      <formula>(4=IsColor)*ShowAssignmentColor</formula>
    </cfRule>
    <cfRule type="expression" dxfId="2589" priority="41826" stopIfTrue="1">
      <formula>(5=IsColor)*ShowAssignmentName</formula>
    </cfRule>
    <cfRule type="expression" dxfId="2588" priority="41827" stopIfTrue="1">
      <formula>(5=IsColor)*ShowAssignmentColor</formula>
    </cfRule>
    <cfRule type="expression" dxfId="2587" priority="41828" stopIfTrue="1">
      <formula>(6=IsColor)*ShowAssignmentName</formula>
    </cfRule>
    <cfRule type="expression" dxfId="2586" priority="41829" stopIfTrue="1">
      <formula>(6=IsColor)*ShowAssignmentColor</formula>
    </cfRule>
    <cfRule type="expression" dxfId="2585" priority="41830" stopIfTrue="1">
      <formula>(7=IsColor)*ShowAssignmentName</formula>
    </cfRule>
    <cfRule type="expression" dxfId="2584" priority="41831" stopIfTrue="1">
      <formula>(7=IsColor)*ShowAssignmentColor</formula>
    </cfRule>
    <cfRule type="expression" dxfId="2583" priority="41832" stopIfTrue="1">
      <formula>(8=IsColor)*ShowAssignmentName</formula>
    </cfRule>
    <cfRule type="expression" dxfId="2582" priority="41833" stopIfTrue="1">
      <formula>(8=IsColor)*ShowAssignmentColor</formula>
    </cfRule>
    <cfRule type="expression" dxfId="2581" priority="41834" stopIfTrue="1">
      <formula>(9=IsColor)*ShowAssignmentName</formula>
    </cfRule>
    <cfRule type="expression" dxfId="2580" priority="41835" stopIfTrue="1">
      <formula>(9=IsColor)*ShowAssignmentColor</formula>
    </cfRule>
    <cfRule type="expression" dxfId="2579" priority="41836" stopIfTrue="1">
      <formula>(10=IsColor)*ShowAssignmentName</formula>
    </cfRule>
    <cfRule type="expression" dxfId="2578" priority="41837" stopIfTrue="1">
      <formula>(10=IsColor)*ShowAssignmentColor</formula>
    </cfRule>
    <cfRule type="expression" dxfId="2577" priority="41838" stopIfTrue="1">
      <formula>(11=IsColor)*ShowAssignmentName</formula>
    </cfRule>
    <cfRule type="expression" dxfId="2576" priority="41839" stopIfTrue="1">
      <formula>(11=IsColor)*ShowAssignmentColor</formula>
    </cfRule>
  </conditionalFormatting>
  <conditionalFormatting sqref="E537 E590">
    <cfRule type="expression" dxfId="2575" priority="41814">
      <formula>(VALUE($B537)&lt;1)*Periods</formula>
    </cfRule>
  </conditionalFormatting>
  <conditionalFormatting sqref="D535:I535 D588:I588">
    <cfRule type="expression" dxfId="2574" priority="41813">
      <formula>LEN(D535)&gt;0</formula>
    </cfRule>
  </conditionalFormatting>
  <conditionalFormatting sqref="E643">
    <cfRule type="expression" dxfId="2573" priority="41812">
      <formula>(VALUE($B643)&lt;1)*Periods</formula>
    </cfRule>
  </conditionalFormatting>
  <conditionalFormatting sqref="D641:I641">
    <cfRule type="expression" dxfId="2572" priority="41811">
      <formula>LEN(D641)&gt;0</formula>
    </cfRule>
  </conditionalFormatting>
  <conditionalFormatting sqref="D648:F648 D645:E647 F643:F647 G643:I648 E644 D643:D644 D754:F754 D807:F807 D751:E753 D804:E806 F749:F753 F802:F806 G749:I754 G802:I807 E697 E750 E803 D696:D697 D749:D750 D802:D803 D698:E701 F696:I701 D702:I744 D830:E830 H830:I830 D808:I829 D831:I850 D755:I797 D649:I691">
    <cfRule type="expression" dxfId="2571" priority="41786">
      <formula>(VALUE($B643)&lt;1)*($B643&lt;&gt;$B$7)*LEN(D$5)*(LEN(D643)=0)*(LEN(D642)=0)</formula>
    </cfRule>
    <cfRule type="expression" dxfId="2570" priority="41787">
      <formula>(VALUE($B643)&lt;1)*($B643&lt;&gt;$B$7)*LEN(D$5)</formula>
    </cfRule>
    <cfRule type="expression" dxfId="2569" priority="41788" stopIfTrue="1">
      <formula>IsEntireDay*ShowAssignmentName</formula>
    </cfRule>
    <cfRule type="expression" dxfId="2568" priority="41789" stopIfTrue="1">
      <formula>(1=IsColor)*ShowAssignmentName</formula>
    </cfRule>
    <cfRule type="expression" dxfId="2567" priority="41790" stopIfTrue="1">
      <formula>(1=IsColor)*ShowAssignmentColor</formula>
    </cfRule>
    <cfRule type="expression" dxfId="2566" priority="41791" stopIfTrue="1">
      <formula>(2=IsColor)*ShowAssignmentName</formula>
    </cfRule>
    <cfRule type="expression" dxfId="2565" priority="41792" stopIfTrue="1">
      <formula>(2=IsColor)*ShowAssignmentColor</formula>
    </cfRule>
    <cfRule type="expression" dxfId="2564" priority="41793" stopIfTrue="1">
      <formula>(3=IsColor)*ShowAssignmentName</formula>
    </cfRule>
    <cfRule type="expression" dxfId="2563" priority="41794" stopIfTrue="1">
      <formula>(3=IsColor)*ShowAssignmentColor</formula>
    </cfRule>
    <cfRule type="expression" dxfId="2562" priority="41795" stopIfTrue="1">
      <formula>(4=IsColor)*ShowAssignmentName</formula>
    </cfRule>
    <cfRule type="expression" dxfId="2561" priority="41796" stopIfTrue="1">
      <formula>(4=IsColor)*ShowAssignmentColor</formula>
    </cfRule>
    <cfRule type="expression" dxfId="2560" priority="41797" stopIfTrue="1">
      <formula>(5=IsColor)*ShowAssignmentName</formula>
    </cfRule>
    <cfRule type="expression" dxfId="2559" priority="41798" stopIfTrue="1">
      <formula>(5=IsColor)*ShowAssignmentColor</formula>
    </cfRule>
    <cfRule type="expression" dxfId="2558" priority="41799" stopIfTrue="1">
      <formula>(6=IsColor)*ShowAssignmentName</formula>
    </cfRule>
    <cfRule type="expression" dxfId="2557" priority="41800" stopIfTrue="1">
      <formula>(6=IsColor)*ShowAssignmentColor</formula>
    </cfRule>
    <cfRule type="expression" dxfId="2556" priority="41801" stopIfTrue="1">
      <formula>(7=IsColor)*ShowAssignmentName</formula>
    </cfRule>
    <cfRule type="expression" dxfId="2555" priority="41802" stopIfTrue="1">
      <formula>(7=IsColor)*ShowAssignmentColor</formula>
    </cfRule>
    <cfRule type="expression" dxfId="2554" priority="41803" stopIfTrue="1">
      <formula>(8=IsColor)*ShowAssignmentName</formula>
    </cfRule>
    <cfRule type="expression" dxfId="2553" priority="41804" stopIfTrue="1">
      <formula>(8=IsColor)*ShowAssignmentColor</formula>
    </cfRule>
    <cfRule type="expression" dxfId="2552" priority="41805" stopIfTrue="1">
      <formula>(9=IsColor)*ShowAssignmentName</formula>
    </cfRule>
    <cfRule type="expression" dxfId="2551" priority="41806" stopIfTrue="1">
      <formula>(9=IsColor)*ShowAssignmentColor</formula>
    </cfRule>
    <cfRule type="expression" dxfId="2550" priority="41807" stopIfTrue="1">
      <formula>(10=IsColor)*ShowAssignmentName</formula>
    </cfRule>
    <cfRule type="expression" dxfId="2549" priority="41808" stopIfTrue="1">
      <formula>(10=IsColor)*ShowAssignmentColor</formula>
    </cfRule>
    <cfRule type="expression" dxfId="2548" priority="41809" stopIfTrue="1">
      <formula>(11=IsColor)*ShowAssignmentName</formula>
    </cfRule>
    <cfRule type="expression" dxfId="2547" priority="41810" stopIfTrue="1">
      <formula>(11=IsColor)*ShowAssignmentColor</formula>
    </cfRule>
  </conditionalFormatting>
  <conditionalFormatting sqref="E696 E749 E802">
    <cfRule type="expression" dxfId="2546" priority="41785">
      <formula>(VALUE($B696)&lt;1)*Periods</formula>
    </cfRule>
  </conditionalFormatting>
  <conditionalFormatting sqref="D694:I694 D747:I747 D800:I800">
    <cfRule type="expression" dxfId="2545" priority="41784">
      <formula>LEN(D694)&gt;0</formula>
    </cfRule>
  </conditionalFormatting>
  <conditionalFormatting sqref="E856 E909 D855:D856 D908:D909 H883:I883 D884:I903 D857:E880 D910:E915 F908:I915 F855:I880 D881:I882 D916:I938 D940:I956 D939:G939">
    <cfRule type="expression" dxfId="2544" priority="41759">
      <formula>(VALUE($B855)&lt;1)*($B855&lt;&gt;$B$7)*LEN(D$5)*(LEN(D855)=0)*(LEN(D854)=0)</formula>
    </cfRule>
    <cfRule type="expression" dxfId="2543" priority="41760">
      <formula>(VALUE($B855)&lt;1)*($B855&lt;&gt;$B$7)*LEN(D$5)</formula>
    </cfRule>
    <cfRule type="expression" dxfId="2542" priority="41761" stopIfTrue="1">
      <formula>IsEntireDay*ShowAssignmentName</formula>
    </cfRule>
    <cfRule type="expression" dxfId="2541" priority="41762" stopIfTrue="1">
      <formula>(1=IsColor)*ShowAssignmentName</formula>
    </cfRule>
    <cfRule type="expression" dxfId="2540" priority="41763" stopIfTrue="1">
      <formula>(1=IsColor)*ShowAssignmentColor</formula>
    </cfRule>
    <cfRule type="expression" dxfId="2539" priority="41764" stopIfTrue="1">
      <formula>(2=IsColor)*ShowAssignmentName</formula>
    </cfRule>
    <cfRule type="expression" dxfId="2538" priority="41765" stopIfTrue="1">
      <formula>(2=IsColor)*ShowAssignmentColor</formula>
    </cfRule>
    <cfRule type="expression" dxfId="2537" priority="41766" stopIfTrue="1">
      <formula>(3=IsColor)*ShowAssignmentName</formula>
    </cfRule>
    <cfRule type="expression" dxfId="2536" priority="41767" stopIfTrue="1">
      <formula>(3=IsColor)*ShowAssignmentColor</formula>
    </cfRule>
    <cfRule type="expression" dxfId="2535" priority="41768" stopIfTrue="1">
      <formula>(4=IsColor)*ShowAssignmentName</formula>
    </cfRule>
    <cfRule type="expression" dxfId="2534" priority="41769" stopIfTrue="1">
      <formula>(4=IsColor)*ShowAssignmentColor</formula>
    </cfRule>
    <cfRule type="expression" dxfId="2533" priority="41770" stopIfTrue="1">
      <formula>(5=IsColor)*ShowAssignmentName</formula>
    </cfRule>
    <cfRule type="expression" dxfId="2532" priority="41771" stopIfTrue="1">
      <formula>(5=IsColor)*ShowAssignmentColor</formula>
    </cfRule>
    <cfRule type="expression" dxfId="2531" priority="41772" stopIfTrue="1">
      <formula>(6=IsColor)*ShowAssignmentName</formula>
    </cfRule>
    <cfRule type="expression" dxfId="2530" priority="41773" stopIfTrue="1">
      <formula>(6=IsColor)*ShowAssignmentColor</formula>
    </cfRule>
    <cfRule type="expression" dxfId="2529" priority="41774" stopIfTrue="1">
      <formula>(7=IsColor)*ShowAssignmentName</formula>
    </cfRule>
    <cfRule type="expression" dxfId="2528" priority="41775" stopIfTrue="1">
      <formula>(7=IsColor)*ShowAssignmentColor</formula>
    </cfRule>
    <cfRule type="expression" dxfId="2527" priority="41776" stopIfTrue="1">
      <formula>(8=IsColor)*ShowAssignmentName</formula>
    </cfRule>
    <cfRule type="expression" dxfId="2526" priority="41777" stopIfTrue="1">
      <formula>(8=IsColor)*ShowAssignmentColor</formula>
    </cfRule>
    <cfRule type="expression" dxfId="2525" priority="41778" stopIfTrue="1">
      <formula>(9=IsColor)*ShowAssignmentName</formula>
    </cfRule>
    <cfRule type="expression" dxfId="2524" priority="41779" stopIfTrue="1">
      <formula>(9=IsColor)*ShowAssignmentColor</formula>
    </cfRule>
    <cfRule type="expression" dxfId="2523" priority="41780" stopIfTrue="1">
      <formula>(10=IsColor)*ShowAssignmentName</formula>
    </cfRule>
    <cfRule type="expression" dxfId="2522" priority="41781" stopIfTrue="1">
      <formula>(10=IsColor)*ShowAssignmentColor</formula>
    </cfRule>
    <cfRule type="expression" dxfId="2521" priority="41782" stopIfTrue="1">
      <formula>(11=IsColor)*ShowAssignmentName</formula>
    </cfRule>
    <cfRule type="expression" dxfId="2520" priority="41783" stopIfTrue="1">
      <formula>(11=IsColor)*ShowAssignmentColor</formula>
    </cfRule>
  </conditionalFormatting>
  <conditionalFormatting sqref="E855 E908">
    <cfRule type="expression" dxfId="2519" priority="41758">
      <formula>(VALUE($B855)&lt;1)*Periods</formula>
    </cfRule>
  </conditionalFormatting>
  <conditionalFormatting sqref="D906:I906">
    <cfRule type="expression" dxfId="2518" priority="41757">
      <formula>LEN(D906)&gt;0</formula>
    </cfRule>
  </conditionalFormatting>
  <conditionalFormatting sqref="E961">
    <cfRule type="expression" dxfId="2517" priority="41756">
      <formula>(VALUE($B961)&lt;1)*Periods</formula>
    </cfRule>
  </conditionalFormatting>
  <conditionalFormatting sqref="H959:I959">
    <cfRule type="expression" dxfId="2516" priority="41755">
      <formula>LEN(H959)&gt;0</formula>
    </cfRule>
  </conditionalFormatting>
  <conditionalFormatting sqref="E962 D961:D962 E1015 E1068 E1121 D1014:D1015 D1067:D1068 D1120:D1121 H989:I989 D1069:E1074 F1120:I1127 D1122:E1127 D1128:I1147 D1149:I1168 H1148:I1148 D963:E970 F961:I970 F989:F1004 F1067:I1074 D1016:E1021 F1014:I1021 D971:I988 D1022:I1062 D1075:I1094 F1095 H1095:I1095 D1096:I1115 E1148 D990:I1009">
    <cfRule type="expression" dxfId="2515" priority="41730">
      <formula>(VALUE($B961)&lt;1)*($B961&lt;&gt;$B$7)*LEN(D$5)*(LEN(D961)=0)*(LEN(D960)=0)</formula>
    </cfRule>
    <cfRule type="expression" dxfId="2514" priority="41731">
      <formula>(VALUE($B961)&lt;1)*($B961&lt;&gt;$B$7)*LEN(D$5)</formula>
    </cfRule>
    <cfRule type="expression" dxfId="2513" priority="41732" stopIfTrue="1">
      <formula>IsEntireDay*ShowAssignmentName</formula>
    </cfRule>
    <cfRule type="expression" dxfId="2512" priority="41733" stopIfTrue="1">
      <formula>(1=IsColor)*ShowAssignmentName</formula>
    </cfRule>
    <cfRule type="expression" dxfId="2511" priority="41734" stopIfTrue="1">
      <formula>(1=IsColor)*ShowAssignmentColor</formula>
    </cfRule>
    <cfRule type="expression" dxfId="2510" priority="41735" stopIfTrue="1">
      <formula>(2=IsColor)*ShowAssignmentName</formula>
    </cfRule>
    <cfRule type="expression" dxfId="2509" priority="41736" stopIfTrue="1">
      <formula>(2=IsColor)*ShowAssignmentColor</formula>
    </cfRule>
    <cfRule type="expression" dxfId="2508" priority="41737" stopIfTrue="1">
      <formula>(3=IsColor)*ShowAssignmentName</formula>
    </cfRule>
    <cfRule type="expression" dxfId="2507" priority="41738" stopIfTrue="1">
      <formula>(3=IsColor)*ShowAssignmentColor</formula>
    </cfRule>
    <cfRule type="expression" dxfId="2506" priority="41739" stopIfTrue="1">
      <formula>(4=IsColor)*ShowAssignmentName</formula>
    </cfRule>
    <cfRule type="expression" dxfId="2505" priority="41740" stopIfTrue="1">
      <formula>(4=IsColor)*ShowAssignmentColor</formula>
    </cfRule>
    <cfRule type="expression" dxfId="2504" priority="41741" stopIfTrue="1">
      <formula>(5=IsColor)*ShowAssignmentName</formula>
    </cfRule>
    <cfRule type="expression" dxfId="2503" priority="41742" stopIfTrue="1">
      <formula>(5=IsColor)*ShowAssignmentColor</formula>
    </cfRule>
    <cfRule type="expression" dxfId="2502" priority="41743" stopIfTrue="1">
      <formula>(6=IsColor)*ShowAssignmentName</formula>
    </cfRule>
    <cfRule type="expression" dxfId="2501" priority="41744" stopIfTrue="1">
      <formula>(6=IsColor)*ShowAssignmentColor</formula>
    </cfRule>
    <cfRule type="expression" dxfId="2500" priority="41745" stopIfTrue="1">
      <formula>(7=IsColor)*ShowAssignmentName</formula>
    </cfRule>
    <cfRule type="expression" dxfId="2499" priority="41746" stopIfTrue="1">
      <formula>(7=IsColor)*ShowAssignmentColor</formula>
    </cfRule>
    <cfRule type="expression" dxfId="2498" priority="41747" stopIfTrue="1">
      <formula>(8=IsColor)*ShowAssignmentName</formula>
    </cfRule>
    <cfRule type="expression" dxfId="2497" priority="41748" stopIfTrue="1">
      <formula>(8=IsColor)*ShowAssignmentColor</formula>
    </cfRule>
    <cfRule type="expression" dxfId="2496" priority="41749" stopIfTrue="1">
      <formula>(9=IsColor)*ShowAssignmentName</formula>
    </cfRule>
    <cfRule type="expression" dxfId="2495" priority="41750" stopIfTrue="1">
      <formula>(9=IsColor)*ShowAssignmentColor</formula>
    </cfRule>
    <cfRule type="expression" dxfId="2494" priority="41751" stopIfTrue="1">
      <formula>(10=IsColor)*ShowAssignmentName</formula>
    </cfRule>
    <cfRule type="expression" dxfId="2493" priority="41752" stopIfTrue="1">
      <formula>(10=IsColor)*ShowAssignmentColor</formula>
    </cfRule>
    <cfRule type="expression" dxfId="2492" priority="41753" stopIfTrue="1">
      <formula>(11=IsColor)*ShowAssignmentName</formula>
    </cfRule>
    <cfRule type="expression" dxfId="2491" priority="41754" stopIfTrue="1">
      <formula>(11=IsColor)*ShowAssignmentColor</formula>
    </cfRule>
  </conditionalFormatting>
  <conditionalFormatting sqref="E1014 E1067 E1120">
    <cfRule type="expression" dxfId="2490" priority="41729">
      <formula>(VALUE($B1014)&lt;1)*Periods</formula>
    </cfRule>
  </conditionalFormatting>
  <conditionalFormatting sqref="F1065:I1065">
    <cfRule type="expression" dxfId="2489" priority="41728">
      <formula>LEN(F1065)&gt;0</formula>
    </cfRule>
  </conditionalFormatting>
  <conditionalFormatting sqref="E1173">
    <cfRule type="expression" dxfId="2488" priority="41727">
      <formula>(VALUE($B1173)&lt;1)*Periods</formula>
    </cfRule>
  </conditionalFormatting>
  <conditionalFormatting sqref="H1171:I1171">
    <cfRule type="expression" dxfId="2487" priority="41726">
      <formula>LEN(H1171)&gt;0</formula>
    </cfRule>
  </conditionalFormatting>
  <conditionalFormatting sqref="E1174 D1173:D1174 D1284:F1284 D1281:E1283 D1387:E1390 F1279:F1283 G1279:I1282 G1385:I1388 E1227 E1280 E1333 E1386 D1226:D1227 D1279:D1280 D1332:D1333 D1385:D1386 D1391:G1392 H1389:I1397 G1389:G1392 D1175:E1199 F1173:I1199 H1200:I1200 D1201:I1221 D1228:E1233 F1226:I1233 D1234:I1274 D1323:I1327 G1283:G1284 H1283:I1322 D1350:I1380 D1334:E1349 F1332:I1349 F1385:F1390 D1393:I1433 D1285:G1322">
    <cfRule type="expression" dxfId="2486" priority="41701">
      <formula>(VALUE($B1173)&lt;1)*($B1173&lt;&gt;$B$7)*LEN(D$5)*(LEN(D1173)=0)*(LEN(D1172)=0)</formula>
    </cfRule>
    <cfRule type="expression" dxfId="2485" priority="41702">
      <formula>(VALUE($B1173)&lt;1)*($B1173&lt;&gt;$B$7)*LEN(D$5)</formula>
    </cfRule>
    <cfRule type="expression" dxfId="2484" priority="41703" stopIfTrue="1">
      <formula>IsEntireDay*ShowAssignmentName</formula>
    </cfRule>
    <cfRule type="expression" dxfId="2483" priority="41704" stopIfTrue="1">
      <formula>(1=IsColor)*ShowAssignmentName</formula>
    </cfRule>
    <cfRule type="expression" dxfId="2482" priority="41705" stopIfTrue="1">
      <formula>(1=IsColor)*ShowAssignmentColor</formula>
    </cfRule>
    <cfRule type="expression" dxfId="2481" priority="41706" stopIfTrue="1">
      <formula>(2=IsColor)*ShowAssignmentName</formula>
    </cfRule>
    <cfRule type="expression" dxfId="2480" priority="41707" stopIfTrue="1">
      <formula>(2=IsColor)*ShowAssignmentColor</formula>
    </cfRule>
    <cfRule type="expression" dxfId="2479" priority="41708" stopIfTrue="1">
      <formula>(3=IsColor)*ShowAssignmentName</formula>
    </cfRule>
    <cfRule type="expression" dxfId="2478" priority="41709" stopIfTrue="1">
      <formula>(3=IsColor)*ShowAssignmentColor</formula>
    </cfRule>
    <cfRule type="expression" dxfId="2477" priority="41710" stopIfTrue="1">
      <formula>(4=IsColor)*ShowAssignmentName</formula>
    </cfRule>
    <cfRule type="expression" dxfId="2476" priority="41711" stopIfTrue="1">
      <formula>(4=IsColor)*ShowAssignmentColor</formula>
    </cfRule>
    <cfRule type="expression" dxfId="2475" priority="41712" stopIfTrue="1">
      <formula>(5=IsColor)*ShowAssignmentName</formula>
    </cfRule>
    <cfRule type="expression" dxfId="2474" priority="41713" stopIfTrue="1">
      <formula>(5=IsColor)*ShowAssignmentColor</formula>
    </cfRule>
    <cfRule type="expression" dxfId="2473" priority="41714" stopIfTrue="1">
      <formula>(6=IsColor)*ShowAssignmentName</formula>
    </cfRule>
    <cfRule type="expression" dxfId="2472" priority="41715" stopIfTrue="1">
      <formula>(6=IsColor)*ShowAssignmentColor</formula>
    </cfRule>
    <cfRule type="expression" dxfId="2471" priority="41716" stopIfTrue="1">
      <formula>(7=IsColor)*ShowAssignmentName</formula>
    </cfRule>
    <cfRule type="expression" dxfId="2470" priority="41717" stopIfTrue="1">
      <formula>(7=IsColor)*ShowAssignmentColor</formula>
    </cfRule>
    <cfRule type="expression" dxfId="2469" priority="41718" stopIfTrue="1">
      <formula>(8=IsColor)*ShowAssignmentName</formula>
    </cfRule>
    <cfRule type="expression" dxfId="2468" priority="41719" stopIfTrue="1">
      <formula>(8=IsColor)*ShowAssignmentColor</formula>
    </cfRule>
    <cfRule type="expression" dxfId="2467" priority="41720" stopIfTrue="1">
      <formula>(9=IsColor)*ShowAssignmentName</formula>
    </cfRule>
    <cfRule type="expression" dxfId="2466" priority="41721" stopIfTrue="1">
      <formula>(9=IsColor)*ShowAssignmentColor</formula>
    </cfRule>
    <cfRule type="expression" dxfId="2465" priority="41722" stopIfTrue="1">
      <formula>(10=IsColor)*ShowAssignmentName</formula>
    </cfRule>
    <cfRule type="expression" dxfId="2464" priority="41723" stopIfTrue="1">
      <formula>(10=IsColor)*ShowAssignmentColor</formula>
    </cfRule>
    <cfRule type="expression" dxfId="2463" priority="41724" stopIfTrue="1">
      <formula>(11=IsColor)*ShowAssignmentName</formula>
    </cfRule>
    <cfRule type="expression" dxfId="2462" priority="41725" stopIfTrue="1">
      <formula>(11=IsColor)*ShowAssignmentColor</formula>
    </cfRule>
  </conditionalFormatting>
  <conditionalFormatting sqref="E1226 E1279 E1332 E1385">
    <cfRule type="expression" dxfId="2461" priority="41700">
      <formula>(VALUE($B1226)&lt;1)*Periods</formula>
    </cfRule>
  </conditionalFormatting>
  <conditionalFormatting sqref="D1224:I1224 H1383:I1383">
    <cfRule type="expression" dxfId="2460" priority="41699">
      <formula>LEN(D1224)&gt;0</formula>
    </cfRule>
  </conditionalFormatting>
  <conditionalFormatting sqref="F830:G830">
    <cfRule type="expression" dxfId="2459" priority="41555">
      <formula>LEN(F830)&gt;0</formula>
    </cfRule>
  </conditionalFormatting>
  <conditionalFormatting sqref="D853:I853">
    <cfRule type="expression" dxfId="2458" priority="41554">
      <formula>LEN(D853)&gt;0</formula>
    </cfRule>
  </conditionalFormatting>
  <conditionalFormatting sqref="E883">
    <cfRule type="expression" dxfId="2457" priority="41553">
      <formula>LEN(E883)&gt;0</formula>
    </cfRule>
  </conditionalFormatting>
  <conditionalFormatting sqref="D959:G959">
    <cfRule type="expression" dxfId="2456" priority="41549">
      <formula>LEN(D959)&gt;0</formula>
    </cfRule>
  </conditionalFormatting>
  <conditionalFormatting sqref="D989">
    <cfRule type="expression" dxfId="2455" priority="41548">
      <formula>LEN(D989)&gt;0</formula>
    </cfRule>
  </conditionalFormatting>
  <conditionalFormatting sqref="G989">
    <cfRule type="expression" dxfId="2454" priority="41547">
      <formula>LEN(G989)&gt;0</formula>
    </cfRule>
  </conditionalFormatting>
  <conditionalFormatting sqref="D1012:I1012">
    <cfRule type="expression" dxfId="2453" priority="41546">
      <formula>LEN(D1012)&gt;0</formula>
    </cfRule>
  </conditionalFormatting>
  <conditionalFormatting sqref="D1065:E1065">
    <cfRule type="expression" dxfId="2452" priority="41544">
      <formula>LEN(D1065)&gt;0</formula>
    </cfRule>
  </conditionalFormatting>
  <conditionalFormatting sqref="D1095:E1095">
    <cfRule type="expression" dxfId="2451" priority="41542">
      <formula>LEN(D1095)&gt;0</formula>
    </cfRule>
  </conditionalFormatting>
  <conditionalFormatting sqref="D1118:I1118">
    <cfRule type="expression" dxfId="2450" priority="41541">
      <formula>LEN(D1118)&gt;0</formula>
    </cfRule>
  </conditionalFormatting>
  <conditionalFormatting sqref="D1148 F1148:G1148">
    <cfRule type="expression" dxfId="2449" priority="41540">
      <formula>LEN(D1148)&gt;0</formula>
    </cfRule>
  </conditionalFormatting>
  <conditionalFormatting sqref="D1171:G1171">
    <cfRule type="expression" dxfId="2448" priority="41539">
      <formula>LEN(D1171)&gt;0</formula>
    </cfRule>
  </conditionalFormatting>
  <conditionalFormatting sqref="D1443:F1443 D1440:E1442 F1438:F1442 G1438:I1443 E1439 D1438:D1439 D1466:E1466 H1466:I1466 D1467:I1486 D1444:I1465">
    <cfRule type="expression" dxfId="2447" priority="41512">
      <formula>(VALUE($B1438)&lt;1)*($B1438&lt;&gt;$B$7)*LEN(D$5)*(LEN(D1438)=0)*(LEN(D1437)=0)</formula>
    </cfRule>
    <cfRule type="expression" dxfId="2446" priority="41513">
      <formula>(VALUE($B1438)&lt;1)*($B1438&lt;&gt;$B$7)*LEN(D$5)</formula>
    </cfRule>
    <cfRule type="expression" dxfId="2445" priority="41514" stopIfTrue="1">
      <formula>IsEntireDay*ShowAssignmentName</formula>
    </cfRule>
    <cfRule type="expression" dxfId="2444" priority="41515" stopIfTrue="1">
      <formula>(1=IsColor)*ShowAssignmentName</formula>
    </cfRule>
    <cfRule type="expression" dxfId="2443" priority="41516" stopIfTrue="1">
      <formula>(1=IsColor)*ShowAssignmentColor</formula>
    </cfRule>
    <cfRule type="expression" dxfId="2442" priority="41517" stopIfTrue="1">
      <formula>(2=IsColor)*ShowAssignmentName</formula>
    </cfRule>
    <cfRule type="expression" dxfId="2441" priority="41518" stopIfTrue="1">
      <formula>(2=IsColor)*ShowAssignmentColor</formula>
    </cfRule>
    <cfRule type="expression" dxfId="2440" priority="41519" stopIfTrue="1">
      <formula>(3=IsColor)*ShowAssignmentName</formula>
    </cfRule>
    <cfRule type="expression" dxfId="2439" priority="41520" stopIfTrue="1">
      <formula>(3=IsColor)*ShowAssignmentColor</formula>
    </cfRule>
    <cfRule type="expression" dxfId="2438" priority="41521" stopIfTrue="1">
      <formula>(4=IsColor)*ShowAssignmentName</formula>
    </cfRule>
    <cfRule type="expression" dxfId="2437" priority="41522" stopIfTrue="1">
      <formula>(4=IsColor)*ShowAssignmentColor</formula>
    </cfRule>
    <cfRule type="expression" dxfId="2436" priority="41523" stopIfTrue="1">
      <formula>(5=IsColor)*ShowAssignmentName</formula>
    </cfRule>
    <cfRule type="expression" dxfId="2435" priority="41524" stopIfTrue="1">
      <formula>(5=IsColor)*ShowAssignmentColor</formula>
    </cfRule>
    <cfRule type="expression" dxfId="2434" priority="41525" stopIfTrue="1">
      <formula>(6=IsColor)*ShowAssignmentName</formula>
    </cfRule>
    <cfRule type="expression" dxfId="2433" priority="41526" stopIfTrue="1">
      <formula>(6=IsColor)*ShowAssignmentColor</formula>
    </cfRule>
    <cfRule type="expression" dxfId="2432" priority="41527" stopIfTrue="1">
      <formula>(7=IsColor)*ShowAssignmentName</formula>
    </cfRule>
    <cfRule type="expression" dxfId="2431" priority="41528" stopIfTrue="1">
      <formula>(7=IsColor)*ShowAssignmentColor</formula>
    </cfRule>
    <cfRule type="expression" dxfId="2430" priority="41529" stopIfTrue="1">
      <formula>(8=IsColor)*ShowAssignmentName</formula>
    </cfRule>
    <cfRule type="expression" dxfId="2429" priority="41530" stopIfTrue="1">
      <formula>(8=IsColor)*ShowAssignmentColor</formula>
    </cfRule>
    <cfRule type="expression" dxfId="2428" priority="41531" stopIfTrue="1">
      <formula>(9=IsColor)*ShowAssignmentName</formula>
    </cfRule>
    <cfRule type="expression" dxfId="2427" priority="41532" stopIfTrue="1">
      <formula>(9=IsColor)*ShowAssignmentColor</formula>
    </cfRule>
    <cfRule type="expression" dxfId="2426" priority="41533" stopIfTrue="1">
      <formula>(10=IsColor)*ShowAssignmentName</formula>
    </cfRule>
    <cfRule type="expression" dxfId="2425" priority="41534" stopIfTrue="1">
      <formula>(10=IsColor)*ShowAssignmentColor</formula>
    </cfRule>
    <cfRule type="expression" dxfId="2424" priority="41535" stopIfTrue="1">
      <formula>(11=IsColor)*ShowAssignmentName</formula>
    </cfRule>
    <cfRule type="expression" dxfId="2423" priority="41536" stopIfTrue="1">
      <formula>(11=IsColor)*ShowAssignmentColor</formula>
    </cfRule>
  </conditionalFormatting>
  <conditionalFormatting sqref="E1438">
    <cfRule type="expression" dxfId="2422" priority="41511">
      <formula>(VALUE($B1438)&lt;1)*Periods</formula>
    </cfRule>
  </conditionalFormatting>
  <conditionalFormatting sqref="D1436:I1436">
    <cfRule type="expression" dxfId="2421" priority="41510">
      <formula>LEN(D1436)&gt;0</formula>
    </cfRule>
  </conditionalFormatting>
  <conditionalFormatting sqref="E1597">
    <cfRule type="expression" dxfId="2420" priority="41482">
      <formula>(VALUE($B1597)&lt;1)*Periods</formula>
    </cfRule>
  </conditionalFormatting>
  <conditionalFormatting sqref="H1595:I1595">
    <cfRule type="expression" dxfId="2419" priority="41481">
      <formula>LEN(H1595)&gt;0</formula>
    </cfRule>
  </conditionalFormatting>
  <conditionalFormatting sqref="D1599:E1601 F1597:F1601 E1598 D1597:D1598 E1625:F1625 H1625:I1625 D1605:I1624 D1602:F1604 G1597:I1604 D1626:I1645">
    <cfRule type="expression" dxfId="2418" priority="41456">
      <formula>(VALUE($B1597)&lt;1)*($B1597&lt;&gt;$B$7)*LEN(D$5)*(LEN(D1597)=0)*(LEN(D1596)=0)</formula>
    </cfRule>
    <cfRule type="expression" dxfId="2417" priority="41457">
      <formula>(VALUE($B1597)&lt;1)*($B1597&lt;&gt;$B$7)*LEN(D$5)</formula>
    </cfRule>
    <cfRule type="expression" dxfId="2416" priority="41458" stopIfTrue="1">
      <formula>IsEntireDay*ShowAssignmentName</formula>
    </cfRule>
    <cfRule type="expression" dxfId="2415" priority="41459" stopIfTrue="1">
      <formula>(1=IsColor)*ShowAssignmentName</formula>
    </cfRule>
    <cfRule type="expression" dxfId="2414" priority="41460" stopIfTrue="1">
      <formula>(1=IsColor)*ShowAssignmentColor</formula>
    </cfRule>
    <cfRule type="expression" dxfId="2413" priority="41461" stopIfTrue="1">
      <formula>(2=IsColor)*ShowAssignmentName</formula>
    </cfRule>
    <cfRule type="expression" dxfId="2412" priority="41462" stopIfTrue="1">
      <formula>(2=IsColor)*ShowAssignmentColor</formula>
    </cfRule>
    <cfRule type="expression" dxfId="2411" priority="41463" stopIfTrue="1">
      <formula>(3=IsColor)*ShowAssignmentName</formula>
    </cfRule>
    <cfRule type="expression" dxfId="2410" priority="41464" stopIfTrue="1">
      <formula>(3=IsColor)*ShowAssignmentColor</formula>
    </cfRule>
    <cfRule type="expression" dxfId="2409" priority="41465" stopIfTrue="1">
      <formula>(4=IsColor)*ShowAssignmentName</formula>
    </cfRule>
    <cfRule type="expression" dxfId="2408" priority="41466" stopIfTrue="1">
      <formula>(4=IsColor)*ShowAssignmentColor</formula>
    </cfRule>
    <cfRule type="expression" dxfId="2407" priority="41467" stopIfTrue="1">
      <formula>(5=IsColor)*ShowAssignmentName</formula>
    </cfRule>
    <cfRule type="expression" dxfId="2406" priority="41468" stopIfTrue="1">
      <formula>(5=IsColor)*ShowAssignmentColor</formula>
    </cfRule>
    <cfRule type="expression" dxfId="2405" priority="41469" stopIfTrue="1">
      <formula>(6=IsColor)*ShowAssignmentName</formula>
    </cfRule>
    <cfRule type="expression" dxfId="2404" priority="41470" stopIfTrue="1">
      <formula>(6=IsColor)*ShowAssignmentColor</formula>
    </cfRule>
    <cfRule type="expression" dxfId="2403" priority="41471" stopIfTrue="1">
      <formula>(7=IsColor)*ShowAssignmentName</formula>
    </cfRule>
    <cfRule type="expression" dxfId="2402" priority="41472" stopIfTrue="1">
      <formula>(7=IsColor)*ShowAssignmentColor</formula>
    </cfRule>
    <cfRule type="expression" dxfId="2401" priority="41473" stopIfTrue="1">
      <formula>(8=IsColor)*ShowAssignmentName</formula>
    </cfRule>
    <cfRule type="expression" dxfId="2400" priority="41474" stopIfTrue="1">
      <formula>(8=IsColor)*ShowAssignmentColor</formula>
    </cfRule>
    <cfRule type="expression" dxfId="2399" priority="41475" stopIfTrue="1">
      <formula>(9=IsColor)*ShowAssignmentName</formula>
    </cfRule>
    <cfRule type="expression" dxfId="2398" priority="41476" stopIfTrue="1">
      <formula>(9=IsColor)*ShowAssignmentColor</formula>
    </cfRule>
    <cfRule type="expression" dxfId="2397" priority="41477" stopIfTrue="1">
      <formula>(10=IsColor)*ShowAssignmentName</formula>
    </cfRule>
    <cfRule type="expression" dxfId="2396" priority="41478" stopIfTrue="1">
      <formula>(10=IsColor)*ShowAssignmentColor</formula>
    </cfRule>
    <cfRule type="expression" dxfId="2395" priority="41479" stopIfTrue="1">
      <formula>(11=IsColor)*ShowAssignmentName</formula>
    </cfRule>
    <cfRule type="expression" dxfId="2394" priority="41480" stopIfTrue="1">
      <formula>(11=IsColor)*ShowAssignmentColor</formula>
    </cfRule>
  </conditionalFormatting>
  <conditionalFormatting sqref="F1466:G1466">
    <cfRule type="expression" dxfId="2393" priority="41454">
      <formula>LEN(F1466)&gt;0</formula>
    </cfRule>
  </conditionalFormatting>
  <conditionalFormatting sqref="F1595:G1595">
    <cfRule type="expression" dxfId="2392" priority="41448">
      <formula>LEN(F1595)&gt;0</formula>
    </cfRule>
  </conditionalFormatting>
  <conditionalFormatting sqref="D1625">
    <cfRule type="expression" dxfId="2391" priority="41447">
      <formula>LEN(D1625)&gt;0</formula>
    </cfRule>
  </conditionalFormatting>
  <conditionalFormatting sqref="G1625">
    <cfRule type="expression" dxfId="2390" priority="41446">
      <formula>LEN(G1625)&gt;0</formula>
    </cfRule>
  </conditionalFormatting>
  <conditionalFormatting sqref="D1277:I1277">
    <cfRule type="expression" dxfId="2389" priority="41440">
      <formula>LEN(D1277)&gt;0</formula>
    </cfRule>
  </conditionalFormatting>
  <conditionalFormatting sqref="H1330:I1330">
    <cfRule type="expression" dxfId="2388" priority="41439">
      <formula>LEN(H1330)&gt;0</formula>
    </cfRule>
  </conditionalFormatting>
  <conditionalFormatting sqref="D1330:G1330">
    <cfRule type="expression" dxfId="2387" priority="41438">
      <formula>LEN(D1330)&gt;0</formula>
    </cfRule>
  </conditionalFormatting>
  <conditionalFormatting sqref="D1383:G1383">
    <cfRule type="expression" dxfId="2386" priority="41437">
      <formula>LEN(D1383)&gt;0</formula>
    </cfRule>
  </conditionalFormatting>
  <conditionalFormatting sqref="D1595:E1595">
    <cfRule type="expression" dxfId="2385" priority="41435">
      <formula>LEN(D1595)&gt;0</formula>
    </cfRule>
  </conditionalFormatting>
  <conditionalFormatting sqref="M2230:M2275">
    <cfRule type="expression" dxfId="2384" priority="41333">
      <formula>N2230="Not Found"</formula>
    </cfRule>
    <cfRule type="expression" dxfId="2383" priority="41334">
      <formula>N2230="Found"</formula>
    </cfRule>
  </conditionalFormatting>
  <conditionalFormatting sqref="M2283:M2332">
    <cfRule type="expression" dxfId="2382" priority="41331">
      <formula>N2283="Not Found"</formula>
    </cfRule>
    <cfRule type="expression" dxfId="2381" priority="41332">
      <formula>N2283="Found"</formula>
    </cfRule>
  </conditionalFormatting>
  <conditionalFormatting sqref="M2336:M2546">
    <cfRule type="expression" dxfId="2380" priority="41329">
      <formula>N2336="Not Found"</formula>
    </cfRule>
    <cfRule type="expression" dxfId="2379" priority="41330">
      <formula>N2336="Found"</formula>
    </cfRule>
  </conditionalFormatting>
  <conditionalFormatting sqref="M2548:M2593">
    <cfRule type="expression" dxfId="2378" priority="41227">
      <formula>N2548="Not Found"</formula>
    </cfRule>
    <cfRule type="expression" dxfId="2377" priority="41228">
      <formula>N2548="Found"</formula>
    </cfRule>
  </conditionalFormatting>
  <conditionalFormatting sqref="M2601:M2650">
    <cfRule type="expression" dxfId="2376" priority="41225">
      <formula>N2601="Not Found"</formula>
    </cfRule>
    <cfRule type="expression" dxfId="2375" priority="41226">
      <formula>N2601="Found"</formula>
    </cfRule>
  </conditionalFormatting>
  <conditionalFormatting sqref="M2654:M2864">
    <cfRule type="expression" dxfId="2374" priority="41223">
      <formula>N2654="Not Found"</formula>
    </cfRule>
    <cfRule type="expression" dxfId="2373" priority="41224">
      <formula>N2654="Found"</formula>
    </cfRule>
  </conditionalFormatting>
  <conditionalFormatting sqref="E2604:E2607">
    <cfRule type="expression" dxfId="2372" priority="148202">
      <formula>(VALUE($B2604)&lt;1)*($B2604&lt;&gt;$B$7)*LEN(E$5)*(LEN(E2604)=0)*(LEN(E2602)=0)</formula>
    </cfRule>
    <cfRule type="expression" dxfId="2371" priority="148203">
      <formula>(VALUE($B2604)&lt;1)*($B2604&lt;&gt;$B$7)*LEN(E$5)</formula>
    </cfRule>
    <cfRule type="expression" dxfId="2370" priority="148204" stopIfTrue="1">
      <formula>IsEntireDay*ShowAssignmentName</formula>
    </cfRule>
    <cfRule type="expression" dxfId="2369" priority="148205" stopIfTrue="1">
      <formula>(1=IsColor)*ShowAssignmentName</formula>
    </cfRule>
    <cfRule type="expression" dxfId="2368" priority="148206" stopIfTrue="1">
      <formula>(1=IsColor)*ShowAssignmentColor</formula>
    </cfRule>
    <cfRule type="expression" dxfId="2367" priority="148207" stopIfTrue="1">
      <formula>(2=IsColor)*ShowAssignmentName</formula>
    </cfRule>
    <cfRule type="expression" dxfId="2366" priority="148208" stopIfTrue="1">
      <formula>(2=IsColor)*ShowAssignmentColor</formula>
    </cfRule>
    <cfRule type="expression" dxfId="2365" priority="148209" stopIfTrue="1">
      <formula>(3=IsColor)*ShowAssignmentName</formula>
    </cfRule>
    <cfRule type="expression" dxfId="2364" priority="148210" stopIfTrue="1">
      <formula>(3=IsColor)*ShowAssignmentColor</formula>
    </cfRule>
    <cfRule type="expression" dxfId="2363" priority="148211" stopIfTrue="1">
      <formula>(4=IsColor)*ShowAssignmentName</formula>
    </cfRule>
    <cfRule type="expression" dxfId="2362" priority="148212" stopIfTrue="1">
      <formula>(4=IsColor)*ShowAssignmentColor</formula>
    </cfRule>
    <cfRule type="expression" dxfId="2361" priority="148213" stopIfTrue="1">
      <formula>(5=IsColor)*ShowAssignmentName</formula>
    </cfRule>
    <cfRule type="expression" dxfId="2360" priority="148214" stopIfTrue="1">
      <formula>(5=IsColor)*ShowAssignmentColor</formula>
    </cfRule>
    <cfRule type="expression" dxfId="2359" priority="148215" stopIfTrue="1">
      <formula>(6=IsColor)*ShowAssignmentName</formula>
    </cfRule>
    <cfRule type="expression" dxfId="2358" priority="148216" stopIfTrue="1">
      <formula>(6=IsColor)*ShowAssignmentColor</formula>
    </cfRule>
    <cfRule type="expression" dxfId="2357" priority="148217" stopIfTrue="1">
      <formula>(7=IsColor)*ShowAssignmentName</formula>
    </cfRule>
    <cfRule type="expression" dxfId="2356" priority="148218" stopIfTrue="1">
      <formula>(7=IsColor)*ShowAssignmentColor</formula>
    </cfRule>
    <cfRule type="expression" dxfId="2355" priority="148219" stopIfTrue="1">
      <formula>(8=IsColor)*ShowAssignmentName</formula>
    </cfRule>
    <cfRule type="expression" dxfId="2354" priority="148220" stopIfTrue="1">
      <formula>(8=IsColor)*ShowAssignmentColor</formula>
    </cfRule>
    <cfRule type="expression" dxfId="2353" priority="148221" stopIfTrue="1">
      <formula>(9=IsColor)*ShowAssignmentName</formula>
    </cfRule>
    <cfRule type="expression" dxfId="2352" priority="148222" stopIfTrue="1">
      <formula>(9=IsColor)*ShowAssignmentColor</formula>
    </cfRule>
    <cfRule type="expression" dxfId="2351" priority="148223" stopIfTrue="1">
      <formula>(10=IsColor)*ShowAssignmentName</formula>
    </cfRule>
    <cfRule type="expression" dxfId="2350" priority="148224" stopIfTrue="1">
      <formula>(10=IsColor)*ShowAssignmentColor</formula>
    </cfRule>
    <cfRule type="expression" dxfId="2349" priority="148225" stopIfTrue="1">
      <formula>(11=IsColor)*ShowAssignmentName</formula>
    </cfRule>
    <cfRule type="expression" dxfId="2348" priority="148226" stopIfTrue="1">
      <formula>(11=IsColor)*ShowAssignmentColor</formula>
    </cfRule>
  </conditionalFormatting>
  <conditionalFormatting sqref="B325:B373">
    <cfRule type="expression" dxfId="2347" priority="2807">
      <formula>(VALUE($B325)&lt;1)*Periods</formula>
    </cfRule>
  </conditionalFormatting>
  <conditionalFormatting sqref="B378:B426">
    <cfRule type="expression" dxfId="2346" priority="2806">
      <formula>(VALUE($B378)&lt;1)*Periods</formula>
    </cfRule>
  </conditionalFormatting>
  <conditionalFormatting sqref="B431:B479">
    <cfRule type="expression" dxfId="2345" priority="2805">
      <formula>(VALUE($B431)&lt;1)*Periods</formula>
    </cfRule>
  </conditionalFormatting>
  <conditionalFormatting sqref="B484:B532">
    <cfRule type="expression" dxfId="2344" priority="2804">
      <formula>(VALUE($B484)&lt;1)*Periods</formula>
    </cfRule>
  </conditionalFormatting>
  <conditionalFormatting sqref="B537:B585 B590:B638">
    <cfRule type="expression" dxfId="2343" priority="2796">
      <formula>(VALUE($B537)&lt;1)*Periods</formula>
    </cfRule>
  </conditionalFormatting>
  <conditionalFormatting sqref="B643:B691">
    <cfRule type="expression" dxfId="2342" priority="2795">
      <formula>(VALUE($B643)&lt;1)*Periods</formula>
    </cfRule>
  </conditionalFormatting>
  <conditionalFormatting sqref="B696:B744">
    <cfRule type="expression" dxfId="2341" priority="2794">
      <formula>(VALUE($B696)&lt;1)*Periods</formula>
    </cfRule>
  </conditionalFormatting>
  <conditionalFormatting sqref="B749:B797">
    <cfRule type="expression" dxfId="2340" priority="2793">
      <formula>(VALUE($B749)&lt;1)*Periods</formula>
    </cfRule>
  </conditionalFormatting>
  <conditionalFormatting sqref="B802:B850">
    <cfRule type="expression" dxfId="2339" priority="2792">
      <formula>(VALUE($B802)&lt;1)*Periods</formula>
    </cfRule>
  </conditionalFormatting>
  <conditionalFormatting sqref="B855:B903 B908:B956">
    <cfRule type="expression" dxfId="2338" priority="2791">
      <formula>(VALUE($B855)&lt;1)*Periods</formula>
    </cfRule>
  </conditionalFormatting>
  <conditionalFormatting sqref="B961:B1009">
    <cfRule type="expression" dxfId="2337" priority="2790">
      <formula>(VALUE($B961)&lt;1)*Periods</formula>
    </cfRule>
  </conditionalFormatting>
  <conditionalFormatting sqref="B1014:B1062">
    <cfRule type="expression" dxfId="2336" priority="2789">
      <formula>(VALUE($B1014)&lt;1)*Periods</formula>
    </cfRule>
  </conditionalFormatting>
  <conditionalFormatting sqref="B1067:B1115">
    <cfRule type="expression" dxfId="2335" priority="2788">
      <formula>(VALUE($B1067)&lt;1)*Periods</formula>
    </cfRule>
  </conditionalFormatting>
  <conditionalFormatting sqref="B1120:B1168">
    <cfRule type="expression" dxfId="2334" priority="2787">
      <formula>(VALUE($B1120)&lt;1)*Periods</formula>
    </cfRule>
  </conditionalFormatting>
  <conditionalFormatting sqref="B1173:B1221 B1226:B1274">
    <cfRule type="expression" dxfId="2333" priority="2786">
      <formula>(VALUE($B1173)&lt;1)*Periods</formula>
    </cfRule>
  </conditionalFormatting>
  <conditionalFormatting sqref="B1279:B1327">
    <cfRule type="expression" dxfId="2332" priority="2785">
      <formula>(VALUE($B1279)&lt;1)*Periods</formula>
    </cfRule>
  </conditionalFormatting>
  <conditionalFormatting sqref="B1332:B1380">
    <cfRule type="expression" dxfId="2331" priority="2784">
      <formula>(VALUE($B1332)&lt;1)*Periods</formula>
    </cfRule>
  </conditionalFormatting>
  <conditionalFormatting sqref="B1385:B1433">
    <cfRule type="expression" dxfId="2330" priority="2783">
      <formula>(VALUE($B1385)&lt;1)*Periods</formula>
    </cfRule>
  </conditionalFormatting>
  <conditionalFormatting sqref="B1438:B1486">
    <cfRule type="expression" dxfId="2329" priority="2782">
      <formula>(VALUE($B1438)&lt;1)*Periods</formula>
    </cfRule>
  </conditionalFormatting>
  <conditionalFormatting sqref="B1597:B1645">
    <cfRule type="expression" dxfId="2328" priority="2780">
      <formula>(VALUE($B1597)&lt;1)*Periods</formula>
    </cfRule>
  </conditionalFormatting>
  <conditionalFormatting sqref="D883">
    <cfRule type="expression" dxfId="2327" priority="2775">
      <formula>LEN(D883)&gt;0</formula>
    </cfRule>
  </conditionalFormatting>
  <conditionalFormatting sqref="F883">
    <cfRule type="expression" dxfId="2326" priority="2774">
      <formula>LEN(F883)&gt;0</formula>
    </cfRule>
  </conditionalFormatting>
  <conditionalFormatting sqref="G883">
    <cfRule type="expression" dxfId="2325" priority="2773">
      <formula>LEN(G883)&gt;0</formula>
    </cfRule>
  </conditionalFormatting>
  <conditionalFormatting sqref="H939:I939">
    <cfRule type="expression" dxfId="2324" priority="2748">
      <formula>(VALUE($B939)&lt;1)*($B939&lt;&gt;$B$7)*LEN(H$5)*(LEN(H939)=0)*(LEN(H938)=0)</formula>
    </cfRule>
    <cfRule type="expression" dxfId="2323" priority="2749">
      <formula>(VALUE($B939)&lt;1)*($B939&lt;&gt;$B$7)*LEN(H$5)</formula>
    </cfRule>
    <cfRule type="expression" dxfId="2322" priority="2750" stopIfTrue="1">
      <formula>IsEntireDay*ShowAssignmentName</formula>
    </cfRule>
    <cfRule type="expression" dxfId="2321" priority="2751" stopIfTrue="1">
      <formula>(1=IsColor)*ShowAssignmentName</formula>
    </cfRule>
    <cfRule type="expression" dxfId="2320" priority="2752" stopIfTrue="1">
      <formula>(1=IsColor)*ShowAssignmentColor</formula>
    </cfRule>
    <cfRule type="expression" dxfId="2319" priority="2753" stopIfTrue="1">
      <formula>(2=IsColor)*ShowAssignmentName</formula>
    </cfRule>
    <cfRule type="expression" dxfId="2318" priority="2754" stopIfTrue="1">
      <formula>(2=IsColor)*ShowAssignmentColor</formula>
    </cfRule>
    <cfRule type="expression" dxfId="2317" priority="2755" stopIfTrue="1">
      <formula>(3=IsColor)*ShowAssignmentName</formula>
    </cfRule>
    <cfRule type="expression" dxfId="2316" priority="2756" stopIfTrue="1">
      <formula>(3=IsColor)*ShowAssignmentColor</formula>
    </cfRule>
    <cfRule type="expression" dxfId="2315" priority="2757" stopIfTrue="1">
      <formula>(4=IsColor)*ShowAssignmentName</formula>
    </cfRule>
    <cfRule type="expression" dxfId="2314" priority="2758" stopIfTrue="1">
      <formula>(4=IsColor)*ShowAssignmentColor</formula>
    </cfRule>
    <cfRule type="expression" dxfId="2313" priority="2759" stopIfTrue="1">
      <formula>(5=IsColor)*ShowAssignmentName</formula>
    </cfRule>
    <cfRule type="expression" dxfId="2312" priority="2760" stopIfTrue="1">
      <formula>(5=IsColor)*ShowAssignmentColor</formula>
    </cfRule>
    <cfRule type="expression" dxfId="2311" priority="2761" stopIfTrue="1">
      <formula>(6=IsColor)*ShowAssignmentName</formula>
    </cfRule>
    <cfRule type="expression" dxfId="2310" priority="2762" stopIfTrue="1">
      <formula>(6=IsColor)*ShowAssignmentColor</formula>
    </cfRule>
    <cfRule type="expression" dxfId="2309" priority="2763" stopIfTrue="1">
      <formula>(7=IsColor)*ShowAssignmentName</formula>
    </cfRule>
    <cfRule type="expression" dxfId="2308" priority="2764" stopIfTrue="1">
      <formula>(7=IsColor)*ShowAssignmentColor</formula>
    </cfRule>
    <cfRule type="expression" dxfId="2307" priority="2765" stopIfTrue="1">
      <formula>(8=IsColor)*ShowAssignmentName</formula>
    </cfRule>
    <cfRule type="expression" dxfId="2306" priority="2766" stopIfTrue="1">
      <formula>(8=IsColor)*ShowAssignmentColor</formula>
    </cfRule>
    <cfRule type="expression" dxfId="2305" priority="2767" stopIfTrue="1">
      <formula>(9=IsColor)*ShowAssignmentName</formula>
    </cfRule>
    <cfRule type="expression" dxfId="2304" priority="2768" stopIfTrue="1">
      <formula>(9=IsColor)*ShowAssignmentColor</formula>
    </cfRule>
    <cfRule type="expression" dxfId="2303" priority="2769" stopIfTrue="1">
      <formula>(10=IsColor)*ShowAssignmentName</formula>
    </cfRule>
    <cfRule type="expression" dxfId="2302" priority="2770" stopIfTrue="1">
      <formula>(10=IsColor)*ShowAssignmentColor</formula>
    </cfRule>
    <cfRule type="expression" dxfId="2301" priority="2771" stopIfTrue="1">
      <formula>(11=IsColor)*ShowAssignmentName</formula>
    </cfRule>
    <cfRule type="expression" dxfId="2300" priority="2772" stopIfTrue="1">
      <formula>(11=IsColor)*ShowAssignmentColor</formula>
    </cfRule>
  </conditionalFormatting>
  <conditionalFormatting sqref="E989">
    <cfRule type="expression" dxfId="2299" priority="2747">
      <formula>LEN(E989)&gt;0</formula>
    </cfRule>
  </conditionalFormatting>
  <conditionalFormatting sqref="G1095">
    <cfRule type="expression" dxfId="2298" priority="2746">
      <formula>LEN(G1095)&gt;0</formula>
    </cfRule>
  </conditionalFormatting>
  <conditionalFormatting sqref="D199">
    <cfRule type="expression" dxfId="2297" priority="2745">
      <formula>LEN(D199)&gt;0</formula>
    </cfRule>
  </conditionalFormatting>
  <conditionalFormatting sqref="D193">
    <cfRule type="expression" dxfId="2296" priority="2744">
      <formula>LEN(D193)&gt;0</formula>
    </cfRule>
  </conditionalFormatting>
  <conditionalFormatting sqref="F193">
    <cfRule type="expression" dxfId="2295" priority="2743">
      <formula>LEN(F193)&gt;0</formula>
    </cfRule>
  </conditionalFormatting>
  <conditionalFormatting sqref="D1200:G1200">
    <cfRule type="expression" dxfId="2294" priority="2742">
      <formula>LEN(D1200)&gt;0</formula>
    </cfRule>
  </conditionalFormatting>
  <conditionalFormatting sqref="D1496:F1496 D1493:E1495 D1546:E1548 F1491:F1495 G1491:I1496 F1544:I1547 E1492 E1545 D1491:D1492 D1544:D1545 D1497:I1539 F1548 D1549:F1554 G1548:I1554 D1555:I1592">
    <cfRule type="expression" dxfId="2293" priority="2717">
      <formula>(VALUE($B1491)&lt;1)*($B1491&lt;&gt;$B$7)*LEN(D$5)*(LEN(D1491)=0)*(LEN(D1490)=0)</formula>
    </cfRule>
    <cfRule type="expression" dxfId="2292" priority="2718">
      <formula>(VALUE($B1491)&lt;1)*($B1491&lt;&gt;$B$7)*LEN(D$5)</formula>
    </cfRule>
    <cfRule type="expression" dxfId="2291" priority="2719" stopIfTrue="1">
      <formula>IsEntireDay*ShowAssignmentName</formula>
    </cfRule>
    <cfRule type="expression" dxfId="2290" priority="2720" stopIfTrue="1">
      <formula>(1=IsColor)*ShowAssignmentName</formula>
    </cfRule>
    <cfRule type="expression" dxfId="2289" priority="2721" stopIfTrue="1">
      <formula>(1=IsColor)*ShowAssignmentColor</formula>
    </cfRule>
    <cfRule type="expression" dxfId="2288" priority="2722" stopIfTrue="1">
      <formula>(2=IsColor)*ShowAssignmentName</formula>
    </cfRule>
    <cfRule type="expression" dxfId="2287" priority="2723" stopIfTrue="1">
      <formula>(2=IsColor)*ShowAssignmentColor</formula>
    </cfRule>
    <cfRule type="expression" dxfId="2286" priority="2724" stopIfTrue="1">
      <formula>(3=IsColor)*ShowAssignmentName</formula>
    </cfRule>
    <cfRule type="expression" dxfId="2285" priority="2725" stopIfTrue="1">
      <formula>(3=IsColor)*ShowAssignmentColor</formula>
    </cfRule>
    <cfRule type="expression" dxfId="2284" priority="2726" stopIfTrue="1">
      <formula>(4=IsColor)*ShowAssignmentName</formula>
    </cfRule>
    <cfRule type="expression" dxfId="2283" priority="2727" stopIfTrue="1">
      <formula>(4=IsColor)*ShowAssignmentColor</formula>
    </cfRule>
    <cfRule type="expression" dxfId="2282" priority="2728" stopIfTrue="1">
      <formula>(5=IsColor)*ShowAssignmentName</formula>
    </cfRule>
    <cfRule type="expression" dxfId="2281" priority="2729" stopIfTrue="1">
      <formula>(5=IsColor)*ShowAssignmentColor</formula>
    </cfRule>
    <cfRule type="expression" dxfId="2280" priority="2730" stopIfTrue="1">
      <formula>(6=IsColor)*ShowAssignmentName</formula>
    </cfRule>
    <cfRule type="expression" dxfId="2279" priority="2731" stopIfTrue="1">
      <formula>(6=IsColor)*ShowAssignmentColor</formula>
    </cfRule>
    <cfRule type="expression" dxfId="2278" priority="2732" stopIfTrue="1">
      <formula>(7=IsColor)*ShowAssignmentName</formula>
    </cfRule>
    <cfRule type="expression" dxfId="2277" priority="2733" stopIfTrue="1">
      <formula>(7=IsColor)*ShowAssignmentColor</formula>
    </cfRule>
    <cfRule type="expression" dxfId="2276" priority="2734" stopIfTrue="1">
      <formula>(8=IsColor)*ShowAssignmentName</formula>
    </cfRule>
    <cfRule type="expression" dxfId="2275" priority="2735" stopIfTrue="1">
      <formula>(8=IsColor)*ShowAssignmentColor</formula>
    </cfRule>
    <cfRule type="expression" dxfId="2274" priority="2736" stopIfTrue="1">
      <formula>(9=IsColor)*ShowAssignmentName</formula>
    </cfRule>
    <cfRule type="expression" dxfId="2273" priority="2737" stopIfTrue="1">
      <formula>(9=IsColor)*ShowAssignmentColor</formula>
    </cfRule>
    <cfRule type="expression" dxfId="2272" priority="2738" stopIfTrue="1">
      <formula>(10=IsColor)*ShowAssignmentName</formula>
    </cfRule>
    <cfRule type="expression" dxfId="2271" priority="2739" stopIfTrue="1">
      <formula>(10=IsColor)*ShowAssignmentColor</formula>
    </cfRule>
    <cfRule type="expression" dxfId="2270" priority="2740" stopIfTrue="1">
      <formula>(11=IsColor)*ShowAssignmentName</formula>
    </cfRule>
    <cfRule type="expression" dxfId="2269" priority="2741" stopIfTrue="1">
      <formula>(11=IsColor)*ShowAssignmentColor</formula>
    </cfRule>
  </conditionalFormatting>
  <conditionalFormatting sqref="B1491:B1539 B1544:B1592 E1491 E1544">
    <cfRule type="expression" dxfId="2268" priority="2716">
      <formula>(VALUE($B1491)&lt;1)*Periods</formula>
    </cfRule>
  </conditionalFormatting>
  <conditionalFormatting sqref="D1489:I1489 D1542:I1542">
    <cfRule type="expression" dxfId="2267" priority="2715">
      <formula>LEN(D1489)&gt;0</formula>
    </cfRule>
  </conditionalFormatting>
  <conditionalFormatting sqref="D1708:F1708 D1761:F1761 D1705:E1707 D1758:E1760 F1756:F1760 G1703:I1708 G1756:I1761 E1651 E1704 E1757 D1650:D1651 D1703:D1704 D1756:D1757 F1703:F1707 D1674:I1677 F1650:I1673 D1652:E1673 D1679:I1698 D1678:F1678 H1678:I1678 D1709:I1730 D1732:I1751 H1731:I1731 D1762:I1804">
    <cfRule type="expression" dxfId="2266" priority="2690">
      <formula>(VALUE($B1650)&lt;1)*($B1650&lt;&gt;$B$7)*LEN(D$5)*(LEN(D1650)=0)*(LEN(D1649)=0)</formula>
    </cfRule>
    <cfRule type="expression" dxfId="2265" priority="2691">
      <formula>(VALUE($B1650)&lt;1)*($B1650&lt;&gt;$B$7)*LEN(D$5)</formula>
    </cfRule>
    <cfRule type="expression" dxfId="2264" priority="2692" stopIfTrue="1">
      <formula>IsEntireDay*ShowAssignmentName</formula>
    </cfRule>
    <cfRule type="expression" dxfId="2263" priority="2693" stopIfTrue="1">
      <formula>(1=IsColor)*ShowAssignmentName</formula>
    </cfRule>
    <cfRule type="expression" dxfId="2262" priority="2694" stopIfTrue="1">
      <formula>(1=IsColor)*ShowAssignmentColor</formula>
    </cfRule>
    <cfRule type="expression" dxfId="2261" priority="2695" stopIfTrue="1">
      <formula>(2=IsColor)*ShowAssignmentName</formula>
    </cfRule>
    <cfRule type="expression" dxfId="2260" priority="2696" stopIfTrue="1">
      <formula>(2=IsColor)*ShowAssignmentColor</formula>
    </cfRule>
    <cfRule type="expression" dxfId="2259" priority="2697" stopIfTrue="1">
      <formula>(3=IsColor)*ShowAssignmentName</formula>
    </cfRule>
    <cfRule type="expression" dxfId="2258" priority="2698" stopIfTrue="1">
      <formula>(3=IsColor)*ShowAssignmentColor</formula>
    </cfRule>
    <cfRule type="expression" dxfId="2257" priority="2699" stopIfTrue="1">
      <formula>(4=IsColor)*ShowAssignmentName</formula>
    </cfRule>
    <cfRule type="expression" dxfId="2256" priority="2700" stopIfTrue="1">
      <formula>(4=IsColor)*ShowAssignmentColor</formula>
    </cfRule>
    <cfRule type="expression" dxfId="2255" priority="2701" stopIfTrue="1">
      <formula>(5=IsColor)*ShowAssignmentName</formula>
    </cfRule>
    <cfRule type="expression" dxfId="2254" priority="2702" stopIfTrue="1">
      <formula>(5=IsColor)*ShowAssignmentColor</formula>
    </cfRule>
    <cfRule type="expression" dxfId="2253" priority="2703" stopIfTrue="1">
      <formula>(6=IsColor)*ShowAssignmentName</formula>
    </cfRule>
    <cfRule type="expression" dxfId="2252" priority="2704" stopIfTrue="1">
      <formula>(6=IsColor)*ShowAssignmentColor</formula>
    </cfRule>
    <cfRule type="expression" dxfId="2251" priority="2705" stopIfTrue="1">
      <formula>(7=IsColor)*ShowAssignmentName</formula>
    </cfRule>
    <cfRule type="expression" dxfId="2250" priority="2706" stopIfTrue="1">
      <formula>(7=IsColor)*ShowAssignmentColor</formula>
    </cfRule>
    <cfRule type="expression" dxfId="2249" priority="2707" stopIfTrue="1">
      <formula>(8=IsColor)*ShowAssignmentName</formula>
    </cfRule>
    <cfRule type="expression" dxfId="2248" priority="2708" stopIfTrue="1">
      <formula>(8=IsColor)*ShowAssignmentColor</formula>
    </cfRule>
    <cfRule type="expression" dxfId="2247" priority="2709" stopIfTrue="1">
      <formula>(9=IsColor)*ShowAssignmentName</formula>
    </cfRule>
    <cfRule type="expression" dxfId="2246" priority="2710" stopIfTrue="1">
      <formula>(9=IsColor)*ShowAssignmentColor</formula>
    </cfRule>
    <cfRule type="expression" dxfId="2245" priority="2711" stopIfTrue="1">
      <formula>(10=IsColor)*ShowAssignmentName</formula>
    </cfRule>
    <cfRule type="expression" dxfId="2244" priority="2712" stopIfTrue="1">
      <formula>(10=IsColor)*ShowAssignmentColor</formula>
    </cfRule>
    <cfRule type="expression" dxfId="2243" priority="2713" stopIfTrue="1">
      <formula>(11=IsColor)*ShowAssignmentName</formula>
    </cfRule>
    <cfRule type="expression" dxfId="2242" priority="2714" stopIfTrue="1">
      <formula>(11=IsColor)*ShowAssignmentColor</formula>
    </cfRule>
  </conditionalFormatting>
  <conditionalFormatting sqref="E1650 E1703 E1756">
    <cfRule type="expression" dxfId="2241" priority="2689">
      <formula>(VALUE($B1650)&lt;1)*Periods</formula>
    </cfRule>
  </conditionalFormatting>
  <conditionalFormatting sqref="D1648:I1648 D1701:I1701 D1754:I1754">
    <cfRule type="expression" dxfId="2240" priority="2688">
      <formula>LEN(D1648)&gt;0</formula>
    </cfRule>
  </conditionalFormatting>
  <conditionalFormatting sqref="D1867:F1867 D1864:E1866 F1862:F1866 G1862:I1867 E1810 E1863 D1809:D1810 D1862:D1863 H1837:I1837 D1811:E1817 F1809:I1817 D1818:I1833 D1838:I1857 D1834:E1836 G1834:I1836 F1834:F1837 D1868:I1910">
    <cfRule type="expression" dxfId="2239" priority="2663">
      <formula>(VALUE($B1809)&lt;1)*($B1809&lt;&gt;$B$7)*LEN(D$5)*(LEN(D1809)=0)*(LEN(D1808)=0)</formula>
    </cfRule>
    <cfRule type="expression" dxfId="2238" priority="2664">
      <formula>(VALUE($B1809)&lt;1)*($B1809&lt;&gt;$B$7)*LEN(D$5)</formula>
    </cfRule>
    <cfRule type="expression" dxfId="2237" priority="2665" stopIfTrue="1">
      <formula>IsEntireDay*ShowAssignmentName</formula>
    </cfRule>
    <cfRule type="expression" dxfId="2236" priority="2666" stopIfTrue="1">
      <formula>(1=IsColor)*ShowAssignmentName</formula>
    </cfRule>
    <cfRule type="expression" dxfId="2235" priority="2667" stopIfTrue="1">
      <formula>(1=IsColor)*ShowAssignmentColor</formula>
    </cfRule>
    <cfRule type="expression" dxfId="2234" priority="2668" stopIfTrue="1">
      <formula>(2=IsColor)*ShowAssignmentName</formula>
    </cfRule>
    <cfRule type="expression" dxfId="2233" priority="2669" stopIfTrue="1">
      <formula>(2=IsColor)*ShowAssignmentColor</formula>
    </cfRule>
    <cfRule type="expression" dxfId="2232" priority="2670" stopIfTrue="1">
      <formula>(3=IsColor)*ShowAssignmentName</formula>
    </cfRule>
    <cfRule type="expression" dxfId="2231" priority="2671" stopIfTrue="1">
      <formula>(3=IsColor)*ShowAssignmentColor</formula>
    </cfRule>
    <cfRule type="expression" dxfId="2230" priority="2672" stopIfTrue="1">
      <formula>(4=IsColor)*ShowAssignmentName</formula>
    </cfRule>
    <cfRule type="expression" dxfId="2229" priority="2673" stopIfTrue="1">
      <formula>(4=IsColor)*ShowAssignmentColor</formula>
    </cfRule>
    <cfRule type="expression" dxfId="2228" priority="2674" stopIfTrue="1">
      <formula>(5=IsColor)*ShowAssignmentName</formula>
    </cfRule>
    <cfRule type="expression" dxfId="2227" priority="2675" stopIfTrue="1">
      <formula>(5=IsColor)*ShowAssignmentColor</formula>
    </cfRule>
    <cfRule type="expression" dxfId="2226" priority="2676" stopIfTrue="1">
      <formula>(6=IsColor)*ShowAssignmentName</formula>
    </cfRule>
    <cfRule type="expression" dxfId="2225" priority="2677" stopIfTrue="1">
      <formula>(6=IsColor)*ShowAssignmentColor</formula>
    </cfRule>
    <cfRule type="expression" dxfId="2224" priority="2678" stopIfTrue="1">
      <formula>(7=IsColor)*ShowAssignmentName</formula>
    </cfRule>
    <cfRule type="expression" dxfId="2223" priority="2679" stopIfTrue="1">
      <formula>(7=IsColor)*ShowAssignmentColor</formula>
    </cfRule>
    <cfRule type="expression" dxfId="2222" priority="2680" stopIfTrue="1">
      <formula>(8=IsColor)*ShowAssignmentName</formula>
    </cfRule>
    <cfRule type="expression" dxfId="2221" priority="2681" stopIfTrue="1">
      <formula>(8=IsColor)*ShowAssignmentColor</formula>
    </cfRule>
    <cfRule type="expression" dxfId="2220" priority="2682" stopIfTrue="1">
      <formula>(9=IsColor)*ShowAssignmentName</formula>
    </cfRule>
    <cfRule type="expression" dxfId="2219" priority="2683" stopIfTrue="1">
      <formula>(9=IsColor)*ShowAssignmentColor</formula>
    </cfRule>
    <cfRule type="expression" dxfId="2218" priority="2684" stopIfTrue="1">
      <formula>(10=IsColor)*ShowAssignmentName</formula>
    </cfRule>
    <cfRule type="expression" dxfId="2217" priority="2685" stopIfTrue="1">
      <formula>(10=IsColor)*ShowAssignmentColor</formula>
    </cfRule>
    <cfRule type="expression" dxfId="2216" priority="2686" stopIfTrue="1">
      <formula>(11=IsColor)*ShowAssignmentName</formula>
    </cfRule>
    <cfRule type="expression" dxfId="2215" priority="2687" stopIfTrue="1">
      <formula>(11=IsColor)*ShowAssignmentColor</formula>
    </cfRule>
  </conditionalFormatting>
  <conditionalFormatting sqref="E1809 E1862">
    <cfRule type="expression" dxfId="2214" priority="2662">
      <formula>(VALUE($B1809)&lt;1)*Periods</formula>
    </cfRule>
  </conditionalFormatting>
  <conditionalFormatting sqref="D1807:I1807 D1860:I1860">
    <cfRule type="expression" dxfId="2213" priority="2661">
      <formula>LEN(D1807)&gt;0</formula>
    </cfRule>
  </conditionalFormatting>
  <conditionalFormatting sqref="E1915">
    <cfRule type="expression" dxfId="2212" priority="2660">
      <formula>(VALUE($B1915)&lt;1)*Periods</formula>
    </cfRule>
  </conditionalFormatting>
  <conditionalFormatting sqref="D1913:I1913">
    <cfRule type="expression" dxfId="2211" priority="2659">
      <formula>LEN(D1913)&gt;0</formula>
    </cfRule>
  </conditionalFormatting>
  <conditionalFormatting sqref="D1920:F1920 D1917:E1919 F1915:F1919 G1915:I1920 E1916 D1915:D1916 D2026:F2026 D2079:F2079 D2023:E2025 D2076:E2078 F2021:F2025 F2074:F2078 G2021:I2026 G2074:I2079 E2022 E2075 D1968:D1969 D2021:D2022 D2074:D2075 H2102:I2102 D2080:I2084 D2113:I2122 G2103:I2112 G2085:I2101 D2085:F2112 F1943 H1943:I1943 D1944:I1963 F1968:I1968 E1996 H1996:I1996 D1997:I2016 E1969:I1969 D1970:I1995 D1921:I1942 D2027:I2069">
    <cfRule type="expression" dxfId="2210" priority="2634">
      <formula>(VALUE($B1915)&lt;1)*($B1915&lt;&gt;$B$7)*LEN(D$5)*(LEN(D1915)=0)*(LEN(D1914)=0)</formula>
    </cfRule>
    <cfRule type="expression" dxfId="2209" priority="2635">
      <formula>(VALUE($B1915)&lt;1)*($B1915&lt;&gt;$B$7)*LEN(D$5)</formula>
    </cfRule>
    <cfRule type="expression" dxfId="2208" priority="2636" stopIfTrue="1">
      <formula>IsEntireDay*ShowAssignmentName</formula>
    </cfRule>
    <cfRule type="expression" dxfId="2207" priority="2637" stopIfTrue="1">
      <formula>(1=IsColor)*ShowAssignmentName</formula>
    </cfRule>
    <cfRule type="expression" dxfId="2206" priority="2638" stopIfTrue="1">
      <formula>(1=IsColor)*ShowAssignmentColor</formula>
    </cfRule>
    <cfRule type="expression" dxfId="2205" priority="2639" stopIfTrue="1">
      <formula>(2=IsColor)*ShowAssignmentName</formula>
    </cfRule>
    <cfRule type="expression" dxfId="2204" priority="2640" stopIfTrue="1">
      <formula>(2=IsColor)*ShowAssignmentColor</formula>
    </cfRule>
    <cfRule type="expression" dxfId="2203" priority="2641" stopIfTrue="1">
      <formula>(3=IsColor)*ShowAssignmentName</formula>
    </cfRule>
    <cfRule type="expression" dxfId="2202" priority="2642" stopIfTrue="1">
      <formula>(3=IsColor)*ShowAssignmentColor</formula>
    </cfRule>
    <cfRule type="expression" dxfId="2201" priority="2643" stopIfTrue="1">
      <formula>(4=IsColor)*ShowAssignmentName</formula>
    </cfRule>
    <cfRule type="expression" dxfId="2200" priority="2644" stopIfTrue="1">
      <formula>(4=IsColor)*ShowAssignmentColor</formula>
    </cfRule>
    <cfRule type="expression" dxfId="2199" priority="2645" stopIfTrue="1">
      <formula>(5=IsColor)*ShowAssignmentName</formula>
    </cfRule>
    <cfRule type="expression" dxfId="2198" priority="2646" stopIfTrue="1">
      <formula>(5=IsColor)*ShowAssignmentColor</formula>
    </cfRule>
    <cfRule type="expression" dxfId="2197" priority="2647" stopIfTrue="1">
      <formula>(6=IsColor)*ShowAssignmentName</formula>
    </cfRule>
    <cfRule type="expression" dxfId="2196" priority="2648" stopIfTrue="1">
      <formula>(6=IsColor)*ShowAssignmentColor</formula>
    </cfRule>
    <cfRule type="expression" dxfId="2195" priority="2649" stopIfTrue="1">
      <formula>(7=IsColor)*ShowAssignmentName</formula>
    </cfRule>
    <cfRule type="expression" dxfId="2194" priority="2650" stopIfTrue="1">
      <formula>(7=IsColor)*ShowAssignmentColor</formula>
    </cfRule>
    <cfRule type="expression" dxfId="2193" priority="2651" stopIfTrue="1">
      <formula>(8=IsColor)*ShowAssignmentName</formula>
    </cfRule>
    <cfRule type="expression" dxfId="2192" priority="2652" stopIfTrue="1">
      <formula>(8=IsColor)*ShowAssignmentColor</formula>
    </cfRule>
    <cfRule type="expression" dxfId="2191" priority="2653" stopIfTrue="1">
      <formula>(9=IsColor)*ShowAssignmentName</formula>
    </cfRule>
    <cfRule type="expression" dxfId="2190" priority="2654" stopIfTrue="1">
      <formula>(9=IsColor)*ShowAssignmentColor</formula>
    </cfRule>
    <cfRule type="expression" dxfId="2189" priority="2655" stopIfTrue="1">
      <formula>(10=IsColor)*ShowAssignmentName</formula>
    </cfRule>
    <cfRule type="expression" dxfId="2188" priority="2656" stopIfTrue="1">
      <formula>(10=IsColor)*ShowAssignmentColor</formula>
    </cfRule>
    <cfRule type="expression" dxfId="2187" priority="2657" stopIfTrue="1">
      <formula>(11=IsColor)*ShowAssignmentName</formula>
    </cfRule>
    <cfRule type="expression" dxfId="2186" priority="2658" stopIfTrue="1">
      <formula>(11=IsColor)*ShowAssignmentColor</formula>
    </cfRule>
  </conditionalFormatting>
  <conditionalFormatting sqref="E1968 E2021 E2074">
    <cfRule type="expression" dxfId="2185" priority="2633">
      <formula>(VALUE($B1968)&lt;1)*Periods</formula>
    </cfRule>
  </conditionalFormatting>
  <conditionalFormatting sqref="D1966:I1966 D2019:I2019 D2072:I2072">
    <cfRule type="expression" dxfId="2184" priority="2632">
      <formula>LEN(D1966)&gt;0</formula>
    </cfRule>
  </conditionalFormatting>
  <conditionalFormatting sqref="E2128 E2181 D2127:D2128 D2180:D2181 H2155:I2155 D2129:E2152 D2182:E2187 D2153:I2154 D2220:I2228 G2211 G2212:I2219 G2208:I2210 D2208:F2219 D2156:I2175 F2127:I2152 D2188:I2207 F2180:I2187">
    <cfRule type="expression" dxfId="2183" priority="2607">
      <formula>(VALUE($B2127)&lt;1)*($B2127&lt;&gt;$B$7)*LEN(D$5)*(LEN(D2127)=0)*(LEN(D2126)=0)</formula>
    </cfRule>
    <cfRule type="expression" dxfId="2182" priority="2608">
      <formula>(VALUE($B2127)&lt;1)*($B2127&lt;&gt;$B$7)*LEN(D$5)</formula>
    </cfRule>
    <cfRule type="expression" dxfId="2181" priority="2609" stopIfTrue="1">
      <formula>IsEntireDay*ShowAssignmentName</formula>
    </cfRule>
    <cfRule type="expression" dxfId="2180" priority="2610" stopIfTrue="1">
      <formula>(1=IsColor)*ShowAssignmentName</formula>
    </cfRule>
    <cfRule type="expression" dxfId="2179" priority="2611" stopIfTrue="1">
      <formula>(1=IsColor)*ShowAssignmentColor</formula>
    </cfRule>
    <cfRule type="expression" dxfId="2178" priority="2612" stopIfTrue="1">
      <formula>(2=IsColor)*ShowAssignmentName</formula>
    </cfRule>
    <cfRule type="expression" dxfId="2177" priority="2613" stopIfTrue="1">
      <formula>(2=IsColor)*ShowAssignmentColor</formula>
    </cfRule>
    <cfRule type="expression" dxfId="2176" priority="2614" stopIfTrue="1">
      <formula>(3=IsColor)*ShowAssignmentName</formula>
    </cfRule>
    <cfRule type="expression" dxfId="2175" priority="2615" stopIfTrue="1">
      <formula>(3=IsColor)*ShowAssignmentColor</formula>
    </cfRule>
    <cfRule type="expression" dxfId="2174" priority="2616" stopIfTrue="1">
      <formula>(4=IsColor)*ShowAssignmentName</formula>
    </cfRule>
    <cfRule type="expression" dxfId="2173" priority="2617" stopIfTrue="1">
      <formula>(4=IsColor)*ShowAssignmentColor</formula>
    </cfRule>
    <cfRule type="expression" dxfId="2172" priority="2618" stopIfTrue="1">
      <formula>(5=IsColor)*ShowAssignmentName</formula>
    </cfRule>
    <cfRule type="expression" dxfId="2171" priority="2619" stopIfTrue="1">
      <formula>(5=IsColor)*ShowAssignmentColor</formula>
    </cfRule>
    <cfRule type="expression" dxfId="2170" priority="2620" stopIfTrue="1">
      <formula>(6=IsColor)*ShowAssignmentName</formula>
    </cfRule>
    <cfRule type="expression" dxfId="2169" priority="2621" stopIfTrue="1">
      <formula>(6=IsColor)*ShowAssignmentColor</formula>
    </cfRule>
    <cfRule type="expression" dxfId="2168" priority="2622" stopIfTrue="1">
      <formula>(7=IsColor)*ShowAssignmentName</formula>
    </cfRule>
    <cfRule type="expression" dxfId="2167" priority="2623" stopIfTrue="1">
      <formula>(7=IsColor)*ShowAssignmentColor</formula>
    </cfRule>
    <cfRule type="expression" dxfId="2166" priority="2624" stopIfTrue="1">
      <formula>(8=IsColor)*ShowAssignmentName</formula>
    </cfRule>
    <cfRule type="expression" dxfId="2165" priority="2625" stopIfTrue="1">
      <formula>(8=IsColor)*ShowAssignmentColor</formula>
    </cfRule>
    <cfRule type="expression" dxfId="2164" priority="2626" stopIfTrue="1">
      <formula>(9=IsColor)*ShowAssignmentName</formula>
    </cfRule>
    <cfRule type="expression" dxfId="2163" priority="2627" stopIfTrue="1">
      <formula>(9=IsColor)*ShowAssignmentColor</formula>
    </cfRule>
    <cfRule type="expression" dxfId="2162" priority="2628" stopIfTrue="1">
      <formula>(10=IsColor)*ShowAssignmentName</formula>
    </cfRule>
    <cfRule type="expression" dxfId="2161" priority="2629" stopIfTrue="1">
      <formula>(10=IsColor)*ShowAssignmentColor</formula>
    </cfRule>
    <cfRule type="expression" dxfId="2160" priority="2630" stopIfTrue="1">
      <formula>(11=IsColor)*ShowAssignmentName</formula>
    </cfRule>
    <cfRule type="expression" dxfId="2159" priority="2631" stopIfTrue="1">
      <formula>(11=IsColor)*ShowAssignmentColor</formula>
    </cfRule>
  </conditionalFormatting>
  <conditionalFormatting sqref="E2127 E2180">
    <cfRule type="expression" dxfId="2158" priority="2606">
      <formula>(VALUE($B2127)&lt;1)*Periods</formula>
    </cfRule>
  </conditionalFormatting>
  <conditionalFormatting sqref="D2178:I2178">
    <cfRule type="expression" dxfId="2157" priority="2605">
      <formula>LEN(D2178)&gt;0</formula>
    </cfRule>
  </conditionalFormatting>
  <conditionalFormatting sqref="E2233">
    <cfRule type="expression" dxfId="2156" priority="2604">
      <formula>(VALUE($B2233)&lt;1)*Periods</formula>
    </cfRule>
  </conditionalFormatting>
  <conditionalFormatting sqref="H2231:I2231">
    <cfRule type="expression" dxfId="2155" priority="2603">
      <formula>LEN(H2231)&gt;0</formula>
    </cfRule>
  </conditionalFormatting>
  <conditionalFormatting sqref="E2234 D2233:D2234 E2287 E2340 E2393 D2286:D2287 D2339:D2340 D2392:D2393 D2341:E2346 D2436:I2440 H2420:I2420 D2235:E2236 F2233:I2236 F2339:I2346 F2367 H2367:I2367 F2237:F2243 D2288:E2311 F2286:I2311 D2312:I2313 D2314:E2314 H2314:I2314 D2315:I2334 D2347:I2366 D2368:I2387 D2394:E2399 F2392:I2418 F2426:I2435 G2421:I2425 G2419:I2419 F2419:F2425">
    <cfRule type="expression" dxfId="2154" priority="2578">
      <formula>(VALUE($B2233)&lt;1)*($B2233&lt;&gt;$B$7)*LEN(D$5)*(LEN(D2233)=0)*(LEN(D2232)=0)</formula>
    </cfRule>
    <cfRule type="expression" dxfId="2153" priority="2579">
      <formula>(VALUE($B2233)&lt;1)*($B2233&lt;&gt;$B$7)*LEN(D$5)</formula>
    </cfRule>
    <cfRule type="expression" dxfId="2152" priority="2580" stopIfTrue="1">
      <formula>IsEntireDay*ShowAssignmentName</formula>
    </cfRule>
    <cfRule type="expression" dxfId="2151" priority="2581" stopIfTrue="1">
      <formula>(1=IsColor)*ShowAssignmentName</formula>
    </cfRule>
    <cfRule type="expression" dxfId="2150" priority="2582" stopIfTrue="1">
      <formula>(1=IsColor)*ShowAssignmentColor</formula>
    </cfRule>
    <cfRule type="expression" dxfId="2149" priority="2583" stopIfTrue="1">
      <formula>(2=IsColor)*ShowAssignmentName</formula>
    </cfRule>
    <cfRule type="expression" dxfId="2148" priority="2584" stopIfTrue="1">
      <formula>(2=IsColor)*ShowAssignmentColor</formula>
    </cfRule>
    <cfRule type="expression" dxfId="2147" priority="2585" stopIfTrue="1">
      <formula>(3=IsColor)*ShowAssignmentName</formula>
    </cfRule>
    <cfRule type="expression" dxfId="2146" priority="2586" stopIfTrue="1">
      <formula>(3=IsColor)*ShowAssignmentColor</formula>
    </cfRule>
    <cfRule type="expression" dxfId="2145" priority="2587" stopIfTrue="1">
      <formula>(4=IsColor)*ShowAssignmentName</formula>
    </cfRule>
    <cfRule type="expression" dxfId="2144" priority="2588" stopIfTrue="1">
      <formula>(4=IsColor)*ShowAssignmentColor</formula>
    </cfRule>
    <cfRule type="expression" dxfId="2143" priority="2589" stopIfTrue="1">
      <formula>(5=IsColor)*ShowAssignmentName</formula>
    </cfRule>
    <cfRule type="expression" dxfId="2142" priority="2590" stopIfTrue="1">
      <formula>(5=IsColor)*ShowAssignmentColor</formula>
    </cfRule>
    <cfRule type="expression" dxfId="2141" priority="2591" stopIfTrue="1">
      <formula>(6=IsColor)*ShowAssignmentName</formula>
    </cfRule>
    <cfRule type="expression" dxfId="2140" priority="2592" stopIfTrue="1">
      <formula>(6=IsColor)*ShowAssignmentColor</formula>
    </cfRule>
    <cfRule type="expression" dxfId="2139" priority="2593" stopIfTrue="1">
      <formula>(7=IsColor)*ShowAssignmentName</formula>
    </cfRule>
    <cfRule type="expression" dxfId="2138" priority="2594" stopIfTrue="1">
      <formula>(7=IsColor)*ShowAssignmentColor</formula>
    </cfRule>
    <cfRule type="expression" dxfId="2137" priority="2595" stopIfTrue="1">
      <formula>(8=IsColor)*ShowAssignmentName</formula>
    </cfRule>
    <cfRule type="expression" dxfId="2136" priority="2596" stopIfTrue="1">
      <formula>(8=IsColor)*ShowAssignmentColor</formula>
    </cfRule>
    <cfRule type="expression" dxfId="2135" priority="2597" stopIfTrue="1">
      <formula>(9=IsColor)*ShowAssignmentName</formula>
    </cfRule>
    <cfRule type="expression" dxfId="2134" priority="2598" stopIfTrue="1">
      <formula>(9=IsColor)*ShowAssignmentColor</formula>
    </cfRule>
    <cfRule type="expression" dxfId="2133" priority="2599" stopIfTrue="1">
      <formula>(10=IsColor)*ShowAssignmentName</formula>
    </cfRule>
    <cfRule type="expression" dxfId="2132" priority="2600" stopIfTrue="1">
      <formula>(10=IsColor)*ShowAssignmentColor</formula>
    </cfRule>
    <cfRule type="expression" dxfId="2131" priority="2601" stopIfTrue="1">
      <formula>(11=IsColor)*ShowAssignmentName</formula>
    </cfRule>
    <cfRule type="expression" dxfId="2130" priority="2602" stopIfTrue="1">
      <formula>(11=IsColor)*ShowAssignmentColor</formula>
    </cfRule>
  </conditionalFormatting>
  <conditionalFormatting sqref="E2286 E2339 E2392">
    <cfRule type="expression" dxfId="2129" priority="2577">
      <formula>(VALUE($B2286)&lt;1)*Periods</formula>
    </cfRule>
  </conditionalFormatting>
  <conditionalFormatting sqref="F2337:I2337">
    <cfRule type="expression" dxfId="2128" priority="2576">
      <formula>LEN(F2337)&gt;0</formula>
    </cfRule>
  </conditionalFormatting>
  <conditionalFormatting sqref="E2445">
    <cfRule type="expression" dxfId="2127" priority="2575">
      <formula>(VALUE($B2445)&lt;1)*Periods</formula>
    </cfRule>
  </conditionalFormatting>
  <conditionalFormatting sqref="H2443:I2443">
    <cfRule type="expression" dxfId="2126" priority="2574">
      <formula>LEN(H2443)&gt;0</formula>
    </cfRule>
  </conditionalFormatting>
  <conditionalFormatting sqref="E2446 D2445:D2446 D2553:E2556 F2551:I2554 E2499 E2552 D2498:D2499 D2551:D2552 D2604:D2605 D2657:D2658 H2472:I2472 D2500:E2505 F2498:I2505 D2595:I2599 D2473:I2493 D2447:E2471 F2445:I2471 D2506:I2546 F2555:G2556 H2555:I2594 E2579:F2579 D2557:G2578 D2580:G2594">
    <cfRule type="expression" dxfId="2125" priority="2549">
      <formula>(VALUE($B2445)&lt;1)*($B2445&lt;&gt;$B$7)*LEN(D$5)*(LEN(D2445)=0)*(LEN(D2444)=0)</formula>
    </cfRule>
    <cfRule type="expression" dxfId="2124" priority="2550">
      <formula>(VALUE($B2445)&lt;1)*($B2445&lt;&gt;$B$7)*LEN(D$5)</formula>
    </cfRule>
    <cfRule type="expression" dxfId="2123" priority="2551" stopIfTrue="1">
      <formula>IsEntireDay*ShowAssignmentName</formula>
    </cfRule>
    <cfRule type="expression" dxfId="2122" priority="2552" stopIfTrue="1">
      <formula>(1=IsColor)*ShowAssignmentName</formula>
    </cfRule>
    <cfRule type="expression" dxfId="2121" priority="2553" stopIfTrue="1">
      <formula>(1=IsColor)*ShowAssignmentColor</formula>
    </cfRule>
    <cfRule type="expression" dxfId="2120" priority="2554" stopIfTrue="1">
      <formula>(2=IsColor)*ShowAssignmentName</formula>
    </cfRule>
    <cfRule type="expression" dxfId="2119" priority="2555" stopIfTrue="1">
      <formula>(2=IsColor)*ShowAssignmentColor</formula>
    </cfRule>
    <cfRule type="expression" dxfId="2118" priority="2556" stopIfTrue="1">
      <formula>(3=IsColor)*ShowAssignmentName</formula>
    </cfRule>
    <cfRule type="expression" dxfId="2117" priority="2557" stopIfTrue="1">
      <formula>(3=IsColor)*ShowAssignmentColor</formula>
    </cfRule>
    <cfRule type="expression" dxfId="2116" priority="2558" stopIfTrue="1">
      <formula>(4=IsColor)*ShowAssignmentName</formula>
    </cfRule>
    <cfRule type="expression" dxfId="2115" priority="2559" stopIfTrue="1">
      <formula>(4=IsColor)*ShowAssignmentColor</formula>
    </cfRule>
    <cfRule type="expression" dxfId="2114" priority="2560" stopIfTrue="1">
      <formula>(5=IsColor)*ShowAssignmentName</formula>
    </cfRule>
    <cfRule type="expression" dxfId="2113" priority="2561" stopIfTrue="1">
      <formula>(5=IsColor)*ShowAssignmentColor</formula>
    </cfRule>
    <cfRule type="expression" dxfId="2112" priority="2562" stopIfTrue="1">
      <formula>(6=IsColor)*ShowAssignmentName</formula>
    </cfRule>
    <cfRule type="expression" dxfId="2111" priority="2563" stopIfTrue="1">
      <formula>(6=IsColor)*ShowAssignmentColor</formula>
    </cfRule>
    <cfRule type="expression" dxfId="2110" priority="2564" stopIfTrue="1">
      <formula>(7=IsColor)*ShowAssignmentName</formula>
    </cfRule>
    <cfRule type="expression" dxfId="2109" priority="2565" stopIfTrue="1">
      <formula>(7=IsColor)*ShowAssignmentColor</formula>
    </cfRule>
    <cfRule type="expression" dxfId="2108" priority="2566" stopIfTrue="1">
      <formula>(8=IsColor)*ShowAssignmentName</formula>
    </cfRule>
    <cfRule type="expression" dxfId="2107" priority="2567" stopIfTrue="1">
      <formula>(8=IsColor)*ShowAssignmentColor</formula>
    </cfRule>
    <cfRule type="expression" dxfId="2106" priority="2568" stopIfTrue="1">
      <formula>(9=IsColor)*ShowAssignmentName</formula>
    </cfRule>
    <cfRule type="expression" dxfId="2105" priority="2569" stopIfTrue="1">
      <formula>(9=IsColor)*ShowAssignmentColor</formula>
    </cfRule>
    <cfRule type="expression" dxfId="2104" priority="2570" stopIfTrue="1">
      <formula>(10=IsColor)*ShowAssignmentName</formula>
    </cfRule>
    <cfRule type="expression" dxfId="2103" priority="2571" stopIfTrue="1">
      <formula>(10=IsColor)*ShowAssignmentColor</formula>
    </cfRule>
    <cfRule type="expression" dxfId="2102" priority="2572" stopIfTrue="1">
      <formula>(11=IsColor)*ShowAssignmentName</formula>
    </cfRule>
    <cfRule type="expression" dxfId="2101" priority="2573" stopIfTrue="1">
      <formula>(11=IsColor)*ShowAssignmentColor</formula>
    </cfRule>
  </conditionalFormatting>
  <conditionalFormatting sqref="E2498 E2551 E2657">
    <cfRule type="expression" dxfId="2100" priority="2548">
      <formula>(VALUE($B2498)&lt;1)*Periods</formula>
    </cfRule>
  </conditionalFormatting>
  <conditionalFormatting sqref="D2496:I2496 H2655:I2655">
    <cfRule type="expression" dxfId="2099" priority="2547">
      <formula>LEN(D2496)&gt;0</formula>
    </cfRule>
  </conditionalFormatting>
  <conditionalFormatting sqref="G2102">
    <cfRule type="expression" dxfId="2098" priority="2546">
      <formula>LEN(G2102)&gt;0</formula>
    </cfRule>
  </conditionalFormatting>
  <conditionalFormatting sqref="D2125:I2125">
    <cfRule type="expression" dxfId="2097" priority="2545">
      <formula>LEN(D2125)&gt;0</formula>
    </cfRule>
  </conditionalFormatting>
  <conditionalFormatting sqref="E2155">
    <cfRule type="expression" dxfId="2096" priority="2544">
      <formula>LEN(E2155)&gt;0</formula>
    </cfRule>
  </conditionalFormatting>
  <conditionalFormatting sqref="D2231:G2231">
    <cfRule type="expression" dxfId="2095" priority="2543">
      <formula>LEN(D2231)&gt;0</formula>
    </cfRule>
  </conditionalFormatting>
  <conditionalFormatting sqref="D2284:I2284">
    <cfRule type="expression" dxfId="2094" priority="2540">
      <formula>LEN(D2284)&gt;0</formula>
    </cfRule>
  </conditionalFormatting>
  <conditionalFormatting sqref="D2337:E2337">
    <cfRule type="expression" dxfId="2093" priority="2539">
      <formula>LEN(D2337)&gt;0</formula>
    </cfRule>
  </conditionalFormatting>
  <conditionalFormatting sqref="D2367:E2367">
    <cfRule type="expression" dxfId="2092" priority="2538">
      <formula>LEN(D2367)&gt;0</formula>
    </cfRule>
  </conditionalFormatting>
  <conditionalFormatting sqref="D2390:I2390">
    <cfRule type="expression" dxfId="2091" priority="2537">
      <formula>LEN(D2390)&gt;0</formula>
    </cfRule>
  </conditionalFormatting>
  <conditionalFormatting sqref="G2420">
    <cfRule type="expression" dxfId="2090" priority="2536">
      <formula>LEN(G2420)&gt;0</formula>
    </cfRule>
  </conditionalFormatting>
  <conditionalFormatting sqref="D2443:G2443">
    <cfRule type="expression" dxfId="2089" priority="2535">
      <formula>LEN(D2443)&gt;0</formula>
    </cfRule>
  </conditionalFormatting>
  <conditionalFormatting sqref="D2710:D2711">
    <cfRule type="expression" dxfId="2088" priority="2510">
      <formula>(VALUE($B2710)&lt;1)*($B2710&lt;&gt;$B$7)*LEN(D$5)*(LEN(D2710)=0)*(LEN(D2709)=0)</formula>
    </cfRule>
    <cfRule type="expression" dxfId="2087" priority="2511">
      <formula>(VALUE($B2710)&lt;1)*($B2710&lt;&gt;$B$7)*LEN(D$5)</formula>
    </cfRule>
    <cfRule type="expression" dxfId="2086" priority="2512" stopIfTrue="1">
      <formula>IsEntireDay*ShowAssignmentName</formula>
    </cfRule>
    <cfRule type="expression" dxfId="2085" priority="2513" stopIfTrue="1">
      <formula>(1=IsColor)*ShowAssignmentName</formula>
    </cfRule>
    <cfRule type="expression" dxfId="2084" priority="2514" stopIfTrue="1">
      <formula>(1=IsColor)*ShowAssignmentColor</formula>
    </cfRule>
    <cfRule type="expression" dxfId="2083" priority="2515" stopIfTrue="1">
      <formula>(2=IsColor)*ShowAssignmentName</formula>
    </cfRule>
    <cfRule type="expression" dxfId="2082" priority="2516" stopIfTrue="1">
      <formula>(2=IsColor)*ShowAssignmentColor</formula>
    </cfRule>
    <cfRule type="expression" dxfId="2081" priority="2517" stopIfTrue="1">
      <formula>(3=IsColor)*ShowAssignmentName</formula>
    </cfRule>
    <cfRule type="expression" dxfId="2080" priority="2518" stopIfTrue="1">
      <formula>(3=IsColor)*ShowAssignmentColor</formula>
    </cfRule>
    <cfRule type="expression" dxfId="2079" priority="2519" stopIfTrue="1">
      <formula>(4=IsColor)*ShowAssignmentName</formula>
    </cfRule>
    <cfRule type="expression" dxfId="2078" priority="2520" stopIfTrue="1">
      <formula>(4=IsColor)*ShowAssignmentColor</formula>
    </cfRule>
    <cfRule type="expression" dxfId="2077" priority="2521" stopIfTrue="1">
      <formula>(5=IsColor)*ShowAssignmentName</formula>
    </cfRule>
    <cfRule type="expression" dxfId="2076" priority="2522" stopIfTrue="1">
      <formula>(5=IsColor)*ShowAssignmentColor</formula>
    </cfRule>
    <cfRule type="expression" dxfId="2075" priority="2523" stopIfTrue="1">
      <formula>(6=IsColor)*ShowAssignmentName</formula>
    </cfRule>
    <cfRule type="expression" dxfId="2074" priority="2524" stopIfTrue="1">
      <formula>(6=IsColor)*ShowAssignmentColor</formula>
    </cfRule>
    <cfRule type="expression" dxfId="2073" priority="2525" stopIfTrue="1">
      <formula>(7=IsColor)*ShowAssignmentName</formula>
    </cfRule>
    <cfRule type="expression" dxfId="2072" priority="2526" stopIfTrue="1">
      <formula>(7=IsColor)*ShowAssignmentColor</formula>
    </cfRule>
    <cfRule type="expression" dxfId="2071" priority="2527" stopIfTrue="1">
      <formula>(8=IsColor)*ShowAssignmentName</formula>
    </cfRule>
    <cfRule type="expression" dxfId="2070" priority="2528" stopIfTrue="1">
      <formula>(8=IsColor)*ShowAssignmentColor</formula>
    </cfRule>
    <cfRule type="expression" dxfId="2069" priority="2529" stopIfTrue="1">
      <formula>(9=IsColor)*ShowAssignmentName</formula>
    </cfRule>
    <cfRule type="expression" dxfId="2068" priority="2530" stopIfTrue="1">
      <formula>(9=IsColor)*ShowAssignmentColor</formula>
    </cfRule>
    <cfRule type="expression" dxfId="2067" priority="2531" stopIfTrue="1">
      <formula>(10=IsColor)*ShowAssignmentName</formula>
    </cfRule>
    <cfRule type="expression" dxfId="2066" priority="2532" stopIfTrue="1">
      <formula>(10=IsColor)*ShowAssignmentColor</formula>
    </cfRule>
    <cfRule type="expression" dxfId="2065" priority="2533" stopIfTrue="1">
      <formula>(11=IsColor)*ShowAssignmentName</formula>
    </cfRule>
    <cfRule type="expression" dxfId="2064" priority="2534" stopIfTrue="1">
      <formula>(11=IsColor)*ShowAssignmentColor</formula>
    </cfRule>
  </conditionalFormatting>
  <conditionalFormatting sqref="E2710">
    <cfRule type="expression" dxfId="2063" priority="2509">
      <formula>(VALUE($B2710)&lt;1)*Periods</formula>
    </cfRule>
  </conditionalFormatting>
  <conditionalFormatting sqref="D2708:I2708">
    <cfRule type="expression" dxfId="2062" priority="2508">
      <formula>LEN(D2708)&gt;0</formula>
    </cfRule>
  </conditionalFormatting>
  <conditionalFormatting sqref="F2738:G2738">
    <cfRule type="expression" dxfId="2061" priority="2507">
      <formula>LEN(F2738)&gt;0</formula>
    </cfRule>
  </conditionalFormatting>
  <conditionalFormatting sqref="D2549:I2549">
    <cfRule type="expression" dxfId="2060" priority="2506">
      <formula>LEN(D2549)&gt;0</formula>
    </cfRule>
  </conditionalFormatting>
  <conditionalFormatting sqref="H2602:I2602">
    <cfRule type="expression" dxfId="2059" priority="2505">
      <formula>LEN(H2602)&gt;0</formula>
    </cfRule>
  </conditionalFormatting>
  <conditionalFormatting sqref="D2602:G2602">
    <cfRule type="expression" dxfId="2058" priority="2504">
      <formula>LEN(D2602)&gt;0</formula>
    </cfRule>
  </conditionalFormatting>
  <conditionalFormatting sqref="D2655:G2655">
    <cfRule type="expression" dxfId="2057" priority="2503">
      <formula>LEN(D2655)&gt;0</formula>
    </cfRule>
  </conditionalFormatting>
  <conditionalFormatting sqref="B1650:B1698">
    <cfRule type="expression" dxfId="2056" priority="2502">
      <formula>(VALUE($B1650)&lt;1)*Periods</formula>
    </cfRule>
  </conditionalFormatting>
  <conditionalFormatting sqref="B1703:B1751">
    <cfRule type="expression" dxfId="2055" priority="2501">
      <formula>(VALUE($B1703)&lt;1)*Periods</formula>
    </cfRule>
  </conditionalFormatting>
  <conditionalFormatting sqref="B1756:B1804">
    <cfRule type="expression" dxfId="2054" priority="2500">
      <formula>(VALUE($B1756)&lt;1)*Periods</formula>
    </cfRule>
  </conditionalFormatting>
  <conditionalFormatting sqref="B1809:B1857 B1862:B1910">
    <cfRule type="expression" dxfId="2053" priority="2499">
      <formula>(VALUE($B1809)&lt;1)*Periods</formula>
    </cfRule>
  </conditionalFormatting>
  <conditionalFormatting sqref="B1915:B1963">
    <cfRule type="expression" dxfId="2052" priority="2498">
      <formula>(VALUE($B1915)&lt;1)*Periods</formula>
    </cfRule>
  </conditionalFormatting>
  <conditionalFormatting sqref="B1968:B2016">
    <cfRule type="expression" dxfId="2051" priority="2497">
      <formula>(VALUE($B1968)&lt;1)*Periods</formula>
    </cfRule>
  </conditionalFormatting>
  <conditionalFormatting sqref="B2021:B2069">
    <cfRule type="expression" dxfId="2050" priority="2496">
      <formula>(VALUE($B2021)&lt;1)*Periods</formula>
    </cfRule>
  </conditionalFormatting>
  <conditionalFormatting sqref="B2074:B2122">
    <cfRule type="expression" dxfId="2049" priority="2495">
      <formula>(VALUE($B2074)&lt;1)*Periods</formula>
    </cfRule>
  </conditionalFormatting>
  <conditionalFormatting sqref="B2127:B2175 B2180:B2228">
    <cfRule type="expression" dxfId="2048" priority="2494">
      <formula>(VALUE($B2127)&lt;1)*Periods</formula>
    </cfRule>
  </conditionalFormatting>
  <conditionalFormatting sqref="B2233:B2281">
    <cfRule type="expression" dxfId="2047" priority="2493">
      <formula>(VALUE($B2233)&lt;1)*Periods</formula>
    </cfRule>
  </conditionalFormatting>
  <conditionalFormatting sqref="B2286:B2334">
    <cfRule type="expression" dxfId="2046" priority="2492">
      <formula>(VALUE($B2286)&lt;1)*Periods</formula>
    </cfRule>
  </conditionalFormatting>
  <conditionalFormatting sqref="B2339:B2387">
    <cfRule type="expression" dxfId="2045" priority="2491">
      <formula>(VALUE($B2339)&lt;1)*Periods</formula>
    </cfRule>
  </conditionalFormatting>
  <conditionalFormatting sqref="B2392:B2440">
    <cfRule type="expression" dxfId="2044" priority="2490">
      <formula>(VALUE($B2392)&lt;1)*Periods</formula>
    </cfRule>
  </conditionalFormatting>
  <conditionalFormatting sqref="B2445:B2493 B2498:B2546">
    <cfRule type="expression" dxfId="2043" priority="2489">
      <formula>(VALUE($B2445)&lt;1)*Periods</formula>
    </cfRule>
  </conditionalFormatting>
  <conditionalFormatting sqref="B2551:B2599">
    <cfRule type="expression" dxfId="2042" priority="2488">
      <formula>(VALUE($B2551)&lt;1)*Periods</formula>
    </cfRule>
  </conditionalFormatting>
  <conditionalFormatting sqref="B2604:B2652">
    <cfRule type="expression" dxfId="2041" priority="2487">
      <formula>(VALUE($B2604)&lt;1)*Periods</formula>
    </cfRule>
  </conditionalFormatting>
  <conditionalFormatting sqref="B2657:B2705">
    <cfRule type="expression" dxfId="2040" priority="2486">
      <formula>(VALUE($B2657)&lt;1)*Periods</formula>
    </cfRule>
  </conditionalFormatting>
  <conditionalFormatting sqref="B2710:B2758">
    <cfRule type="expression" dxfId="2039" priority="2485">
      <formula>(VALUE($B2710)&lt;1)*Periods</formula>
    </cfRule>
  </conditionalFormatting>
  <conditionalFormatting sqref="D2155">
    <cfRule type="expression" dxfId="2038" priority="2484">
      <formula>LEN(D2155)&gt;0</formula>
    </cfRule>
  </conditionalFormatting>
  <conditionalFormatting sqref="F2155">
    <cfRule type="expression" dxfId="2037" priority="2483">
      <formula>LEN(F2155)&gt;0</formula>
    </cfRule>
  </conditionalFormatting>
  <conditionalFormatting sqref="G2155">
    <cfRule type="expression" dxfId="2036" priority="2482">
      <formula>LEN(G2155)&gt;0</formula>
    </cfRule>
  </conditionalFormatting>
  <conditionalFormatting sqref="H2211:I2211">
    <cfRule type="expression" dxfId="2035" priority="2457">
      <formula>(VALUE($B2211)&lt;1)*($B2211&lt;&gt;$B$7)*LEN(H$5)*(LEN(H2211)=0)*(LEN(H2210)=0)</formula>
    </cfRule>
    <cfRule type="expression" dxfId="2034" priority="2458">
      <formula>(VALUE($B2211)&lt;1)*($B2211&lt;&gt;$B$7)*LEN(H$5)</formula>
    </cfRule>
    <cfRule type="expression" dxfId="2033" priority="2459" stopIfTrue="1">
      <formula>IsEntireDay*ShowAssignmentName</formula>
    </cfRule>
    <cfRule type="expression" dxfId="2032" priority="2460" stopIfTrue="1">
      <formula>(1=IsColor)*ShowAssignmentName</formula>
    </cfRule>
    <cfRule type="expression" dxfId="2031" priority="2461" stopIfTrue="1">
      <formula>(1=IsColor)*ShowAssignmentColor</formula>
    </cfRule>
    <cfRule type="expression" dxfId="2030" priority="2462" stopIfTrue="1">
      <formula>(2=IsColor)*ShowAssignmentName</formula>
    </cfRule>
    <cfRule type="expression" dxfId="2029" priority="2463" stopIfTrue="1">
      <formula>(2=IsColor)*ShowAssignmentColor</formula>
    </cfRule>
    <cfRule type="expression" dxfId="2028" priority="2464" stopIfTrue="1">
      <formula>(3=IsColor)*ShowAssignmentName</formula>
    </cfRule>
    <cfRule type="expression" dxfId="2027" priority="2465" stopIfTrue="1">
      <formula>(3=IsColor)*ShowAssignmentColor</formula>
    </cfRule>
    <cfRule type="expression" dxfId="2026" priority="2466" stopIfTrue="1">
      <formula>(4=IsColor)*ShowAssignmentName</formula>
    </cfRule>
    <cfRule type="expression" dxfId="2025" priority="2467" stopIfTrue="1">
      <formula>(4=IsColor)*ShowAssignmentColor</formula>
    </cfRule>
    <cfRule type="expression" dxfId="2024" priority="2468" stopIfTrue="1">
      <formula>(5=IsColor)*ShowAssignmentName</formula>
    </cfRule>
    <cfRule type="expression" dxfId="2023" priority="2469" stopIfTrue="1">
      <formula>(5=IsColor)*ShowAssignmentColor</formula>
    </cfRule>
    <cfRule type="expression" dxfId="2022" priority="2470" stopIfTrue="1">
      <formula>(6=IsColor)*ShowAssignmentName</formula>
    </cfRule>
    <cfRule type="expression" dxfId="2021" priority="2471" stopIfTrue="1">
      <formula>(6=IsColor)*ShowAssignmentColor</formula>
    </cfRule>
    <cfRule type="expression" dxfId="2020" priority="2472" stopIfTrue="1">
      <formula>(7=IsColor)*ShowAssignmentName</formula>
    </cfRule>
    <cfRule type="expression" dxfId="2019" priority="2473" stopIfTrue="1">
      <formula>(7=IsColor)*ShowAssignmentColor</formula>
    </cfRule>
    <cfRule type="expression" dxfId="2018" priority="2474" stopIfTrue="1">
      <formula>(8=IsColor)*ShowAssignmentName</formula>
    </cfRule>
    <cfRule type="expression" dxfId="2017" priority="2475" stopIfTrue="1">
      <formula>(8=IsColor)*ShowAssignmentColor</formula>
    </cfRule>
    <cfRule type="expression" dxfId="2016" priority="2476" stopIfTrue="1">
      <formula>(9=IsColor)*ShowAssignmentName</formula>
    </cfRule>
    <cfRule type="expression" dxfId="2015" priority="2477" stopIfTrue="1">
      <formula>(9=IsColor)*ShowAssignmentColor</formula>
    </cfRule>
    <cfRule type="expression" dxfId="2014" priority="2478" stopIfTrue="1">
      <formula>(10=IsColor)*ShowAssignmentName</formula>
    </cfRule>
    <cfRule type="expression" dxfId="2013" priority="2479" stopIfTrue="1">
      <formula>(10=IsColor)*ShowAssignmentColor</formula>
    </cfRule>
    <cfRule type="expression" dxfId="2012" priority="2480" stopIfTrue="1">
      <formula>(11=IsColor)*ShowAssignmentName</formula>
    </cfRule>
    <cfRule type="expression" dxfId="2011" priority="2481" stopIfTrue="1">
      <formula>(11=IsColor)*ShowAssignmentColor</formula>
    </cfRule>
  </conditionalFormatting>
  <conditionalFormatting sqref="G2367">
    <cfRule type="expression" dxfId="2010" priority="2455">
      <formula>LEN(G2367)&gt;0</formula>
    </cfRule>
  </conditionalFormatting>
  <conditionalFormatting sqref="D2472:E2472 G2472">
    <cfRule type="expression" dxfId="2009" priority="2454">
      <formula>LEN(D2472)&gt;0</formula>
    </cfRule>
  </conditionalFormatting>
  <conditionalFormatting sqref="G1678">
    <cfRule type="expression" dxfId="2008" priority="2453">
      <formula>LEN(G1678)&gt;0</formula>
    </cfRule>
  </conditionalFormatting>
  <conditionalFormatting sqref="D1731:E1731">
    <cfRule type="expression" dxfId="2007" priority="2450">
      <formula>LEN(D1731)&gt;0</formula>
    </cfRule>
  </conditionalFormatting>
  <conditionalFormatting sqref="G1731">
    <cfRule type="expression" dxfId="2006" priority="2449">
      <formula>LEN(G1731)&gt;0</formula>
    </cfRule>
  </conditionalFormatting>
  <conditionalFormatting sqref="F1731">
    <cfRule type="expression" dxfId="2005" priority="2448">
      <formula>LEN(F1731)&gt;0</formula>
    </cfRule>
  </conditionalFormatting>
  <conditionalFormatting sqref="D1837:E1837 G1837">
    <cfRule type="expression" dxfId="2004" priority="2447">
      <formula>LEN(D1837)&gt;0</formula>
    </cfRule>
  </conditionalFormatting>
  <conditionalFormatting sqref="E1943">
    <cfRule type="expression" dxfId="2003" priority="2446">
      <formula>LEN(E1943)&gt;0</formula>
    </cfRule>
  </conditionalFormatting>
  <conditionalFormatting sqref="D1943">
    <cfRule type="expression" dxfId="2002" priority="2445">
      <formula>LEN(D1943)&gt;0</formula>
    </cfRule>
  </conditionalFormatting>
  <conditionalFormatting sqref="G1943">
    <cfRule type="expression" dxfId="2001" priority="2444">
      <formula>LEN(G1943)&gt;0</formula>
    </cfRule>
  </conditionalFormatting>
  <conditionalFormatting sqref="D1996">
    <cfRule type="expression" dxfId="2000" priority="2443">
      <formula>LEN(D1996)&gt;0</formula>
    </cfRule>
  </conditionalFormatting>
  <conditionalFormatting sqref="F1996:G1996">
    <cfRule type="expression" dxfId="1999" priority="2442">
      <formula>LEN(F1996)&gt;0</formula>
    </cfRule>
  </conditionalFormatting>
  <conditionalFormatting sqref="D2237:E2242 G2237:I2243 E2243 E2244:I2258 D2243:D2258 D2259:I2260 D2261:D2262 E2262:I2262 G2261:I2261 D2263:I2281">
    <cfRule type="expression" dxfId="1998" priority="2417">
      <formula>(VALUE($B2237)&lt;1)*($B2237&lt;&gt;$B$7)*LEN(D$5)*(LEN(D2237)=0)*(LEN(D2236)=0)</formula>
    </cfRule>
    <cfRule type="expression" dxfId="1997" priority="2418">
      <formula>(VALUE($B2237)&lt;1)*($B2237&lt;&gt;$B$7)*LEN(D$5)</formula>
    </cfRule>
    <cfRule type="expression" dxfId="1996" priority="2419" stopIfTrue="1">
      <formula>IsEntireDay*ShowAssignmentName</formula>
    </cfRule>
    <cfRule type="expression" dxfId="1995" priority="2420" stopIfTrue="1">
      <formula>(1=IsColor)*ShowAssignmentName</formula>
    </cfRule>
    <cfRule type="expression" dxfId="1994" priority="2421" stopIfTrue="1">
      <formula>(1=IsColor)*ShowAssignmentColor</formula>
    </cfRule>
    <cfRule type="expression" dxfId="1993" priority="2422" stopIfTrue="1">
      <formula>(2=IsColor)*ShowAssignmentName</formula>
    </cfRule>
    <cfRule type="expression" dxfId="1992" priority="2423" stopIfTrue="1">
      <formula>(2=IsColor)*ShowAssignmentColor</formula>
    </cfRule>
    <cfRule type="expression" dxfId="1991" priority="2424" stopIfTrue="1">
      <formula>(3=IsColor)*ShowAssignmentName</formula>
    </cfRule>
    <cfRule type="expression" dxfId="1990" priority="2425" stopIfTrue="1">
      <formula>(3=IsColor)*ShowAssignmentColor</formula>
    </cfRule>
    <cfRule type="expression" dxfId="1989" priority="2426" stopIfTrue="1">
      <formula>(4=IsColor)*ShowAssignmentName</formula>
    </cfRule>
    <cfRule type="expression" dxfId="1988" priority="2427" stopIfTrue="1">
      <formula>(4=IsColor)*ShowAssignmentColor</formula>
    </cfRule>
    <cfRule type="expression" dxfId="1987" priority="2428" stopIfTrue="1">
      <formula>(5=IsColor)*ShowAssignmentName</formula>
    </cfRule>
    <cfRule type="expression" dxfId="1986" priority="2429" stopIfTrue="1">
      <formula>(5=IsColor)*ShowAssignmentColor</formula>
    </cfRule>
    <cfRule type="expression" dxfId="1985" priority="2430" stopIfTrue="1">
      <formula>(6=IsColor)*ShowAssignmentName</formula>
    </cfRule>
    <cfRule type="expression" dxfId="1984" priority="2431" stopIfTrue="1">
      <formula>(6=IsColor)*ShowAssignmentColor</formula>
    </cfRule>
    <cfRule type="expression" dxfId="1983" priority="2432" stopIfTrue="1">
      <formula>(7=IsColor)*ShowAssignmentName</formula>
    </cfRule>
    <cfRule type="expression" dxfId="1982" priority="2433" stopIfTrue="1">
      <formula>(7=IsColor)*ShowAssignmentColor</formula>
    </cfRule>
    <cfRule type="expression" dxfId="1981" priority="2434" stopIfTrue="1">
      <formula>(8=IsColor)*ShowAssignmentName</formula>
    </cfRule>
    <cfRule type="expression" dxfId="1980" priority="2435" stopIfTrue="1">
      <formula>(8=IsColor)*ShowAssignmentColor</formula>
    </cfRule>
    <cfRule type="expression" dxfId="1979" priority="2436" stopIfTrue="1">
      <formula>(9=IsColor)*ShowAssignmentName</formula>
    </cfRule>
    <cfRule type="expression" dxfId="1978" priority="2437" stopIfTrue="1">
      <formula>(9=IsColor)*ShowAssignmentColor</formula>
    </cfRule>
    <cfRule type="expression" dxfId="1977" priority="2438" stopIfTrue="1">
      <formula>(10=IsColor)*ShowAssignmentName</formula>
    </cfRule>
    <cfRule type="expression" dxfId="1976" priority="2439" stopIfTrue="1">
      <formula>(10=IsColor)*ShowAssignmentColor</formula>
    </cfRule>
    <cfRule type="expression" dxfId="1975" priority="2440" stopIfTrue="1">
      <formula>(11=IsColor)*ShowAssignmentName</formula>
    </cfRule>
    <cfRule type="expression" dxfId="1974" priority="2441" stopIfTrue="1">
      <formula>(11=IsColor)*ShowAssignmentColor</formula>
    </cfRule>
  </conditionalFormatting>
  <conditionalFormatting sqref="E2261:F2261">
    <cfRule type="expression" dxfId="1973" priority="2416">
      <formula>LEN(E2261)&gt;0</formula>
    </cfRule>
  </conditionalFormatting>
  <conditionalFormatting sqref="F2314">
    <cfRule type="expression" dxfId="1972" priority="2415">
      <formula>LEN(F2314)&gt;0</formula>
    </cfRule>
  </conditionalFormatting>
  <conditionalFormatting sqref="G2314">
    <cfRule type="expression" dxfId="1971" priority="2414">
      <formula>LEN(G2314)&gt;0</formula>
    </cfRule>
  </conditionalFormatting>
  <conditionalFormatting sqref="D2400:E2435">
    <cfRule type="expression" dxfId="1970" priority="2389">
      <formula>(VALUE($B2400)&lt;1)*($B2400&lt;&gt;$B$7)*LEN(D$5)*(LEN(D2400)=0)*(LEN(D2399)=0)</formula>
    </cfRule>
    <cfRule type="expression" dxfId="1969" priority="2390">
      <formula>(VALUE($B2400)&lt;1)*($B2400&lt;&gt;$B$7)*LEN(D$5)</formula>
    </cfRule>
    <cfRule type="expression" dxfId="1968" priority="2391" stopIfTrue="1">
      <formula>IsEntireDay*ShowAssignmentName</formula>
    </cfRule>
    <cfRule type="expression" dxfId="1967" priority="2392" stopIfTrue="1">
      <formula>(1=IsColor)*ShowAssignmentName</formula>
    </cfRule>
    <cfRule type="expression" dxfId="1966" priority="2393" stopIfTrue="1">
      <formula>(1=IsColor)*ShowAssignmentColor</formula>
    </cfRule>
    <cfRule type="expression" dxfId="1965" priority="2394" stopIfTrue="1">
      <formula>(2=IsColor)*ShowAssignmentName</formula>
    </cfRule>
    <cfRule type="expression" dxfId="1964" priority="2395" stopIfTrue="1">
      <formula>(2=IsColor)*ShowAssignmentColor</formula>
    </cfRule>
    <cfRule type="expression" dxfId="1963" priority="2396" stopIfTrue="1">
      <formula>(3=IsColor)*ShowAssignmentName</formula>
    </cfRule>
    <cfRule type="expression" dxfId="1962" priority="2397" stopIfTrue="1">
      <formula>(3=IsColor)*ShowAssignmentColor</formula>
    </cfRule>
    <cfRule type="expression" dxfId="1961" priority="2398" stopIfTrue="1">
      <formula>(4=IsColor)*ShowAssignmentName</formula>
    </cfRule>
    <cfRule type="expression" dxfId="1960" priority="2399" stopIfTrue="1">
      <formula>(4=IsColor)*ShowAssignmentColor</formula>
    </cfRule>
    <cfRule type="expression" dxfId="1959" priority="2400" stopIfTrue="1">
      <formula>(5=IsColor)*ShowAssignmentName</formula>
    </cfRule>
    <cfRule type="expression" dxfId="1958" priority="2401" stopIfTrue="1">
      <formula>(5=IsColor)*ShowAssignmentColor</formula>
    </cfRule>
    <cfRule type="expression" dxfId="1957" priority="2402" stopIfTrue="1">
      <formula>(6=IsColor)*ShowAssignmentName</formula>
    </cfRule>
    <cfRule type="expression" dxfId="1956" priority="2403" stopIfTrue="1">
      <formula>(6=IsColor)*ShowAssignmentColor</formula>
    </cfRule>
    <cfRule type="expression" dxfId="1955" priority="2404" stopIfTrue="1">
      <formula>(7=IsColor)*ShowAssignmentName</formula>
    </cfRule>
    <cfRule type="expression" dxfId="1954" priority="2405" stopIfTrue="1">
      <formula>(7=IsColor)*ShowAssignmentColor</formula>
    </cfRule>
    <cfRule type="expression" dxfId="1953" priority="2406" stopIfTrue="1">
      <formula>(8=IsColor)*ShowAssignmentName</formula>
    </cfRule>
    <cfRule type="expression" dxfId="1952" priority="2407" stopIfTrue="1">
      <formula>(8=IsColor)*ShowAssignmentColor</formula>
    </cfRule>
    <cfRule type="expression" dxfId="1951" priority="2408" stopIfTrue="1">
      <formula>(9=IsColor)*ShowAssignmentName</formula>
    </cfRule>
    <cfRule type="expression" dxfId="1950" priority="2409" stopIfTrue="1">
      <formula>(9=IsColor)*ShowAssignmentColor</formula>
    </cfRule>
    <cfRule type="expression" dxfId="1949" priority="2410" stopIfTrue="1">
      <formula>(10=IsColor)*ShowAssignmentName</formula>
    </cfRule>
    <cfRule type="expression" dxfId="1948" priority="2411" stopIfTrue="1">
      <formula>(10=IsColor)*ShowAssignmentColor</formula>
    </cfRule>
    <cfRule type="expression" dxfId="1947" priority="2412" stopIfTrue="1">
      <formula>(11=IsColor)*ShowAssignmentName</formula>
    </cfRule>
    <cfRule type="expression" dxfId="1946" priority="2413" stopIfTrue="1">
      <formula>(11=IsColor)*ShowAssignmentColor</formula>
    </cfRule>
  </conditionalFormatting>
  <conditionalFormatting sqref="F2472">
    <cfRule type="expression" dxfId="1945" priority="2388">
      <formula>LEN(F2472)&gt;0</formula>
    </cfRule>
  </conditionalFormatting>
  <conditionalFormatting sqref="D2579">
    <cfRule type="expression" dxfId="1944" priority="2386">
      <formula>LEN(D2579)&gt;0</formula>
    </cfRule>
  </conditionalFormatting>
  <conditionalFormatting sqref="G2579">
    <cfRule type="expression" dxfId="1943" priority="2385">
      <formula>LEN(G2579)&gt;0</formula>
    </cfRule>
  </conditionalFormatting>
  <conditionalFormatting sqref="D2632">
    <cfRule type="expression" dxfId="1942" priority="2384">
      <formula>LEN(D2632)&gt;0</formula>
    </cfRule>
  </conditionalFormatting>
  <conditionalFormatting sqref="F2632:G2632">
    <cfRule type="expression" dxfId="1941" priority="2383">
      <formula>LEN(F2632)&gt;0</formula>
    </cfRule>
  </conditionalFormatting>
  <conditionalFormatting sqref="F2685:G2685">
    <cfRule type="expression" dxfId="1940" priority="2382">
      <formula>LEN(F2685)&gt;0</formula>
    </cfRule>
  </conditionalFormatting>
  <conditionalFormatting sqref="B2763:B2811 B2816:B2864 E2763 E2816">
    <cfRule type="expression" dxfId="1939" priority="2381">
      <formula>(VALUE($B2763)&lt;1)*Periods</formula>
    </cfRule>
  </conditionalFormatting>
  <conditionalFormatting sqref="D2761:I2761 D2814:I2814">
    <cfRule type="expression" dxfId="1938" priority="2380">
      <formula>LEN(D2761)&gt;0</formula>
    </cfRule>
  </conditionalFormatting>
  <conditionalFormatting sqref="D2791:I2791">
    <cfRule type="expression" dxfId="1937" priority="2379">
      <formula>LEN(D2791)&gt;0</formula>
    </cfRule>
  </conditionalFormatting>
  <conditionalFormatting sqref="D2844">
    <cfRule type="expression" dxfId="1936" priority="2377">
      <formula>LEN(D2844)&gt;0</formula>
    </cfRule>
  </conditionalFormatting>
  <conditionalFormatting sqref="E2869">
    <cfRule type="expression" dxfId="1935" priority="2373">
      <formula>(VALUE($B2869)&lt;1)*Periods</formula>
    </cfRule>
  </conditionalFormatting>
  <conditionalFormatting sqref="D2867:I2867">
    <cfRule type="expression" dxfId="1934" priority="2372">
      <formula>LEN(D2867)&gt;0</formula>
    </cfRule>
  </conditionalFormatting>
  <conditionalFormatting sqref="D2874:F2874 D2871:E2873 F2869:F2873 G2869:I2874 E2870 D2869:D2870 D2980:F2980 D3033:F3033 D2977:E2979 D3030:E3032 F2975:F2979 F3028:F3032 G2975:I2980 G3028:I3033 E2923 E2976 E3029 D2922:D2923 D2975:D2976 D3028:D3029 D2924:E2927 F2922:I2927 D3056:E3056 H3056:I3056 D2875:I2896 D2898:I2917 E2897:F2897 H2897:I2897 D3057:I3076 D2928:I2970 D2981:I3023 D3034:I3055">
    <cfRule type="expression" dxfId="1933" priority="2347">
      <formula>(VALUE($B2869)&lt;1)*($B2869&lt;&gt;$B$7)*LEN(D$5)*(LEN(D2869)=0)*(LEN(D2868)=0)</formula>
    </cfRule>
    <cfRule type="expression" dxfId="1932" priority="2348">
      <formula>(VALUE($B2869)&lt;1)*($B2869&lt;&gt;$B$7)*LEN(D$5)</formula>
    </cfRule>
    <cfRule type="expression" dxfId="1931" priority="2349" stopIfTrue="1">
      <formula>IsEntireDay*ShowAssignmentName</formula>
    </cfRule>
    <cfRule type="expression" dxfId="1930" priority="2350" stopIfTrue="1">
      <formula>(1=IsColor)*ShowAssignmentName</formula>
    </cfRule>
    <cfRule type="expression" dxfId="1929" priority="2351" stopIfTrue="1">
      <formula>(1=IsColor)*ShowAssignmentColor</formula>
    </cfRule>
    <cfRule type="expression" dxfId="1928" priority="2352" stopIfTrue="1">
      <formula>(2=IsColor)*ShowAssignmentName</formula>
    </cfRule>
    <cfRule type="expression" dxfId="1927" priority="2353" stopIfTrue="1">
      <formula>(2=IsColor)*ShowAssignmentColor</formula>
    </cfRule>
    <cfRule type="expression" dxfId="1926" priority="2354" stopIfTrue="1">
      <formula>(3=IsColor)*ShowAssignmentName</formula>
    </cfRule>
    <cfRule type="expression" dxfId="1925" priority="2355" stopIfTrue="1">
      <formula>(3=IsColor)*ShowAssignmentColor</formula>
    </cfRule>
    <cfRule type="expression" dxfId="1924" priority="2356" stopIfTrue="1">
      <formula>(4=IsColor)*ShowAssignmentName</formula>
    </cfRule>
    <cfRule type="expression" dxfId="1923" priority="2357" stopIfTrue="1">
      <formula>(4=IsColor)*ShowAssignmentColor</formula>
    </cfRule>
    <cfRule type="expression" dxfId="1922" priority="2358" stopIfTrue="1">
      <formula>(5=IsColor)*ShowAssignmentName</formula>
    </cfRule>
    <cfRule type="expression" dxfId="1921" priority="2359" stopIfTrue="1">
      <formula>(5=IsColor)*ShowAssignmentColor</formula>
    </cfRule>
    <cfRule type="expression" dxfId="1920" priority="2360" stopIfTrue="1">
      <formula>(6=IsColor)*ShowAssignmentName</formula>
    </cfRule>
    <cfRule type="expression" dxfId="1919" priority="2361" stopIfTrue="1">
      <formula>(6=IsColor)*ShowAssignmentColor</formula>
    </cfRule>
    <cfRule type="expression" dxfId="1918" priority="2362" stopIfTrue="1">
      <formula>(7=IsColor)*ShowAssignmentName</formula>
    </cfRule>
    <cfRule type="expression" dxfId="1917" priority="2363" stopIfTrue="1">
      <formula>(7=IsColor)*ShowAssignmentColor</formula>
    </cfRule>
    <cfRule type="expression" dxfId="1916" priority="2364" stopIfTrue="1">
      <formula>(8=IsColor)*ShowAssignmentName</formula>
    </cfRule>
    <cfRule type="expression" dxfId="1915" priority="2365" stopIfTrue="1">
      <formula>(8=IsColor)*ShowAssignmentColor</formula>
    </cfRule>
    <cfRule type="expression" dxfId="1914" priority="2366" stopIfTrue="1">
      <formula>(9=IsColor)*ShowAssignmentName</formula>
    </cfRule>
    <cfRule type="expression" dxfId="1913" priority="2367" stopIfTrue="1">
      <formula>(9=IsColor)*ShowAssignmentColor</formula>
    </cfRule>
    <cfRule type="expression" dxfId="1912" priority="2368" stopIfTrue="1">
      <formula>(10=IsColor)*ShowAssignmentName</formula>
    </cfRule>
    <cfRule type="expression" dxfId="1911" priority="2369" stopIfTrue="1">
      <formula>(10=IsColor)*ShowAssignmentColor</formula>
    </cfRule>
    <cfRule type="expression" dxfId="1910" priority="2370" stopIfTrue="1">
      <formula>(11=IsColor)*ShowAssignmentName</formula>
    </cfRule>
    <cfRule type="expression" dxfId="1909" priority="2371" stopIfTrue="1">
      <formula>(11=IsColor)*ShowAssignmentColor</formula>
    </cfRule>
  </conditionalFormatting>
  <conditionalFormatting sqref="E2922 E2975 E3028">
    <cfRule type="expression" dxfId="1908" priority="2346">
      <formula>(VALUE($B2922)&lt;1)*Periods</formula>
    </cfRule>
  </conditionalFormatting>
  <conditionalFormatting sqref="D2920:I2920 D2973:I2973 D3026:I3026">
    <cfRule type="expression" dxfId="1907" priority="2345">
      <formula>LEN(D2920)&gt;0</formula>
    </cfRule>
  </conditionalFormatting>
  <conditionalFormatting sqref="F3056:G3056">
    <cfRule type="expression" dxfId="1906" priority="2344">
      <formula>LEN(F3056)&gt;0</formula>
    </cfRule>
  </conditionalFormatting>
  <conditionalFormatting sqref="B2869:B2917">
    <cfRule type="expression" dxfId="1905" priority="2343">
      <formula>(VALUE($B2869)&lt;1)*Periods</formula>
    </cfRule>
  </conditionalFormatting>
  <conditionalFormatting sqref="B2922:B2970">
    <cfRule type="expression" dxfId="1904" priority="2342">
      <formula>(VALUE($B2922)&lt;1)*Periods</formula>
    </cfRule>
  </conditionalFormatting>
  <conditionalFormatting sqref="B2975:B3023">
    <cfRule type="expression" dxfId="1903" priority="2341">
      <formula>(VALUE($B2975)&lt;1)*Periods</formula>
    </cfRule>
  </conditionalFormatting>
  <conditionalFormatting sqref="B3028:B3076">
    <cfRule type="expression" dxfId="1902" priority="2340">
      <formula>(VALUE($B3028)&lt;1)*Periods</formula>
    </cfRule>
  </conditionalFormatting>
  <conditionalFormatting sqref="G2897">
    <cfRule type="expression" dxfId="1901" priority="2339">
      <formula>LEN(G2897)&gt;0</formula>
    </cfRule>
  </conditionalFormatting>
  <conditionalFormatting sqref="D2897">
    <cfRule type="expression" dxfId="1900" priority="2338">
      <formula>LEN(D2897)&gt;0</formula>
    </cfRule>
  </conditionalFormatting>
  <conditionalFormatting sqref="D3139:F3139 D3136:E3138 F3134:F3138 G3134:I3139 E3082 E3135 D3081:D3082 D3134:D3135 H3109:I3109 D3083:E3089 D3090:I3108 F3081:I3089 D3110:I3129 D3140:I3182">
    <cfRule type="expression" dxfId="1899" priority="2313">
      <formula>(VALUE($B3081)&lt;1)*($B3081&lt;&gt;$B$7)*LEN(D$5)*(LEN(D3081)=0)*(LEN(D3080)=0)</formula>
    </cfRule>
    <cfRule type="expression" dxfId="1898" priority="2314">
      <formula>(VALUE($B3081)&lt;1)*($B3081&lt;&gt;$B$7)*LEN(D$5)</formula>
    </cfRule>
    <cfRule type="expression" dxfId="1897" priority="2315" stopIfTrue="1">
      <formula>IsEntireDay*ShowAssignmentName</formula>
    </cfRule>
    <cfRule type="expression" dxfId="1896" priority="2316" stopIfTrue="1">
      <formula>(1=IsColor)*ShowAssignmentName</formula>
    </cfRule>
    <cfRule type="expression" dxfId="1895" priority="2317" stopIfTrue="1">
      <formula>(1=IsColor)*ShowAssignmentColor</formula>
    </cfRule>
    <cfRule type="expression" dxfId="1894" priority="2318" stopIfTrue="1">
      <formula>(2=IsColor)*ShowAssignmentName</formula>
    </cfRule>
    <cfRule type="expression" dxfId="1893" priority="2319" stopIfTrue="1">
      <formula>(2=IsColor)*ShowAssignmentColor</formula>
    </cfRule>
    <cfRule type="expression" dxfId="1892" priority="2320" stopIfTrue="1">
      <formula>(3=IsColor)*ShowAssignmentName</formula>
    </cfRule>
    <cfRule type="expression" dxfId="1891" priority="2321" stopIfTrue="1">
      <formula>(3=IsColor)*ShowAssignmentColor</formula>
    </cfRule>
    <cfRule type="expression" dxfId="1890" priority="2322" stopIfTrue="1">
      <formula>(4=IsColor)*ShowAssignmentName</formula>
    </cfRule>
    <cfRule type="expression" dxfId="1889" priority="2323" stopIfTrue="1">
      <formula>(4=IsColor)*ShowAssignmentColor</formula>
    </cfRule>
    <cfRule type="expression" dxfId="1888" priority="2324" stopIfTrue="1">
      <formula>(5=IsColor)*ShowAssignmentName</formula>
    </cfRule>
    <cfRule type="expression" dxfId="1887" priority="2325" stopIfTrue="1">
      <formula>(5=IsColor)*ShowAssignmentColor</formula>
    </cfRule>
    <cfRule type="expression" dxfId="1886" priority="2326" stopIfTrue="1">
      <formula>(6=IsColor)*ShowAssignmentName</formula>
    </cfRule>
    <cfRule type="expression" dxfId="1885" priority="2327" stopIfTrue="1">
      <formula>(6=IsColor)*ShowAssignmentColor</formula>
    </cfRule>
    <cfRule type="expression" dxfId="1884" priority="2328" stopIfTrue="1">
      <formula>(7=IsColor)*ShowAssignmentName</formula>
    </cfRule>
    <cfRule type="expression" dxfId="1883" priority="2329" stopIfTrue="1">
      <formula>(7=IsColor)*ShowAssignmentColor</formula>
    </cfRule>
    <cfRule type="expression" dxfId="1882" priority="2330" stopIfTrue="1">
      <formula>(8=IsColor)*ShowAssignmentName</formula>
    </cfRule>
    <cfRule type="expression" dxfId="1881" priority="2331" stopIfTrue="1">
      <formula>(8=IsColor)*ShowAssignmentColor</formula>
    </cfRule>
    <cfRule type="expression" dxfId="1880" priority="2332" stopIfTrue="1">
      <formula>(9=IsColor)*ShowAssignmentName</formula>
    </cfRule>
    <cfRule type="expression" dxfId="1879" priority="2333" stopIfTrue="1">
      <formula>(9=IsColor)*ShowAssignmentColor</formula>
    </cfRule>
    <cfRule type="expression" dxfId="1878" priority="2334" stopIfTrue="1">
      <formula>(10=IsColor)*ShowAssignmentName</formula>
    </cfRule>
    <cfRule type="expression" dxfId="1877" priority="2335" stopIfTrue="1">
      <formula>(10=IsColor)*ShowAssignmentColor</formula>
    </cfRule>
    <cfRule type="expression" dxfId="1876" priority="2336" stopIfTrue="1">
      <formula>(11=IsColor)*ShowAssignmentName</formula>
    </cfRule>
    <cfRule type="expression" dxfId="1875" priority="2337" stopIfTrue="1">
      <formula>(11=IsColor)*ShowAssignmentColor</formula>
    </cfRule>
  </conditionalFormatting>
  <conditionalFormatting sqref="E3081 E3134">
    <cfRule type="expression" dxfId="1874" priority="2312">
      <formula>(VALUE($B3081)&lt;1)*Periods</formula>
    </cfRule>
  </conditionalFormatting>
  <conditionalFormatting sqref="D3079:I3079 D3132:I3132">
    <cfRule type="expression" dxfId="1873" priority="2311">
      <formula>LEN(D3079)&gt;0</formula>
    </cfRule>
  </conditionalFormatting>
  <conditionalFormatting sqref="E3187">
    <cfRule type="expression" dxfId="1872" priority="2310">
      <formula>(VALUE($B3187)&lt;1)*Periods</formula>
    </cfRule>
  </conditionalFormatting>
  <conditionalFormatting sqref="D3185:I3185">
    <cfRule type="expression" dxfId="1871" priority="2309">
      <formula>LEN(D3185)&gt;0</formula>
    </cfRule>
  </conditionalFormatting>
  <conditionalFormatting sqref="D3189:E3192 E3188 D3187:D3188 D3298:F3298 D3351:F3351 D3295:E3297 D3348:E3350 F3293:F3297 F3346:F3350 G3293:I3298 G3346:I3351 E3294 E3347 D3240:D3241 D3293:D3294 D3346:D3347 H3374:I3374 D3352:I3356 D3385:I3394 G3375:I3384 G3357:I3373 D3357:F3384 F3215 H3215:I3215 F3240:I3240 E3268 H3268:I3268 E3241:I3241 F3187:I3192 D3216:I3235 D3193:I3214 D3269:I3288 D3242:I3267 E3321 D3322:I3341 D3299:I3316 D3317:E3320 F3317:I3321">
    <cfRule type="expression" dxfId="1870" priority="2284">
      <formula>(VALUE($B3187)&lt;1)*($B3187&lt;&gt;$B$7)*LEN(D$5)*(LEN(D3187)=0)*(LEN(D3186)=0)</formula>
    </cfRule>
    <cfRule type="expression" dxfId="1869" priority="2285">
      <formula>(VALUE($B3187)&lt;1)*($B3187&lt;&gt;$B$7)*LEN(D$5)</formula>
    </cfRule>
    <cfRule type="expression" dxfId="1868" priority="2286" stopIfTrue="1">
      <formula>IsEntireDay*ShowAssignmentName</formula>
    </cfRule>
    <cfRule type="expression" dxfId="1867" priority="2287" stopIfTrue="1">
      <formula>(1=IsColor)*ShowAssignmentName</formula>
    </cfRule>
    <cfRule type="expression" dxfId="1866" priority="2288" stopIfTrue="1">
      <formula>(1=IsColor)*ShowAssignmentColor</formula>
    </cfRule>
    <cfRule type="expression" dxfId="1865" priority="2289" stopIfTrue="1">
      <formula>(2=IsColor)*ShowAssignmentName</formula>
    </cfRule>
    <cfRule type="expression" dxfId="1864" priority="2290" stopIfTrue="1">
      <formula>(2=IsColor)*ShowAssignmentColor</formula>
    </cfRule>
    <cfRule type="expression" dxfId="1863" priority="2291" stopIfTrue="1">
      <formula>(3=IsColor)*ShowAssignmentName</formula>
    </cfRule>
    <cfRule type="expression" dxfId="1862" priority="2292" stopIfTrue="1">
      <formula>(3=IsColor)*ShowAssignmentColor</formula>
    </cfRule>
    <cfRule type="expression" dxfId="1861" priority="2293" stopIfTrue="1">
      <formula>(4=IsColor)*ShowAssignmentName</formula>
    </cfRule>
    <cfRule type="expression" dxfId="1860" priority="2294" stopIfTrue="1">
      <formula>(4=IsColor)*ShowAssignmentColor</formula>
    </cfRule>
    <cfRule type="expression" dxfId="1859" priority="2295" stopIfTrue="1">
      <formula>(5=IsColor)*ShowAssignmentName</formula>
    </cfRule>
    <cfRule type="expression" dxfId="1858" priority="2296" stopIfTrue="1">
      <formula>(5=IsColor)*ShowAssignmentColor</formula>
    </cfRule>
    <cfRule type="expression" dxfId="1857" priority="2297" stopIfTrue="1">
      <formula>(6=IsColor)*ShowAssignmentName</formula>
    </cfRule>
    <cfRule type="expression" dxfId="1856" priority="2298" stopIfTrue="1">
      <formula>(6=IsColor)*ShowAssignmentColor</formula>
    </cfRule>
    <cfRule type="expression" dxfId="1855" priority="2299" stopIfTrue="1">
      <formula>(7=IsColor)*ShowAssignmentName</formula>
    </cfRule>
    <cfRule type="expression" dxfId="1854" priority="2300" stopIfTrue="1">
      <formula>(7=IsColor)*ShowAssignmentColor</formula>
    </cfRule>
    <cfRule type="expression" dxfId="1853" priority="2301" stopIfTrue="1">
      <formula>(8=IsColor)*ShowAssignmentName</formula>
    </cfRule>
    <cfRule type="expression" dxfId="1852" priority="2302" stopIfTrue="1">
      <formula>(8=IsColor)*ShowAssignmentColor</formula>
    </cfRule>
    <cfRule type="expression" dxfId="1851" priority="2303" stopIfTrue="1">
      <formula>(9=IsColor)*ShowAssignmentName</formula>
    </cfRule>
    <cfRule type="expression" dxfId="1850" priority="2304" stopIfTrue="1">
      <formula>(9=IsColor)*ShowAssignmentColor</formula>
    </cfRule>
    <cfRule type="expression" dxfId="1849" priority="2305" stopIfTrue="1">
      <formula>(10=IsColor)*ShowAssignmentName</formula>
    </cfRule>
    <cfRule type="expression" dxfId="1848" priority="2306" stopIfTrue="1">
      <formula>(10=IsColor)*ShowAssignmentColor</formula>
    </cfRule>
    <cfRule type="expression" dxfId="1847" priority="2307" stopIfTrue="1">
      <formula>(11=IsColor)*ShowAssignmentName</formula>
    </cfRule>
    <cfRule type="expression" dxfId="1846" priority="2308" stopIfTrue="1">
      <formula>(11=IsColor)*ShowAssignmentColor</formula>
    </cfRule>
  </conditionalFormatting>
  <conditionalFormatting sqref="E3240 E3293 E3346">
    <cfRule type="expression" dxfId="1845" priority="2283">
      <formula>(VALUE($B3240)&lt;1)*Periods</formula>
    </cfRule>
  </conditionalFormatting>
  <conditionalFormatting sqref="D3238:I3238 D3291:I3291 D3344:I3344">
    <cfRule type="expression" dxfId="1844" priority="2282">
      <formula>LEN(D3238)&gt;0</formula>
    </cfRule>
  </conditionalFormatting>
  <conditionalFormatting sqref="G3374">
    <cfRule type="expression" dxfId="1843" priority="2281">
      <formula>LEN(G3374)&gt;0</formula>
    </cfRule>
  </conditionalFormatting>
  <conditionalFormatting sqref="B3081:B3129 B3134:B3182">
    <cfRule type="expression" dxfId="1842" priority="2280">
      <formula>(VALUE($B3081)&lt;1)*Periods</formula>
    </cfRule>
  </conditionalFormatting>
  <conditionalFormatting sqref="B3187:B3235">
    <cfRule type="expression" dxfId="1841" priority="2279">
      <formula>(VALUE($B3187)&lt;1)*Periods</formula>
    </cfRule>
  </conditionalFormatting>
  <conditionalFormatting sqref="B3240:B3288">
    <cfRule type="expression" dxfId="1840" priority="2278">
      <formula>(VALUE($B3240)&lt;1)*Periods</formula>
    </cfRule>
  </conditionalFormatting>
  <conditionalFormatting sqref="B3293:B3341">
    <cfRule type="expression" dxfId="1839" priority="2277">
      <formula>(VALUE($B3293)&lt;1)*Periods</formula>
    </cfRule>
  </conditionalFormatting>
  <conditionalFormatting sqref="B3346:B3394">
    <cfRule type="expression" dxfId="1838" priority="2276">
      <formula>(VALUE($B3346)&lt;1)*Periods</formula>
    </cfRule>
  </conditionalFormatting>
  <conditionalFormatting sqref="D3109:G3109">
    <cfRule type="expression" dxfId="1837" priority="2275">
      <formula>LEN(D3109)&gt;0</formula>
    </cfRule>
  </conditionalFormatting>
  <conditionalFormatting sqref="E3215">
    <cfRule type="expression" dxfId="1836" priority="2274">
      <formula>LEN(E3215)&gt;0</formula>
    </cfRule>
  </conditionalFormatting>
  <conditionalFormatting sqref="D3215">
    <cfRule type="expression" dxfId="1835" priority="2273">
      <formula>LEN(D3215)&gt;0</formula>
    </cfRule>
  </conditionalFormatting>
  <conditionalFormatting sqref="G3215">
    <cfRule type="expression" dxfId="1834" priority="2272">
      <formula>LEN(G3215)&gt;0</formula>
    </cfRule>
  </conditionalFormatting>
  <conditionalFormatting sqref="D3268">
    <cfRule type="expression" dxfId="1833" priority="2271">
      <formula>LEN(D3268)&gt;0</formula>
    </cfRule>
  </conditionalFormatting>
  <conditionalFormatting sqref="F3268:G3268">
    <cfRule type="expression" dxfId="1832" priority="2270">
      <formula>LEN(F3268)&gt;0</formula>
    </cfRule>
  </conditionalFormatting>
  <conditionalFormatting sqref="D3321">
    <cfRule type="expression" dxfId="1831" priority="2269">
      <formula>LEN(D3321)&gt;0</formula>
    </cfRule>
  </conditionalFormatting>
  <conditionalFormatting sqref="E3457:F3457 D3454:E3454 F3452:F3456 G3452:I3457 E3400 E3453 D3399:D3400 D3452:D3453 H3427:I3427 D3401:E3407 F3399:I3407 D3424:E3426 G3424:I3426 F3424:F3427 D3428:I3447 D3408:I3423 E3458:I3459 E3455:E3456 D3455:D3459 D3460:I3500">
    <cfRule type="expression" dxfId="1830" priority="2243">
      <formula>(VALUE($B3399)&lt;1)*($B3399&lt;&gt;$B$7)*LEN(D$5)*(LEN(D3399)=0)*(LEN(D3398)=0)</formula>
    </cfRule>
    <cfRule type="expression" dxfId="1829" priority="2244">
      <formula>(VALUE($B3399)&lt;1)*($B3399&lt;&gt;$B$7)*LEN(D$5)</formula>
    </cfRule>
    <cfRule type="expression" dxfId="1828" priority="2245" stopIfTrue="1">
      <formula>IsEntireDay*ShowAssignmentName</formula>
    </cfRule>
    <cfRule type="expression" dxfId="1827" priority="2246" stopIfTrue="1">
      <formula>(1=IsColor)*ShowAssignmentName</formula>
    </cfRule>
    <cfRule type="expression" dxfId="1826" priority="2247" stopIfTrue="1">
      <formula>(1=IsColor)*ShowAssignmentColor</formula>
    </cfRule>
    <cfRule type="expression" dxfId="1825" priority="2248" stopIfTrue="1">
      <formula>(2=IsColor)*ShowAssignmentName</formula>
    </cfRule>
    <cfRule type="expression" dxfId="1824" priority="2249" stopIfTrue="1">
      <formula>(2=IsColor)*ShowAssignmentColor</formula>
    </cfRule>
    <cfRule type="expression" dxfId="1823" priority="2250" stopIfTrue="1">
      <formula>(3=IsColor)*ShowAssignmentName</formula>
    </cfRule>
    <cfRule type="expression" dxfId="1822" priority="2251" stopIfTrue="1">
      <formula>(3=IsColor)*ShowAssignmentColor</formula>
    </cfRule>
    <cfRule type="expression" dxfId="1821" priority="2252" stopIfTrue="1">
      <formula>(4=IsColor)*ShowAssignmentName</formula>
    </cfRule>
    <cfRule type="expression" dxfId="1820" priority="2253" stopIfTrue="1">
      <formula>(4=IsColor)*ShowAssignmentColor</formula>
    </cfRule>
    <cfRule type="expression" dxfId="1819" priority="2254" stopIfTrue="1">
      <formula>(5=IsColor)*ShowAssignmentName</formula>
    </cfRule>
    <cfRule type="expression" dxfId="1818" priority="2255" stopIfTrue="1">
      <formula>(5=IsColor)*ShowAssignmentColor</formula>
    </cfRule>
    <cfRule type="expression" dxfId="1817" priority="2256" stopIfTrue="1">
      <formula>(6=IsColor)*ShowAssignmentName</formula>
    </cfRule>
    <cfRule type="expression" dxfId="1816" priority="2257" stopIfTrue="1">
      <formula>(6=IsColor)*ShowAssignmentColor</formula>
    </cfRule>
    <cfRule type="expression" dxfId="1815" priority="2258" stopIfTrue="1">
      <formula>(7=IsColor)*ShowAssignmentName</formula>
    </cfRule>
    <cfRule type="expression" dxfId="1814" priority="2259" stopIfTrue="1">
      <formula>(7=IsColor)*ShowAssignmentColor</formula>
    </cfRule>
    <cfRule type="expression" dxfId="1813" priority="2260" stopIfTrue="1">
      <formula>(8=IsColor)*ShowAssignmentName</formula>
    </cfRule>
    <cfRule type="expression" dxfId="1812" priority="2261" stopIfTrue="1">
      <formula>(8=IsColor)*ShowAssignmentColor</formula>
    </cfRule>
    <cfRule type="expression" dxfId="1811" priority="2262" stopIfTrue="1">
      <formula>(9=IsColor)*ShowAssignmentName</formula>
    </cfRule>
    <cfRule type="expression" dxfId="1810" priority="2263" stopIfTrue="1">
      <formula>(9=IsColor)*ShowAssignmentColor</formula>
    </cfRule>
    <cfRule type="expression" dxfId="1809" priority="2264" stopIfTrue="1">
      <formula>(10=IsColor)*ShowAssignmentName</formula>
    </cfRule>
    <cfRule type="expression" dxfId="1808" priority="2265" stopIfTrue="1">
      <formula>(10=IsColor)*ShowAssignmentColor</formula>
    </cfRule>
    <cfRule type="expression" dxfId="1807" priority="2266" stopIfTrue="1">
      <formula>(11=IsColor)*ShowAssignmentName</formula>
    </cfRule>
    <cfRule type="expression" dxfId="1806" priority="2267" stopIfTrue="1">
      <formula>(11=IsColor)*ShowAssignmentColor</formula>
    </cfRule>
  </conditionalFormatting>
  <conditionalFormatting sqref="E3399 E3452">
    <cfRule type="expression" dxfId="1805" priority="2242">
      <formula>(VALUE($B3399)&lt;1)*Periods</formula>
    </cfRule>
  </conditionalFormatting>
  <conditionalFormatting sqref="D3397:I3397 D3450:I3450">
    <cfRule type="expression" dxfId="1804" priority="2241">
      <formula>LEN(D3397)&gt;0</formula>
    </cfRule>
  </conditionalFormatting>
  <conditionalFormatting sqref="D3503:I3503">
    <cfRule type="expression" dxfId="1803" priority="2239">
      <formula>LEN(D3503)&gt;0</formula>
    </cfRule>
  </conditionalFormatting>
  <conditionalFormatting sqref="D3669:F3669 D3666:E3668 F3664:F3668 G3664:I3669 E3612 E3665 D3558:D3559 D3611:D3612 D3664:D3665 H3692:I3692 D3670:I3674 D3703:I3712 G3693:I3702 G3675:I3691 D3675:F3702 F3533 H3533:I3533 F3558:I3558 E3586 H3586:I3586 E3559:I3559 D3505:I3532 D3534:I3553 D3613:E3620 F3611:I3620 D3587:I3606 D3560:I3585 D3640:I3659 D3639:E3639 H3639:I3639 D3621:I3638">
    <cfRule type="expression" dxfId="1802" priority="2214">
      <formula>(VALUE($B3505)&lt;1)*($B3505&lt;&gt;$B$7)*LEN(D$5)*(LEN(D3505)=0)*(LEN(D3504)=0)</formula>
    </cfRule>
    <cfRule type="expression" dxfId="1801" priority="2215">
      <formula>(VALUE($B3505)&lt;1)*($B3505&lt;&gt;$B$7)*LEN(D$5)</formula>
    </cfRule>
    <cfRule type="expression" dxfId="1800" priority="2216" stopIfTrue="1">
      <formula>IsEntireDay*ShowAssignmentName</formula>
    </cfRule>
    <cfRule type="expression" dxfId="1799" priority="2217" stopIfTrue="1">
      <formula>(1=IsColor)*ShowAssignmentName</formula>
    </cfRule>
    <cfRule type="expression" dxfId="1798" priority="2218" stopIfTrue="1">
      <formula>(1=IsColor)*ShowAssignmentColor</formula>
    </cfRule>
    <cfRule type="expression" dxfId="1797" priority="2219" stopIfTrue="1">
      <formula>(2=IsColor)*ShowAssignmentName</formula>
    </cfRule>
    <cfRule type="expression" dxfId="1796" priority="2220" stopIfTrue="1">
      <formula>(2=IsColor)*ShowAssignmentColor</formula>
    </cfRule>
    <cfRule type="expression" dxfId="1795" priority="2221" stopIfTrue="1">
      <formula>(3=IsColor)*ShowAssignmentName</formula>
    </cfRule>
    <cfRule type="expression" dxfId="1794" priority="2222" stopIfTrue="1">
      <formula>(3=IsColor)*ShowAssignmentColor</formula>
    </cfRule>
    <cfRule type="expression" dxfId="1793" priority="2223" stopIfTrue="1">
      <formula>(4=IsColor)*ShowAssignmentName</formula>
    </cfRule>
    <cfRule type="expression" dxfId="1792" priority="2224" stopIfTrue="1">
      <formula>(4=IsColor)*ShowAssignmentColor</formula>
    </cfRule>
    <cfRule type="expression" dxfId="1791" priority="2225" stopIfTrue="1">
      <formula>(5=IsColor)*ShowAssignmentName</formula>
    </cfRule>
    <cfRule type="expression" dxfId="1790" priority="2226" stopIfTrue="1">
      <formula>(5=IsColor)*ShowAssignmentColor</formula>
    </cfRule>
    <cfRule type="expression" dxfId="1789" priority="2227" stopIfTrue="1">
      <formula>(6=IsColor)*ShowAssignmentName</formula>
    </cfRule>
    <cfRule type="expression" dxfId="1788" priority="2228" stopIfTrue="1">
      <formula>(6=IsColor)*ShowAssignmentColor</formula>
    </cfRule>
    <cfRule type="expression" dxfId="1787" priority="2229" stopIfTrue="1">
      <formula>(7=IsColor)*ShowAssignmentName</formula>
    </cfRule>
    <cfRule type="expression" dxfId="1786" priority="2230" stopIfTrue="1">
      <formula>(7=IsColor)*ShowAssignmentColor</formula>
    </cfRule>
    <cfRule type="expression" dxfId="1785" priority="2231" stopIfTrue="1">
      <formula>(8=IsColor)*ShowAssignmentName</formula>
    </cfRule>
    <cfRule type="expression" dxfId="1784" priority="2232" stopIfTrue="1">
      <formula>(8=IsColor)*ShowAssignmentColor</formula>
    </cfRule>
    <cfRule type="expression" dxfId="1783" priority="2233" stopIfTrue="1">
      <formula>(9=IsColor)*ShowAssignmentName</formula>
    </cfRule>
    <cfRule type="expression" dxfId="1782" priority="2234" stopIfTrue="1">
      <formula>(9=IsColor)*ShowAssignmentColor</formula>
    </cfRule>
    <cfRule type="expression" dxfId="1781" priority="2235" stopIfTrue="1">
      <formula>(10=IsColor)*ShowAssignmentName</formula>
    </cfRule>
    <cfRule type="expression" dxfId="1780" priority="2236" stopIfTrue="1">
      <formula>(10=IsColor)*ShowAssignmentColor</formula>
    </cfRule>
    <cfRule type="expression" dxfId="1779" priority="2237" stopIfTrue="1">
      <formula>(11=IsColor)*ShowAssignmentName</formula>
    </cfRule>
    <cfRule type="expression" dxfId="1778" priority="2238" stopIfTrue="1">
      <formula>(11=IsColor)*ShowAssignmentColor</formula>
    </cfRule>
  </conditionalFormatting>
  <conditionalFormatting sqref="E3558 E3611 E3664">
    <cfRule type="expression" dxfId="1777" priority="2213">
      <formula>(VALUE($B3558)&lt;1)*Periods</formula>
    </cfRule>
  </conditionalFormatting>
  <conditionalFormatting sqref="D3556:I3556 D3609:I3609 D3662:I3662">
    <cfRule type="expression" dxfId="1776" priority="2212">
      <formula>LEN(D3556)&gt;0</formula>
    </cfRule>
  </conditionalFormatting>
  <conditionalFormatting sqref="G3692">
    <cfRule type="expression" dxfId="1775" priority="2211">
      <formula>LEN(G3692)&gt;0</formula>
    </cfRule>
  </conditionalFormatting>
  <conditionalFormatting sqref="B3399:B3447 B3452:B3500">
    <cfRule type="expression" dxfId="1774" priority="2210">
      <formula>(VALUE($B3399)&lt;1)*Periods</formula>
    </cfRule>
  </conditionalFormatting>
  <conditionalFormatting sqref="B3505:B3553">
    <cfRule type="expression" dxfId="1773" priority="2209">
      <formula>(VALUE($B3505)&lt;1)*Periods</formula>
    </cfRule>
  </conditionalFormatting>
  <conditionalFormatting sqref="B3558:B3606">
    <cfRule type="expression" dxfId="1772" priority="2208">
      <formula>(VALUE($B3558)&lt;1)*Periods</formula>
    </cfRule>
  </conditionalFormatting>
  <conditionalFormatting sqref="B3611:B3659">
    <cfRule type="expression" dxfId="1771" priority="2207">
      <formula>(VALUE($B3611)&lt;1)*Periods</formula>
    </cfRule>
  </conditionalFormatting>
  <conditionalFormatting sqref="B3664:B3712">
    <cfRule type="expression" dxfId="1770" priority="2206">
      <formula>(VALUE($B3664)&lt;1)*Periods</formula>
    </cfRule>
  </conditionalFormatting>
  <conditionalFormatting sqref="D3427:E3427 G3427">
    <cfRule type="expression" dxfId="1769" priority="2205">
      <formula>LEN(D3427)&gt;0</formula>
    </cfRule>
  </conditionalFormatting>
  <conditionalFormatting sqref="E3533">
    <cfRule type="expression" dxfId="1768" priority="2204">
      <formula>LEN(E3533)&gt;0</formula>
    </cfRule>
  </conditionalFormatting>
  <conditionalFormatting sqref="D3533">
    <cfRule type="expression" dxfId="1767" priority="2203">
      <formula>LEN(D3533)&gt;0</formula>
    </cfRule>
  </conditionalFormatting>
  <conditionalFormatting sqref="G3533">
    <cfRule type="expression" dxfId="1766" priority="2202">
      <formula>LEN(G3533)&gt;0</formula>
    </cfRule>
  </conditionalFormatting>
  <conditionalFormatting sqref="D3586">
    <cfRule type="expression" dxfId="1765" priority="2201">
      <formula>LEN(D3586)&gt;0</formula>
    </cfRule>
  </conditionalFormatting>
  <conditionalFormatting sqref="F3586:G3586">
    <cfRule type="expression" dxfId="1764" priority="2200">
      <formula>LEN(F3586)&gt;0</formula>
    </cfRule>
  </conditionalFormatting>
  <conditionalFormatting sqref="G3639">
    <cfRule type="expression" dxfId="1763" priority="2199">
      <formula>LEN(G3639)&gt;0</formula>
    </cfRule>
  </conditionalFormatting>
  <conditionalFormatting sqref="F3639">
    <cfRule type="expression" dxfId="1762" priority="2198">
      <formula>LEN(F3639)&gt;0</formula>
    </cfRule>
  </conditionalFormatting>
  <conditionalFormatting sqref="D3931:E3934 G3929:I3932 E3930 G3933:G3934 E3880:E3893 D3878:D3893 F3929:F3934 D3987:F3987 D3984:E3986 F3982:F3986 G3982:I3987 E3983 D4010:E4010 H4010:I4010 D3988:I4009 E3904 H3904:I3904 F3876:I3893 D3957:E3957 D4011:I4030 E4036 E4089 D4035:D4036 D4088:D4089 F4035:I4042 D4037:E4042 D4090:E4095 F4088:I4095 E4116:F4116 D4114:F4115 G4114:I4116 D3894:I3903 D3905:I3924 H3933:I3977 D3935:G3956 D3958:G3977 D4043:I4062 D4064:I4083 D4117:I4136 D4096:I4113">
    <cfRule type="expression" dxfId="1761" priority="2173">
      <formula>(VALUE($B3876)&lt;1)*($B3876&lt;&gt;$B$7)*LEN(D$5)*(LEN(D3876)=0)*(LEN(D3875)=0)</formula>
    </cfRule>
    <cfRule type="expression" dxfId="1760" priority="2174">
      <formula>(VALUE($B3876)&lt;1)*($B3876&lt;&gt;$B$7)*LEN(D$5)</formula>
    </cfRule>
    <cfRule type="expression" dxfId="1759" priority="2175" stopIfTrue="1">
      <formula>IsEntireDay*ShowAssignmentName</formula>
    </cfRule>
    <cfRule type="expression" dxfId="1758" priority="2176" stopIfTrue="1">
      <formula>(1=IsColor)*ShowAssignmentName</formula>
    </cfRule>
    <cfRule type="expression" dxfId="1757" priority="2177" stopIfTrue="1">
      <formula>(1=IsColor)*ShowAssignmentColor</formula>
    </cfRule>
    <cfRule type="expression" dxfId="1756" priority="2178" stopIfTrue="1">
      <formula>(2=IsColor)*ShowAssignmentName</formula>
    </cfRule>
    <cfRule type="expression" dxfId="1755" priority="2179" stopIfTrue="1">
      <formula>(2=IsColor)*ShowAssignmentColor</formula>
    </cfRule>
    <cfRule type="expression" dxfId="1754" priority="2180" stopIfTrue="1">
      <formula>(3=IsColor)*ShowAssignmentName</formula>
    </cfRule>
    <cfRule type="expression" dxfId="1753" priority="2181" stopIfTrue="1">
      <formula>(3=IsColor)*ShowAssignmentColor</formula>
    </cfRule>
    <cfRule type="expression" dxfId="1752" priority="2182" stopIfTrue="1">
      <formula>(4=IsColor)*ShowAssignmentName</formula>
    </cfRule>
    <cfRule type="expression" dxfId="1751" priority="2183" stopIfTrue="1">
      <formula>(4=IsColor)*ShowAssignmentColor</formula>
    </cfRule>
    <cfRule type="expression" dxfId="1750" priority="2184" stopIfTrue="1">
      <formula>(5=IsColor)*ShowAssignmentName</formula>
    </cfRule>
    <cfRule type="expression" dxfId="1749" priority="2185" stopIfTrue="1">
      <formula>(5=IsColor)*ShowAssignmentColor</formula>
    </cfRule>
    <cfRule type="expression" dxfId="1748" priority="2186" stopIfTrue="1">
      <formula>(6=IsColor)*ShowAssignmentName</formula>
    </cfRule>
    <cfRule type="expression" dxfId="1747" priority="2187" stopIfTrue="1">
      <formula>(6=IsColor)*ShowAssignmentColor</formula>
    </cfRule>
    <cfRule type="expression" dxfId="1746" priority="2188" stopIfTrue="1">
      <formula>(7=IsColor)*ShowAssignmentName</formula>
    </cfRule>
    <cfRule type="expression" dxfId="1745" priority="2189" stopIfTrue="1">
      <formula>(7=IsColor)*ShowAssignmentColor</formula>
    </cfRule>
    <cfRule type="expression" dxfId="1744" priority="2190" stopIfTrue="1">
      <formula>(8=IsColor)*ShowAssignmentName</formula>
    </cfRule>
    <cfRule type="expression" dxfId="1743" priority="2191" stopIfTrue="1">
      <formula>(8=IsColor)*ShowAssignmentColor</formula>
    </cfRule>
    <cfRule type="expression" dxfId="1742" priority="2192" stopIfTrue="1">
      <formula>(9=IsColor)*ShowAssignmentName</formula>
    </cfRule>
    <cfRule type="expression" dxfId="1741" priority="2193" stopIfTrue="1">
      <formula>(9=IsColor)*ShowAssignmentColor</formula>
    </cfRule>
    <cfRule type="expression" dxfId="1740" priority="2194" stopIfTrue="1">
      <formula>(10=IsColor)*ShowAssignmentName</formula>
    </cfRule>
    <cfRule type="expression" dxfId="1739" priority="2195" stopIfTrue="1">
      <formula>(10=IsColor)*ShowAssignmentColor</formula>
    </cfRule>
    <cfRule type="expression" dxfId="1738" priority="2196" stopIfTrue="1">
      <formula>(11=IsColor)*ShowAssignmentName</formula>
    </cfRule>
    <cfRule type="expression" dxfId="1737" priority="2197" stopIfTrue="1">
      <formula>(11=IsColor)*ShowAssignmentColor</formula>
    </cfRule>
  </conditionalFormatting>
  <conditionalFormatting sqref="E3876:E3879">
    <cfRule type="expression" dxfId="1736" priority="2148">
      <formula>(VALUE($B3876)&lt;1)*($B3876&lt;&gt;$B$7)*LEN(E$5)*(LEN(E3876)=0)*(LEN(E3874)=0)</formula>
    </cfRule>
    <cfRule type="expression" dxfId="1735" priority="2149">
      <formula>(VALUE($B3876)&lt;1)*($B3876&lt;&gt;$B$7)*LEN(E$5)</formula>
    </cfRule>
    <cfRule type="expression" dxfId="1734" priority="2150" stopIfTrue="1">
      <formula>IsEntireDay*ShowAssignmentName</formula>
    </cfRule>
    <cfRule type="expression" dxfId="1733" priority="2151" stopIfTrue="1">
      <formula>(1=IsColor)*ShowAssignmentName</formula>
    </cfRule>
    <cfRule type="expression" dxfId="1732" priority="2152" stopIfTrue="1">
      <formula>(1=IsColor)*ShowAssignmentColor</formula>
    </cfRule>
    <cfRule type="expression" dxfId="1731" priority="2153" stopIfTrue="1">
      <formula>(2=IsColor)*ShowAssignmentName</formula>
    </cfRule>
    <cfRule type="expression" dxfId="1730" priority="2154" stopIfTrue="1">
      <formula>(2=IsColor)*ShowAssignmentColor</formula>
    </cfRule>
    <cfRule type="expression" dxfId="1729" priority="2155" stopIfTrue="1">
      <formula>(3=IsColor)*ShowAssignmentName</formula>
    </cfRule>
    <cfRule type="expression" dxfId="1728" priority="2156" stopIfTrue="1">
      <formula>(3=IsColor)*ShowAssignmentColor</formula>
    </cfRule>
    <cfRule type="expression" dxfId="1727" priority="2157" stopIfTrue="1">
      <formula>(4=IsColor)*ShowAssignmentName</formula>
    </cfRule>
    <cfRule type="expression" dxfId="1726" priority="2158" stopIfTrue="1">
      <formula>(4=IsColor)*ShowAssignmentColor</formula>
    </cfRule>
    <cfRule type="expression" dxfId="1725" priority="2159" stopIfTrue="1">
      <formula>(5=IsColor)*ShowAssignmentName</formula>
    </cfRule>
    <cfRule type="expression" dxfId="1724" priority="2160" stopIfTrue="1">
      <formula>(5=IsColor)*ShowAssignmentColor</formula>
    </cfRule>
    <cfRule type="expression" dxfId="1723" priority="2161" stopIfTrue="1">
      <formula>(6=IsColor)*ShowAssignmentName</formula>
    </cfRule>
    <cfRule type="expression" dxfId="1722" priority="2162" stopIfTrue="1">
      <formula>(6=IsColor)*ShowAssignmentColor</formula>
    </cfRule>
    <cfRule type="expression" dxfId="1721" priority="2163" stopIfTrue="1">
      <formula>(7=IsColor)*ShowAssignmentName</formula>
    </cfRule>
    <cfRule type="expression" dxfId="1720" priority="2164" stopIfTrue="1">
      <formula>(7=IsColor)*ShowAssignmentColor</formula>
    </cfRule>
    <cfRule type="expression" dxfId="1719" priority="2165" stopIfTrue="1">
      <formula>(8=IsColor)*ShowAssignmentName</formula>
    </cfRule>
    <cfRule type="expression" dxfId="1718" priority="2166" stopIfTrue="1">
      <formula>(8=IsColor)*ShowAssignmentColor</formula>
    </cfRule>
    <cfRule type="expression" dxfId="1717" priority="2167" stopIfTrue="1">
      <formula>(9=IsColor)*ShowAssignmentName</formula>
    </cfRule>
    <cfRule type="expression" dxfId="1716" priority="2168" stopIfTrue="1">
      <formula>(9=IsColor)*ShowAssignmentColor</formula>
    </cfRule>
    <cfRule type="expression" dxfId="1715" priority="2169" stopIfTrue="1">
      <formula>(10=IsColor)*ShowAssignmentName</formula>
    </cfRule>
    <cfRule type="expression" dxfId="1714" priority="2170" stopIfTrue="1">
      <formula>(10=IsColor)*ShowAssignmentColor</formula>
    </cfRule>
    <cfRule type="expression" dxfId="1713" priority="2171" stopIfTrue="1">
      <formula>(11=IsColor)*ShowAssignmentName</formula>
    </cfRule>
    <cfRule type="expression" dxfId="1712" priority="2172" stopIfTrue="1">
      <formula>(11=IsColor)*ShowAssignmentColor</formula>
    </cfRule>
  </conditionalFormatting>
  <conditionalFormatting sqref="E3717">
    <cfRule type="expression" dxfId="1711" priority="2147">
      <formula>(VALUE($B3717)&lt;1)*Periods</formula>
    </cfRule>
  </conditionalFormatting>
  <conditionalFormatting sqref="H3715:I3715">
    <cfRule type="expression" dxfId="1710" priority="2146">
      <formula>LEN(H3715)&gt;0</formula>
    </cfRule>
  </conditionalFormatting>
  <conditionalFormatting sqref="E3718 D3717:D3718 D3825:E3828 F3823:I3826 E3771 E3824 D3770:D3771 D3823:D3824 D3876:D3877 D3929:D3930 H3744:I3744 D3772:E3777 F3770:I3777 F3827:G3828 E3851:F3851 D3719:E3743 F3717:I3743 D3778:I3818 D3852:G3866 H3827:I3866 D3867:I3871 D3829:G3850 D3745:I3765">
    <cfRule type="expression" dxfId="1709" priority="2121">
      <formula>(VALUE($B3717)&lt;1)*($B3717&lt;&gt;$B$7)*LEN(D$5)*(LEN(D3717)=0)*(LEN(D3716)=0)</formula>
    </cfRule>
    <cfRule type="expression" dxfId="1708" priority="2122">
      <formula>(VALUE($B3717)&lt;1)*($B3717&lt;&gt;$B$7)*LEN(D$5)</formula>
    </cfRule>
    <cfRule type="expression" dxfId="1707" priority="2123" stopIfTrue="1">
      <formula>IsEntireDay*ShowAssignmentName</formula>
    </cfRule>
    <cfRule type="expression" dxfId="1706" priority="2124" stopIfTrue="1">
      <formula>(1=IsColor)*ShowAssignmentName</formula>
    </cfRule>
    <cfRule type="expression" dxfId="1705" priority="2125" stopIfTrue="1">
      <formula>(1=IsColor)*ShowAssignmentColor</formula>
    </cfRule>
    <cfRule type="expression" dxfId="1704" priority="2126" stopIfTrue="1">
      <formula>(2=IsColor)*ShowAssignmentName</formula>
    </cfRule>
    <cfRule type="expression" dxfId="1703" priority="2127" stopIfTrue="1">
      <formula>(2=IsColor)*ShowAssignmentColor</formula>
    </cfRule>
    <cfRule type="expression" dxfId="1702" priority="2128" stopIfTrue="1">
      <formula>(3=IsColor)*ShowAssignmentName</formula>
    </cfRule>
    <cfRule type="expression" dxfId="1701" priority="2129" stopIfTrue="1">
      <formula>(3=IsColor)*ShowAssignmentColor</formula>
    </cfRule>
    <cfRule type="expression" dxfId="1700" priority="2130" stopIfTrue="1">
      <formula>(4=IsColor)*ShowAssignmentName</formula>
    </cfRule>
    <cfRule type="expression" dxfId="1699" priority="2131" stopIfTrue="1">
      <formula>(4=IsColor)*ShowAssignmentColor</formula>
    </cfRule>
    <cfRule type="expression" dxfId="1698" priority="2132" stopIfTrue="1">
      <formula>(5=IsColor)*ShowAssignmentName</formula>
    </cfRule>
    <cfRule type="expression" dxfId="1697" priority="2133" stopIfTrue="1">
      <formula>(5=IsColor)*ShowAssignmentColor</formula>
    </cfRule>
    <cfRule type="expression" dxfId="1696" priority="2134" stopIfTrue="1">
      <formula>(6=IsColor)*ShowAssignmentName</formula>
    </cfRule>
    <cfRule type="expression" dxfId="1695" priority="2135" stopIfTrue="1">
      <formula>(6=IsColor)*ShowAssignmentColor</formula>
    </cfRule>
    <cfRule type="expression" dxfId="1694" priority="2136" stopIfTrue="1">
      <formula>(7=IsColor)*ShowAssignmentName</formula>
    </cfRule>
    <cfRule type="expression" dxfId="1693" priority="2137" stopIfTrue="1">
      <formula>(7=IsColor)*ShowAssignmentColor</formula>
    </cfRule>
    <cfRule type="expression" dxfId="1692" priority="2138" stopIfTrue="1">
      <formula>(8=IsColor)*ShowAssignmentName</formula>
    </cfRule>
    <cfRule type="expression" dxfId="1691" priority="2139" stopIfTrue="1">
      <formula>(8=IsColor)*ShowAssignmentColor</formula>
    </cfRule>
    <cfRule type="expression" dxfId="1690" priority="2140" stopIfTrue="1">
      <formula>(9=IsColor)*ShowAssignmentName</formula>
    </cfRule>
    <cfRule type="expression" dxfId="1689" priority="2141" stopIfTrue="1">
      <formula>(9=IsColor)*ShowAssignmentColor</formula>
    </cfRule>
    <cfRule type="expression" dxfId="1688" priority="2142" stopIfTrue="1">
      <formula>(10=IsColor)*ShowAssignmentName</formula>
    </cfRule>
    <cfRule type="expression" dxfId="1687" priority="2143" stopIfTrue="1">
      <formula>(10=IsColor)*ShowAssignmentColor</formula>
    </cfRule>
    <cfRule type="expression" dxfId="1686" priority="2144" stopIfTrue="1">
      <formula>(11=IsColor)*ShowAssignmentName</formula>
    </cfRule>
    <cfRule type="expression" dxfId="1685" priority="2145" stopIfTrue="1">
      <formula>(11=IsColor)*ShowAssignmentColor</formula>
    </cfRule>
  </conditionalFormatting>
  <conditionalFormatting sqref="E3770 E3823 E3929">
    <cfRule type="expression" dxfId="1684" priority="2120">
      <formula>(VALUE($B3770)&lt;1)*Periods</formula>
    </cfRule>
  </conditionalFormatting>
  <conditionalFormatting sqref="D3768:I3768 H3927:I3927">
    <cfRule type="expression" dxfId="1683" priority="2119">
      <formula>LEN(D3768)&gt;0</formula>
    </cfRule>
  </conditionalFormatting>
  <conditionalFormatting sqref="D3715:G3715">
    <cfRule type="expression" dxfId="1682" priority="2118">
      <formula>LEN(D3715)&gt;0</formula>
    </cfRule>
  </conditionalFormatting>
  <conditionalFormatting sqref="D3982:D3983">
    <cfRule type="expression" dxfId="1681" priority="2093">
      <formula>(VALUE($B3982)&lt;1)*($B3982&lt;&gt;$B$7)*LEN(D$5)*(LEN(D3982)=0)*(LEN(D3981)=0)</formula>
    </cfRule>
    <cfRule type="expression" dxfId="1680" priority="2094">
      <formula>(VALUE($B3982)&lt;1)*($B3982&lt;&gt;$B$7)*LEN(D$5)</formula>
    </cfRule>
    <cfRule type="expression" dxfId="1679" priority="2095" stopIfTrue="1">
      <formula>IsEntireDay*ShowAssignmentName</formula>
    </cfRule>
    <cfRule type="expression" dxfId="1678" priority="2096" stopIfTrue="1">
      <formula>(1=IsColor)*ShowAssignmentName</formula>
    </cfRule>
    <cfRule type="expression" dxfId="1677" priority="2097" stopIfTrue="1">
      <formula>(1=IsColor)*ShowAssignmentColor</formula>
    </cfRule>
    <cfRule type="expression" dxfId="1676" priority="2098" stopIfTrue="1">
      <formula>(2=IsColor)*ShowAssignmentName</formula>
    </cfRule>
    <cfRule type="expression" dxfId="1675" priority="2099" stopIfTrue="1">
      <formula>(2=IsColor)*ShowAssignmentColor</formula>
    </cfRule>
    <cfRule type="expression" dxfId="1674" priority="2100" stopIfTrue="1">
      <formula>(3=IsColor)*ShowAssignmentName</formula>
    </cfRule>
    <cfRule type="expression" dxfId="1673" priority="2101" stopIfTrue="1">
      <formula>(3=IsColor)*ShowAssignmentColor</formula>
    </cfRule>
    <cfRule type="expression" dxfId="1672" priority="2102" stopIfTrue="1">
      <formula>(4=IsColor)*ShowAssignmentName</formula>
    </cfRule>
    <cfRule type="expression" dxfId="1671" priority="2103" stopIfTrue="1">
      <formula>(4=IsColor)*ShowAssignmentColor</formula>
    </cfRule>
    <cfRule type="expression" dxfId="1670" priority="2104" stopIfTrue="1">
      <formula>(5=IsColor)*ShowAssignmentName</formula>
    </cfRule>
    <cfRule type="expression" dxfId="1669" priority="2105" stopIfTrue="1">
      <formula>(5=IsColor)*ShowAssignmentColor</formula>
    </cfRule>
    <cfRule type="expression" dxfId="1668" priority="2106" stopIfTrue="1">
      <formula>(6=IsColor)*ShowAssignmentName</formula>
    </cfRule>
    <cfRule type="expression" dxfId="1667" priority="2107" stopIfTrue="1">
      <formula>(6=IsColor)*ShowAssignmentColor</formula>
    </cfRule>
    <cfRule type="expression" dxfId="1666" priority="2108" stopIfTrue="1">
      <formula>(7=IsColor)*ShowAssignmentName</formula>
    </cfRule>
    <cfRule type="expression" dxfId="1665" priority="2109" stopIfTrue="1">
      <formula>(7=IsColor)*ShowAssignmentColor</formula>
    </cfRule>
    <cfRule type="expression" dxfId="1664" priority="2110" stopIfTrue="1">
      <formula>(8=IsColor)*ShowAssignmentName</formula>
    </cfRule>
    <cfRule type="expression" dxfId="1663" priority="2111" stopIfTrue="1">
      <formula>(8=IsColor)*ShowAssignmentColor</formula>
    </cfRule>
    <cfRule type="expression" dxfId="1662" priority="2112" stopIfTrue="1">
      <formula>(9=IsColor)*ShowAssignmentName</formula>
    </cfRule>
    <cfRule type="expression" dxfId="1661" priority="2113" stopIfTrue="1">
      <formula>(9=IsColor)*ShowAssignmentColor</formula>
    </cfRule>
    <cfRule type="expression" dxfId="1660" priority="2114" stopIfTrue="1">
      <formula>(10=IsColor)*ShowAssignmentName</formula>
    </cfRule>
    <cfRule type="expression" dxfId="1659" priority="2115" stopIfTrue="1">
      <formula>(10=IsColor)*ShowAssignmentColor</formula>
    </cfRule>
    <cfRule type="expression" dxfId="1658" priority="2116" stopIfTrue="1">
      <formula>(11=IsColor)*ShowAssignmentName</formula>
    </cfRule>
    <cfRule type="expression" dxfId="1657" priority="2117" stopIfTrue="1">
      <formula>(11=IsColor)*ShowAssignmentColor</formula>
    </cfRule>
  </conditionalFormatting>
  <conditionalFormatting sqref="E3982">
    <cfRule type="expression" dxfId="1656" priority="2092">
      <formula>(VALUE($B3982)&lt;1)*Periods</formula>
    </cfRule>
  </conditionalFormatting>
  <conditionalFormatting sqref="D3980:I3980">
    <cfRule type="expression" dxfId="1655" priority="2091">
      <formula>LEN(D3980)&gt;0</formula>
    </cfRule>
  </conditionalFormatting>
  <conditionalFormatting sqref="F4010:G4010">
    <cfRule type="expression" dxfId="1654" priority="2090">
      <formula>LEN(F4010)&gt;0</formula>
    </cfRule>
  </conditionalFormatting>
  <conditionalFormatting sqref="D3821:I3821">
    <cfRule type="expression" dxfId="1653" priority="2089">
      <formula>LEN(D3821)&gt;0</formula>
    </cfRule>
  </conditionalFormatting>
  <conditionalFormatting sqref="H3874:I3874">
    <cfRule type="expression" dxfId="1652" priority="2088">
      <formula>LEN(H3874)&gt;0</formula>
    </cfRule>
  </conditionalFormatting>
  <conditionalFormatting sqref="D3874:G3874">
    <cfRule type="expression" dxfId="1651" priority="2087">
      <formula>LEN(D3874)&gt;0</formula>
    </cfRule>
  </conditionalFormatting>
  <conditionalFormatting sqref="D3927:G3927">
    <cfRule type="expression" dxfId="1650" priority="2086">
      <formula>LEN(D3927)&gt;0</formula>
    </cfRule>
  </conditionalFormatting>
  <conditionalFormatting sqref="B3717:B3765 B3770:B3818">
    <cfRule type="expression" dxfId="1649" priority="2085">
      <formula>(VALUE($B3717)&lt;1)*Periods</formula>
    </cfRule>
  </conditionalFormatting>
  <conditionalFormatting sqref="B3823:B3871">
    <cfRule type="expression" dxfId="1648" priority="2084">
      <formula>(VALUE($B3823)&lt;1)*Periods</formula>
    </cfRule>
  </conditionalFormatting>
  <conditionalFormatting sqref="B3876:B3924">
    <cfRule type="expression" dxfId="1647" priority="2083">
      <formula>(VALUE($B3876)&lt;1)*Periods</formula>
    </cfRule>
  </conditionalFormatting>
  <conditionalFormatting sqref="B3929:B3977">
    <cfRule type="expression" dxfId="1646" priority="2082">
      <formula>(VALUE($B3929)&lt;1)*Periods</formula>
    </cfRule>
  </conditionalFormatting>
  <conditionalFormatting sqref="B3982:B4030">
    <cfRule type="expression" dxfId="1645" priority="2081">
      <formula>(VALUE($B3982)&lt;1)*Periods</formula>
    </cfRule>
  </conditionalFormatting>
  <conditionalFormatting sqref="D3744:E3744 G3744">
    <cfRule type="expression" dxfId="1644" priority="2080">
      <formula>LEN(D3744)&gt;0</formula>
    </cfRule>
  </conditionalFormatting>
  <conditionalFormatting sqref="F3744">
    <cfRule type="expression" dxfId="1643" priority="2079">
      <formula>LEN(F3744)&gt;0</formula>
    </cfRule>
  </conditionalFormatting>
  <conditionalFormatting sqref="D3851">
    <cfRule type="expression" dxfId="1642" priority="2078">
      <formula>LEN(D3851)&gt;0</formula>
    </cfRule>
  </conditionalFormatting>
  <conditionalFormatting sqref="G3851">
    <cfRule type="expression" dxfId="1641" priority="2077">
      <formula>LEN(G3851)&gt;0</formula>
    </cfRule>
  </conditionalFormatting>
  <conditionalFormatting sqref="D3904">
    <cfRule type="expression" dxfId="1640" priority="2076">
      <formula>LEN(D3904)&gt;0</formula>
    </cfRule>
  </conditionalFormatting>
  <conditionalFormatting sqref="F3904:G3904">
    <cfRule type="expression" dxfId="1639" priority="2075">
      <formula>LEN(F3904)&gt;0</formula>
    </cfRule>
  </conditionalFormatting>
  <conditionalFormatting sqref="F3957:G3957">
    <cfRule type="expression" dxfId="1638" priority="2074">
      <formula>LEN(F3957)&gt;0</formula>
    </cfRule>
  </conditionalFormatting>
  <conditionalFormatting sqref="B4035:B4083 B4088:B4136 E4035 E4088">
    <cfRule type="expression" dxfId="1637" priority="2073">
      <formula>(VALUE($B4035)&lt;1)*Periods</formula>
    </cfRule>
  </conditionalFormatting>
  <conditionalFormatting sqref="D4033:I4033 D4086:I4086">
    <cfRule type="expression" dxfId="1636" priority="2072">
      <formula>LEN(D4033)&gt;0</formula>
    </cfRule>
  </conditionalFormatting>
  <conditionalFormatting sqref="D4063:I4063">
    <cfRule type="expression" dxfId="1635" priority="2071">
      <formula>LEN(D4063)&gt;0</formula>
    </cfRule>
  </conditionalFormatting>
  <conditionalFormatting sqref="D4116">
    <cfRule type="expression" dxfId="1634" priority="2070">
      <formula>LEN(D4116)&gt;0</formula>
    </cfRule>
  </conditionalFormatting>
  <conditionalFormatting sqref="E4141">
    <cfRule type="expression" dxfId="1633" priority="2069">
      <formula>(VALUE($B4141)&lt;1)*Periods</formula>
    </cfRule>
  </conditionalFormatting>
  <conditionalFormatting sqref="D4139:I4139">
    <cfRule type="expression" dxfId="1632" priority="2068">
      <formula>LEN(D4139)&gt;0</formula>
    </cfRule>
  </conditionalFormatting>
  <conditionalFormatting sqref="E4142 D4141:D4142 D4184:I4189 G4141:I4148 D4170:E4183 G4170:G4183 D4143:E4164 D4165:D4168 E4165:E4169 G4149:G4168 H4149:I4183 F4141:F4183">
    <cfRule type="expression" dxfId="1631" priority="2043">
      <formula>(VALUE($B4141)&lt;1)*($B4141&lt;&gt;$B$7)*LEN(D$5)*(LEN(D4141)=0)*(LEN(D4140)=0)</formula>
    </cfRule>
    <cfRule type="expression" dxfId="1630" priority="2044">
      <formula>(VALUE($B4141)&lt;1)*($B4141&lt;&gt;$B$7)*LEN(D$5)</formula>
    </cfRule>
    <cfRule type="expression" dxfId="1629" priority="2045" stopIfTrue="1">
      <formula>IsEntireDay*ShowAssignmentName</formula>
    </cfRule>
    <cfRule type="expression" dxfId="1628" priority="2046" stopIfTrue="1">
      <formula>(1=IsColor)*ShowAssignmentName</formula>
    </cfRule>
    <cfRule type="expression" dxfId="1627" priority="2047" stopIfTrue="1">
      <formula>(1=IsColor)*ShowAssignmentColor</formula>
    </cfRule>
    <cfRule type="expression" dxfId="1626" priority="2048" stopIfTrue="1">
      <formula>(2=IsColor)*ShowAssignmentName</formula>
    </cfRule>
    <cfRule type="expression" dxfId="1625" priority="2049" stopIfTrue="1">
      <formula>(2=IsColor)*ShowAssignmentColor</formula>
    </cfRule>
    <cfRule type="expression" dxfId="1624" priority="2050" stopIfTrue="1">
      <formula>(3=IsColor)*ShowAssignmentName</formula>
    </cfRule>
    <cfRule type="expression" dxfId="1623" priority="2051" stopIfTrue="1">
      <formula>(3=IsColor)*ShowAssignmentColor</formula>
    </cfRule>
    <cfRule type="expression" dxfId="1622" priority="2052" stopIfTrue="1">
      <formula>(4=IsColor)*ShowAssignmentName</formula>
    </cfRule>
    <cfRule type="expression" dxfId="1621" priority="2053" stopIfTrue="1">
      <formula>(4=IsColor)*ShowAssignmentColor</formula>
    </cfRule>
    <cfRule type="expression" dxfId="1620" priority="2054" stopIfTrue="1">
      <formula>(5=IsColor)*ShowAssignmentName</formula>
    </cfRule>
    <cfRule type="expression" dxfId="1619" priority="2055" stopIfTrue="1">
      <formula>(5=IsColor)*ShowAssignmentColor</formula>
    </cfRule>
    <cfRule type="expression" dxfId="1618" priority="2056" stopIfTrue="1">
      <formula>(6=IsColor)*ShowAssignmentName</formula>
    </cfRule>
    <cfRule type="expression" dxfId="1617" priority="2057" stopIfTrue="1">
      <formula>(6=IsColor)*ShowAssignmentColor</formula>
    </cfRule>
    <cfRule type="expression" dxfId="1616" priority="2058" stopIfTrue="1">
      <formula>(7=IsColor)*ShowAssignmentName</formula>
    </cfRule>
    <cfRule type="expression" dxfId="1615" priority="2059" stopIfTrue="1">
      <formula>(7=IsColor)*ShowAssignmentColor</formula>
    </cfRule>
    <cfRule type="expression" dxfId="1614" priority="2060" stopIfTrue="1">
      <formula>(8=IsColor)*ShowAssignmentName</formula>
    </cfRule>
    <cfRule type="expression" dxfId="1613" priority="2061" stopIfTrue="1">
      <formula>(8=IsColor)*ShowAssignmentColor</formula>
    </cfRule>
    <cfRule type="expression" dxfId="1612" priority="2062" stopIfTrue="1">
      <formula>(9=IsColor)*ShowAssignmentName</formula>
    </cfRule>
    <cfRule type="expression" dxfId="1611" priority="2063" stopIfTrue="1">
      <formula>(9=IsColor)*ShowAssignmentColor</formula>
    </cfRule>
    <cfRule type="expression" dxfId="1610" priority="2064" stopIfTrue="1">
      <formula>(10=IsColor)*ShowAssignmentName</formula>
    </cfRule>
    <cfRule type="expression" dxfId="1609" priority="2065" stopIfTrue="1">
      <formula>(10=IsColor)*ShowAssignmentColor</formula>
    </cfRule>
    <cfRule type="expression" dxfId="1608" priority="2066" stopIfTrue="1">
      <formula>(11=IsColor)*ShowAssignmentName</formula>
    </cfRule>
    <cfRule type="expression" dxfId="1607" priority="2067" stopIfTrue="1">
      <formula>(11=IsColor)*ShowAssignmentColor</formula>
    </cfRule>
  </conditionalFormatting>
  <conditionalFormatting sqref="B4141:B4189">
    <cfRule type="expression" dxfId="1606" priority="2042">
      <formula>(VALUE($B4141)&lt;1)*Periods</formula>
    </cfRule>
  </conditionalFormatting>
  <conditionalFormatting sqref="G4169">
    <cfRule type="expression" dxfId="1605" priority="2041">
      <formula>LEN(G4169)&gt;0</formula>
    </cfRule>
  </conditionalFormatting>
  <conditionalFormatting sqref="D4169">
    <cfRule type="expression" dxfId="1604" priority="2040">
      <formula>LEN(D4169)&gt;0</formula>
    </cfRule>
  </conditionalFormatting>
  <conditionalFormatting sqref="E4195 D4194:D4195">
    <cfRule type="expression" dxfId="1603" priority="2015">
      <formula>(VALUE($B4194)&lt;1)*($B4194&lt;&gt;$B$7)*LEN(D$5)*(LEN(D4194)=0)*(LEN(D4193)=0)</formula>
    </cfRule>
    <cfRule type="expression" dxfId="1602" priority="2016">
      <formula>(VALUE($B4194)&lt;1)*($B4194&lt;&gt;$B$7)*LEN(D$5)</formula>
    </cfRule>
    <cfRule type="expression" dxfId="1601" priority="2017" stopIfTrue="1">
      <formula>IsEntireDay*ShowAssignmentName</formula>
    </cfRule>
    <cfRule type="expression" dxfId="1600" priority="2018" stopIfTrue="1">
      <formula>(1=IsColor)*ShowAssignmentName</formula>
    </cfRule>
    <cfRule type="expression" dxfId="1599" priority="2019" stopIfTrue="1">
      <formula>(1=IsColor)*ShowAssignmentColor</formula>
    </cfRule>
    <cfRule type="expression" dxfId="1598" priority="2020" stopIfTrue="1">
      <formula>(2=IsColor)*ShowAssignmentName</formula>
    </cfRule>
    <cfRule type="expression" dxfId="1597" priority="2021" stopIfTrue="1">
      <formula>(2=IsColor)*ShowAssignmentColor</formula>
    </cfRule>
    <cfRule type="expression" dxfId="1596" priority="2022" stopIfTrue="1">
      <formula>(3=IsColor)*ShowAssignmentName</formula>
    </cfRule>
    <cfRule type="expression" dxfId="1595" priority="2023" stopIfTrue="1">
      <formula>(3=IsColor)*ShowAssignmentColor</formula>
    </cfRule>
    <cfRule type="expression" dxfId="1594" priority="2024" stopIfTrue="1">
      <formula>(4=IsColor)*ShowAssignmentName</formula>
    </cfRule>
    <cfRule type="expression" dxfId="1593" priority="2025" stopIfTrue="1">
      <formula>(4=IsColor)*ShowAssignmentColor</formula>
    </cfRule>
    <cfRule type="expression" dxfId="1592" priority="2026" stopIfTrue="1">
      <formula>(5=IsColor)*ShowAssignmentName</formula>
    </cfRule>
    <cfRule type="expression" dxfId="1591" priority="2027" stopIfTrue="1">
      <formula>(5=IsColor)*ShowAssignmentColor</formula>
    </cfRule>
    <cfRule type="expression" dxfId="1590" priority="2028" stopIfTrue="1">
      <formula>(6=IsColor)*ShowAssignmentName</formula>
    </cfRule>
    <cfRule type="expression" dxfId="1589" priority="2029" stopIfTrue="1">
      <formula>(6=IsColor)*ShowAssignmentColor</formula>
    </cfRule>
    <cfRule type="expression" dxfId="1588" priority="2030" stopIfTrue="1">
      <formula>(7=IsColor)*ShowAssignmentName</formula>
    </cfRule>
    <cfRule type="expression" dxfId="1587" priority="2031" stopIfTrue="1">
      <formula>(7=IsColor)*ShowAssignmentColor</formula>
    </cfRule>
    <cfRule type="expression" dxfId="1586" priority="2032" stopIfTrue="1">
      <formula>(8=IsColor)*ShowAssignmentName</formula>
    </cfRule>
    <cfRule type="expression" dxfId="1585" priority="2033" stopIfTrue="1">
      <formula>(8=IsColor)*ShowAssignmentColor</formula>
    </cfRule>
    <cfRule type="expression" dxfId="1584" priority="2034" stopIfTrue="1">
      <formula>(9=IsColor)*ShowAssignmentName</formula>
    </cfRule>
    <cfRule type="expression" dxfId="1583" priority="2035" stopIfTrue="1">
      <formula>(9=IsColor)*ShowAssignmentColor</formula>
    </cfRule>
    <cfRule type="expression" dxfId="1582" priority="2036" stopIfTrue="1">
      <formula>(10=IsColor)*ShowAssignmentName</formula>
    </cfRule>
    <cfRule type="expression" dxfId="1581" priority="2037" stopIfTrue="1">
      <formula>(10=IsColor)*ShowAssignmentColor</formula>
    </cfRule>
    <cfRule type="expression" dxfId="1580" priority="2038" stopIfTrue="1">
      <formula>(11=IsColor)*ShowAssignmentName</formula>
    </cfRule>
    <cfRule type="expression" dxfId="1579" priority="2039" stopIfTrue="1">
      <formula>(11=IsColor)*ShowAssignmentColor</formula>
    </cfRule>
  </conditionalFormatting>
  <conditionalFormatting sqref="E4194 E4247">
    <cfRule type="expression" dxfId="1578" priority="2014">
      <formula>(VALUE($B4194)&lt;1)*Periods</formula>
    </cfRule>
  </conditionalFormatting>
  <conditionalFormatting sqref="D4192:I4192 D4245:I4245">
    <cfRule type="expression" dxfId="1577" priority="2013">
      <formula>LEN(D4192)&gt;0</formula>
    </cfRule>
  </conditionalFormatting>
  <conditionalFormatting sqref="B4194:B4242">
    <cfRule type="expression" dxfId="1576" priority="2012">
      <formula>(VALUE($B4194)&lt;1)*Periods</formula>
    </cfRule>
  </conditionalFormatting>
  <conditionalFormatting sqref="B4247:B4295">
    <cfRule type="expression" dxfId="1575" priority="2011">
      <formula>(VALUE($B4247)&lt;1)*Periods</formula>
    </cfRule>
  </conditionalFormatting>
  <conditionalFormatting sqref="E4300">
    <cfRule type="expression" dxfId="1574" priority="1985">
      <formula>(VALUE($B4300)&lt;1)*Periods</formula>
    </cfRule>
  </conditionalFormatting>
  <conditionalFormatting sqref="D4298:I4298">
    <cfRule type="expression" dxfId="1573" priority="1984">
      <formula>LEN(D4298)&gt;0</formula>
    </cfRule>
  </conditionalFormatting>
  <conditionalFormatting sqref="B4300:B4348">
    <cfRule type="expression" dxfId="1572" priority="1982">
      <formula>(VALUE($B4300)&lt;1)*Periods</formula>
    </cfRule>
  </conditionalFormatting>
  <conditionalFormatting sqref="B4353:B4401 B4406:B4454 E4353 E4406">
    <cfRule type="expression" dxfId="1571" priority="1956">
      <formula>(VALUE($B4353)&lt;1)*Periods</formula>
    </cfRule>
  </conditionalFormatting>
  <conditionalFormatting sqref="D4351:I4351 D4404:I4404">
    <cfRule type="expression" dxfId="1570" priority="1955">
      <formula>LEN(D4351)&gt;0</formula>
    </cfRule>
  </conditionalFormatting>
  <conditionalFormatting sqref="D4381:I4381 F4382:F4392">
    <cfRule type="expression" dxfId="1569" priority="1954">
      <formula>LEN(D4381)&gt;0</formula>
    </cfRule>
  </conditionalFormatting>
  <conditionalFormatting sqref="D4434">
    <cfRule type="expression" dxfId="1568" priority="1953">
      <formula>LEN(D4434)&gt;0</formula>
    </cfRule>
  </conditionalFormatting>
  <conditionalFormatting sqref="E4459">
    <cfRule type="expression" dxfId="1567" priority="1952">
      <formula>(VALUE($B4459)&lt;1)*Periods</formula>
    </cfRule>
  </conditionalFormatting>
  <conditionalFormatting sqref="D4457:I4457">
    <cfRule type="expression" dxfId="1566" priority="1951">
      <formula>LEN(D4457)&gt;0</formula>
    </cfRule>
  </conditionalFormatting>
  <conditionalFormatting sqref="E4512 E4565 E4618">
    <cfRule type="expression" dxfId="1565" priority="1925">
      <formula>(VALUE($B4512)&lt;1)*Periods</formula>
    </cfRule>
  </conditionalFormatting>
  <conditionalFormatting sqref="D4510:I4510 D4563:I4563 D4616:I4616">
    <cfRule type="expression" dxfId="1564" priority="1924">
      <formula>LEN(D4510)&gt;0</formula>
    </cfRule>
  </conditionalFormatting>
  <conditionalFormatting sqref="G4646">
    <cfRule type="expression" dxfId="1563" priority="1923">
      <formula>LEN(G4646)&gt;0</formula>
    </cfRule>
  </conditionalFormatting>
  <conditionalFormatting sqref="B4459:B4507">
    <cfRule type="expression" dxfId="1562" priority="1922">
      <formula>(VALUE($B4459)&lt;1)*Periods</formula>
    </cfRule>
  </conditionalFormatting>
  <conditionalFormatting sqref="B4512:B4560">
    <cfRule type="expression" dxfId="1561" priority="1921">
      <formula>(VALUE($B4512)&lt;1)*Periods</formula>
    </cfRule>
  </conditionalFormatting>
  <conditionalFormatting sqref="B4565:B4613">
    <cfRule type="expression" dxfId="1560" priority="1920">
      <formula>(VALUE($B4565)&lt;1)*Periods</formula>
    </cfRule>
  </conditionalFormatting>
  <conditionalFormatting sqref="B4618:B4666">
    <cfRule type="expression" dxfId="1559" priority="1919">
      <formula>(VALUE($B4618)&lt;1)*Periods</formula>
    </cfRule>
  </conditionalFormatting>
  <conditionalFormatting sqref="E4487">
    <cfRule type="expression" dxfId="1558" priority="1918">
      <formula>LEN(E4487)&gt;0</formula>
    </cfRule>
  </conditionalFormatting>
  <conditionalFormatting sqref="D4487">
    <cfRule type="expression" dxfId="1557" priority="1917">
      <formula>LEN(D4487)&gt;0</formula>
    </cfRule>
  </conditionalFormatting>
  <conditionalFormatting sqref="G4487">
    <cfRule type="expression" dxfId="1556" priority="1916">
      <formula>LEN(G4487)&gt;0</formula>
    </cfRule>
  </conditionalFormatting>
  <conditionalFormatting sqref="E4540">
    <cfRule type="expression" dxfId="1555" priority="1915">
      <formula>LEN(E4540)&gt;0</formula>
    </cfRule>
  </conditionalFormatting>
  <conditionalFormatting sqref="F4540">
    <cfRule type="expression" dxfId="1554" priority="1914">
      <formula>LEN(F4540)&gt;0</formula>
    </cfRule>
  </conditionalFormatting>
  <conditionalFormatting sqref="E4206:E4211 D4310:E4326 E4309 D4308:D4309">
    <cfRule type="expression" dxfId="1553" priority="149001">
      <formula>(VALUE($B4202)&lt;1)*($B4202&lt;&gt;$B$7)*LEN(D$5)*(LEN(D4206)=0)*(LEN(D4205)=0)</formula>
    </cfRule>
    <cfRule type="expression" dxfId="1552" priority="149002">
      <formula>(VALUE($B4202)&lt;1)*($B4202&lt;&gt;$B$7)*LEN(D$5)</formula>
    </cfRule>
    <cfRule type="expression" dxfId="1551" priority="149003" stopIfTrue="1">
      <formula>IsEntireDay*ShowAssignmentName</formula>
    </cfRule>
    <cfRule type="expression" dxfId="1550" priority="149004" stopIfTrue="1">
      <formula>(1=IsColor)*ShowAssignmentName</formula>
    </cfRule>
    <cfRule type="expression" dxfId="1549" priority="149005" stopIfTrue="1">
      <formula>(1=IsColor)*ShowAssignmentColor</formula>
    </cfRule>
    <cfRule type="expression" dxfId="1548" priority="149006" stopIfTrue="1">
      <formula>(2=IsColor)*ShowAssignmentName</formula>
    </cfRule>
    <cfRule type="expression" dxfId="1547" priority="149007" stopIfTrue="1">
      <formula>(2=IsColor)*ShowAssignmentColor</formula>
    </cfRule>
    <cfRule type="expression" dxfId="1546" priority="149008" stopIfTrue="1">
      <formula>(3=IsColor)*ShowAssignmentName</formula>
    </cfRule>
    <cfRule type="expression" dxfId="1545" priority="149009" stopIfTrue="1">
      <formula>(3=IsColor)*ShowAssignmentColor</formula>
    </cfRule>
    <cfRule type="expression" dxfId="1544" priority="149010" stopIfTrue="1">
      <formula>(4=IsColor)*ShowAssignmentName</formula>
    </cfRule>
    <cfRule type="expression" dxfId="1543" priority="149011" stopIfTrue="1">
      <formula>(4=IsColor)*ShowAssignmentColor</formula>
    </cfRule>
    <cfRule type="expression" dxfId="1542" priority="149012" stopIfTrue="1">
      <formula>(5=IsColor)*ShowAssignmentName</formula>
    </cfRule>
    <cfRule type="expression" dxfId="1541" priority="149013" stopIfTrue="1">
      <formula>(5=IsColor)*ShowAssignmentColor</formula>
    </cfRule>
    <cfRule type="expression" dxfId="1540" priority="149014" stopIfTrue="1">
      <formula>(6=IsColor)*ShowAssignmentName</formula>
    </cfRule>
    <cfRule type="expression" dxfId="1539" priority="149015" stopIfTrue="1">
      <formula>(6=IsColor)*ShowAssignmentColor</formula>
    </cfRule>
    <cfRule type="expression" dxfId="1538" priority="149016" stopIfTrue="1">
      <formula>(7=IsColor)*ShowAssignmentName</formula>
    </cfRule>
    <cfRule type="expression" dxfId="1537" priority="149017" stopIfTrue="1">
      <formula>(7=IsColor)*ShowAssignmentColor</formula>
    </cfRule>
    <cfRule type="expression" dxfId="1536" priority="149018" stopIfTrue="1">
      <formula>(8=IsColor)*ShowAssignmentName</formula>
    </cfRule>
    <cfRule type="expression" dxfId="1535" priority="149019" stopIfTrue="1">
      <formula>(8=IsColor)*ShowAssignmentColor</formula>
    </cfRule>
    <cfRule type="expression" dxfId="1534" priority="149020" stopIfTrue="1">
      <formula>(9=IsColor)*ShowAssignmentName</formula>
    </cfRule>
    <cfRule type="expression" dxfId="1533" priority="149021" stopIfTrue="1">
      <formula>(9=IsColor)*ShowAssignmentColor</formula>
    </cfRule>
    <cfRule type="expression" dxfId="1532" priority="149022" stopIfTrue="1">
      <formula>(10=IsColor)*ShowAssignmentName</formula>
    </cfRule>
    <cfRule type="expression" dxfId="1531" priority="149023" stopIfTrue="1">
      <formula>(10=IsColor)*ShowAssignmentColor</formula>
    </cfRule>
    <cfRule type="expression" dxfId="1530" priority="149024" stopIfTrue="1">
      <formula>(11=IsColor)*ShowAssignmentName</formula>
    </cfRule>
    <cfRule type="expression" dxfId="1529" priority="149025" stopIfTrue="1">
      <formula>(11=IsColor)*ShowAssignmentColor</formula>
    </cfRule>
  </conditionalFormatting>
  <conditionalFormatting sqref="D4199">
    <cfRule type="expression" dxfId="1528" priority="149276">
      <formula>(VALUE($B4199)&lt;1)*($B4199&lt;&gt;$B$7)*LEN(F$5)*(LEN(D4199)=0)*(LEN(F4198)=0)</formula>
    </cfRule>
    <cfRule type="expression" dxfId="1527" priority="149277">
      <formula>(VALUE($B4199)&lt;1)*($B4199&lt;&gt;$B$7)*LEN(F$5)</formula>
    </cfRule>
    <cfRule type="expression" dxfId="1526" priority="149278" stopIfTrue="1">
      <formula>IsEntireDay*ShowAssignmentName</formula>
    </cfRule>
    <cfRule type="expression" dxfId="1525" priority="149279" stopIfTrue="1">
      <formula>(1=IsColor)*ShowAssignmentName</formula>
    </cfRule>
    <cfRule type="expression" dxfId="1524" priority="149280" stopIfTrue="1">
      <formula>(1=IsColor)*ShowAssignmentColor</formula>
    </cfRule>
    <cfRule type="expression" dxfId="1523" priority="149281" stopIfTrue="1">
      <formula>(2=IsColor)*ShowAssignmentName</formula>
    </cfRule>
    <cfRule type="expression" dxfId="1522" priority="149282" stopIfTrue="1">
      <formula>(2=IsColor)*ShowAssignmentColor</formula>
    </cfRule>
    <cfRule type="expression" dxfId="1521" priority="149283" stopIfTrue="1">
      <formula>(3=IsColor)*ShowAssignmentName</formula>
    </cfRule>
    <cfRule type="expression" dxfId="1520" priority="149284" stopIfTrue="1">
      <formula>(3=IsColor)*ShowAssignmentColor</formula>
    </cfRule>
    <cfRule type="expression" dxfId="1519" priority="149285" stopIfTrue="1">
      <formula>(4=IsColor)*ShowAssignmentName</formula>
    </cfRule>
    <cfRule type="expression" dxfId="1518" priority="149286" stopIfTrue="1">
      <formula>(4=IsColor)*ShowAssignmentColor</formula>
    </cfRule>
    <cfRule type="expression" dxfId="1517" priority="149287" stopIfTrue="1">
      <formula>(5=IsColor)*ShowAssignmentName</formula>
    </cfRule>
    <cfRule type="expression" dxfId="1516" priority="149288" stopIfTrue="1">
      <formula>(5=IsColor)*ShowAssignmentColor</formula>
    </cfRule>
    <cfRule type="expression" dxfId="1515" priority="149289" stopIfTrue="1">
      <formula>(6=IsColor)*ShowAssignmentName</formula>
    </cfRule>
    <cfRule type="expression" dxfId="1514" priority="149290" stopIfTrue="1">
      <formula>(6=IsColor)*ShowAssignmentColor</formula>
    </cfRule>
    <cfRule type="expression" dxfId="1513" priority="149291" stopIfTrue="1">
      <formula>(7=IsColor)*ShowAssignmentName</formula>
    </cfRule>
    <cfRule type="expression" dxfId="1512" priority="149292" stopIfTrue="1">
      <formula>(7=IsColor)*ShowAssignmentColor</formula>
    </cfRule>
    <cfRule type="expression" dxfId="1511" priority="149293" stopIfTrue="1">
      <formula>(8=IsColor)*ShowAssignmentName</formula>
    </cfRule>
    <cfRule type="expression" dxfId="1510" priority="149294" stopIfTrue="1">
      <formula>(8=IsColor)*ShowAssignmentColor</formula>
    </cfRule>
    <cfRule type="expression" dxfId="1509" priority="149295" stopIfTrue="1">
      <formula>(9=IsColor)*ShowAssignmentName</formula>
    </cfRule>
    <cfRule type="expression" dxfId="1508" priority="149296" stopIfTrue="1">
      <formula>(9=IsColor)*ShowAssignmentColor</formula>
    </cfRule>
    <cfRule type="expression" dxfId="1507" priority="149297" stopIfTrue="1">
      <formula>(10=IsColor)*ShowAssignmentName</formula>
    </cfRule>
    <cfRule type="expression" dxfId="1506" priority="149298" stopIfTrue="1">
      <formula>(10=IsColor)*ShowAssignmentColor</formula>
    </cfRule>
    <cfRule type="expression" dxfId="1505" priority="149299" stopIfTrue="1">
      <formula>(11=IsColor)*ShowAssignmentName</formula>
    </cfRule>
    <cfRule type="expression" dxfId="1504" priority="149300" stopIfTrue="1">
      <formula>(11=IsColor)*ShowAssignmentColor</formula>
    </cfRule>
  </conditionalFormatting>
  <conditionalFormatting sqref="D4200:D4203">
    <cfRule type="expression" dxfId="1503" priority="149326">
      <formula>(VALUE($B4200)&lt;1)*($B4200&lt;&gt;$B$7)*LEN(F$5)*(LEN(D4200)=0)*(LEN(D4199)=0)</formula>
    </cfRule>
    <cfRule type="expression" dxfId="1502" priority="149327">
      <formula>(VALUE($B4200)&lt;1)*($B4200&lt;&gt;$B$7)*LEN(F$5)</formula>
    </cfRule>
    <cfRule type="expression" dxfId="1501" priority="149328" stopIfTrue="1">
      <formula>IsEntireDay*ShowAssignmentName</formula>
    </cfRule>
    <cfRule type="expression" dxfId="1500" priority="149329" stopIfTrue="1">
      <formula>(1=IsColor)*ShowAssignmentName</formula>
    </cfRule>
    <cfRule type="expression" dxfId="1499" priority="149330" stopIfTrue="1">
      <formula>(1=IsColor)*ShowAssignmentColor</formula>
    </cfRule>
    <cfRule type="expression" dxfId="1498" priority="149331" stopIfTrue="1">
      <formula>(2=IsColor)*ShowAssignmentName</formula>
    </cfRule>
    <cfRule type="expression" dxfId="1497" priority="149332" stopIfTrue="1">
      <formula>(2=IsColor)*ShowAssignmentColor</formula>
    </cfRule>
    <cfRule type="expression" dxfId="1496" priority="149333" stopIfTrue="1">
      <formula>(3=IsColor)*ShowAssignmentName</formula>
    </cfRule>
    <cfRule type="expression" dxfId="1495" priority="149334" stopIfTrue="1">
      <formula>(3=IsColor)*ShowAssignmentColor</formula>
    </cfRule>
    <cfRule type="expression" dxfId="1494" priority="149335" stopIfTrue="1">
      <formula>(4=IsColor)*ShowAssignmentName</formula>
    </cfRule>
    <cfRule type="expression" dxfId="1493" priority="149336" stopIfTrue="1">
      <formula>(4=IsColor)*ShowAssignmentColor</formula>
    </cfRule>
    <cfRule type="expression" dxfId="1492" priority="149337" stopIfTrue="1">
      <formula>(5=IsColor)*ShowAssignmentName</formula>
    </cfRule>
    <cfRule type="expression" dxfId="1491" priority="149338" stopIfTrue="1">
      <formula>(5=IsColor)*ShowAssignmentColor</formula>
    </cfRule>
    <cfRule type="expression" dxfId="1490" priority="149339" stopIfTrue="1">
      <formula>(6=IsColor)*ShowAssignmentName</formula>
    </cfRule>
    <cfRule type="expression" dxfId="1489" priority="149340" stopIfTrue="1">
      <formula>(6=IsColor)*ShowAssignmentColor</formula>
    </cfRule>
    <cfRule type="expression" dxfId="1488" priority="149341" stopIfTrue="1">
      <formula>(7=IsColor)*ShowAssignmentName</formula>
    </cfRule>
    <cfRule type="expression" dxfId="1487" priority="149342" stopIfTrue="1">
      <formula>(7=IsColor)*ShowAssignmentColor</formula>
    </cfRule>
    <cfRule type="expression" dxfId="1486" priority="149343" stopIfTrue="1">
      <formula>(8=IsColor)*ShowAssignmentName</formula>
    </cfRule>
    <cfRule type="expression" dxfId="1485" priority="149344" stopIfTrue="1">
      <formula>(8=IsColor)*ShowAssignmentColor</formula>
    </cfRule>
    <cfRule type="expression" dxfId="1484" priority="149345" stopIfTrue="1">
      <formula>(9=IsColor)*ShowAssignmentName</formula>
    </cfRule>
    <cfRule type="expression" dxfId="1483" priority="149346" stopIfTrue="1">
      <formula>(9=IsColor)*ShowAssignmentColor</formula>
    </cfRule>
    <cfRule type="expression" dxfId="1482" priority="149347" stopIfTrue="1">
      <formula>(10=IsColor)*ShowAssignmentName</formula>
    </cfRule>
    <cfRule type="expression" dxfId="1481" priority="149348" stopIfTrue="1">
      <formula>(10=IsColor)*ShowAssignmentColor</formula>
    </cfRule>
    <cfRule type="expression" dxfId="1480" priority="149349" stopIfTrue="1">
      <formula>(11=IsColor)*ShowAssignmentName</formula>
    </cfRule>
    <cfRule type="expression" dxfId="1479" priority="149350" stopIfTrue="1">
      <formula>(11=IsColor)*ShowAssignmentColor</formula>
    </cfRule>
  </conditionalFormatting>
  <conditionalFormatting sqref="D4204">
    <cfRule type="expression" dxfId="1478" priority="151026">
      <formula>(VALUE($B4200)&lt;1)*($B4200&lt;&gt;$B$7)*LEN(D$5)*(LEN(D4204)=0)*(LEN(#REF!)=0)</formula>
    </cfRule>
    <cfRule type="expression" dxfId="1477" priority="151027">
      <formula>(VALUE($B4200)&lt;1)*($B4200&lt;&gt;$B$7)*LEN(D$5)</formula>
    </cfRule>
    <cfRule type="expression" dxfId="1476" priority="151028" stopIfTrue="1">
      <formula>IsEntireDay*ShowAssignmentName</formula>
    </cfRule>
    <cfRule type="expression" dxfId="1475" priority="151029" stopIfTrue="1">
      <formula>(1=IsColor)*ShowAssignmentName</formula>
    </cfRule>
    <cfRule type="expression" dxfId="1474" priority="151030" stopIfTrue="1">
      <formula>(1=IsColor)*ShowAssignmentColor</formula>
    </cfRule>
    <cfRule type="expression" dxfId="1473" priority="151031" stopIfTrue="1">
      <formula>(2=IsColor)*ShowAssignmentName</formula>
    </cfRule>
    <cfRule type="expression" dxfId="1472" priority="151032" stopIfTrue="1">
      <formula>(2=IsColor)*ShowAssignmentColor</formula>
    </cfRule>
    <cfRule type="expression" dxfId="1471" priority="151033" stopIfTrue="1">
      <formula>(3=IsColor)*ShowAssignmentName</formula>
    </cfRule>
    <cfRule type="expression" dxfId="1470" priority="151034" stopIfTrue="1">
      <formula>(3=IsColor)*ShowAssignmentColor</formula>
    </cfRule>
    <cfRule type="expression" dxfId="1469" priority="151035" stopIfTrue="1">
      <formula>(4=IsColor)*ShowAssignmentName</formula>
    </cfRule>
    <cfRule type="expression" dxfId="1468" priority="151036" stopIfTrue="1">
      <formula>(4=IsColor)*ShowAssignmentColor</formula>
    </cfRule>
    <cfRule type="expression" dxfId="1467" priority="151037" stopIfTrue="1">
      <formula>(5=IsColor)*ShowAssignmentName</formula>
    </cfRule>
    <cfRule type="expression" dxfId="1466" priority="151038" stopIfTrue="1">
      <formula>(5=IsColor)*ShowAssignmentColor</formula>
    </cfRule>
    <cfRule type="expression" dxfId="1465" priority="151039" stopIfTrue="1">
      <formula>(6=IsColor)*ShowAssignmentName</formula>
    </cfRule>
    <cfRule type="expression" dxfId="1464" priority="151040" stopIfTrue="1">
      <formula>(6=IsColor)*ShowAssignmentColor</formula>
    </cfRule>
    <cfRule type="expression" dxfId="1463" priority="151041" stopIfTrue="1">
      <formula>(7=IsColor)*ShowAssignmentName</formula>
    </cfRule>
    <cfRule type="expression" dxfId="1462" priority="151042" stopIfTrue="1">
      <formula>(7=IsColor)*ShowAssignmentColor</formula>
    </cfRule>
    <cfRule type="expression" dxfId="1461" priority="151043" stopIfTrue="1">
      <formula>(8=IsColor)*ShowAssignmentName</formula>
    </cfRule>
    <cfRule type="expression" dxfId="1460" priority="151044" stopIfTrue="1">
      <formula>(8=IsColor)*ShowAssignmentColor</formula>
    </cfRule>
    <cfRule type="expression" dxfId="1459" priority="151045" stopIfTrue="1">
      <formula>(9=IsColor)*ShowAssignmentName</formula>
    </cfRule>
    <cfRule type="expression" dxfId="1458" priority="151046" stopIfTrue="1">
      <formula>(9=IsColor)*ShowAssignmentColor</formula>
    </cfRule>
    <cfRule type="expression" dxfId="1457" priority="151047" stopIfTrue="1">
      <formula>(10=IsColor)*ShowAssignmentName</formula>
    </cfRule>
    <cfRule type="expression" dxfId="1456" priority="151048" stopIfTrue="1">
      <formula>(10=IsColor)*ShowAssignmentColor</formula>
    </cfRule>
    <cfRule type="expression" dxfId="1455" priority="151049" stopIfTrue="1">
      <formula>(11=IsColor)*ShowAssignmentName</formula>
    </cfRule>
    <cfRule type="expression" dxfId="1454" priority="151050" stopIfTrue="1">
      <formula>(11=IsColor)*ShowAssignmentColor</formula>
    </cfRule>
  </conditionalFormatting>
  <conditionalFormatting sqref="E4541 E7032">
    <cfRule type="expression" dxfId="1453" priority="151201">
      <formula>(VALUE($B4541)&lt;1)*($B4541&lt;&gt;$B$7)*LEN(E$5)*(LEN(E4541)=0)*(LEN(#REF!)=0)</formula>
    </cfRule>
    <cfRule type="expression" dxfId="1452" priority="151202">
      <formula>(VALUE($B4541)&lt;1)*($B4541&lt;&gt;$B$7)*LEN(E$5)</formula>
    </cfRule>
    <cfRule type="expression" dxfId="1451" priority="151203" stopIfTrue="1">
      <formula>IsEntireDay*ShowAssignmentName</formula>
    </cfRule>
    <cfRule type="expression" dxfId="1450" priority="151204" stopIfTrue="1">
      <formula>(1=IsColor)*ShowAssignmentName</formula>
    </cfRule>
    <cfRule type="expression" dxfId="1449" priority="151205" stopIfTrue="1">
      <formula>(1=IsColor)*ShowAssignmentColor</formula>
    </cfRule>
    <cfRule type="expression" dxfId="1448" priority="151206" stopIfTrue="1">
      <formula>(2=IsColor)*ShowAssignmentName</formula>
    </cfRule>
    <cfRule type="expression" dxfId="1447" priority="151207" stopIfTrue="1">
      <formula>(2=IsColor)*ShowAssignmentColor</formula>
    </cfRule>
    <cfRule type="expression" dxfId="1446" priority="151208" stopIfTrue="1">
      <formula>(3=IsColor)*ShowAssignmentName</formula>
    </cfRule>
    <cfRule type="expression" dxfId="1445" priority="151209" stopIfTrue="1">
      <formula>(3=IsColor)*ShowAssignmentColor</formula>
    </cfRule>
    <cfRule type="expression" dxfId="1444" priority="151210" stopIfTrue="1">
      <formula>(4=IsColor)*ShowAssignmentName</formula>
    </cfRule>
    <cfRule type="expression" dxfId="1443" priority="151211" stopIfTrue="1">
      <formula>(4=IsColor)*ShowAssignmentColor</formula>
    </cfRule>
    <cfRule type="expression" dxfId="1442" priority="151212" stopIfTrue="1">
      <formula>(5=IsColor)*ShowAssignmentName</formula>
    </cfRule>
    <cfRule type="expression" dxfId="1441" priority="151213" stopIfTrue="1">
      <formula>(5=IsColor)*ShowAssignmentColor</formula>
    </cfRule>
    <cfRule type="expression" dxfId="1440" priority="151214" stopIfTrue="1">
      <formula>(6=IsColor)*ShowAssignmentName</formula>
    </cfRule>
    <cfRule type="expression" dxfId="1439" priority="151215" stopIfTrue="1">
      <formula>(6=IsColor)*ShowAssignmentColor</formula>
    </cfRule>
    <cfRule type="expression" dxfId="1438" priority="151216" stopIfTrue="1">
      <formula>(7=IsColor)*ShowAssignmentName</formula>
    </cfRule>
    <cfRule type="expression" dxfId="1437" priority="151217" stopIfTrue="1">
      <formula>(7=IsColor)*ShowAssignmentColor</formula>
    </cfRule>
    <cfRule type="expression" dxfId="1436" priority="151218" stopIfTrue="1">
      <formula>(8=IsColor)*ShowAssignmentName</formula>
    </cfRule>
    <cfRule type="expression" dxfId="1435" priority="151219" stopIfTrue="1">
      <formula>(8=IsColor)*ShowAssignmentColor</formula>
    </cfRule>
    <cfRule type="expression" dxfId="1434" priority="151220" stopIfTrue="1">
      <formula>(9=IsColor)*ShowAssignmentName</formula>
    </cfRule>
    <cfRule type="expression" dxfId="1433" priority="151221" stopIfTrue="1">
      <formula>(9=IsColor)*ShowAssignmentColor</formula>
    </cfRule>
    <cfRule type="expression" dxfId="1432" priority="151222" stopIfTrue="1">
      <formula>(10=IsColor)*ShowAssignmentName</formula>
    </cfRule>
    <cfRule type="expression" dxfId="1431" priority="151223" stopIfTrue="1">
      <formula>(10=IsColor)*ShowAssignmentColor</formula>
    </cfRule>
    <cfRule type="expression" dxfId="1430" priority="151224" stopIfTrue="1">
      <formula>(11=IsColor)*ShowAssignmentName</formula>
    </cfRule>
    <cfRule type="expression" dxfId="1429" priority="151225" stopIfTrue="1">
      <formula>(11=IsColor)*ShowAssignmentColor</formula>
    </cfRule>
  </conditionalFormatting>
  <conditionalFormatting sqref="F4308:F4315">
    <cfRule type="expression" dxfId="1428" priority="151801">
      <formula>(VALUE($B4316)&lt;1)*($B4316&lt;&gt;$B$7)*LEN(D$5)*(LEN(F4308)=0)*(LEN(F4307)=0)</formula>
    </cfRule>
    <cfRule type="expression" dxfId="1427" priority="151802">
      <formula>(VALUE($B4316)&lt;1)*($B4316&lt;&gt;$B$7)*LEN(D$5)</formula>
    </cfRule>
    <cfRule type="expression" dxfId="1426" priority="151803" stopIfTrue="1">
      <formula>IsEntireDay*ShowAssignmentName</formula>
    </cfRule>
    <cfRule type="expression" dxfId="1425" priority="151804" stopIfTrue="1">
      <formula>(1=IsColor)*ShowAssignmentName</formula>
    </cfRule>
    <cfRule type="expression" dxfId="1424" priority="151805" stopIfTrue="1">
      <formula>(1=IsColor)*ShowAssignmentColor</formula>
    </cfRule>
    <cfRule type="expression" dxfId="1423" priority="151806" stopIfTrue="1">
      <formula>(2=IsColor)*ShowAssignmentName</formula>
    </cfRule>
    <cfRule type="expression" dxfId="1422" priority="151807" stopIfTrue="1">
      <formula>(2=IsColor)*ShowAssignmentColor</formula>
    </cfRule>
    <cfRule type="expression" dxfId="1421" priority="151808" stopIfTrue="1">
      <formula>(3=IsColor)*ShowAssignmentName</formula>
    </cfRule>
    <cfRule type="expression" dxfId="1420" priority="151809" stopIfTrue="1">
      <formula>(3=IsColor)*ShowAssignmentColor</formula>
    </cfRule>
    <cfRule type="expression" dxfId="1419" priority="151810" stopIfTrue="1">
      <formula>(4=IsColor)*ShowAssignmentName</formula>
    </cfRule>
    <cfRule type="expression" dxfId="1418" priority="151811" stopIfTrue="1">
      <formula>(4=IsColor)*ShowAssignmentColor</formula>
    </cfRule>
    <cfRule type="expression" dxfId="1417" priority="151812" stopIfTrue="1">
      <formula>(5=IsColor)*ShowAssignmentName</formula>
    </cfRule>
    <cfRule type="expression" dxfId="1416" priority="151813" stopIfTrue="1">
      <formula>(5=IsColor)*ShowAssignmentColor</formula>
    </cfRule>
    <cfRule type="expression" dxfId="1415" priority="151814" stopIfTrue="1">
      <formula>(6=IsColor)*ShowAssignmentName</formula>
    </cfRule>
    <cfRule type="expression" dxfId="1414" priority="151815" stopIfTrue="1">
      <formula>(6=IsColor)*ShowAssignmentColor</formula>
    </cfRule>
    <cfRule type="expression" dxfId="1413" priority="151816" stopIfTrue="1">
      <formula>(7=IsColor)*ShowAssignmentName</formula>
    </cfRule>
    <cfRule type="expression" dxfId="1412" priority="151817" stopIfTrue="1">
      <formula>(7=IsColor)*ShowAssignmentColor</formula>
    </cfRule>
    <cfRule type="expression" dxfId="1411" priority="151818" stopIfTrue="1">
      <formula>(8=IsColor)*ShowAssignmentName</formula>
    </cfRule>
    <cfRule type="expression" dxfId="1410" priority="151819" stopIfTrue="1">
      <formula>(8=IsColor)*ShowAssignmentColor</formula>
    </cfRule>
    <cfRule type="expression" dxfId="1409" priority="151820" stopIfTrue="1">
      <formula>(9=IsColor)*ShowAssignmentName</formula>
    </cfRule>
    <cfRule type="expression" dxfId="1408" priority="151821" stopIfTrue="1">
      <formula>(9=IsColor)*ShowAssignmentColor</formula>
    </cfRule>
    <cfRule type="expression" dxfId="1407" priority="151822" stopIfTrue="1">
      <formula>(10=IsColor)*ShowAssignmentName</formula>
    </cfRule>
    <cfRule type="expression" dxfId="1406" priority="151823" stopIfTrue="1">
      <formula>(10=IsColor)*ShowAssignmentColor</formula>
    </cfRule>
    <cfRule type="expression" dxfId="1405" priority="151824" stopIfTrue="1">
      <formula>(11=IsColor)*ShowAssignmentName</formula>
    </cfRule>
    <cfRule type="expression" dxfId="1404" priority="151825" stopIfTrue="1">
      <formula>(11=IsColor)*ShowAssignmentColor</formula>
    </cfRule>
  </conditionalFormatting>
  <conditionalFormatting sqref="D4541 E4832 D7032">
    <cfRule type="expression" dxfId="1403" priority="152426">
      <formula>(VALUE($B4541)&lt;1)*($B4541&lt;&gt;$B$7)*LEN(D$5)*(LEN(D4541)=0)*(LEN(E4540)=0)</formula>
    </cfRule>
    <cfRule type="expression" dxfId="1402" priority="152427">
      <formula>(VALUE($B4541)&lt;1)*($B4541&lt;&gt;$B$7)*LEN(D$5)</formula>
    </cfRule>
    <cfRule type="expression" dxfId="1401" priority="152428" stopIfTrue="1">
      <formula>IsEntireDay*ShowAssignmentName</formula>
    </cfRule>
    <cfRule type="expression" dxfId="1400" priority="152429" stopIfTrue="1">
      <formula>(1=IsColor)*ShowAssignmentName</formula>
    </cfRule>
    <cfRule type="expression" dxfId="1399" priority="152430" stopIfTrue="1">
      <formula>(1=IsColor)*ShowAssignmentColor</formula>
    </cfRule>
    <cfRule type="expression" dxfId="1398" priority="152431" stopIfTrue="1">
      <formula>(2=IsColor)*ShowAssignmentName</formula>
    </cfRule>
    <cfRule type="expression" dxfId="1397" priority="152432" stopIfTrue="1">
      <formula>(2=IsColor)*ShowAssignmentColor</formula>
    </cfRule>
    <cfRule type="expression" dxfId="1396" priority="152433" stopIfTrue="1">
      <formula>(3=IsColor)*ShowAssignmentName</formula>
    </cfRule>
    <cfRule type="expression" dxfId="1395" priority="152434" stopIfTrue="1">
      <formula>(3=IsColor)*ShowAssignmentColor</formula>
    </cfRule>
    <cfRule type="expression" dxfId="1394" priority="152435" stopIfTrue="1">
      <formula>(4=IsColor)*ShowAssignmentName</formula>
    </cfRule>
    <cfRule type="expression" dxfId="1393" priority="152436" stopIfTrue="1">
      <formula>(4=IsColor)*ShowAssignmentColor</formula>
    </cfRule>
    <cfRule type="expression" dxfId="1392" priority="152437" stopIfTrue="1">
      <formula>(5=IsColor)*ShowAssignmentName</formula>
    </cfRule>
    <cfRule type="expression" dxfId="1391" priority="152438" stopIfTrue="1">
      <formula>(5=IsColor)*ShowAssignmentColor</formula>
    </cfRule>
    <cfRule type="expression" dxfId="1390" priority="152439" stopIfTrue="1">
      <formula>(6=IsColor)*ShowAssignmentName</formula>
    </cfRule>
    <cfRule type="expression" dxfId="1389" priority="152440" stopIfTrue="1">
      <formula>(6=IsColor)*ShowAssignmentColor</formula>
    </cfRule>
    <cfRule type="expression" dxfId="1388" priority="152441" stopIfTrue="1">
      <formula>(7=IsColor)*ShowAssignmentName</formula>
    </cfRule>
    <cfRule type="expression" dxfId="1387" priority="152442" stopIfTrue="1">
      <formula>(7=IsColor)*ShowAssignmentColor</formula>
    </cfRule>
    <cfRule type="expression" dxfId="1386" priority="152443" stopIfTrue="1">
      <formula>(8=IsColor)*ShowAssignmentName</formula>
    </cfRule>
    <cfRule type="expression" dxfId="1385" priority="152444" stopIfTrue="1">
      <formula>(8=IsColor)*ShowAssignmentColor</formula>
    </cfRule>
    <cfRule type="expression" dxfId="1384" priority="152445" stopIfTrue="1">
      <formula>(9=IsColor)*ShowAssignmentName</formula>
    </cfRule>
    <cfRule type="expression" dxfId="1383" priority="152446" stopIfTrue="1">
      <formula>(9=IsColor)*ShowAssignmentColor</formula>
    </cfRule>
    <cfRule type="expression" dxfId="1382" priority="152447" stopIfTrue="1">
      <formula>(10=IsColor)*ShowAssignmentName</formula>
    </cfRule>
    <cfRule type="expression" dxfId="1381" priority="152448" stopIfTrue="1">
      <formula>(10=IsColor)*ShowAssignmentColor</formula>
    </cfRule>
    <cfRule type="expression" dxfId="1380" priority="152449" stopIfTrue="1">
      <formula>(11=IsColor)*ShowAssignmentName</formula>
    </cfRule>
    <cfRule type="expression" dxfId="1379" priority="152450" stopIfTrue="1">
      <formula>(11=IsColor)*ShowAssignmentColor</formula>
    </cfRule>
  </conditionalFormatting>
  <conditionalFormatting sqref="D4540">
    <cfRule type="expression" dxfId="1378" priority="1812">
      <formula>LEN(D4540)&gt;0</formula>
    </cfRule>
  </conditionalFormatting>
  <conditionalFormatting sqref="B4671:B4719 E4671">
    <cfRule type="expression" dxfId="1377" priority="1786">
      <formula>(VALUE($B4671)&lt;1)*Periods</formula>
    </cfRule>
  </conditionalFormatting>
  <conditionalFormatting sqref="D4669:I4669">
    <cfRule type="expression" dxfId="1376" priority="1785">
      <formula>LEN(D4669)&gt;0</formula>
    </cfRule>
  </conditionalFormatting>
  <conditionalFormatting sqref="D4699:I4699">
    <cfRule type="expression" dxfId="1375" priority="1784">
      <formula>LEN(D4699)&gt;0</formula>
    </cfRule>
  </conditionalFormatting>
  <conditionalFormatting sqref="H4572:I4572">
    <cfRule type="expression" dxfId="1374" priority="1783">
      <formula>LEN(H4572)&gt;0</formula>
    </cfRule>
  </conditionalFormatting>
  <conditionalFormatting sqref="D4586">
    <cfRule type="expression" dxfId="1373" priority="1782">
      <formula>LEN(D4586)&gt;0</formula>
    </cfRule>
  </conditionalFormatting>
  <conditionalFormatting sqref="D4593">
    <cfRule type="expression" dxfId="1372" priority="1781">
      <formula>LEN(D4593)&gt;0</formula>
    </cfRule>
  </conditionalFormatting>
  <conditionalFormatting sqref="E4308 F4787:F4788 F6960:F6975 E6218:E6219 F6214:F6236 E6237:E6239">
    <cfRule type="expression" dxfId="1371" priority="153076">
      <formula>(VALUE($B4304)&lt;1)*($B4304&lt;&gt;$B$7)*LEN(E$5)*(LEN(E4308)=0)*(LEN(E4303)=0)</formula>
    </cfRule>
    <cfRule type="expression" dxfId="1370" priority="153077">
      <formula>(VALUE($B4304)&lt;1)*($B4304&lt;&gt;$B$7)*LEN(E$5)</formula>
    </cfRule>
    <cfRule type="expression" dxfId="1369" priority="153078" stopIfTrue="1">
      <formula>IsEntireDay*ShowAssignmentName</formula>
    </cfRule>
    <cfRule type="expression" dxfId="1368" priority="153079" stopIfTrue="1">
      <formula>(1=IsColor)*ShowAssignmentName</formula>
    </cfRule>
    <cfRule type="expression" dxfId="1367" priority="153080" stopIfTrue="1">
      <formula>(1=IsColor)*ShowAssignmentColor</formula>
    </cfRule>
    <cfRule type="expression" dxfId="1366" priority="153081" stopIfTrue="1">
      <formula>(2=IsColor)*ShowAssignmentName</formula>
    </cfRule>
    <cfRule type="expression" dxfId="1365" priority="153082" stopIfTrue="1">
      <formula>(2=IsColor)*ShowAssignmentColor</formula>
    </cfRule>
    <cfRule type="expression" dxfId="1364" priority="153083" stopIfTrue="1">
      <formula>(3=IsColor)*ShowAssignmentName</formula>
    </cfRule>
    <cfRule type="expression" dxfId="1363" priority="153084" stopIfTrue="1">
      <formula>(3=IsColor)*ShowAssignmentColor</formula>
    </cfRule>
    <cfRule type="expression" dxfId="1362" priority="153085" stopIfTrue="1">
      <formula>(4=IsColor)*ShowAssignmentName</formula>
    </cfRule>
    <cfRule type="expression" dxfId="1361" priority="153086" stopIfTrue="1">
      <formula>(4=IsColor)*ShowAssignmentColor</formula>
    </cfRule>
    <cfRule type="expression" dxfId="1360" priority="153087" stopIfTrue="1">
      <formula>(5=IsColor)*ShowAssignmentName</formula>
    </cfRule>
    <cfRule type="expression" dxfId="1359" priority="153088" stopIfTrue="1">
      <formula>(5=IsColor)*ShowAssignmentColor</formula>
    </cfRule>
    <cfRule type="expression" dxfId="1358" priority="153089" stopIfTrue="1">
      <formula>(6=IsColor)*ShowAssignmentName</formula>
    </cfRule>
    <cfRule type="expression" dxfId="1357" priority="153090" stopIfTrue="1">
      <formula>(6=IsColor)*ShowAssignmentColor</formula>
    </cfRule>
    <cfRule type="expression" dxfId="1356" priority="153091" stopIfTrue="1">
      <formula>(7=IsColor)*ShowAssignmentName</formula>
    </cfRule>
    <cfRule type="expression" dxfId="1355" priority="153092" stopIfTrue="1">
      <formula>(7=IsColor)*ShowAssignmentColor</formula>
    </cfRule>
    <cfRule type="expression" dxfId="1354" priority="153093" stopIfTrue="1">
      <formula>(8=IsColor)*ShowAssignmentName</formula>
    </cfRule>
    <cfRule type="expression" dxfId="1353" priority="153094" stopIfTrue="1">
      <formula>(8=IsColor)*ShowAssignmentColor</formula>
    </cfRule>
    <cfRule type="expression" dxfId="1352" priority="153095" stopIfTrue="1">
      <formula>(9=IsColor)*ShowAssignmentName</formula>
    </cfRule>
    <cfRule type="expression" dxfId="1351" priority="153096" stopIfTrue="1">
      <formula>(9=IsColor)*ShowAssignmentColor</formula>
    </cfRule>
    <cfRule type="expression" dxfId="1350" priority="153097" stopIfTrue="1">
      <formula>(10=IsColor)*ShowAssignmentName</formula>
    </cfRule>
    <cfRule type="expression" dxfId="1349" priority="153098" stopIfTrue="1">
      <formula>(10=IsColor)*ShowAssignmentColor</formula>
    </cfRule>
    <cfRule type="expression" dxfId="1348" priority="153099" stopIfTrue="1">
      <formula>(11=IsColor)*ShowAssignmentName</formula>
    </cfRule>
    <cfRule type="expression" dxfId="1347" priority="153100" stopIfTrue="1">
      <formula>(11=IsColor)*ShowAssignmentColor</formula>
    </cfRule>
  </conditionalFormatting>
  <conditionalFormatting sqref="D4327:E4327">
    <cfRule type="expression" dxfId="1346" priority="153126">
      <formula>(VALUE($B4327)&lt;1)*($B4327&lt;&gt;$B$7)*LEN(D$5)*(LEN(D4327)=0)*(LEN(#REF!)=0)</formula>
    </cfRule>
    <cfRule type="expression" dxfId="1345" priority="153127">
      <formula>(VALUE($B4327)&lt;1)*($B4327&lt;&gt;$B$7)*LEN(D$5)</formula>
    </cfRule>
    <cfRule type="expression" dxfId="1344" priority="153128" stopIfTrue="1">
      <formula>IsEntireDay*ShowAssignmentName</formula>
    </cfRule>
    <cfRule type="expression" dxfId="1343" priority="153129" stopIfTrue="1">
      <formula>(1=IsColor)*ShowAssignmentName</formula>
    </cfRule>
    <cfRule type="expression" dxfId="1342" priority="153130" stopIfTrue="1">
      <formula>(1=IsColor)*ShowAssignmentColor</formula>
    </cfRule>
    <cfRule type="expression" dxfId="1341" priority="153131" stopIfTrue="1">
      <formula>(2=IsColor)*ShowAssignmentName</formula>
    </cfRule>
    <cfRule type="expression" dxfId="1340" priority="153132" stopIfTrue="1">
      <formula>(2=IsColor)*ShowAssignmentColor</formula>
    </cfRule>
    <cfRule type="expression" dxfId="1339" priority="153133" stopIfTrue="1">
      <formula>(3=IsColor)*ShowAssignmentName</formula>
    </cfRule>
    <cfRule type="expression" dxfId="1338" priority="153134" stopIfTrue="1">
      <formula>(3=IsColor)*ShowAssignmentColor</formula>
    </cfRule>
    <cfRule type="expression" dxfId="1337" priority="153135" stopIfTrue="1">
      <formula>(4=IsColor)*ShowAssignmentName</formula>
    </cfRule>
    <cfRule type="expression" dxfId="1336" priority="153136" stopIfTrue="1">
      <formula>(4=IsColor)*ShowAssignmentColor</formula>
    </cfRule>
    <cfRule type="expression" dxfId="1335" priority="153137" stopIfTrue="1">
      <formula>(5=IsColor)*ShowAssignmentName</formula>
    </cfRule>
    <cfRule type="expression" dxfId="1334" priority="153138" stopIfTrue="1">
      <formula>(5=IsColor)*ShowAssignmentColor</formula>
    </cfRule>
    <cfRule type="expression" dxfId="1333" priority="153139" stopIfTrue="1">
      <formula>(6=IsColor)*ShowAssignmentName</formula>
    </cfRule>
    <cfRule type="expression" dxfId="1332" priority="153140" stopIfTrue="1">
      <formula>(6=IsColor)*ShowAssignmentColor</formula>
    </cfRule>
    <cfRule type="expression" dxfId="1331" priority="153141" stopIfTrue="1">
      <formula>(7=IsColor)*ShowAssignmentName</formula>
    </cfRule>
    <cfRule type="expression" dxfId="1330" priority="153142" stopIfTrue="1">
      <formula>(7=IsColor)*ShowAssignmentColor</formula>
    </cfRule>
    <cfRule type="expression" dxfId="1329" priority="153143" stopIfTrue="1">
      <formula>(8=IsColor)*ShowAssignmentName</formula>
    </cfRule>
    <cfRule type="expression" dxfId="1328" priority="153144" stopIfTrue="1">
      <formula>(8=IsColor)*ShowAssignmentColor</formula>
    </cfRule>
    <cfRule type="expression" dxfId="1327" priority="153145" stopIfTrue="1">
      <formula>(9=IsColor)*ShowAssignmentName</formula>
    </cfRule>
    <cfRule type="expression" dxfId="1326" priority="153146" stopIfTrue="1">
      <formula>(9=IsColor)*ShowAssignmentColor</formula>
    </cfRule>
    <cfRule type="expression" dxfId="1325" priority="153147" stopIfTrue="1">
      <formula>(10=IsColor)*ShowAssignmentName</formula>
    </cfRule>
    <cfRule type="expression" dxfId="1324" priority="153148" stopIfTrue="1">
      <formula>(10=IsColor)*ShowAssignmentColor</formula>
    </cfRule>
    <cfRule type="expression" dxfId="1323" priority="153149" stopIfTrue="1">
      <formula>(11=IsColor)*ShowAssignmentName</formula>
    </cfRule>
    <cfRule type="expression" dxfId="1322" priority="153150" stopIfTrue="1">
      <formula>(11=IsColor)*ShowAssignmentColor</formula>
    </cfRule>
  </conditionalFormatting>
  <conditionalFormatting sqref="D4724:D4725 E4725 D4726:E4731 E4752:F4752 D4750:F4751 G4750:I4752 D4756:D4758 E4753:I4758 D4732:I4749 D4759:I4772 F4724:I4731">
    <cfRule type="expression" dxfId="1321" priority="1756">
      <formula>(VALUE($B4724)&lt;1)*($B4724&lt;&gt;$B$7)*LEN(D$5)*(LEN(D4724)=0)*(LEN(D4723)=0)</formula>
    </cfRule>
    <cfRule type="expression" dxfId="1320" priority="1757">
      <formula>(VALUE($B4724)&lt;1)*($B4724&lt;&gt;$B$7)*LEN(D$5)</formula>
    </cfRule>
    <cfRule type="expression" dxfId="1319" priority="1758" stopIfTrue="1">
      <formula>IsEntireDay*ShowAssignmentName</formula>
    </cfRule>
    <cfRule type="expression" dxfId="1318" priority="1759" stopIfTrue="1">
      <formula>(1=IsColor)*ShowAssignmentName</formula>
    </cfRule>
    <cfRule type="expression" dxfId="1317" priority="1760" stopIfTrue="1">
      <formula>(1=IsColor)*ShowAssignmentColor</formula>
    </cfRule>
    <cfRule type="expression" dxfId="1316" priority="1761" stopIfTrue="1">
      <formula>(2=IsColor)*ShowAssignmentName</formula>
    </cfRule>
    <cfRule type="expression" dxfId="1315" priority="1762" stopIfTrue="1">
      <formula>(2=IsColor)*ShowAssignmentColor</formula>
    </cfRule>
    <cfRule type="expression" dxfId="1314" priority="1763" stopIfTrue="1">
      <formula>(3=IsColor)*ShowAssignmentName</formula>
    </cfRule>
    <cfRule type="expression" dxfId="1313" priority="1764" stopIfTrue="1">
      <formula>(3=IsColor)*ShowAssignmentColor</formula>
    </cfRule>
    <cfRule type="expression" dxfId="1312" priority="1765" stopIfTrue="1">
      <formula>(4=IsColor)*ShowAssignmentName</formula>
    </cfRule>
    <cfRule type="expression" dxfId="1311" priority="1766" stopIfTrue="1">
      <formula>(4=IsColor)*ShowAssignmentColor</formula>
    </cfRule>
    <cfRule type="expression" dxfId="1310" priority="1767" stopIfTrue="1">
      <formula>(5=IsColor)*ShowAssignmentName</formula>
    </cfRule>
    <cfRule type="expression" dxfId="1309" priority="1768" stopIfTrue="1">
      <formula>(5=IsColor)*ShowAssignmentColor</formula>
    </cfRule>
    <cfRule type="expression" dxfId="1308" priority="1769" stopIfTrue="1">
      <formula>(6=IsColor)*ShowAssignmentName</formula>
    </cfRule>
    <cfRule type="expression" dxfId="1307" priority="1770" stopIfTrue="1">
      <formula>(6=IsColor)*ShowAssignmentColor</formula>
    </cfRule>
    <cfRule type="expression" dxfId="1306" priority="1771" stopIfTrue="1">
      <formula>(7=IsColor)*ShowAssignmentName</formula>
    </cfRule>
    <cfRule type="expression" dxfId="1305" priority="1772" stopIfTrue="1">
      <formula>(7=IsColor)*ShowAssignmentColor</formula>
    </cfRule>
    <cfRule type="expression" dxfId="1304" priority="1773" stopIfTrue="1">
      <formula>(8=IsColor)*ShowAssignmentName</formula>
    </cfRule>
    <cfRule type="expression" dxfId="1303" priority="1774" stopIfTrue="1">
      <formula>(8=IsColor)*ShowAssignmentColor</formula>
    </cfRule>
    <cfRule type="expression" dxfId="1302" priority="1775" stopIfTrue="1">
      <formula>(9=IsColor)*ShowAssignmentName</formula>
    </cfRule>
    <cfRule type="expression" dxfId="1301" priority="1776" stopIfTrue="1">
      <formula>(9=IsColor)*ShowAssignmentColor</formula>
    </cfRule>
    <cfRule type="expression" dxfId="1300" priority="1777" stopIfTrue="1">
      <formula>(10=IsColor)*ShowAssignmentName</formula>
    </cfRule>
    <cfRule type="expression" dxfId="1299" priority="1778" stopIfTrue="1">
      <formula>(10=IsColor)*ShowAssignmentColor</formula>
    </cfRule>
    <cfRule type="expression" dxfId="1298" priority="1779" stopIfTrue="1">
      <formula>(11=IsColor)*ShowAssignmentName</formula>
    </cfRule>
    <cfRule type="expression" dxfId="1297" priority="1780" stopIfTrue="1">
      <formula>(11=IsColor)*ShowAssignmentColor</formula>
    </cfRule>
  </conditionalFormatting>
  <conditionalFormatting sqref="B4724:B4772 E4724">
    <cfRule type="expression" dxfId="1296" priority="1755">
      <formula>(VALUE($B4724)&lt;1)*Periods</formula>
    </cfRule>
  </conditionalFormatting>
  <conditionalFormatting sqref="D4722:I4722">
    <cfRule type="expression" dxfId="1295" priority="1754">
      <formula>LEN(D4722)&gt;0</formula>
    </cfRule>
  </conditionalFormatting>
  <conditionalFormatting sqref="D4752">
    <cfRule type="expression" dxfId="1294" priority="1753">
      <formula>LEN(D4752)&gt;0</formula>
    </cfRule>
  </conditionalFormatting>
  <conditionalFormatting sqref="D4753:D4755">
    <cfRule type="expression" dxfId="1293" priority="1703">
      <formula>(VALUE($B4753)&lt;1)*($B4753&lt;&gt;$B$7)*LEN(D$5)*(LEN(D4753)=0)*(LEN(D4752)=0)</formula>
    </cfRule>
    <cfRule type="expression" dxfId="1292" priority="1704">
      <formula>(VALUE($B4753)&lt;1)*($B4753&lt;&gt;$B$7)*LEN(D$5)</formula>
    </cfRule>
    <cfRule type="expression" dxfId="1291" priority="1705" stopIfTrue="1">
      <formula>IsEntireDay*ShowAssignmentName</formula>
    </cfRule>
    <cfRule type="expression" dxfId="1290" priority="1706" stopIfTrue="1">
      <formula>(1=IsColor)*ShowAssignmentName</formula>
    </cfRule>
    <cfRule type="expression" dxfId="1289" priority="1707" stopIfTrue="1">
      <formula>(1=IsColor)*ShowAssignmentColor</formula>
    </cfRule>
    <cfRule type="expression" dxfId="1288" priority="1708" stopIfTrue="1">
      <formula>(2=IsColor)*ShowAssignmentName</formula>
    </cfRule>
    <cfRule type="expression" dxfId="1287" priority="1709" stopIfTrue="1">
      <formula>(2=IsColor)*ShowAssignmentColor</formula>
    </cfRule>
    <cfRule type="expression" dxfId="1286" priority="1710" stopIfTrue="1">
      <formula>(3=IsColor)*ShowAssignmentName</formula>
    </cfRule>
    <cfRule type="expression" dxfId="1285" priority="1711" stopIfTrue="1">
      <formula>(3=IsColor)*ShowAssignmentColor</formula>
    </cfRule>
    <cfRule type="expression" dxfId="1284" priority="1712" stopIfTrue="1">
      <formula>(4=IsColor)*ShowAssignmentName</formula>
    </cfRule>
    <cfRule type="expression" dxfId="1283" priority="1713" stopIfTrue="1">
      <formula>(4=IsColor)*ShowAssignmentColor</formula>
    </cfRule>
    <cfRule type="expression" dxfId="1282" priority="1714" stopIfTrue="1">
      <formula>(5=IsColor)*ShowAssignmentName</formula>
    </cfRule>
    <cfRule type="expression" dxfId="1281" priority="1715" stopIfTrue="1">
      <formula>(5=IsColor)*ShowAssignmentColor</formula>
    </cfRule>
    <cfRule type="expression" dxfId="1280" priority="1716" stopIfTrue="1">
      <formula>(6=IsColor)*ShowAssignmentName</formula>
    </cfRule>
    <cfRule type="expression" dxfId="1279" priority="1717" stopIfTrue="1">
      <formula>(6=IsColor)*ShowAssignmentColor</formula>
    </cfRule>
    <cfRule type="expression" dxfId="1278" priority="1718" stopIfTrue="1">
      <formula>(7=IsColor)*ShowAssignmentName</formula>
    </cfRule>
    <cfRule type="expression" dxfId="1277" priority="1719" stopIfTrue="1">
      <formula>(7=IsColor)*ShowAssignmentColor</formula>
    </cfRule>
    <cfRule type="expression" dxfId="1276" priority="1720" stopIfTrue="1">
      <formula>(8=IsColor)*ShowAssignmentName</formula>
    </cfRule>
    <cfRule type="expression" dxfId="1275" priority="1721" stopIfTrue="1">
      <formula>(8=IsColor)*ShowAssignmentColor</formula>
    </cfRule>
    <cfRule type="expression" dxfId="1274" priority="1722" stopIfTrue="1">
      <formula>(9=IsColor)*ShowAssignmentName</formula>
    </cfRule>
    <cfRule type="expression" dxfId="1273" priority="1723" stopIfTrue="1">
      <formula>(9=IsColor)*ShowAssignmentColor</formula>
    </cfRule>
    <cfRule type="expression" dxfId="1272" priority="1724" stopIfTrue="1">
      <formula>(10=IsColor)*ShowAssignmentName</formula>
    </cfRule>
    <cfRule type="expression" dxfId="1271" priority="1725" stopIfTrue="1">
      <formula>(10=IsColor)*ShowAssignmentColor</formula>
    </cfRule>
    <cfRule type="expression" dxfId="1270" priority="1726" stopIfTrue="1">
      <formula>(11=IsColor)*ShowAssignmentName</formula>
    </cfRule>
    <cfRule type="expression" dxfId="1269" priority="1727" stopIfTrue="1">
      <formula>(11=IsColor)*ShowAssignmentColor</formula>
    </cfRule>
  </conditionalFormatting>
  <conditionalFormatting sqref="D4775:H4775">
    <cfRule type="expression" dxfId="1268" priority="1702">
      <formula>LEN(D4775)&gt;0</formula>
    </cfRule>
  </conditionalFormatting>
  <conditionalFormatting sqref="D4830:D4831 D4883:D4884 D4936:D4937">
    <cfRule type="expression" dxfId="1267" priority="1677">
      <formula>(VALUE($B4830)&lt;1)*($B4830&lt;&gt;$B$7)*LEN(D$5)*(LEN(D4830)=0)*(LEN(D4829)=0)</formula>
    </cfRule>
    <cfRule type="expression" dxfId="1266" priority="1678">
      <formula>(VALUE($B4830)&lt;1)*($B4830&lt;&gt;$B$7)*LEN(D$5)</formula>
    </cfRule>
    <cfRule type="expression" dxfId="1265" priority="1679" stopIfTrue="1">
      <formula>IsEntireDay*ShowAssignmentName</formula>
    </cfRule>
    <cfRule type="expression" dxfId="1264" priority="1680" stopIfTrue="1">
      <formula>(1=IsColor)*ShowAssignmentName</formula>
    </cfRule>
    <cfRule type="expression" dxfId="1263" priority="1681" stopIfTrue="1">
      <formula>(1=IsColor)*ShowAssignmentColor</formula>
    </cfRule>
    <cfRule type="expression" dxfId="1262" priority="1682" stopIfTrue="1">
      <formula>(2=IsColor)*ShowAssignmentName</formula>
    </cfRule>
    <cfRule type="expression" dxfId="1261" priority="1683" stopIfTrue="1">
      <formula>(2=IsColor)*ShowAssignmentColor</formula>
    </cfRule>
    <cfRule type="expression" dxfId="1260" priority="1684" stopIfTrue="1">
      <formula>(3=IsColor)*ShowAssignmentName</formula>
    </cfRule>
    <cfRule type="expression" dxfId="1259" priority="1685" stopIfTrue="1">
      <formula>(3=IsColor)*ShowAssignmentColor</formula>
    </cfRule>
    <cfRule type="expression" dxfId="1258" priority="1686" stopIfTrue="1">
      <formula>(4=IsColor)*ShowAssignmentName</formula>
    </cfRule>
    <cfRule type="expression" dxfId="1257" priority="1687" stopIfTrue="1">
      <formula>(4=IsColor)*ShowAssignmentColor</formula>
    </cfRule>
    <cfRule type="expression" dxfId="1256" priority="1688" stopIfTrue="1">
      <formula>(5=IsColor)*ShowAssignmentName</formula>
    </cfRule>
    <cfRule type="expression" dxfId="1255" priority="1689" stopIfTrue="1">
      <formula>(5=IsColor)*ShowAssignmentColor</formula>
    </cfRule>
    <cfRule type="expression" dxfId="1254" priority="1690" stopIfTrue="1">
      <formula>(6=IsColor)*ShowAssignmentName</formula>
    </cfRule>
    <cfRule type="expression" dxfId="1253" priority="1691" stopIfTrue="1">
      <formula>(6=IsColor)*ShowAssignmentColor</formula>
    </cfRule>
    <cfRule type="expression" dxfId="1252" priority="1692" stopIfTrue="1">
      <formula>(7=IsColor)*ShowAssignmentName</formula>
    </cfRule>
    <cfRule type="expression" dxfId="1251" priority="1693" stopIfTrue="1">
      <formula>(7=IsColor)*ShowAssignmentColor</formula>
    </cfRule>
    <cfRule type="expression" dxfId="1250" priority="1694" stopIfTrue="1">
      <formula>(8=IsColor)*ShowAssignmentName</formula>
    </cfRule>
    <cfRule type="expression" dxfId="1249" priority="1695" stopIfTrue="1">
      <formula>(8=IsColor)*ShowAssignmentColor</formula>
    </cfRule>
    <cfRule type="expression" dxfId="1248" priority="1696" stopIfTrue="1">
      <formula>(9=IsColor)*ShowAssignmentName</formula>
    </cfRule>
    <cfRule type="expression" dxfId="1247" priority="1697" stopIfTrue="1">
      <formula>(9=IsColor)*ShowAssignmentColor</formula>
    </cfRule>
    <cfRule type="expression" dxfId="1246" priority="1698" stopIfTrue="1">
      <formula>(10=IsColor)*ShowAssignmentName</formula>
    </cfRule>
    <cfRule type="expression" dxfId="1245" priority="1699" stopIfTrue="1">
      <formula>(10=IsColor)*ShowAssignmentColor</formula>
    </cfRule>
    <cfRule type="expression" dxfId="1244" priority="1700" stopIfTrue="1">
      <formula>(11=IsColor)*ShowAssignmentName</formula>
    </cfRule>
    <cfRule type="expression" dxfId="1243" priority="1701" stopIfTrue="1">
      <formula>(11=IsColor)*ShowAssignmentColor</formula>
    </cfRule>
  </conditionalFormatting>
  <conditionalFormatting sqref="E4830 E4883 E4936">
    <cfRule type="expression" dxfId="1242" priority="1676">
      <formula>(VALUE($B4830)&lt;1)*Periods</formula>
    </cfRule>
  </conditionalFormatting>
  <conditionalFormatting sqref="D4828:H4828 D4934:H4934 D4881:I4881">
    <cfRule type="expression" dxfId="1241" priority="1675">
      <formula>LEN(D4828)&gt;0</formula>
    </cfRule>
  </conditionalFormatting>
  <conditionalFormatting sqref="G4964">
    <cfRule type="expression" dxfId="1240" priority="1674">
      <formula>LEN(G4964)&gt;0</formula>
    </cfRule>
  </conditionalFormatting>
  <conditionalFormatting sqref="B4777:B4825">
    <cfRule type="expression" dxfId="1239" priority="1673">
      <formula>(VALUE($B4777)&lt;1)*Periods</formula>
    </cfRule>
  </conditionalFormatting>
  <conditionalFormatting sqref="B4830:B4878">
    <cfRule type="expression" dxfId="1238" priority="1672">
      <formula>(VALUE($B4830)&lt;1)*Periods</formula>
    </cfRule>
  </conditionalFormatting>
  <conditionalFormatting sqref="B4883:B4931">
    <cfRule type="expression" dxfId="1237" priority="1671">
      <formula>(VALUE($B4883)&lt;1)*Periods</formula>
    </cfRule>
  </conditionalFormatting>
  <conditionalFormatting sqref="B4936:B4984">
    <cfRule type="expression" dxfId="1236" priority="1670">
      <formula>(VALUE($B4936)&lt;1)*Periods</formula>
    </cfRule>
  </conditionalFormatting>
  <conditionalFormatting sqref="E4805">
    <cfRule type="expression" dxfId="1235" priority="1669">
      <formula>LEN(E4805)&gt;0</formula>
    </cfRule>
  </conditionalFormatting>
  <conditionalFormatting sqref="D4805">
    <cfRule type="expression" dxfId="1234" priority="1668">
      <formula>LEN(D4805)&gt;0</formula>
    </cfRule>
  </conditionalFormatting>
  <conditionalFormatting sqref="G4805">
    <cfRule type="expression" dxfId="1233" priority="1667">
      <formula>LEN(G4805)&gt;0</formula>
    </cfRule>
  </conditionalFormatting>
  <conditionalFormatting sqref="D4858">
    <cfRule type="expression" dxfId="1232" priority="1666">
      <formula>LEN(D4858)&gt;0</formula>
    </cfRule>
  </conditionalFormatting>
  <conditionalFormatting sqref="F4858:G4858">
    <cfRule type="expression" dxfId="1231" priority="1665">
      <formula>LEN(F4858)&gt;0</formula>
    </cfRule>
  </conditionalFormatting>
  <conditionalFormatting sqref="F4832 F4789:F4800">
    <cfRule type="expression" dxfId="1230" priority="153576">
      <formula>(VALUE($B4789)&lt;1)*($B4789&lt;&gt;$B$7)*LEN(F$5)*(LEN(F4789)=0)*(LEN(#REF!)=0)</formula>
    </cfRule>
    <cfRule type="expression" dxfId="1229" priority="153577">
      <formula>(VALUE($B4789)&lt;1)*($B4789&lt;&gt;$B$7)*LEN(F$5)</formula>
    </cfRule>
    <cfRule type="expression" dxfId="1228" priority="153578" stopIfTrue="1">
      <formula>IsEntireDay*ShowAssignmentName</formula>
    </cfRule>
    <cfRule type="expression" dxfId="1227" priority="153579" stopIfTrue="1">
      <formula>(1=IsColor)*ShowAssignmentName</formula>
    </cfRule>
    <cfRule type="expression" dxfId="1226" priority="153580" stopIfTrue="1">
      <formula>(1=IsColor)*ShowAssignmentColor</formula>
    </cfRule>
    <cfRule type="expression" dxfId="1225" priority="153581" stopIfTrue="1">
      <formula>(2=IsColor)*ShowAssignmentName</formula>
    </cfRule>
    <cfRule type="expression" dxfId="1224" priority="153582" stopIfTrue="1">
      <formula>(2=IsColor)*ShowAssignmentColor</formula>
    </cfRule>
    <cfRule type="expression" dxfId="1223" priority="153583" stopIfTrue="1">
      <formula>(3=IsColor)*ShowAssignmentName</formula>
    </cfRule>
    <cfRule type="expression" dxfId="1222" priority="153584" stopIfTrue="1">
      <formula>(3=IsColor)*ShowAssignmentColor</formula>
    </cfRule>
    <cfRule type="expression" dxfId="1221" priority="153585" stopIfTrue="1">
      <formula>(4=IsColor)*ShowAssignmentName</formula>
    </cfRule>
    <cfRule type="expression" dxfId="1220" priority="153586" stopIfTrue="1">
      <formula>(4=IsColor)*ShowAssignmentColor</formula>
    </cfRule>
    <cfRule type="expression" dxfId="1219" priority="153587" stopIfTrue="1">
      <formula>(5=IsColor)*ShowAssignmentName</formula>
    </cfRule>
    <cfRule type="expression" dxfId="1218" priority="153588" stopIfTrue="1">
      <formula>(5=IsColor)*ShowAssignmentColor</formula>
    </cfRule>
    <cfRule type="expression" dxfId="1217" priority="153589" stopIfTrue="1">
      <formula>(6=IsColor)*ShowAssignmentName</formula>
    </cfRule>
    <cfRule type="expression" dxfId="1216" priority="153590" stopIfTrue="1">
      <formula>(6=IsColor)*ShowAssignmentColor</formula>
    </cfRule>
    <cfRule type="expression" dxfId="1215" priority="153591" stopIfTrue="1">
      <formula>(7=IsColor)*ShowAssignmentName</formula>
    </cfRule>
    <cfRule type="expression" dxfId="1214" priority="153592" stopIfTrue="1">
      <formula>(7=IsColor)*ShowAssignmentColor</formula>
    </cfRule>
    <cfRule type="expression" dxfId="1213" priority="153593" stopIfTrue="1">
      <formula>(8=IsColor)*ShowAssignmentName</formula>
    </cfRule>
    <cfRule type="expression" dxfId="1212" priority="153594" stopIfTrue="1">
      <formula>(8=IsColor)*ShowAssignmentColor</formula>
    </cfRule>
    <cfRule type="expression" dxfId="1211" priority="153595" stopIfTrue="1">
      <formula>(9=IsColor)*ShowAssignmentName</formula>
    </cfRule>
    <cfRule type="expression" dxfId="1210" priority="153596" stopIfTrue="1">
      <formula>(9=IsColor)*ShowAssignmentColor</formula>
    </cfRule>
    <cfRule type="expression" dxfId="1209" priority="153597" stopIfTrue="1">
      <formula>(10=IsColor)*ShowAssignmentName</formula>
    </cfRule>
    <cfRule type="expression" dxfId="1208" priority="153598" stopIfTrue="1">
      <formula>(10=IsColor)*ShowAssignmentColor</formula>
    </cfRule>
    <cfRule type="expression" dxfId="1207" priority="153599" stopIfTrue="1">
      <formula>(11=IsColor)*ShowAssignmentName</formula>
    </cfRule>
    <cfRule type="expression" dxfId="1206" priority="153600" stopIfTrue="1">
      <formula>(11=IsColor)*ShowAssignmentColor</formula>
    </cfRule>
  </conditionalFormatting>
  <conditionalFormatting sqref="F4785:F4786">
    <cfRule type="expression" dxfId="1205" priority="1613">
      <formula>(VALUE($B4785)&lt;1)*($B4785&lt;&gt;$B$7)*LEN(F$5)*(LEN(F4785)=0)*(LEN(F4784)=0)</formula>
    </cfRule>
    <cfRule type="expression" dxfId="1204" priority="1614">
      <formula>(VALUE($B4785)&lt;1)*($B4785&lt;&gt;$B$7)*LEN(F$5)</formula>
    </cfRule>
    <cfRule type="expression" dxfId="1203" priority="1615" stopIfTrue="1">
      <formula>IsEntireDay*ShowAssignmentName</formula>
    </cfRule>
    <cfRule type="expression" dxfId="1202" priority="1616" stopIfTrue="1">
      <formula>(1=IsColor)*ShowAssignmentName</formula>
    </cfRule>
    <cfRule type="expression" dxfId="1201" priority="1617" stopIfTrue="1">
      <formula>(1=IsColor)*ShowAssignmentColor</formula>
    </cfRule>
    <cfRule type="expression" dxfId="1200" priority="1618" stopIfTrue="1">
      <formula>(2=IsColor)*ShowAssignmentName</formula>
    </cfRule>
    <cfRule type="expression" dxfId="1199" priority="1619" stopIfTrue="1">
      <formula>(2=IsColor)*ShowAssignmentColor</formula>
    </cfRule>
    <cfRule type="expression" dxfId="1198" priority="1620" stopIfTrue="1">
      <formula>(3=IsColor)*ShowAssignmentName</formula>
    </cfRule>
    <cfRule type="expression" dxfId="1197" priority="1621" stopIfTrue="1">
      <formula>(3=IsColor)*ShowAssignmentColor</formula>
    </cfRule>
    <cfRule type="expression" dxfId="1196" priority="1622" stopIfTrue="1">
      <formula>(4=IsColor)*ShowAssignmentName</formula>
    </cfRule>
    <cfRule type="expression" dxfId="1195" priority="1623" stopIfTrue="1">
      <formula>(4=IsColor)*ShowAssignmentColor</formula>
    </cfRule>
    <cfRule type="expression" dxfId="1194" priority="1624" stopIfTrue="1">
      <formula>(5=IsColor)*ShowAssignmentName</formula>
    </cfRule>
    <cfRule type="expression" dxfId="1193" priority="1625" stopIfTrue="1">
      <formula>(5=IsColor)*ShowAssignmentColor</formula>
    </cfRule>
    <cfRule type="expression" dxfId="1192" priority="1626" stopIfTrue="1">
      <formula>(6=IsColor)*ShowAssignmentName</formula>
    </cfRule>
    <cfRule type="expression" dxfId="1191" priority="1627" stopIfTrue="1">
      <formula>(6=IsColor)*ShowAssignmentColor</formula>
    </cfRule>
    <cfRule type="expression" dxfId="1190" priority="1628" stopIfTrue="1">
      <formula>(7=IsColor)*ShowAssignmentName</formula>
    </cfRule>
    <cfRule type="expression" dxfId="1189" priority="1629" stopIfTrue="1">
      <formula>(7=IsColor)*ShowAssignmentColor</formula>
    </cfRule>
    <cfRule type="expression" dxfId="1188" priority="1630" stopIfTrue="1">
      <formula>(8=IsColor)*ShowAssignmentName</formula>
    </cfRule>
    <cfRule type="expression" dxfId="1187" priority="1631" stopIfTrue="1">
      <formula>(8=IsColor)*ShowAssignmentColor</formula>
    </cfRule>
    <cfRule type="expression" dxfId="1186" priority="1632" stopIfTrue="1">
      <formula>(9=IsColor)*ShowAssignmentName</formula>
    </cfRule>
    <cfRule type="expression" dxfId="1185" priority="1633" stopIfTrue="1">
      <formula>(9=IsColor)*ShowAssignmentColor</formula>
    </cfRule>
    <cfRule type="expression" dxfId="1184" priority="1634" stopIfTrue="1">
      <formula>(10=IsColor)*ShowAssignmentName</formula>
    </cfRule>
    <cfRule type="expression" dxfId="1183" priority="1635" stopIfTrue="1">
      <formula>(10=IsColor)*ShowAssignmentColor</formula>
    </cfRule>
    <cfRule type="expression" dxfId="1182" priority="1636" stopIfTrue="1">
      <formula>(11=IsColor)*ShowAssignmentName</formula>
    </cfRule>
    <cfRule type="expression" dxfId="1181" priority="1637" stopIfTrue="1">
      <formula>(11=IsColor)*ShowAssignmentColor</formula>
    </cfRule>
  </conditionalFormatting>
  <conditionalFormatting sqref="F4831">
    <cfRule type="expression" dxfId="1180" priority="153876">
      <formula>(VALUE($B4831)&lt;1)*($B4831&lt;&gt;$B$7)*LEN(E$5)*(LEN(F4831)=0)*(LEN(E4830)=0)</formula>
    </cfRule>
    <cfRule type="expression" dxfId="1179" priority="153877">
      <formula>(VALUE($B4831)&lt;1)*($B4831&lt;&gt;$B$7)*LEN(E$5)</formula>
    </cfRule>
    <cfRule type="expression" dxfId="1178" priority="153878" stopIfTrue="1">
      <formula>IsEntireDay*ShowAssignmentName</formula>
    </cfRule>
    <cfRule type="expression" dxfId="1177" priority="153879" stopIfTrue="1">
      <formula>(1=IsColor)*ShowAssignmentName</formula>
    </cfRule>
    <cfRule type="expression" dxfId="1176" priority="153880" stopIfTrue="1">
      <formula>(1=IsColor)*ShowAssignmentColor</formula>
    </cfRule>
    <cfRule type="expression" dxfId="1175" priority="153881" stopIfTrue="1">
      <formula>(2=IsColor)*ShowAssignmentName</formula>
    </cfRule>
    <cfRule type="expression" dxfId="1174" priority="153882" stopIfTrue="1">
      <formula>(2=IsColor)*ShowAssignmentColor</formula>
    </cfRule>
    <cfRule type="expression" dxfId="1173" priority="153883" stopIfTrue="1">
      <formula>(3=IsColor)*ShowAssignmentName</formula>
    </cfRule>
    <cfRule type="expression" dxfId="1172" priority="153884" stopIfTrue="1">
      <formula>(3=IsColor)*ShowAssignmentColor</formula>
    </cfRule>
    <cfRule type="expression" dxfId="1171" priority="153885" stopIfTrue="1">
      <formula>(4=IsColor)*ShowAssignmentName</formula>
    </cfRule>
    <cfRule type="expression" dxfId="1170" priority="153886" stopIfTrue="1">
      <formula>(4=IsColor)*ShowAssignmentColor</formula>
    </cfRule>
    <cfRule type="expression" dxfId="1169" priority="153887" stopIfTrue="1">
      <formula>(5=IsColor)*ShowAssignmentName</formula>
    </cfRule>
    <cfRule type="expression" dxfId="1168" priority="153888" stopIfTrue="1">
      <formula>(5=IsColor)*ShowAssignmentColor</formula>
    </cfRule>
    <cfRule type="expression" dxfId="1167" priority="153889" stopIfTrue="1">
      <formula>(6=IsColor)*ShowAssignmentName</formula>
    </cfRule>
    <cfRule type="expression" dxfId="1166" priority="153890" stopIfTrue="1">
      <formula>(6=IsColor)*ShowAssignmentColor</formula>
    </cfRule>
    <cfRule type="expression" dxfId="1165" priority="153891" stopIfTrue="1">
      <formula>(7=IsColor)*ShowAssignmentName</formula>
    </cfRule>
    <cfRule type="expression" dxfId="1164" priority="153892" stopIfTrue="1">
      <formula>(7=IsColor)*ShowAssignmentColor</formula>
    </cfRule>
    <cfRule type="expression" dxfId="1163" priority="153893" stopIfTrue="1">
      <formula>(8=IsColor)*ShowAssignmentName</formula>
    </cfRule>
    <cfRule type="expression" dxfId="1162" priority="153894" stopIfTrue="1">
      <formula>(8=IsColor)*ShowAssignmentColor</formula>
    </cfRule>
    <cfRule type="expression" dxfId="1161" priority="153895" stopIfTrue="1">
      <formula>(9=IsColor)*ShowAssignmentName</formula>
    </cfRule>
    <cfRule type="expression" dxfId="1160" priority="153896" stopIfTrue="1">
      <formula>(9=IsColor)*ShowAssignmentColor</formula>
    </cfRule>
    <cfRule type="expression" dxfId="1159" priority="153897" stopIfTrue="1">
      <formula>(10=IsColor)*ShowAssignmentName</formula>
    </cfRule>
    <cfRule type="expression" dxfId="1158" priority="153898" stopIfTrue="1">
      <formula>(10=IsColor)*ShowAssignmentColor</formula>
    </cfRule>
    <cfRule type="expression" dxfId="1157" priority="153899" stopIfTrue="1">
      <formula>(11=IsColor)*ShowAssignmentName</formula>
    </cfRule>
    <cfRule type="expression" dxfId="1156" priority="153900" stopIfTrue="1">
      <formula>(11=IsColor)*ShowAssignmentColor</formula>
    </cfRule>
  </conditionalFormatting>
  <conditionalFormatting sqref="E4990 D4989:D4996 F4989:I4990 E4991:I4992 F5148:H5148 D5259:F5259 F5254:F5258 G5254:H5259 H5282 D5260:H5262 D5293:H5302 G5283:H5292 H5176 H5229 D5256:E5258 E5202 E5255 E5229 F5201:H5210 D5037:I5037 F4998:G5005 F5024:G5026 E5017:E5026 D5013:E5016 G5013:G5016 F5013:F5023 D5027:G5036 H4995:I5036 E5005 E5006:G5006 D5002:D5007 D5007:G5012 D5018:D5026 G4995:G4997 E4993:E4996 G4993:I4994 F4993:F4997 G5018:G5023 D4997:E5004 D5203:E5210 G5263:H5281 D5150:D5175 E5151:F5161 E5172:E5176 D5177:H5196 G5149:H5175 F5172:F5175 E5163:F5171 E5162 D5230:H5249 I5201:I5249 D5211:H5228 D5263:F5292">
    <cfRule type="expression" dxfId="1155" priority="1587">
      <formula>(VALUE($B4989)&lt;1)*($B4989&lt;&gt;$B$7)*LEN(D$5)*(LEN(D4989)=0)*(LEN(D4988)=0)</formula>
    </cfRule>
    <cfRule type="expression" dxfId="1154" priority="1588">
      <formula>(VALUE($B4989)&lt;1)*($B4989&lt;&gt;$B$7)*LEN(D$5)</formula>
    </cfRule>
    <cfRule type="expression" dxfId="1153" priority="1589" stopIfTrue="1">
      <formula>IsEntireDay*ShowAssignmentName</formula>
    </cfRule>
    <cfRule type="expression" dxfId="1152" priority="1590" stopIfTrue="1">
      <formula>(1=IsColor)*ShowAssignmentName</formula>
    </cfRule>
    <cfRule type="expression" dxfId="1151" priority="1591" stopIfTrue="1">
      <formula>(1=IsColor)*ShowAssignmentColor</formula>
    </cfRule>
    <cfRule type="expression" dxfId="1150" priority="1592" stopIfTrue="1">
      <formula>(2=IsColor)*ShowAssignmentName</formula>
    </cfRule>
    <cfRule type="expression" dxfId="1149" priority="1593" stopIfTrue="1">
      <formula>(2=IsColor)*ShowAssignmentColor</formula>
    </cfRule>
    <cfRule type="expression" dxfId="1148" priority="1594" stopIfTrue="1">
      <formula>(3=IsColor)*ShowAssignmentName</formula>
    </cfRule>
    <cfRule type="expression" dxfId="1147" priority="1595" stopIfTrue="1">
      <formula>(3=IsColor)*ShowAssignmentColor</formula>
    </cfRule>
    <cfRule type="expression" dxfId="1146" priority="1596" stopIfTrue="1">
      <formula>(4=IsColor)*ShowAssignmentName</formula>
    </cfRule>
    <cfRule type="expression" dxfId="1145" priority="1597" stopIfTrue="1">
      <formula>(4=IsColor)*ShowAssignmentColor</formula>
    </cfRule>
    <cfRule type="expression" dxfId="1144" priority="1598" stopIfTrue="1">
      <formula>(5=IsColor)*ShowAssignmentName</formula>
    </cfRule>
    <cfRule type="expression" dxfId="1143" priority="1599" stopIfTrue="1">
      <formula>(5=IsColor)*ShowAssignmentColor</formula>
    </cfRule>
    <cfRule type="expression" dxfId="1142" priority="1600" stopIfTrue="1">
      <formula>(6=IsColor)*ShowAssignmentName</formula>
    </cfRule>
    <cfRule type="expression" dxfId="1141" priority="1601" stopIfTrue="1">
      <formula>(6=IsColor)*ShowAssignmentColor</formula>
    </cfRule>
    <cfRule type="expression" dxfId="1140" priority="1602" stopIfTrue="1">
      <formula>(7=IsColor)*ShowAssignmentName</formula>
    </cfRule>
    <cfRule type="expression" dxfId="1139" priority="1603" stopIfTrue="1">
      <formula>(7=IsColor)*ShowAssignmentColor</formula>
    </cfRule>
    <cfRule type="expression" dxfId="1138" priority="1604" stopIfTrue="1">
      <formula>(8=IsColor)*ShowAssignmentName</formula>
    </cfRule>
    <cfRule type="expression" dxfId="1137" priority="1605" stopIfTrue="1">
      <formula>(8=IsColor)*ShowAssignmentColor</formula>
    </cfRule>
    <cfRule type="expression" dxfId="1136" priority="1606" stopIfTrue="1">
      <formula>(9=IsColor)*ShowAssignmentName</formula>
    </cfRule>
    <cfRule type="expression" dxfId="1135" priority="1607" stopIfTrue="1">
      <formula>(9=IsColor)*ShowAssignmentColor</formula>
    </cfRule>
    <cfRule type="expression" dxfId="1134" priority="1608" stopIfTrue="1">
      <formula>(10=IsColor)*ShowAssignmentName</formula>
    </cfRule>
    <cfRule type="expression" dxfId="1133" priority="1609" stopIfTrue="1">
      <formula>(10=IsColor)*ShowAssignmentColor</formula>
    </cfRule>
    <cfRule type="expression" dxfId="1132" priority="1610" stopIfTrue="1">
      <formula>(11=IsColor)*ShowAssignmentName</formula>
    </cfRule>
    <cfRule type="expression" dxfId="1131" priority="1611" stopIfTrue="1">
      <formula>(11=IsColor)*ShowAssignmentColor</formula>
    </cfRule>
  </conditionalFormatting>
  <conditionalFormatting sqref="E5150">
    <cfRule type="expression" dxfId="1130" priority="1562">
      <formula>(VALUE($B5150)&lt;1)*($B5150&lt;&gt;$B$7)*LEN(E$5)*(LEN(E5150)=0)*(LEN(F5149)=0)</formula>
    </cfRule>
    <cfRule type="expression" dxfId="1129" priority="1563">
      <formula>(VALUE($B5150)&lt;1)*($B5150&lt;&gt;$B$7)*LEN(E$5)</formula>
    </cfRule>
    <cfRule type="expression" dxfId="1128" priority="1564" stopIfTrue="1">
      <formula>IsEntireDay*ShowAssignmentName</formula>
    </cfRule>
    <cfRule type="expression" dxfId="1127" priority="1565" stopIfTrue="1">
      <formula>(1=IsColor)*ShowAssignmentName</formula>
    </cfRule>
    <cfRule type="expression" dxfId="1126" priority="1566" stopIfTrue="1">
      <formula>(1=IsColor)*ShowAssignmentColor</formula>
    </cfRule>
    <cfRule type="expression" dxfId="1125" priority="1567" stopIfTrue="1">
      <formula>(2=IsColor)*ShowAssignmentName</formula>
    </cfRule>
    <cfRule type="expression" dxfId="1124" priority="1568" stopIfTrue="1">
      <formula>(2=IsColor)*ShowAssignmentColor</formula>
    </cfRule>
    <cfRule type="expression" dxfId="1123" priority="1569" stopIfTrue="1">
      <formula>(3=IsColor)*ShowAssignmentName</formula>
    </cfRule>
    <cfRule type="expression" dxfId="1122" priority="1570" stopIfTrue="1">
      <formula>(3=IsColor)*ShowAssignmentColor</formula>
    </cfRule>
    <cfRule type="expression" dxfId="1121" priority="1571" stopIfTrue="1">
      <formula>(4=IsColor)*ShowAssignmentName</formula>
    </cfRule>
    <cfRule type="expression" dxfId="1120" priority="1572" stopIfTrue="1">
      <formula>(4=IsColor)*ShowAssignmentColor</formula>
    </cfRule>
    <cfRule type="expression" dxfId="1119" priority="1573" stopIfTrue="1">
      <formula>(5=IsColor)*ShowAssignmentName</formula>
    </cfRule>
    <cfRule type="expression" dxfId="1118" priority="1574" stopIfTrue="1">
      <formula>(5=IsColor)*ShowAssignmentColor</formula>
    </cfRule>
    <cfRule type="expression" dxfId="1117" priority="1575" stopIfTrue="1">
      <formula>(6=IsColor)*ShowAssignmentName</formula>
    </cfRule>
    <cfRule type="expression" dxfId="1116" priority="1576" stopIfTrue="1">
      <formula>(6=IsColor)*ShowAssignmentColor</formula>
    </cfRule>
    <cfRule type="expression" dxfId="1115" priority="1577" stopIfTrue="1">
      <formula>(7=IsColor)*ShowAssignmentName</formula>
    </cfRule>
    <cfRule type="expression" dxfId="1114" priority="1578" stopIfTrue="1">
      <formula>(7=IsColor)*ShowAssignmentColor</formula>
    </cfRule>
    <cfRule type="expression" dxfId="1113" priority="1579" stopIfTrue="1">
      <formula>(8=IsColor)*ShowAssignmentName</formula>
    </cfRule>
    <cfRule type="expression" dxfId="1112" priority="1580" stopIfTrue="1">
      <formula>(8=IsColor)*ShowAssignmentColor</formula>
    </cfRule>
    <cfRule type="expression" dxfId="1111" priority="1581" stopIfTrue="1">
      <formula>(9=IsColor)*ShowAssignmentName</formula>
    </cfRule>
    <cfRule type="expression" dxfId="1110" priority="1582" stopIfTrue="1">
      <formula>(9=IsColor)*ShowAssignmentColor</formula>
    </cfRule>
    <cfRule type="expression" dxfId="1109" priority="1583" stopIfTrue="1">
      <formula>(10=IsColor)*ShowAssignmentName</formula>
    </cfRule>
    <cfRule type="expression" dxfId="1108" priority="1584" stopIfTrue="1">
      <formula>(10=IsColor)*ShowAssignmentColor</formula>
    </cfRule>
    <cfRule type="expression" dxfId="1107" priority="1585" stopIfTrue="1">
      <formula>(11=IsColor)*ShowAssignmentName</formula>
    </cfRule>
    <cfRule type="expression" dxfId="1106" priority="1586" stopIfTrue="1">
      <formula>(11=IsColor)*ShowAssignmentColor</formula>
    </cfRule>
  </conditionalFormatting>
  <conditionalFormatting sqref="B4989:B5037 E4989">
    <cfRule type="expression" dxfId="1105" priority="1561">
      <formula>(VALUE($B4989)&lt;1)*Periods</formula>
    </cfRule>
  </conditionalFormatting>
  <conditionalFormatting sqref="D4987:I4987">
    <cfRule type="expression" dxfId="1104" priority="1560">
      <formula>LEN(D4987)&gt;0</formula>
    </cfRule>
  </conditionalFormatting>
  <conditionalFormatting sqref="D5017 G5017">
    <cfRule type="expression" dxfId="1103" priority="1559">
      <formula>LEN(D5017)&gt;0</formula>
    </cfRule>
  </conditionalFormatting>
  <conditionalFormatting sqref="D5042:D5043 E5043 D5044:E5049 E5070:F5070 D5068:F5069 G5068:I5070 F5042:I5046 I5047:I5056 D5071:I5090 D5050:H5056 F5047:H5049 D5057:I5067">
    <cfRule type="expression" dxfId="1102" priority="1509">
      <formula>(VALUE($B5042)&lt;1)*($B5042&lt;&gt;$B$7)*LEN(D$5)*(LEN(D5042)=0)*(LEN(D5041)=0)</formula>
    </cfRule>
    <cfRule type="expression" dxfId="1101" priority="1510">
      <formula>(VALUE($B5042)&lt;1)*($B5042&lt;&gt;$B$7)*LEN(D$5)</formula>
    </cfRule>
    <cfRule type="expression" dxfId="1100" priority="1511" stopIfTrue="1">
      <formula>IsEntireDay*ShowAssignmentName</formula>
    </cfRule>
    <cfRule type="expression" dxfId="1099" priority="1512" stopIfTrue="1">
      <formula>(1=IsColor)*ShowAssignmentName</formula>
    </cfRule>
    <cfRule type="expression" dxfId="1098" priority="1513" stopIfTrue="1">
      <formula>(1=IsColor)*ShowAssignmentColor</formula>
    </cfRule>
    <cfRule type="expression" dxfId="1097" priority="1514" stopIfTrue="1">
      <formula>(2=IsColor)*ShowAssignmentName</formula>
    </cfRule>
    <cfRule type="expression" dxfId="1096" priority="1515" stopIfTrue="1">
      <formula>(2=IsColor)*ShowAssignmentColor</formula>
    </cfRule>
    <cfRule type="expression" dxfId="1095" priority="1516" stopIfTrue="1">
      <formula>(3=IsColor)*ShowAssignmentName</formula>
    </cfRule>
    <cfRule type="expression" dxfId="1094" priority="1517" stopIfTrue="1">
      <formula>(3=IsColor)*ShowAssignmentColor</formula>
    </cfRule>
    <cfRule type="expression" dxfId="1093" priority="1518" stopIfTrue="1">
      <formula>(4=IsColor)*ShowAssignmentName</formula>
    </cfRule>
    <cfRule type="expression" dxfId="1092" priority="1519" stopIfTrue="1">
      <formula>(4=IsColor)*ShowAssignmentColor</formula>
    </cfRule>
    <cfRule type="expression" dxfId="1091" priority="1520" stopIfTrue="1">
      <formula>(5=IsColor)*ShowAssignmentName</formula>
    </cfRule>
    <cfRule type="expression" dxfId="1090" priority="1521" stopIfTrue="1">
      <formula>(5=IsColor)*ShowAssignmentColor</formula>
    </cfRule>
    <cfRule type="expression" dxfId="1089" priority="1522" stopIfTrue="1">
      <formula>(6=IsColor)*ShowAssignmentName</formula>
    </cfRule>
    <cfRule type="expression" dxfId="1088" priority="1523" stopIfTrue="1">
      <formula>(6=IsColor)*ShowAssignmentColor</formula>
    </cfRule>
    <cfRule type="expression" dxfId="1087" priority="1524" stopIfTrue="1">
      <formula>(7=IsColor)*ShowAssignmentName</formula>
    </cfRule>
    <cfRule type="expression" dxfId="1086" priority="1525" stopIfTrue="1">
      <formula>(7=IsColor)*ShowAssignmentColor</formula>
    </cfRule>
    <cfRule type="expression" dxfId="1085" priority="1526" stopIfTrue="1">
      <formula>(8=IsColor)*ShowAssignmentName</formula>
    </cfRule>
    <cfRule type="expression" dxfId="1084" priority="1527" stopIfTrue="1">
      <formula>(8=IsColor)*ShowAssignmentColor</formula>
    </cfRule>
    <cfRule type="expression" dxfId="1083" priority="1528" stopIfTrue="1">
      <formula>(9=IsColor)*ShowAssignmentName</formula>
    </cfRule>
    <cfRule type="expression" dxfId="1082" priority="1529" stopIfTrue="1">
      <formula>(9=IsColor)*ShowAssignmentColor</formula>
    </cfRule>
    <cfRule type="expression" dxfId="1081" priority="1530" stopIfTrue="1">
      <formula>(10=IsColor)*ShowAssignmentName</formula>
    </cfRule>
    <cfRule type="expression" dxfId="1080" priority="1531" stopIfTrue="1">
      <formula>(10=IsColor)*ShowAssignmentColor</formula>
    </cfRule>
    <cfRule type="expression" dxfId="1079" priority="1532" stopIfTrue="1">
      <formula>(11=IsColor)*ShowAssignmentName</formula>
    </cfRule>
    <cfRule type="expression" dxfId="1078" priority="1533" stopIfTrue="1">
      <formula>(11=IsColor)*ShowAssignmentColor</formula>
    </cfRule>
  </conditionalFormatting>
  <conditionalFormatting sqref="B5042:B5090 E5042">
    <cfRule type="expression" dxfId="1077" priority="1508">
      <formula>(VALUE($B5042)&lt;1)*Periods</formula>
    </cfRule>
  </conditionalFormatting>
  <conditionalFormatting sqref="D5040:I5040">
    <cfRule type="expression" dxfId="1076" priority="1507">
      <formula>LEN(D5040)&gt;0</formula>
    </cfRule>
  </conditionalFormatting>
  <conditionalFormatting sqref="D5070">
    <cfRule type="expression" dxfId="1075" priority="1506">
      <formula>LEN(D5070)&gt;0</formula>
    </cfRule>
  </conditionalFormatting>
  <conditionalFormatting sqref="D5148:D5149 D5201:D5202 D5254:D5255">
    <cfRule type="expression" dxfId="1074" priority="1455">
      <formula>(VALUE($B5148)&lt;1)*($B5148&lt;&gt;$B$7)*LEN(D$5)*(LEN(D5148)=0)*(LEN(D5147)=0)</formula>
    </cfRule>
    <cfRule type="expression" dxfId="1073" priority="1456">
      <formula>(VALUE($B5148)&lt;1)*($B5148&lt;&gt;$B$7)*LEN(D$5)</formula>
    </cfRule>
    <cfRule type="expression" dxfId="1072" priority="1457" stopIfTrue="1">
      <formula>IsEntireDay*ShowAssignmentName</formula>
    </cfRule>
    <cfRule type="expression" dxfId="1071" priority="1458" stopIfTrue="1">
      <formula>(1=IsColor)*ShowAssignmentName</formula>
    </cfRule>
    <cfRule type="expression" dxfId="1070" priority="1459" stopIfTrue="1">
      <formula>(1=IsColor)*ShowAssignmentColor</formula>
    </cfRule>
    <cfRule type="expression" dxfId="1069" priority="1460" stopIfTrue="1">
      <formula>(2=IsColor)*ShowAssignmentName</formula>
    </cfRule>
    <cfRule type="expression" dxfId="1068" priority="1461" stopIfTrue="1">
      <formula>(2=IsColor)*ShowAssignmentColor</formula>
    </cfRule>
    <cfRule type="expression" dxfId="1067" priority="1462" stopIfTrue="1">
      <formula>(3=IsColor)*ShowAssignmentName</formula>
    </cfRule>
    <cfRule type="expression" dxfId="1066" priority="1463" stopIfTrue="1">
      <formula>(3=IsColor)*ShowAssignmentColor</formula>
    </cfRule>
    <cfRule type="expression" dxfId="1065" priority="1464" stopIfTrue="1">
      <formula>(4=IsColor)*ShowAssignmentName</formula>
    </cfRule>
    <cfRule type="expression" dxfId="1064" priority="1465" stopIfTrue="1">
      <formula>(4=IsColor)*ShowAssignmentColor</formula>
    </cfRule>
    <cfRule type="expression" dxfId="1063" priority="1466" stopIfTrue="1">
      <formula>(5=IsColor)*ShowAssignmentName</formula>
    </cfRule>
    <cfRule type="expression" dxfId="1062" priority="1467" stopIfTrue="1">
      <formula>(5=IsColor)*ShowAssignmentColor</formula>
    </cfRule>
    <cfRule type="expression" dxfId="1061" priority="1468" stopIfTrue="1">
      <formula>(6=IsColor)*ShowAssignmentName</formula>
    </cfRule>
    <cfRule type="expression" dxfId="1060" priority="1469" stopIfTrue="1">
      <formula>(6=IsColor)*ShowAssignmentColor</formula>
    </cfRule>
    <cfRule type="expression" dxfId="1059" priority="1470" stopIfTrue="1">
      <formula>(7=IsColor)*ShowAssignmentName</formula>
    </cfRule>
    <cfRule type="expression" dxfId="1058" priority="1471" stopIfTrue="1">
      <formula>(7=IsColor)*ShowAssignmentColor</formula>
    </cfRule>
    <cfRule type="expression" dxfId="1057" priority="1472" stopIfTrue="1">
      <formula>(8=IsColor)*ShowAssignmentName</formula>
    </cfRule>
    <cfRule type="expression" dxfId="1056" priority="1473" stopIfTrue="1">
      <formula>(8=IsColor)*ShowAssignmentColor</formula>
    </cfRule>
    <cfRule type="expression" dxfId="1055" priority="1474" stopIfTrue="1">
      <formula>(9=IsColor)*ShowAssignmentName</formula>
    </cfRule>
    <cfRule type="expression" dxfId="1054" priority="1475" stopIfTrue="1">
      <formula>(9=IsColor)*ShowAssignmentColor</formula>
    </cfRule>
    <cfRule type="expression" dxfId="1053" priority="1476" stopIfTrue="1">
      <formula>(10=IsColor)*ShowAssignmentName</formula>
    </cfRule>
    <cfRule type="expression" dxfId="1052" priority="1477" stopIfTrue="1">
      <formula>(10=IsColor)*ShowAssignmentColor</formula>
    </cfRule>
    <cfRule type="expression" dxfId="1051" priority="1478" stopIfTrue="1">
      <formula>(11=IsColor)*ShowAssignmentName</formula>
    </cfRule>
    <cfRule type="expression" dxfId="1050" priority="1479" stopIfTrue="1">
      <formula>(11=IsColor)*ShowAssignmentColor</formula>
    </cfRule>
  </conditionalFormatting>
  <conditionalFormatting sqref="E5148 E5201 E5254">
    <cfRule type="expression" dxfId="1049" priority="1454">
      <formula>(VALUE($B5148)&lt;1)*Periods</formula>
    </cfRule>
  </conditionalFormatting>
  <conditionalFormatting sqref="D5146:H5146 D5252:H5252 D5199:I5199">
    <cfRule type="expression" dxfId="1048" priority="1453">
      <formula>LEN(D5146)&gt;0</formula>
    </cfRule>
  </conditionalFormatting>
  <conditionalFormatting sqref="G5282">
    <cfRule type="expression" dxfId="1047" priority="1452">
      <formula>LEN(G5282)&gt;0</formula>
    </cfRule>
  </conditionalFormatting>
  <conditionalFormatting sqref="B5148:B5196">
    <cfRule type="expression" dxfId="1046" priority="1450">
      <formula>(VALUE($B5148)&lt;1)*Periods</formula>
    </cfRule>
  </conditionalFormatting>
  <conditionalFormatting sqref="B5201:B5249">
    <cfRule type="expression" dxfId="1045" priority="1449">
      <formula>(VALUE($B5201)&lt;1)*Periods</formula>
    </cfRule>
  </conditionalFormatting>
  <conditionalFormatting sqref="B5254:B5302">
    <cfRule type="expression" dxfId="1044" priority="1448">
      <formula>(VALUE($B5254)&lt;1)*Periods</formula>
    </cfRule>
  </conditionalFormatting>
  <conditionalFormatting sqref="D5176">
    <cfRule type="expression" dxfId="1043" priority="1444">
      <formula>LEN(D5176)&gt;0</formula>
    </cfRule>
  </conditionalFormatting>
  <conditionalFormatting sqref="F5176:G5176">
    <cfRule type="expression" dxfId="1042" priority="1443">
      <formula>LEN(F5176)&gt;0</formula>
    </cfRule>
  </conditionalFormatting>
  <conditionalFormatting sqref="G5229">
    <cfRule type="expression" dxfId="1041" priority="1442">
      <formula>LEN(G5229)&gt;0</formula>
    </cfRule>
  </conditionalFormatting>
  <conditionalFormatting sqref="F5229">
    <cfRule type="expression" dxfId="1040" priority="1441">
      <formula>LEN(F5229)&gt;0</formula>
    </cfRule>
  </conditionalFormatting>
  <conditionalFormatting sqref="F5150">
    <cfRule type="expression" dxfId="1039" priority="1416">
      <formula>(VALUE($B5150)&lt;1)*($B5150&lt;&gt;$B$7)*LEN(F$5)*(LEN(F5150)=0)*(LEN(#REF!)=0)</formula>
    </cfRule>
    <cfRule type="expression" dxfId="1038" priority="1417">
      <formula>(VALUE($B5150)&lt;1)*($B5150&lt;&gt;$B$7)*LEN(F$5)</formula>
    </cfRule>
    <cfRule type="expression" dxfId="1037" priority="1418" stopIfTrue="1">
      <formula>IsEntireDay*ShowAssignmentName</formula>
    </cfRule>
    <cfRule type="expression" dxfId="1036" priority="1419" stopIfTrue="1">
      <formula>(1=IsColor)*ShowAssignmentName</formula>
    </cfRule>
    <cfRule type="expression" dxfId="1035" priority="1420" stopIfTrue="1">
      <formula>(1=IsColor)*ShowAssignmentColor</formula>
    </cfRule>
    <cfRule type="expression" dxfId="1034" priority="1421" stopIfTrue="1">
      <formula>(2=IsColor)*ShowAssignmentName</formula>
    </cfRule>
    <cfRule type="expression" dxfId="1033" priority="1422" stopIfTrue="1">
      <formula>(2=IsColor)*ShowAssignmentColor</formula>
    </cfRule>
    <cfRule type="expression" dxfId="1032" priority="1423" stopIfTrue="1">
      <formula>(3=IsColor)*ShowAssignmentName</formula>
    </cfRule>
    <cfRule type="expression" dxfId="1031" priority="1424" stopIfTrue="1">
      <formula>(3=IsColor)*ShowAssignmentColor</formula>
    </cfRule>
    <cfRule type="expression" dxfId="1030" priority="1425" stopIfTrue="1">
      <formula>(4=IsColor)*ShowAssignmentName</formula>
    </cfRule>
    <cfRule type="expression" dxfId="1029" priority="1426" stopIfTrue="1">
      <formula>(4=IsColor)*ShowAssignmentColor</formula>
    </cfRule>
    <cfRule type="expression" dxfId="1028" priority="1427" stopIfTrue="1">
      <formula>(5=IsColor)*ShowAssignmentName</formula>
    </cfRule>
    <cfRule type="expression" dxfId="1027" priority="1428" stopIfTrue="1">
      <formula>(5=IsColor)*ShowAssignmentColor</formula>
    </cfRule>
    <cfRule type="expression" dxfId="1026" priority="1429" stopIfTrue="1">
      <formula>(6=IsColor)*ShowAssignmentName</formula>
    </cfRule>
    <cfRule type="expression" dxfId="1025" priority="1430" stopIfTrue="1">
      <formula>(6=IsColor)*ShowAssignmentColor</formula>
    </cfRule>
    <cfRule type="expression" dxfId="1024" priority="1431" stopIfTrue="1">
      <formula>(7=IsColor)*ShowAssignmentName</formula>
    </cfRule>
    <cfRule type="expression" dxfId="1023" priority="1432" stopIfTrue="1">
      <formula>(7=IsColor)*ShowAssignmentColor</formula>
    </cfRule>
    <cfRule type="expression" dxfId="1022" priority="1433" stopIfTrue="1">
      <formula>(8=IsColor)*ShowAssignmentName</formula>
    </cfRule>
    <cfRule type="expression" dxfId="1021" priority="1434" stopIfTrue="1">
      <formula>(8=IsColor)*ShowAssignmentColor</formula>
    </cfRule>
    <cfRule type="expression" dxfId="1020" priority="1435" stopIfTrue="1">
      <formula>(9=IsColor)*ShowAssignmentName</formula>
    </cfRule>
    <cfRule type="expression" dxfId="1019" priority="1436" stopIfTrue="1">
      <formula>(9=IsColor)*ShowAssignmentColor</formula>
    </cfRule>
    <cfRule type="expression" dxfId="1018" priority="1437" stopIfTrue="1">
      <formula>(10=IsColor)*ShowAssignmentName</formula>
    </cfRule>
    <cfRule type="expression" dxfId="1017" priority="1438" stopIfTrue="1">
      <formula>(10=IsColor)*ShowAssignmentColor</formula>
    </cfRule>
    <cfRule type="expression" dxfId="1016" priority="1439" stopIfTrue="1">
      <formula>(11=IsColor)*ShowAssignmentName</formula>
    </cfRule>
    <cfRule type="expression" dxfId="1015" priority="1440" stopIfTrue="1">
      <formula>(11=IsColor)*ShowAssignmentColor</formula>
    </cfRule>
  </conditionalFormatting>
  <conditionalFormatting sqref="F5149">
    <cfRule type="expression" dxfId="1014" priority="1366">
      <formula>(VALUE($B5149)&lt;1)*($B5149&lt;&gt;$B$7)*LEN(E$5)*(LEN(F5149)=0)*(LEN(E5148)=0)</formula>
    </cfRule>
    <cfRule type="expression" dxfId="1013" priority="1367">
      <formula>(VALUE($B5149)&lt;1)*($B5149&lt;&gt;$B$7)*LEN(E$5)</formula>
    </cfRule>
    <cfRule type="expression" dxfId="1012" priority="1368" stopIfTrue="1">
      <formula>IsEntireDay*ShowAssignmentName</formula>
    </cfRule>
    <cfRule type="expression" dxfId="1011" priority="1369" stopIfTrue="1">
      <formula>(1=IsColor)*ShowAssignmentName</formula>
    </cfRule>
    <cfRule type="expression" dxfId="1010" priority="1370" stopIfTrue="1">
      <formula>(1=IsColor)*ShowAssignmentColor</formula>
    </cfRule>
    <cfRule type="expression" dxfId="1009" priority="1371" stopIfTrue="1">
      <formula>(2=IsColor)*ShowAssignmentName</formula>
    </cfRule>
    <cfRule type="expression" dxfId="1008" priority="1372" stopIfTrue="1">
      <formula>(2=IsColor)*ShowAssignmentColor</formula>
    </cfRule>
    <cfRule type="expression" dxfId="1007" priority="1373" stopIfTrue="1">
      <formula>(3=IsColor)*ShowAssignmentName</formula>
    </cfRule>
    <cfRule type="expression" dxfId="1006" priority="1374" stopIfTrue="1">
      <formula>(3=IsColor)*ShowAssignmentColor</formula>
    </cfRule>
    <cfRule type="expression" dxfId="1005" priority="1375" stopIfTrue="1">
      <formula>(4=IsColor)*ShowAssignmentName</formula>
    </cfRule>
    <cfRule type="expression" dxfId="1004" priority="1376" stopIfTrue="1">
      <formula>(4=IsColor)*ShowAssignmentColor</formula>
    </cfRule>
    <cfRule type="expression" dxfId="1003" priority="1377" stopIfTrue="1">
      <formula>(5=IsColor)*ShowAssignmentName</formula>
    </cfRule>
    <cfRule type="expression" dxfId="1002" priority="1378" stopIfTrue="1">
      <formula>(5=IsColor)*ShowAssignmentColor</formula>
    </cfRule>
    <cfRule type="expression" dxfId="1001" priority="1379" stopIfTrue="1">
      <formula>(6=IsColor)*ShowAssignmentName</formula>
    </cfRule>
    <cfRule type="expression" dxfId="1000" priority="1380" stopIfTrue="1">
      <formula>(6=IsColor)*ShowAssignmentColor</formula>
    </cfRule>
    <cfRule type="expression" dxfId="999" priority="1381" stopIfTrue="1">
      <formula>(7=IsColor)*ShowAssignmentName</formula>
    </cfRule>
    <cfRule type="expression" dxfId="998" priority="1382" stopIfTrue="1">
      <formula>(7=IsColor)*ShowAssignmentColor</formula>
    </cfRule>
    <cfRule type="expression" dxfId="997" priority="1383" stopIfTrue="1">
      <formula>(8=IsColor)*ShowAssignmentName</formula>
    </cfRule>
    <cfRule type="expression" dxfId="996" priority="1384" stopIfTrue="1">
      <formula>(8=IsColor)*ShowAssignmentColor</formula>
    </cfRule>
    <cfRule type="expression" dxfId="995" priority="1385" stopIfTrue="1">
      <formula>(9=IsColor)*ShowAssignmentName</formula>
    </cfRule>
    <cfRule type="expression" dxfId="994" priority="1386" stopIfTrue="1">
      <formula>(9=IsColor)*ShowAssignmentColor</formula>
    </cfRule>
    <cfRule type="expression" dxfId="993" priority="1387" stopIfTrue="1">
      <formula>(10=IsColor)*ShowAssignmentName</formula>
    </cfRule>
    <cfRule type="expression" dxfId="992" priority="1388" stopIfTrue="1">
      <formula>(10=IsColor)*ShowAssignmentColor</formula>
    </cfRule>
    <cfRule type="expression" dxfId="991" priority="1389" stopIfTrue="1">
      <formula>(11=IsColor)*ShowAssignmentName</formula>
    </cfRule>
    <cfRule type="expression" dxfId="990" priority="1390" stopIfTrue="1">
      <formula>(11=IsColor)*ShowAssignmentColor</formula>
    </cfRule>
  </conditionalFormatting>
  <conditionalFormatting sqref="D5229">
    <cfRule type="expression" dxfId="989" priority="1365">
      <formula>LEN(D5229)&gt;0</formula>
    </cfRule>
  </conditionalFormatting>
  <conditionalFormatting sqref="D5095:D5096 D5097:E5100 E5096 F5095:I5098 D5143:I5143 F5099:H5100 F5123 I5099:I5142 H5123 D5101:H5122 D5124:H5142">
    <cfRule type="expression" dxfId="988" priority="1340">
      <formula>(VALUE($B5095)&lt;1)*($B5095&lt;&gt;$B$7)*LEN(D$5)*(LEN(D5095)=0)*(LEN(D5094)=0)</formula>
    </cfRule>
    <cfRule type="expression" dxfId="987" priority="1341">
      <formula>(VALUE($B5095)&lt;1)*($B5095&lt;&gt;$B$7)*LEN(D$5)</formula>
    </cfRule>
    <cfRule type="expression" dxfId="986" priority="1342" stopIfTrue="1">
      <formula>IsEntireDay*ShowAssignmentName</formula>
    </cfRule>
    <cfRule type="expression" dxfId="985" priority="1343" stopIfTrue="1">
      <formula>(1=IsColor)*ShowAssignmentName</formula>
    </cfRule>
    <cfRule type="expression" dxfId="984" priority="1344" stopIfTrue="1">
      <formula>(1=IsColor)*ShowAssignmentColor</formula>
    </cfRule>
    <cfRule type="expression" dxfId="983" priority="1345" stopIfTrue="1">
      <formula>(2=IsColor)*ShowAssignmentName</formula>
    </cfRule>
    <cfRule type="expression" dxfId="982" priority="1346" stopIfTrue="1">
      <formula>(2=IsColor)*ShowAssignmentColor</formula>
    </cfRule>
    <cfRule type="expression" dxfId="981" priority="1347" stopIfTrue="1">
      <formula>(3=IsColor)*ShowAssignmentName</formula>
    </cfRule>
    <cfRule type="expression" dxfId="980" priority="1348" stopIfTrue="1">
      <formula>(3=IsColor)*ShowAssignmentColor</formula>
    </cfRule>
    <cfRule type="expression" dxfId="979" priority="1349" stopIfTrue="1">
      <formula>(4=IsColor)*ShowAssignmentName</formula>
    </cfRule>
    <cfRule type="expression" dxfId="978" priority="1350" stopIfTrue="1">
      <formula>(4=IsColor)*ShowAssignmentColor</formula>
    </cfRule>
    <cfRule type="expression" dxfId="977" priority="1351" stopIfTrue="1">
      <formula>(5=IsColor)*ShowAssignmentName</formula>
    </cfRule>
    <cfRule type="expression" dxfId="976" priority="1352" stopIfTrue="1">
      <formula>(5=IsColor)*ShowAssignmentColor</formula>
    </cfRule>
    <cfRule type="expression" dxfId="975" priority="1353" stopIfTrue="1">
      <formula>(6=IsColor)*ShowAssignmentName</formula>
    </cfRule>
    <cfRule type="expression" dxfId="974" priority="1354" stopIfTrue="1">
      <formula>(6=IsColor)*ShowAssignmentColor</formula>
    </cfRule>
    <cfRule type="expression" dxfId="973" priority="1355" stopIfTrue="1">
      <formula>(7=IsColor)*ShowAssignmentName</formula>
    </cfRule>
    <cfRule type="expression" dxfId="972" priority="1356" stopIfTrue="1">
      <formula>(7=IsColor)*ShowAssignmentColor</formula>
    </cfRule>
    <cfRule type="expression" dxfId="971" priority="1357" stopIfTrue="1">
      <formula>(8=IsColor)*ShowAssignmentName</formula>
    </cfRule>
    <cfRule type="expression" dxfId="970" priority="1358" stopIfTrue="1">
      <formula>(8=IsColor)*ShowAssignmentColor</formula>
    </cfRule>
    <cfRule type="expression" dxfId="969" priority="1359" stopIfTrue="1">
      <formula>(9=IsColor)*ShowAssignmentName</formula>
    </cfRule>
    <cfRule type="expression" dxfId="968" priority="1360" stopIfTrue="1">
      <formula>(9=IsColor)*ShowAssignmentColor</formula>
    </cfRule>
    <cfRule type="expression" dxfId="967" priority="1361" stopIfTrue="1">
      <formula>(10=IsColor)*ShowAssignmentName</formula>
    </cfRule>
    <cfRule type="expression" dxfId="966" priority="1362" stopIfTrue="1">
      <formula>(10=IsColor)*ShowAssignmentColor</formula>
    </cfRule>
    <cfRule type="expression" dxfId="965" priority="1363" stopIfTrue="1">
      <formula>(11=IsColor)*ShowAssignmentName</formula>
    </cfRule>
    <cfRule type="expression" dxfId="964" priority="1364" stopIfTrue="1">
      <formula>(11=IsColor)*ShowAssignmentColor</formula>
    </cfRule>
  </conditionalFormatting>
  <conditionalFormatting sqref="E5095">
    <cfRule type="expression" dxfId="963" priority="1339">
      <formula>(VALUE($B5095)&lt;1)*Periods</formula>
    </cfRule>
  </conditionalFormatting>
  <conditionalFormatting sqref="D5093:I5093">
    <cfRule type="expression" dxfId="962" priority="1338">
      <formula>LEN(D5093)&gt;0</formula>
    </cfRule>
  </conditionalFormatting>
  <conditionalFormatting sqref="B5095:B5143">
    <cfRule type="expression" dxfId="961" priority="1337">
      <formula>(VALUE($B5095)&lt;1)*Periods</formula>
    </cfRule>
  </conditionalFormatting>
  <conditionalFormatting sqref="E5123">
    <cfRule type="expression" dxfId="960" priority="1336">
      <formula>LEN(E5123)&gt;0</formula>
    </cfRule>
  </conditionalFormatting>
  <conditionalFormatting sqref="D5123">
    <cfRule type="expression" dxfId="959" priority="1335">
      <formula>LEN(D5123)&gt;0</formula>
    </cfRule>
  </conditionalFormatting>
  <conditionalFormatting sqref="G5123">
    <cfRule type="expression" dxfId="958" priority="1333">
      <formula>LEN(G5123)&gt;0</formula>
    </cfRule>
  </conditionalFormatting>
  <conditionalFormatting sqref="D5312:F5312 F5307:F5311 G5307:H5312 H5335 D5313:H5313 D5353:H5355 G5336:H5345 D5309:E5311 E5308 G5316:H5334 E5333:F5333 F5316:F5332 F5314:H5315 E5314:E5332 F5334:F5345 F5346:H5351 E5334:E5351 E5352:H5352 D5314:D5352">
    <cfRule type="expression" dxfId="957" priority="1308">
      <formula>(VALUE($B5307)&lt;1)*($B5307&lt;&gt;$B$7)*LEN(D$5)*(LEN(D5307)=0)*(LEN(D5306)=0)</formula>
    </cfRule>
    <cfRule type="expression" dxfId="956" priority="1309">
      <formula>(VALUE($B5307)&lt;1)*($B5307&lt;&gt;$B$7)*LEN(D$5)</formula>
    </cfRule>
    <cfRule type="expression" dxfId="955" priority="1310" stopIfTrue="1">
      <formula>IsEntireDay*ShowAssignmentName</formula>
    </cfRule>
    <cfRule type="expression" dxfId="954" priority="1311" stopIfTrue="1">
      <formula>(1=IsColor)*ShowAssignmentName</formula>
    </cfRule>
    <cfRule type="expression" dxfId="953" priority="1312" stopIfTrue="1">
      <formula>(1=IsColor)*ShowAssignmentColor</formula>
    </cfRule>
    <cfRule type="expression" dxfId="952" priority="1313" stopIfTrue="1">
      <formula>(2=IsColor)*ShowAssignmentName</formula>
    </cfRule>
    <cfRule type="expression" dxfId="951" priority="1314" stopIfTrue="1">
      <formula>(2=IsColor)*ShowAssignmentColor</formula>
    </cfRule>
    <cfRule type="expression" dxfId="950" priority="1315" stopIfTrue="1">
      <formula>(3=IsColor)*ShowAssignmentName</formula>
    </cfRule>
    <cfRule type="expression" dxfId="949" priority="1316" stopIfTrue="1">
      <formula>(3=IsColor)*ShowAssignmentColor</formula>
    </cfRule>
    <cfRule type="expression" dxfId="948" priority="1317" stopIfTrue="1">
      <formula>(4=IsColor)*ShowAssignmentName</formula>
    </cfRule>
    <cfRule type="expression" dxfId="947" priority="1318" stopIfTrue="1">
      <formula>(4=IsColor)*ShowAssignmentColor</formula>
    </cfRule>
    <cfRule type="expression" dxfId="946" priority="1319" stopIfTrue="1">
      <formula>(5=IsColor)*ShowAssignmentName</formula>
    </cfRule>
    <cfRule type="expression" dxfId="945" priority="1320" stopIfTrue="1">
      <formula>(5=IsColor)*ShowAssignmentColor</formula>
    </cfRule>
    <cfRule type="expression" dxfId="944" priority="1321" stopIfTrue="1">
      <formula>(6=IsColor)*ShowAssignmentName</formula>
    </cfRule>
    <cfRule type="expression" dxfId="943" priority="1322" stopIfTrue="1">
      <formula>(6=IsColor)*ShowAssignmentColor</formula>
    </cfRule>
    <cfRule type="expression" dxfId="942" priority="1323" stopIfTrue="1">
      <formula>(7=IsColor)*ShowAssignmentName</formula>
    </cfRule>
    <cfRule type="expression" dxfId="941" priority="1324" stopIfTrue="1">
      <formula>(7=IsColor)*ShowAssignmentColor</formula>
    </cfRule>
    <cfRule type="expression" dxfId="940" priority="1325" stopIfTrue="1">
      <formula>(8=IsColor)*ShowAssignmentName</formula>
    </cfRule>
    <cfRule type="expression" dxfId="939" priority="1326" stopIfTrue="1">
      <formula>(8=IsColor)*ShowAssignmentColor</formula>
    </cfRule>
    <cfRule type="expression" dxfId="938" priority="1327" stopIfTrue="1">
      <formula>(9=IsColor)*ShowAssignmentName</formula>
    </cfRule>
    <cfRule type="expression" dxfId="937" priority="1328" stopIfTrue="1">
      <formula>(9=IsColor)*ShowAssignmentColor</formula>
    </cfRule>
    <cfRule type="expression" dxfId="936" priority="1329" stopIfTrue="1">
      <formula>(10=IsColor)*ShowAssignmentName</formula>
    </cfRule>
    <cfRule type="expression" dxfId="935" priority="1330" stopIfTrue="1">
      <formula>(10=IsColor)*ShowAssignmentColor</formula>
    </cfRule>
    <cfRule type="expression" dxfId="934" priority="1331" stopIfTrue="1">
      <formula>(11=IsColor)*ShowAssignmentName</formula>
    </cfRule>
    <cfRule type="expression" dxfId="933" priority="1332" stopIfTrue="1">
      <formula>(11=IsColor)*ShowAssignmentColor</formula>
    </cfRule>
  </conditionalFormatting>
  <conditionalFormatting sqref="D5307:D5308">
    <cfRule type="expression" dxfId="932" priority="1283">
      <formula>(VALUE($B5307)&lt;1)*($B5307&lt;&gt;$B$7)*LEN(D$5)*(LEN(D5307)=0)*(LEN(D5306)=0)</formula>
    </cfRule>
    <cfRule type="expression" dxfId="931" priority="1284">
      <formula>(VALUE($B5307)&lt;1)*($B5307&lt;&gt;$B$7)*LEN(D$5)</formula>
    </cfRule>
    <cfRule type="expression" dxfId="930" priority="1285" stopIfTrue="1">
      <formula>IsEntireDay*ShowAssignmentName</formula>
    </cfRule>
    <cfRule type="expression" dxfId="929" priority="1286" stopIfTrue="1">
      <formula>(1=IsColor)*ShowAssignmentName</formula>
    </cfRule>
    <cfRule type="expression" dxfId="928" priority="1287" stopIfTrue="1">
      <formula>(1=IsColor)*ShowAssignmentColor</formula>
    </cfRule>
    <cfRule type="expression" dxfId="927" priority="1288" stopIfTrue="1">
      <formula>(2=IsColor)*ShowAssignmentName</formula>
    </cfRule>
    <cfRule type="expression" dxfId="926" priority="1289" stopIfTrue="1">
      <formula>(2=IsColor)*ShowAssignmentColor</formula>
    </cfRule>
    <cfRule type="expression" dxfId="925" priority="1290" stopIfTrue="1">
      <formula>(3=IsColor)*ShowAssignmentName</formula>
    </cfRule>
    <cfRule type="expression" dxfId="924" priority="1291" stopIfTrue="1">
      <formula>(3=IsColor)*ShowAssignmentColor</formula>
    </cfRule>
    <cfRule type="expression" dxfId="923" priority="1292" stopIfTrue="1">
      <formula>(4=IsColor)*ShowAssignmentName</formula>
    </cfRule>
    <cfRule type="expression" dxfId="922" priority="1293" stopIfTrue="1">
      <formula>(4=IsColor)*ShowAssignmentColor</formula>
    </cfRule>
    <cfRule type="expression" dxfId="921" priority="1294" stopIfTrue="1">
      <formula>(5=IsColor)*ShowAssignmentName</formula>
    </cfRule>
    <cfRule type="expression" dxfId="920" priority="1295" stopIfTrue="1">
      <formula>(5=IsColor)*ShowAssignmentColor</formula>
    </cfRule>
    <cfRule type="expression" dxfId="919" priority="1296" stopIfTrue="1">
      <formula>(6=IsColor)*ShowAssignmentName</formula>
    </cfRule>
    <cfRule type="expression" dxfId="918" priority="1297" stopIfTrue="1">
      <formula>(6=IsColor)*ShowAssignmentColor</formula>
    </cfRule>
    <cfRule type="expression" dxfId="917" priority="1298" stopIfTrue="1">
      <formula>(7=IsColor)*ShowAssignmentName</formula>
    </cfRule>
    <cfRule type="expression" dxfId="916" priority="1299" stopIfTrue="1">
      <formula>(7=IsColor)*ShowAssignmentColor</formula>
    </cfRule>
    <cfRule type="expression" dxfId="915" priority="1300" stopIfTrue="1">
      <formula>(8=IsColor)*ShowAssignmentName</formula>
    </cfRule>
    <cfRule type="expression" dxfId="914" priority="1301" stopIfTrue="1">
      <formula>(8=IsColor)*ShowAssignmentColor</formula>
    </cfRule>
    <cfRule type="expression" dxfId="913" priority="1302" stopIfTrue="1">
      <formula>(9=IsColor)*ShowAssignmentName</formula>
    </cfRule>
    <cfRule type="expression" dxfId="912" priority="1303" stopIfTrue="1">
      <formula>(9=IsColor)*ShowAssignmentColor</formula>
    </cfRule>
    <cfRule type="expression" dxfId="911" priority="1304" stopIfTrue="1">
      <formula>(10=IsColor)*ShowAssignmentName</formula>
    </cfRule>
    <cfRule type="expression" dxfId="910" priority="1305" stopIfTrue="1">
      <formula>(10=IsColor)*ShowAssignmentColor</formula>
    </cfRule>
    <cfRule type="expression" dxfId="909" priority="1306" stopIfTrue="1">
      <formula>(11=IsColor)*ShowAssignmentName</formula>
    </cfRule>
    <cfRule type="expression" dxfId="908" priority="1307" stopIfTrue="1">
      <formula>(11=IsColor)*ShowAssignmentColor</formula>
    </cfRule>
  </conditionalFormatting>
  <conditionalFormatting sqref="E5307">
    <cfRule type="expression" dxfId="907" priority="1282">
      <formula>(VALUE($B5307)&lt;1)*Periods</formula>
    </cfRule>
  </conditionalFormatting>
  <conditionalFormatting sqref="D5305:H5305">
    <cfRule type="expression" dxfId="906" priority="1281">
      <formula>LEN(D5305)&gt;0</formula>
    </cfRule>
  </conditionalFormatting>
  <conditionalFormatting sqref="G5335">
    <cfRule type="expression" dxfId="905" priority="1280">
      <formula>LEN(G5335)&gt;0</formula>
    </cfRule>
  </conditionalFormatting>
  <conditionalFormatting sqref="B5307:B5355">
    <cfRule type="expression" dxfId="904" priority="1279">
      <formula>(VALUE($B5307)&lt;1)*Periods</formula>
    </cfRule>
  </conditionalFormatting>
  <conditionalFormatting sqref="D5360:D5361 D5413:D5414 D5519:D5520 E5361 E5414 D5415:E5420 F5413:I5417 E5441:F5441 D5439:F5440 G5439:H5441 F5519:H5519 E5520:H5520 D5407:I5408 D5456:I5461 D5572:D5573 D5625:D5626 D5630:F5630 D5627:E5629 F5625:F5629 G5625:I5630 E5573 E5626 H5653:I5653 D5631:I5632 D5664:I5673 G5654:I5663 D5564:I5567 D5544:E5546 C5543:E5543 D5617:H5620 J5574:J5577 F5572:H5573 G5633:I5652 D5362:E5367 D5389:E5401 F5395:F5401 F5360:I5367 D5402:H5406 G5419:H5420 D5368:H5387 G5418:I5418 D5442:H5455 D5527:I5527 D5521:H5521 I5519:I5522 D5563:H5563 D5549:E5562 I5548:I5563 I5368:I5406 G5575:G5579 D5616:E5616 F5574:G5574 H5574:H5578 G5389:H5401 F5418:F5420 G5522:H5522 D5522:F5526 D5528:E5542 I5419:I5455 D5421:H5438 D5601:D5615 G5580:H5616 F5548:H5562 G5547:H5547 G5523:I5526 F5528:I5546 E5600:E5615 F5575:F5599 I5572:I5599 D5574:E5599 I5601:I5620 F5601:F5616 D5633:F5663">
    <cfRule type="expression" dxfId="903" priority="1254">
      <formula>(VALUE($B5360)&lt;1)*($B5360&lt;&gt;$B$7)*LEN(C$5)*(LEN(C5360)=0)*(LEN(C5359)=0)</formula>
    </cfRule>
    <cfRule type="expression" dxfId="902" priority="1255">
      <formula>(VALUE($B5360)&lt;1)*($B5360&lt;&gt;$B$7)*LEN(C$5)</formula>
    </cfRule>
    <cfRule type="expression" dxfId="901" priority="1256" stopIfTrue="1">
      <formula>IsEntireDay*ShowAssignmentName</formula>
    </cfRule>
    <cfRule type="expression" dxfId="900" priority="1257" stopIfTrue="1">
      <formula>(1=IsColor)*ShowAssignmentName</formula>
    </cfRule>
    <cfRule type="expression" dxfId="899" priority="1258" stopIfTrue="1">
      <formula>(1=IsColor)*ShowAssignmentColor</formula>
    </cfRule>
    <cfRule type="expression" dxfId="898" priority="1259" stopIfTrue="1">
      <formula>(2=IsColor)*ShowAssignmentName</formula>
    </cfRule>
    <cfRule type="expression" dxfId="897" priority="1260" stopIfTrue="1">
      <formula>(2=IsColor)*ShowAssignmentColor</formula>
    </cfRule>
    <cfRule type="expression" dxfId="896" priority="1261" stopIfTrue="1">
      <formula>(3=IsColor)*ShowAssignmentName</formula>
    </cfRule>
    <cfRule type="expression" dxfId="895" priority="1262" stopIfTrue="1">
      <formula>(3=IsColor)*ShowAssignmentColor</formula>
    </cfRule>
    <cfRule type="expression" dxfId="894" priority="1263" stopIfTrue="1">
      <formula>(4=IsColor)*ShowAssignmentName</formula>
    </cfRule>
    <cfRule type="expression" dxfId="893" priority="1264" stopIfTrue="1">
      <formula>(4=IsColor)*ShowAssignmentColor</formula>
    </cfRule>
    <cfRule type="expression" dxfId="892" priority="1265" stopIfTrue="1">
      <formula>(5=IsColor)*ShowAssignmentName</formula>
    </cfRule>
    <cfRule type="expression" dxfId="891" priority="1266" stopIfTrue="1">
      <formula>(5=IsColor)*ShowAssignmentColor</formula>
    </cfRule>
    <cfRule type="expression" dxfId="890" priority="1267" stopIfTrue="1">
      <formula>(6=IsColor)*ShowAssignmentName</formula>
    </cfRule>
    <cfRule type="expression" dxfId="889" priority="1268" stopIfTrue="1">
      <formula>(6=IsColor)*ShowAssignmentColor</formula>
    </cfRule>
    <cfRule type="expression" dxfId="888" priority="1269" stopIfTrue="1">
      <formula>(7=IsColor)*ShowAssignmentName</formula>
    </cfRule>
    <cfRule type="expression" dxfId="887" priority="1270" stopIfTrue="1">
      <formula>(7=IsColor)*ShowAssignmentColor</formula>
    </cfRule>
    <cfRule type="expression" dxfId="886" priority="1271" stopIfTrue="1">
      <formula>(8=IsColor)*ShowAssignmentName</formula>
    </cfRule>
    <cfRule type="expression" dxfId="885" priority="1272" stopIfTrue="1">
      <formula>(8=IsColor)*ShowAssignmentColor</formula>
    </cfRule>
    <cfRule type="expression" dxfId="884" priority="1273" stopIfTrue="1">
      <formula>(9=IsColor)*ShowAssignmentName</formula>
    </cfRule>
    <cfRule type="expression" dxfId="883" priority="1274" stopIfTrue="1">
      <formula>(9=IsColor)*ShowAssignmentColor</formula>
    </cfRule>
    <cfRule type="expression" dxfId="882" priority="1275" stopIfTrue="1">
      <formula>(10=IsColor)*ShowAssignmentName</formula>
    </cfRule>
    <cfRule type="expression" dxfId="881" priority="1276" stopIfTrue="1">
      <formula>(10=IsColor)*ShowAssignmentColor</formula>
    </cfRule>
    <cfRule type="expression" dxfId="880" priority="1277" stopIfTrue="1">
      <formula>(11=IsColor)*ShowAssignmentName</formula>
    </cfRule>
    <cfRule type="expression" dxfId="879" priority="1278" stopIfTrue="1">
      <formula>(11=IsColor)*ShowAssignmentColor</formula>
    </cfRule>
  </conditionalFormatting>
  <conditionalFormatting sqref="B5360:B5408 B5413:B5461 E5360 E5413">
    <cfRule type="expression" dxfId="878" priority="1253">
      <formula>(VALUE($B5360)&lt;1)*Periods</formula>
    </cfRule>
  </conditionalFormatting>
  <conditionalFormatting sqref="D5358:I5358 D5411:I5411">
    <cfRule type="expression" dxfId="877" priority="1252">
      <formula>LEN(D5358)&gt;0</formula>
    </cfRule>
  </conditionalFormatting>
  <conditionalFormatting sqref="D5388:H5388 F5394">
    <cfRule type="expression" dxfId="876" priority="1251">
      <formula>LEN(D5388)&gt;0</formula>
    </cfRule>
  </conditionalFormatting>
  <conditionalFormatting sqref="D5441">
    <cfRule type="expression" dxfId="875" priority="1250">
      <formula>LEN(D5441)&gt;0</formula>
    </cfRule>
  </conditionalFormatting>
  <conditionalFormatting sqref="E5519 E5572 E5625">
    <cfRule type="expression" dxfId="874" priority="1247">
      <formula>(VALUE($B5519)&lt;1)*Periods</formula>
    </cfRule>
  </conditionalFormatting>
  <conditionalFormatting sqref="D5517:H5517 D5570:I5570 D5623:I5623">
    <cfRule type="expression" dxfId="873" priority="1246">
      <formula>LEN(D5517)&gt;0</formula>
    </cfRule>
  </conditionalFormatting>
  <conditionalFormatting sqref="G5653">
    <cfRule type="expression" dxfId="872" priority="1245">
      <formula>LEN(G5653)&gt;0</formula>
    </cfRule>
  </conditionalFormatting>
  <conditionalFormatting sqref="B5519:B5567">
    <cfRule type="expression" dxfId="871" priority="1243">
      <formula>(VALUE($B5519)&lt;1)*Periods</formula>
    </cfRule>
  </conditionalFormatting>
  <conditionalFormatting sqref="B5572:B5620">
    <cfRule type="expression" dxfId="870" priority="1242">
      <formula>(VALUE($B5572)&lt;1)*Periods</formula>
    </cfRule>
  </conditionalFormatting>
  <conditionalFormatting sqref="B5625:B5673">
    <cfRule type="expression" dxfId="869" priority="1241">
      <formula>(VALUE($B5625)&lt;1)*Periods</formula>
    </cfRule>
  </conditionalFormatting>
  <conditionalFormatting sqref="E5547">
    <cfRule type="expression" dxfId="868" priority="1237">
      <formula>LEN(E5547)&gt;0</formula>
    </cfRule>
  </conditionalFormatting>
  <conditionalFormatting sqref="E5548">
    <cfRule type="expression" dxfId="867" priority="1211">
      <formula>(VALUE($B5548)&lt;1)*($B5548&lt;&gt;$B$7)*LEN(E$5)*(LEN(E5548)=0)*(LEN(#REF!)=0)</formula>
    </cfRule>
    <cfRule type="expression" dxfId="866" priority="1212">
      <formula>(VALUE($B5548)&lt;1)*($B5548&lt;&gt;$B$7)*LEN(E$5)</formula>
    </cfRule>
    <cfRule type="expression" dxfId="865" priority="1213" stopIfTrue="1">
      <formula>IsEntireDay*ShowAssignmentName</formula>
    </cfRule>
    <cfRule type="expression" dxfId="864" priority="1214" stopIfTrue="1">
      <formula>(1=IsColor)*ShowAssignmentName</formula>
    </cfRule>
    <cfRule type="expression" dxfId="863" priority="1215" stopIfTrue="1">
      <formula>(1=IsColor)*ShowAssignmentColor</formula>
    </cfRule>
    <cfRule type="expression" dxfId="862" priority="1216" stopIfTrue="1">
      <formula>(2=IsColor)*ShowAssignmentName</formula>
    </cfRule>
    <cfRule type="expression" dxfId="861" priority="1217" stopIfTrue="1">
      <formula>(2=IsColor)*ShowAssignmentColor</formula>
    </cfRule>
    <cfRule type="expression" dxfId="860" priority="1218" stopIfTrue="1">
      <formula>(3=IsColor)*ShowAssignmentName</formula>
    </cfRule>
    <cfRule type="expression" dxfId="859" priority="1219" stopIfTrue="1">
      <formula>(3=IsColor)*ShowAssignmentColor</formula>
    </cfRule>
    <cfRule type="expression" dxfId="858" priority="1220" stopIfTrue="1">
      <formula>(4=IsColor)*ShowAssignmentName</formula>
    </cfRule>
    <cfRule type="expression" dxfId="857" priority="1221" stopIfTrue="1">
      <formula>(4=IsColor)*ShowAssignmentColor</formula>
    </cfRule>
    <cfRule type="expression" dxfId="856" priority="1222" stopIfTrue="1">
      <formula>(5=IsColor)*ShowAssignmentName</formula>
    </cfRule>
    <cfRule type="expression" dxfId="855" priority="1223" stopIfTrue="1">
      <formula>(5=IsColor)*ShowAssignmentColor</formula>
    </cfRule>
    <cfRule type="expression" dxfId="854" priority="1224" stopIfTrue="1">
      <formula>(6=IsColor)*ShowAssignmentName</formula>
    </cfRule>
    <cfRule type="expression" dxfId="853" priority="1225" stopIfTrue="1">
      <formula>(6=IsColor)*ShowAssignmentColor</formula>
    </cfRule>
    <cfRule type="expression" dxfId="852" priority="1226" stopIfTrue="1">
      <formula>(7=IsColor)*ShowAssignmentName</formula>
    </cfRule>
    <cfRule type="expression" dxfId="851" priority="1227" stopIfTrue="1">
      <formula>(7=IsColor)*ShowAssignmentColor</formula>
    </cfRule>
    <cfRule type="expression" dxfId="850" priority="1228" stopIfTrue="1">
      <formula>(8=IsColor)*ShowAssignmentName</formula>
    </cfRule>
    <cfRule type="expression" dxfId="849" priority="1229" stopIfTrue="1">
      <formula>(8=IsColor)*ShowAssignmentColor</formula>
    </cfRule>
    <cfRule type="expression" dxfId="848" priority="1230" stopIfTrue="1">
      <formula>(9=IsColor)*ShowAssignmentName</formula>
    </cfRule>
    <cfRule type="expression" dxfId="847" priority="1231" stopIfTrue="1">
      <formula>(9=IsColor)*ShowAssignmentColor</formula>
    </cfRule>
    <cfRule type="expression" dxfId="846" priority="1232" stopIfTrue="1">
      <formula>(10=IsColor)*ShowAssignmentName</formula>
    </cfRule>
    <cfRule type="expression" dxfId="845" priority="1233" stopIfTrue="1">
      <formula>(10=IsColor)*ShowAssignmentColor</formula>
    </cfRule>
    <cfRule type="expression" dxfId="844" priority="1234" stopIfTrue="1">
      <formula>(11=IsColor)*ShowAssignmentName</formula>
    </cfRule>
    <cfRule type="expression" dxfId="843" priority="1235" stopIfTrue="1">
      <formula>(11=IsColor)*ShowAssignmentColor</formula>
    </cfRule>
  </conditionalFormatting>
  <conditionalFormatting sqref="D5548">
    <cfRule type="expression" dxfId="842" priority="1186">
      <formula>(VALUE($B5548)&lt;1)*($B5548&lt;&gt;$B$7)*LEN(D$5)*(LEN(D5548)=0)*(LEN(E5547)=0)</formula>
    </cfRule>
    <cfRule type="expression" dxfId="841" priority="1187">
      <formula>(VALUE($B5548)&lt;1)*($B5548&lt;&gt;$B$7)*LEN(D$5)</formula>
    </cfRule>
    <cfRule type="expression" dxfId="840" priority="1188" stopIfTrue="1">
      <formula>IsEntireDay*ShowAssignmentName</formula>
    </cfRule>
    <cfRule type="expression" dxfId="839" priority="1189" stopIfTrue="1">
      <formula>(1=IsColor)*ShowAssignmentName</formula>
    </cfRule>
    <cfRule type="expression" dxfId="838" priority="1190" stopIfTrue="1">
      <formula>(1=IsColor)*ShowAssignmentColor</formula>
    </cfRule>
    <cfRule type="expression" dxfId="837" priority="1191" stopIfTrue="1">
      <formula>(2=IsColor)*ShowAssignmentName</formula>
    </cfRule>
    <cfRule type="expression" dxfId="836" priority="1192" stopIfTrue="1">
      <formula>(2=IsColor)*ShowAssignmentColor</formula>
    </cfRule>
    <cfRule type="expression" dxfId="835" priority="1193" stopIfTrue="1">
      <formula>(3=IsColor)*ShowAssignmentName</formula>
    </cfRule>
    <cfRule type="expression" dxfId="834" priority="1194" stopIfTrue="1">
      <formula>(3=IsColor)*ShowAssignmentColor</formula>
    </cfRule>
    <cfRule type="expression" dxfId="833" priority="1195" stopIfTrue="1">
      <formula>(4=IsColor)*ShowAssignmentName</formula>
    </cfRule>
    <cfRule type="expression" dxfId="832" priority="1196" stopIfTrue="1">
      <formula>(4=IsColor)*ShowAssignmentColor</formula>
    </cfRule>
    <cfRule type="expression" dxfId="831" priority="1197" stopIfTrue="1">
      <formula>(5=IsColor)*ShowAssignmentName</formula>
    </cfRule>
    <cfRule type="expression" dxfId="830" priority="1198" stopIfTrue="1">
      <formula>(5=IsColor)*ShowAssignmentColor</formula>
    </cfRule>
    <cfRule type="expression" dxfId="829" priority="1199" stopIfTrue="1">
      <formula>(6=IsColor)*ShowAssignmentName</formula>
    </cfRule>
    <cfRule type="expression" dxfId="828" priority="1200" stopIfTrue="1">
      <formula>(6=IsColor)*ShowAssignmentColor</formula>
    </cfRule>
    <cfRule type="expression" dxfId="827" priority="1201" stopIfTrue="1">
      <formula>(7=IsColor)*ShowAssignmentName</formula>
    </cfRule>
    <cfRule type="expression" dxfId="826" priority="1202" stopIfTrue="1">
      <formula>(7=IsColor)*ShowAssignmentColor</formula>
    </cfRule>
    <cfRule type="expression" dxfId="825" priority="1203" stopIfTrue="1">
      <formula>(8=IsColor)*ShowAssignmentName</formula>
    </cfRule>
    <cfRule type="expression" dxfId="824" priority="1204" stopIfTrue="1">
      <formula>(8=IsColor)*ShowAssignmentColor</formula>
    </cfRule>
    <cfRule type="expression" dxfId="823" priority="1205" stopIfTrue="1">
      <formula>(9=IsColor)*ShowAssignmentName</formula>
    </cfRule>
    <cfRule type="expression" dxfId="822" priority="1206" stopIfTrue="1">
      <formula>(9=IsColor)*ShowAssignmentColor</formula>
    </cfRule>
    <cfRule type="expression" dxfId="821" priority="1207" stopIfTrue="1">
      <formula>(10=IsColor)*ShowAssignmentName</formula>
    </cfRule>
    <cfRule type="expression" dxfId="820" priority="1208" stopIfTrue="1">
      <formula>(10=IsColor)*ShowAssignmentColor</formula>
    </cfRule>
    <cfRule type="expression" dxfId="819" priority="1209" stopIfTrue="1">
      <formula>(11=IsColor)*ShowAssignmentName</formula>
    </cfRule>
    <cfRule type="expression" dxfId="818" priority="1210" stopIfTrue="1">
      <formula>(11=IsColor)*ShowAssignmentColor</formula>
    </cfRule>
  </conditionalFormatting>
  <conditionalFormatting sqref="D5547">
    <cfRule type="expression" dxfId="817" priority="1185">
      <formula>LEN(D5547)&gt;0</formula>
    </cfRule>
  </conditionalFormatting>
  <conditionalFormatting sqref="H5579">
    <cfRule type="expression" dxfId="816" priority="1184">
      <formula>LEN(H5579)&gt;0</formula>
    </cfRule>
  </conditionalFormatting>
  <conditionalFormatting sqref="E5683:F5683 F5678:F5682 G5678:H5683 H5706 E5684:H5684 D5723:H5726 G5707:H5716 E5679:E5682 G5687:H5705 E5704:F5704 F5687:F5703 F5685:H5686 F5705:F5716 F5717:H5722 D5707:E5722 D5695:E5702 E5703 E5705:E5706 D5703:D5706 E5685:E5694">
    <cfRule type="expression" dxfId="815" priority="1157">
      <formula>(VALUE($B5678)&lt;1)*($B5678&lt;&gt;$B$7)*LEN(D$5)*(LEN(D5678)=0)*(LEN(D5677)=0)</formula>
    </cfRule>
    <cfRule type="expression" dxfId="814" priority="1158">
      <formula>(VALUE($B5678)&lt;1)*($B5678&lt;&gt;$B$7)*LEN(D$5)</formula>
    </cfRule>
    <cfRule type="expression" dxfId="813" priority="1159" stopIfTrue="1">
      <formula>IsEntireDay*ShowAssignmentName</formula>
    </cfRule>
    <cfRule type="expression" dxfId="812" priority="1160" stopIfTrue="1">
      <formula>(1=IsColor)*ShowAssignmentName</formula>
    </cfRule>
    <cfRule type="expression" dxfId="811" priority="1161" stopIfTrue="1">
      <formula>(1=IsColor)*ShowAssignmentColor</formula>
    </cfRule>
    <cfRule type="expression" dxfId="810" priority="1162" stopIfTrue="1">
      <formula>(2=IsColor)*ShowAssignmentName</formula>
    </cfRule>
    <cfRule type="expression" dxfId="809" priority="1163" stopIfTrue="1">
      <formula>(2=IsColor)*ShowAssignmentColor</formula>
    </cfRule>
    <cfRule type="expression" dxfId="808" priority="1164" stopIfTrue="1">
      <formula>(3=IsColor)*ShowAssignmentName</formula>
    </cfRule>
    <cfRule type="expression" dxfId="807" priority="1165" stopIfTrue="1">
      <formula>(3=IsColor)*ShowAssignmentColor</formula>
    </cfRule>
    <cfRule type="expression" dxfId="806" priority="1166" stopIfTrue="1">
      <formula>(4=IsColor)*ShowAssignmentName</formula>
    </cfRule>
    <cfRule type="expression" dxfId="805" priority="1167" stopIfTrue="1">
      <formula>(4=IsColor)*ShowAssignmentColor</formula>
    </cfRule>
    <cfRule type="expression" dxfId="804" priority="1168" stopIfTrue="1">
      <formula>(5=IsColor)*ShowAssignmentName</formula>
    </cfRule>
    <cfRule type="expression" dxfId="803" priority="1169" stopIfTrue="1">
      <formula>(5=IsColor)*ShowAssignmentColor</formula>
    </cfRule>
    <cfRule type="expression" dxfId="802" priority="1170" stopIfTrue="1">
      <formula>(6=IsColor)*ShowAssignmentName</formula>
    </cfRule>
    <cfRule type="expression" dxfId="801" priority="1171" stopIfTrue="1">
      <formula>(6=IsColor)*ShowAssignmentColor</formula>
    </cfRule>
    <cfRule type="expression" dxfId="800" priority="1172" stopIfTrue="1">
      <formula>(7=IsColor)*ShowAssignmentName</formula>
    </cfRule>
    <cfRule type="expression" dxfId="799" priority="1173" stopIfTrue="1">
      <formula>(7=IsColor)*ShowAssignmentColor</formula>
    </cfRule>
    <cfRule type="expression" dxfId="798" priority="1174" stopIfTrue="1">
      <formula>(8=IsColor)*ShowAssignmentName</formula>
    </cfRule>
    <cfRule type="expression" dxfId="797" priority="1175" stopIfTrue="1">
      <formula>(8=IsColor)*ShowAssignmentColor</formula>
    </cfRule>
    <cfRule type="expression" dxfId="796" priority="1176" stopIfTrue="1">
      <formula>(9=IsColor)*ShowAssignmentName</formula>
    </cfRule>
    <cfRule type="expression" dxfId="795" priority="1177" stopIfTrue="1">
      <formula>(9=IsColor)*ShowAssignmentColor</formula>
    </cfRule>
    <cfRule type="expression" dxfId="794" priority="1178" stopIfTrue="1">
      <formula>(10=IsColor)*ShowAssignmentName</formula>
    </cfRule>
    <cfRule type="expression" dxfId="793" priority="1179" stopIfTrue="1">
      <formula>(10=IsColor)*ShowAssignmentColor</formula>
    </cfRule>
    <cfRule type="expression" dxfId="792" priority="1180" stopIfTrue="1">
      <formula>(11=IsColor)*ShowAssignmentName</formula>
    </cfRule>
    <cfRule type="expression" dxfId="791" priority="1181" stopIfTrue="1">
      <formula>(11=IsColor)*ShowAssignmentColor</formula>
    </cfRule>
  </conditionalFormatting>
  <conditionalFormatting sqref="D5678:D5694">
    <cfRule type="expression" dxfId="790" priority="1132">
      <formula>(VALUE($B5678)&lt;1)*($B5678&lt;&gt;$B$7)*LEN(D$5)*(LEN(D5678)=0)*(LEN(D5677)=0)</formula>
    </cfRule>
    <cfRule type="expression" dxfId="789" priority="1133">
      <formula>(VALUE($B5678)&lt;1)*($B5678&lt;&gt;$B$7)*LEN(D$5)</formula>
    </cfRule>
    <cfRule type="expression" dxfId="788" priority="1134" stopIfTrue="1">
      <formula>IsEntireDay*ShowAssignmentName</formula>
    </cfRule>
    <cfRule type="expression" dxfId="787" priority="1135" stopIfTrue="1">
      <formula>(1=IsColor)*ShowAssignmentName</formula>
    </cfRule>
    <cfRule type="expression" dxfId="786" priority="1136" stopIfTrue="1">
      <formula>(1=IsColor)*ShowAssignmentColor</formula>
    </cfRule>
    <cfRule type="expression" dxfId="785" priority="1137" stopIfTrue="1">
      <formula>(2=IsColor)*ShowAssignmentName</formula>
    </cfRule>
    <cfRule type="expression" dxfId="784" priority="1138" stopIfTrue="1">
      <formula>(2=IsColor)*ShowAssignmentColor</formula>
    </cfRule>
    <cfRule type="expression" dxfId="783" priority="1139" stopIfTrue="1">
      <formula>(3=IsColor)*ShowAssignmentName</formula>
    </cfRule>
    <cfRule type="expression" dxfId="782" priority="1140" stopIfTrue="1">
      <formula>(3=IsColor)*ShowAssignmentColor</formula>
    </cfRule>
    <cfRule type="expression" dxfId="781" priority="1141" stopIfTrue="1">
      <formula>(4=IsColor)*ShowAssignmentName</formula>
    </cfRule>
    <cfRule type="expression" dxfId="780" priority="1142" stopIfTrue="1">
      <formula>(4=IsColor)*ShowAssignmentColor</formula>
    </cfRule>
    <cfRule type="expression" dxfId="779" priority="1143" stopIfTrue="1">
      <formula>(5=IsColor)*ShowAssignmentName</formula>
    </cfRule>
    <cfRule type="expression" dxfId="778" priority="1144" stopIfTrue="1">
      <formula>(5=IsColor)*ShowAssignmentColor</formula>
    </cfRule>
    <cfRule type="expression" dxfId="777" priority="1145" stopIfTrue="1">
      <formula>(6=IsColor)*ShowAssignmentName</formula>
    </cfRule>
    <cfRule type="expression" dxfId="776" priority="1146" stopIfTrue="1">
      <formula>(6=IsColor)*ShowAssignmentColor</formula>
    </cfRule>
    <cfRule type="expression" dxfId="775" priority="1147" stopIfTrue="1">
      <formula>(7=IsColor)*ShowAssignmentName</formula>
    </cfRule>
    <cfRule type="expression" dxfId="774" priority="1148" stopIfTrue="1">
      <formula>(7=IsColor)*ShowAssignmentColor</formula>
    </cfRule>
    <cfRule type="expression" dxfId="773" priority="1149" stopIfTrue="1">
      <formula>(8=IsColor)*ShowAssignmentName</formula>
    </cfRule>
    <cfRule type="expression" dxfId="772" priority="1150" stopIfTrue="1">
      <formula>(8=IsColor)*ShowAssignmentColor</formula>
    </cfRule>
    <cfRule type="expression" dxfId="771" priority="1151" stopIfTrue="1">
      <formula>(9=IsColor)*ShowAssignmentName</formula>
    </cfRule>
    <cfRule type="expression" dxfId="770" priority="1152" stopIfTrue="1">
      <formula>(9=IsColor)*ShowAssignmentColor</formula>
    </cfRule>
    <cfRule type="expression" dxfId="769" priority="1153" stopIfTrue="1">
      <formula>(10=IsColor)*ShowAssignmentName</formula>
    </cfRule>
    <cfRule type="expression" dxfId="768" priority="1154" stopIfTrue="1">
      <formula>(10=IsColor)*ShowAssignmentColor</formula>
    </cfRule>
    <cfRule type="expression" dxfId="767" priority="1155" stopIfTrue="1">
      <formula>(11=IsColor)*ShowAssignmentName</formula>
    </cfRule>
    <cfRule type="expression" dxfId="766" priority="1156" stopIfTrue="1">
      <formula>(11=IsColor)*ShowAssignmentColor</formula>
    </cfRule>
  </conditionalFormatting>
  <conditionalFormatting sqref="E5678">
    <cfRule type="expression" dxfId="765" priority="1131">
      <formula>(VALUE($B5678)&lt;1)*Periods</formula>
    </cfRule>
  </conditionalFormatting>
  <conditionalFormatting sqref="D5676:H5676">
    <cfRule type="expression" dxfId="764" priority="1130">
      <formula>LEN(D5676)&gt;0</formula>
    </cfRule>
  </conditionalFormatting>
  <conditionalFormatting sqref="G5706">
    <cfRule type="expression" dxfId="763" priority="1129">
      <formula>LEN(G5706)&gt;0</formula>
    </cfRule>
  </conditionalFormatting>
  <conditionalFormatting sqref="B5678:B5726">
    <cfRule type="expression" dxfId="762" priority="1128">
      <formula>(VALUE($B5678)&lt;1)*Periods</formula>
    </cfRule>
  </conditionalFormatting>
  <conditionalFormatting sqref="F5389:F5393">
    <cfRule type="expression" dxfId="761" priority="1103">
      <formula>(VALUE($B5389)&lt;1)*($B5389&lt;&gt;$B$7)*LEN(F$5)*(LEN(F5389)=0)*(LEN(F5388)=0)</formula>
    </cfRule>
    <cfRule type="expression" dxfId="760" priority="1104">
      <formula>(VALUE($B5389)&lt;1)*($B5389&lt;&gt;$B$7)*LEN(F$5)</formula>
    </cfRule>
    <cfRule type="expression" dxfId="759" priority="1105" stopIfTrue="1">
      <formula>IsEntireDay*ShowAssignmentName</formula>
    </cfRule>
    <cfRule type="expression" dxfId="758" priority="1106" stopIfTrue="1">
      <formula>(1=IsColor)*ShowAssignmentName</formula>
    </cfRule>
    <cfRule type="expression" dxfId="757" priority="1107" stopIfTrue="1">
      <formula>(1=IsColor)*ShowAssignmentColor</formula>
    </cfRule>
    <cfRule type="expression" dxfId="756" priority="1108" stopIfTrue="1">
      <formula>(2=IsColor)*ShowAssignmentName</formula>
    </cfRule>
    <cfRule type="expression" dxfId="755" priority="1109" stopIfTrue="1">
      <formula>(2=IsColor)*ShowAssignmentColor</formula>
    </cfRule>
    <cfRule type="expression" dxfId="754" priority="1110" stopIfTrue="1">
      <formula>(3=IsColor)*ShowAssignmentName</formula>
    </cfRule>
    <cfRule type="expression" dxfId="753" priority="1111" stopIfTrue="1">
      <formula>(3=IsColor)*ShowAssignmentColor</formula>
    </cfRule>
    <cfRule type="expression" dxfId="752" priority="1112" stopIfTrue="1">
      <formula>(4=IsColor)*ShowAssignmentName</formula>
    </cfRule>
    <cfRule type="expression" dxfId="751" priority="1113" stopIfTrue="1">
      <formula>(4=IsColor)*ShowAssignmentColor</formula>
    </cfRule>
    <cfRule type="expression" dxfId="750" priority="1114" stopIfTrue="1">
      <formula>(5=IsColor)*ShowAssignmentName</formula>
    </cfRule>
    <cfRule type="expression" dxfId="749" priority="1115" stopIfTrue="1">
      <formula>(5=IsColor)*ShowAssignmentColor</formula>
    </cfRule>
    <cfRule type="expression" dxfId="748" priority="1116" stopIfTrue="1">
      <formula>(6=IsColor)*ShowAssignmentName</formula>
    </cfRule>
    <cfRule type="expression" dxfId="747" priority="1117" stopIfTrue="1">
      <formula>(6=IsColor)*ShowAssignmentColor</formula>
    </cfRule>
    <cfRule type="expression" dxfId="746" priority="1118" stopIfTrue="1">
      <formula>(7=IsColor)*ShowAssignmentName</formula>
    </cfRule>
    <cfRule type="expression" dxfId="745" priority="1119" stopIfTrue="1">
      <formula>(7=IsColor)*ShowAssignmentColor</formula>
    </cfRule>
    <cfRule type="expression" dxfId="744" priority="1120" stopIfTrue="1">
      <formula>(8=IsColor)*ShowAssignmentName</formula>
    </cfRule>
    <cfRule type="expression" dxfId="743" priority="1121" stopIfTrue="1">
      <formula>(8=IsColor)*ShowAssignmentColor</formula>
    </cfRule>
    <cfRule type="expression" dxfId="742" priority="1122" stopIfTrue="1">
      <formula>(9=IsColor)*ShowAssignmentName</formula>
    </cfRule>
    <cfRule type="expression" dxfId="741" priority="1123" stopIfTrue="1">
      <formula>(9=IsColor)*ShowAssignmentColor</formula>
    </cfRule>
    <cfRule type="expression" dxfId="740" priority="1124" stopIfTrue="1">
      <formula>(10=IsColor)*ShowAssignmentName</formula>
    </cfRule>
    <cfRule type="expression" dxfId="739" priority="1125" stopIfTrue="1">
      <formula>(10=IsColor)*ShowAssignmentColor</formula>
    </cfRule>
    <cfRule type="expression" dxfId="738" priority="1126" stopIfTrue="1">
      <formula>(11=IsColor)*ShowAssignmentName</formula>
    </cfRule>
    <cfRule type="expression" dxfId="737" priority="1127" stopIfTrue="1">
      <formula>(11=IsColor)*ShowAssignmentColor</formula>
    </cfRule>
  </conditionalFormatting>
  <conditionalFormatting sqref="D5466:H5473 D5474:E5493 D5510:H5514 G5474:H5493 D5495:E5504 G5495:G5504 F5492:F5504 D5505:G5509 H5494:H5509 I5466:I5514">
    <cfRule type="expression" dxfId="736" priority="1078">
      <formula>(VALUE($B5466)&lt;1)*($B5466&lt;&gt;$B$7)*LEN(D$5)*(LEN(D5466)=0)*(LEN(D5465)=0)</formula>
    </cfRule>
    <cfRule type="expression" dxfId="735" priority="1079">
      <formula>(VALUE($B5466)&lt;1)*($B5466&lt;&gt;$B$7)*LEN(D$5)</formula>
    </cfRule>
    <cfRule type="expression" dxfId="734" priority="1080" stopIfTrue="1">
      <formula>IsEntireDay*ShowAssignmentName</formula>
    </cfRule>
    <cfRule type="expression" dxfId="733" priority="1081" stopIfTrue="1">
      <formula>(1=IsColor)*ShowAssignmentName</formula>
    </cfRule>
    <cfRule type="expression" dxfId="732" priority="1082" stopIfTrue="1">
      <formula>(1=IsColor)*ShowAssignmentColor</formula>
    </cfRule>
    <cfRule type="expression" dxfId="731" priority="1083" stopIfTrue="1">
      <formula>(2=IsColor)*ShowAssignmentName</formula>
    </cfRule>
    <cfRule type="expression" dxfId="730" priority="1084" stopIfTrue="1">
      <formula>(2=IsColor)*ShowAssignmentColor</formula>
    </cfRule>
    <cfRule type="expression" dxfId="729" priority="1085" stopIfTrue="1">
      <formula>(3=IsColor)*ShowAssignmentName</formula>
    </cfRule>
    <cfRule type="expression" dxfId="728" priority="1086" stopIfTrue="1">
      <formula>(3=IsColor)*ShowAssignmentColor</formula>
    </cfRule>
    <cfRule type="expression" dxfId="727" priority="1087" stopIfTrue="1">
      <formula>(4=IsColor)*ShowAssignmentName</formula>
    </cfRule>
    <cfRule type="expression" dxfId="726" priority="1088" stopIfTrue="1">
      <formula>(4=IsColor)*ShowAssignmentColor</formula>
    </cfRule>
    <cfRule type="expression" dxfId="725" priority="1089" stopIfTrue="1">
      <formula>(5=IsColor)*ShowAssignmentName</formula>
    </cfRule>
    <cfRule type="expression" dxfId="724" priority="1090" stopIfTrue="1">
      <formula>(5=IsColor)*ShowAssignmentColor</formula>
    </cfRule>
    <cfRule type="expression" dxfId="723" priority="1091" stopIfTrue="1">
      <formula>(6=IsColor)*ShowAssignmentName</formula>
    </cfRule>
    <cfRule type="expression" dxfId="722" priority="1092" stopIfTrue="1">
      <formula>(6=IsColor)*ShowAssignmentColor</formula>
    </cfRule>
    <cfRule type="expression" dxfId="721" priority="1093" stopIfTrue="1">
      <formula>(7=IsColor)*ShowAssignmentName</formula>
    </cfRule>
    <cfRule type="expression" dxfId="720" priority="1094" stopIfTrue="1">
      <formula>(7=IsColor)*ShowAssignmentColor</formula>
    </cfRule>
    <cfRule type="expression" dxfId="719" priority="1095" stopIfTrue="1">
      <formula>(8=IsColor)*ShowAssignmentName</formula>
    </cfRule>
    <cfRule type="expression" dxfId="718" priority="1096" stopIfTrue="1">
      <formula>(8=IsColor)*ShowAssignmentColor</formula>
    </cfRule>
    <cfRule type="expression" dxfId="717" priority="1097" stopIfTrue="1">
      <formula>(9=IsColor)*ShowAssignmentName</formula>
    </cfRule>
    <cfRule type="expression" dxfId="716" priority="1098" stopIfTrue="1">
      <formula>(9=IsColor)*ShowAssignmentColor</formula>
    </cfRule>
    <cfRule type="expression" dxfId="715" priority="1099" stopIfTrue="1">
      <formula>(10=IsColor)*ShowAssignmentName</formula>
    </cfRule>
    <cfRule type="expression" dxfId="714" priority="1100" stopIfTrue="1">
      <formula>(10=IsColor)*ShowAssignmentColor</formula>
    </cfRule>
    <cfRule type="expression" dxfId="713" priority="1101" stopIfTrue="1">
      <formula>(11=IsColor)*ShowAssignmentName</formula>
    </cfRule>
    <cfRule type="expression" dxfId="712" priority="1102" stopIfTrue="1">
      <formula>(11=IsColor)*ShowAssignmentColor</formula>
    </cfRule>
  </conditionalFormatting>
  <conditionalFormatting sqref="F5476:F5491">
    <cfRule type="expression" dxfId="711" priority="1053">
      <formula>(VALUE($B5472)&lt;1)*($B5472&lt;&gt;$B$7)*LEN(F$5)*(LEN(F5476)=0)*(LEN(F5471)=0)</formula>
    </cfRule>
    <cfRule type="expression" dxfId="710" priority="1054">
      <formula>(VALUE($B5472)&lt;1)*($B5472&lt;&gt;$B$7)*LEN(F$5)</formula>
    </cfRule>
    <cfRule type="expression" dxfId="709" priority="1055" stopIfTrue="1">
      <formula>IsEntireDay*ShowAssignmentName</formula>
    </cfRule>
    <cfRule type="expression" dxfId="708" priority="1056" stopIfTrue="1">
      <formula>(1=IsColor)*ShowAssignmentName</formula>
    </cfRule>
    <cfRule type="expression" dxfId="707" priority="1057" stopIfTrue="1">
      <formula>(1=IsColor)*ShowAssignmentColor</formula>
    </cfRule>
    <cfRule type="expression" dxfId="706" priority="1058" stopIfTrue="1">
      <formula>(2=IsColor)*ShowAssignmentName</formula>
    </cfRule>
    <cfRule type="expression" dxfId="705" priority="1059" stopIfTrue="1">
      <formula>(2=IsColor)*ShowAssignmentColor</formula>
    </cfRule>
    <cfRule type="expression" dxfId="704" priority="1060" stopIfTrue="1">
      <formula>(3=IsColor)*ShowAssignmentName</formula>
    </cfRule>
    <cfRule type="expression" dxfId="703" priority="1061" stopIfTrue="1">
      <formula>(3=IsColor)*ShowAssignmentColor</formula>
    </cfRule>
    <cfRule type="expression" dxfId="702" priority="1062" stopIfTrue="1">
      <formula>(4=IsColor)*ShowAssignmentName</formula>
    </cfRule>
    <cfRule type="expression" dxfId="701" priority="1063" stopIfTrue="1">
      <formula>(4=IsColor)*ShowAssignmentColor</formula>
    </cfRule>
    <cfRule type="expression" dxfId="700" priority="1064" stopIfTrue="1">
      <formula>(5=IsColor)*ShowAssignmentName</formula>
    </cfRule>
    <cfRule type="expression" dxfId="699" priority="1065" stopIfTrue="1">
      <formula>(5=IsColor)*ShowAssignmentColor</formula>
    </cfRule>
    <cfRule type="expression" dxfId="698" priority="1066" stopIfTrue="1">
      <formula>(6=IsColor)*ShowAssignmentName</formula>
    </cfRule>
    <cfRule type="expression" dxfId="697" priority="1067" stopIfTrue="1">
      <formula>(6=IsColor)*ShowAssignmentColor</formula>
    </cfRule>
    <cfRule type="expression" dxfId="696" priority="1068" stopIfTrue="1">
      <formula>(7=IsColor)*ShowAssignmentName</formula>
    </cfRule>
    <cfRule type="expression" dxfId="695" priority="1069" stopIfTrue="1">
      <formula>(7=IsColor)*ShowAssignmentColor</formula>
    </cfRule>
    <cfRule type="expression" dxfId="694" priority="1070" stopIfTrue="1">
      <formula>(8=IsColor)*ShowAssignmentName</formula>
    </cfRule>
    <cfRule type="expression" dxfId="693" priority="1071" stopIfTrue="1">
      <formula>(8=IsColor)*ShowAssignmentColor</formula>
    </cfRule>
    <cfRule type="expression" dxfId="692" priority="1072" stopIfTrue="1">
      <formula>(9=IsColor)*ShowAssignmentName</formula>
    </cfRule>
    <cfRule type="expression" dxfId="691" priority="1073" stopIfTrue="1">
      <formula>(9=IsColor)*ShowAssignmentColor</formula>
    </cfRule>
    <cfRule type="expression" dxfId="690" priority="1074" stopIfTrue="1">
      <formula>(10=IsColor)*ShowAssignmentName</formula>
    </cfRule>
    <cfRule type="expression" dxfId="689" priority="1075" stopIfTrue="1">
      <formula>(10=IsColor)*ShowAssignmentColor</formula>
    </cfRule>
    <cfRule type="expression" dxfId="688" priority="1076" stopIfTrue="1">
      <formula>(11=IsColor)*ShowAssignmentName</formula>
    </cfRule>
    <cfRule type="expression" dxfId="687" priority="1077" stopIfTrue="1">
      <formula>(11=IsColor)*ShowAssignmentColor</formula>
    </cfRule>
  </conditionalFormatting>
  <conditionalFormatting sqref="D5464:I5464">
    <cfRule type="expression" dxfId="686" priority="1052">
      <formula>LEN(D5464)&gt;0</formula>
    </cfRule>
  </conditionalFormatting>
  <conditionalFormatting sqref="B5466:B5514">
    <cfRule type="expression" dxfId="685" priority="1051">
      <formula>(VALUE($B5466)&lt;1)*Periods</formula>
    </cfRule>
  </conditionalFormatting>
  <conditionalFormatting sqref="E5494">
    <cfRule type="expression" dxfId="684" priority="1050">
      <formula>LEN(E5494)&gt;0</formula>
    </cfRule>
  </conditionalFormatting>
  <conditionalFormatting sqref="D5494">
    <cfRule type="expression" dxfId="683" priority="1049">
      <formula>LEN(D5494)&gt;0</formula>
    </cfRule>
  </conditionalFormatting>
  <conditionalFormatting sqref="G5494">
    <cfRule type="expression" dxfId="682" priority="1048">
      <formula>LEN(G5494)&gt;0</formula>
    </cfRule>
  </conditionalFormatting>
  <conditionalFormatting sqref="F5474:F5475">
    <cfRule type="expression" dxfId="681" priority="998">
      <formula>(VALUE($B5474)&lt;1)*($B5474&lt;&gt;$B$7)*LEN(F$5)*(LEN(F5474)=0)*(LEN(F5473)=0)</formula>
    </cfRule>
    <cfRule type="expression" dxfId="680" priority="999">
      <formula>(VALUE($B5474)&lt;1)*($B5474&lt;&gt;$B$7)*LEN(F$5)</formula>
    </cfRule>
    <cfRule type="expression" dxfId="679" priority="1000" stopIfTrue="1">
      <formula>IsEntireDay*ShowAssignmentName</formula>
    </cfRule>
    <cfRule type="expression" dxfId="678" priority="1001" stopIfTrue="1">
      <formula>(1=IsColor)*ShowAssignmentName</formula>
    </cfRule>
    <cfRule type="expression" dxfId="677" priority="1002" stopIfTrue="1">
      <formula>(1=IsColor)*ShowAssignmentColor</formula>
    </cfRule>
    <cfRule type="expression" dxfId="676" priority="1003" stopIfTrue="1">
      <formula>(2=IsColor)*ShowAssignmentName</formula>
    </cfRule>
    <cfRule type="expression" dxfId="675" priority="1004" stopIfTrue="1">
      <formula>(2=IsColor)*ShowAssignmentColor</formula>
    </cfRule>
    <cfRule type="expression" dxfId="674" priority="1005" stopIfTrue="1">
      <formula>(3=IsColor)*ShowAssignmentName</formula>
    </cfRule>
    <cfRule type="expression" dxfId="673" priority="1006" stopIfTrue="1">
      <formula>(3=IsColor)*ShowAssignmentColor</formula>
    </cfRule>
    <cfRule type="expression" dxfId="672" priority="1007" stopIfTrue="1">
      <formula>(4=IsColor)*ShowAssignmentName</formula>
    </cfRule>
    <cfRule type="expression" dxfId="671" priority="1008" stopIfTrue="1">
      <formula>(4=IsColor)*ShowAssignmentColor</formula>
    </cfRule>
    <cfRule type="expression" dxfId="670" priority="1009" stopIfTrue="1">
      <formula>(5=IsColor)*ShowAssignmentName</formula>
    </cfRule>
    <cfRule type="expression" dxfId="669" priority="1010" stopIfTrue="1">
      <formula>(5=IsColor)*ShowAssignmentColor</formula>
    </cfRule>
    <cfRule type="expression" dxfId="668" priority="1011" stopIfTrue="1">
      <formula>(6=IsColor)*ShowAssignmentName</formula>
    </cfRule>
    <cfRule type="expression" dxfId="667" priority="1012" stopIfTrue="1">
      <formula>(6=IsColor)*ShowAssignmentColor</formula>
    </cfRule>
    <cfRule type="expression" dxfId="666" priority="1013" stopIfTrue="1">
      <formula>(7=IsColor)*ShowAssignmentName</formula>
    </cfRule>
    <cfRule type="expression" dxfId="665" priority="1014" stopIfTrue="1">
      <formula>(7=IsColor)*ShowAssignmentColor</formula>
    </cfRule>
    <cfRule type="expression" dxfId="664" priority="1015" stopIfTrue="1">
      <formula>(8=IsColor)*ShowAssignmentName</formula>
    </cfRule>
    <cfRule type="expression" dxfId="663" priority="1016" stopIfTrue="1">
      <formula>(8=IsColor)*ShowAssignmentColor</formula>
    </cfRule>
    <cfRule type="expression" dxfId="662" priority="1017" stopIfTrue="1">
      <formula>(9=IsColor)*ShowAssignmentName</formula>
    </cfRule>
    <cfRule type="expression" dxfId="661" priority="1018" stopIfTrue="1">
      <formula>(9=IsColor)*ShowAssignmentColor</formula>
    </cfRule>
    <cfRule type="expression" dxfId="660" priority="1019" stopIfTrue="1">
      <formula>(10=IsColor)*ShowAssignmentName</formula>
    </cfRule>
    <cfRule type="expression" dxfId="659" priority="1020" stopIfTrue="1">
      <formula>(10=IsColor)*ShowAssignmentColor</formula>
    </cfRule>
    <cfRule type="expression" dxfId="658" priority="1021" stopIfTrue="1">
      <formula>(11=IsColor)*ShowAssignmentName</formula>
    </cfRule>
    <cfRule type="expression" dxfId="657" priority="1022" stopIfTrue="1">
      <formula>(11=IsColor)*ShowAssignmentColor</formula>
    </cfRule>
  </conditionalFormatting>
  <conditionalFormatting sqref="F5162">
    <cfRule type="expression" dxfId="656" priority="997">
      <formula>LEN(F5162)&gt;0</formula>
    </cfRule>
  </conditionalFormatting>
  <conditionalFormatting sqref="D5731:D5732 D5784:D5785 D5837:D5838 D5890:D5891 E5732 E5785 D5839:E5842 E5838 F5865 F5890:I5890 E5891:I5891 F5837:I5840 D5779:I5779 D5943:D5944 E5944 D5938:I5938 D5892:I5894 F5943:I5946 G5950 E6103 F6261:H6261 D6372:F6372 H6395 E6368 E6286:F6286 D6285 D5758:H5758 D5828:I5832 D5733:E5738 F5731:I5738 D5786:E5792 F5841:G5842 D5843:G5848 F5919:G5934 F5947:F5950 G5949:H5949 D6020:D6021 D5760:H5778 I5758:I5778 F5812:H5812 D5739:I5757 F5784:I5792 D5813:H5827 I5812:I5827 D5793:I5811 H5841:I5848 F5996:F6021 D5996:D6017 E5972:E5986 D5920:E5934 D5895:H5913 D5915:G5918 C5914:G5914 D5935:G5937 I5895:I5937 D5978:D5986 H5914:H5937 D5945:E5970 D5866:I5885 D5849:I5864 E5997:E6003 D6022:F6034 E6005:E6021 E6315:E6321 I6240:I6242 H6236:H6251">
    <cfRule type="expression" dxfId="655" priority="972">
      <formula>(VALUE($B5731)&lt;1)*($B5731&lt;&gt;$B$7)*LEN(C$5)*(LEN(C5731)=0)*(LEN(C5730)=0)</formula>
    </cfRule>
    <cfRule type="expression" dxfId="654" priority="973">
      <formula>(VALUE($B5731)&lt;1)*($B5731&lt;&gt;$B$7)*LEN(C$5)</formula>
    </cfRule>
    <cfRule type="expression" dxfId="653" priority="974" stopIfTrue="1">
      <formula>IsEntireDay*ShowAssignmentName</formula>
    </cfRule>
    <cfRule type="expression" dxfId="652" priority="975" stopIfTrue="1">
      <formula>(1=IsColor)*ShowAssignmentName</formula>
    </cfRule>
    <cfRule type="expression" dxfId="651" priority="976" stopIfTrue="1">
      <formula>(1=IsColor)*ShowAssignmentColor</formula>
    </cfRule>
    <cfRule type="expression" dxfId="650" priority="977" stopIfTrue="1">
      <formula>(2=IsColor)*ShowAssignmentName</formula>
    </cfRule>
    <cfRule type="expression" dxfId="649" priority="978" stopIfTrue="1">
      <formula>(2=IsColor)*ShowAssignmentColor</formula>
    </cfRule>
    <cfRule type="expression" dxfId="648" priority="979" stopIfTrue="1">
      <formula>(3=IsColor)*ShowAssignmentName</formula>
    </cfRule>
    <cfRule type="expression" dxfId="647" priority="980" stopIfTrue="1">
      <formula>(3=IsColor)*ShowAssignmentColor</formula>
    </cfRule>
    <cfRule type="expression" dxfId="646" priority="981" stopIfTrue="1">
      <formula>(4=IsColor)*ShowAssignmentName</formula>
    </cfRule>
    <cfRule type="expression" dxfId="645" priority="982" stopIfTrue="1">
      <formula>(4=IsColor)*ShowAssignmentColor</formula>
    </cfRule>
    <cfRule type="expression" dxfId="644" priority="983" stopIfTrue="1">
      <formula>(5=IsColor)*ShowAssignmentName</formula>
    </cfRule>
    <cfRule type="expression" dxfId="643" priority="984" stopIfTrue="1">
      <formula>(5=IsColor)*ShowAssignmentColor</formula>
    </cfRule>
    <cfRule type="expression" dxfId="642" priority="985" stopIfTrue="1">
      <formula>(6=IsColor)*ShowAssignmentName</formula>
    </cfRule>
    <cfRule type="expression" dxfId="641" priority="986" stopIfTrue="1">
      <formula>(6=IsColor)*ShowAssignmentColor</formula>
    </cfRule>
    <cfRule type="expression" dxfId="640" priority="987" stopIfTrue="1">
      <formula>(7=IsColor)*ShowAssignmentName</formula>
    </cfRule>
    <cfRule type="expression" dxfId="639" priority="988" stopIfTrue="1">
      <formula>(7=IsColor)*ShowAssignmentColor</formula>
    </cfRule>
    <cfRule type="expression" dxfId="638" priority="989" stopIfTrue="1">
      <formula>(8=IsColor)*ShowAssignmentName</formula>
    </cfRule>
    <cfRule type="expression" dxfId="637" priority="990" stopIfTrue="1">
      <formula>(8=IsColor)*ShowAssignmentColor</formula>
    </cfRule>
    <cfRule type="expression" dxfId="636" priority="991" stopIfTrue="1">
      <formula>(9=IsColor)*ShowAssignmentName</formula>
    </cfRule>
    <cfRule type="expression" dxfId="635" priority="992" stopIfTrue="1">
      <formula>(9=IsColor)*ShowAssignmentColor</formula>
    </cfRule>
    <cfRule type="expression" dxfId="634" priority="993" stopIfTrue="1">
      <formula>(10=IsColor)*ShowAssignmentName</formula>
    </cfRule>
    <cfRule type="expression" dxfId="633" priority="994" stopIfTrue="1">
      <formula>(10=IsColor)*ShowAssignmentColor</formula>
    </cfRule>
    <cfRule type="expression" dxfId="632" priority="995" stopIfTrue="1">
      <formula>(11=IsColor)*ShowAssignmentName</formula>
    </cfRule>
    <cfRule type="expression" dxfId="631" priority="996" stopIfTrue="1">
      <formula>(11=IsColor)*ShowAssignmentColor</formula>
    </cfRule>
  </conditionalFormatting>
  <conditionalFormatting sqref="B5731:B5779 B5784:B5832 E5731 E5784">
    <cfRule type="expression" dxfId="630" priority="971">
      <formula>(VALUE($B5731)&lt;1)*Periods</formula>
    </cfRule>
  </conditionalFormatting>
  <conditionalFormatting sqref="D5729:I5729 D5782:I5782">
    <cfRule type="expression" dxfId="629" priority="970">
      <formula>LEN(D5729)&gt;0</formula>
    </cfRule>
  </conditionalFormatting>
  <conditionalFormatting sqref="D5759:E5759 G5759:H5759">
    <cfRule type="expression" dxfId="628" priority="969">
      <formula>LEN(D5759)&gt;0</formula>
    </cfRule>
  </conditionalFormatting>
  <conditionalFormatting sqref="D5812">
    <cfRule type="expression" dxfId="627" priority="968">
      <formula>LEN(D5812)&gt;0</formula>
    </cfRule>
  </conditionalFormatting>
  <conditionalFormatting sqref="E5837">
    <cfRule type="expression" dxfId="626" priority="967">
      <formula>(VALUE($B5837)&lt;1)*Periods</formula>
    </cfRule>
  </conditionalFormatting>
  <conditionalFormatting sqref="D5835:I5835">
    <cfRule type="expression" dxfId="625" priority="966">
      <formula>LEN(D5835)&gt;0</formula>
    </cfRule>
  </conditionalFormatting>
  <conditionalFormatting sqref="E5890 E5943 E5996">
    <cfRule type="expression" dxfId="624" priority="965">
      <formula>(VALUE($B5890)&lt;1)*Periods</formula>
    </cfRule>
  </conditionalFormatting>
  <conditionalFormatting sqref="D5888:I5888 D5941:I5941 D5994:I5994">
    <cfRule type="expression" dxfId="623" priority="964">
      <formula>LEN(D5888)&gt;0</formula>
    </cfRule>
  </conditionalFormatting>
  <conditionalFormatting sqref="B5837:B5885">
    <cfRule type="expression" dxfId="622" priority="962">
      <formula>(VALUE($B5837)&lt;1)*Periods</formula>
    </cfRule>
  </conditionalFormatting>
  <conditionalFormatting sqref="B5890:B5938">
    <cfRule type="expression" dxfId="621" priority="961">
      <formula>(VALUE($B5890)&lt;1)*Periods</formula>
    </cfRule>
  </conditionalFormatting>
  <conditionalFormatting sqref="B5943:B5991">
    <cfRule type="expression" dxfId="620" priority="960">
      <formula>(VALUE($B5943)&lt;1)*Periods</formula>
    </cfRule>
  </conditionalFormatting>
  <conditionalFormatting sqref="B5996:B6044">
    <cfRule type="expression" dxfId="619" priority="959">
      <formula>(VALUE($B5996)&lt;1)*Periods</formula>
    </cfRule>
  </conditionalFormatting>
  <conditionalFormatting sqref="E5865">
    <cfRule type="expression" dxfId="618" priority="958">
      <formula>LEN(E5865)&gt;0</formula>
    </cfRule>
  </conditionalFormatting>
  <conditionalFormatting sqref="D5865">
    <cfRule type="expression" dxfId="617" priority="957">
      <formula>LEN(D5865)&gt;0</formula>
    </cfRule>
  </conditionalFormatting>
  <conditionalFormatting sqref="G5865">
    <cfRule type="expression" dxfId="616" priority="956">
      <formula>LEN(G5865)&gt;0</formula>
    </cfRule>
  </conditionalFormatting>
  <conditionalFormatting sqref="E5919">
    <cfRule type="expression" dxfId="615" priority="929">
      <formula>(VALUE($B5919)&lt;1)*($B5919&lt;&gt;$B$7)*LEN(E$5)*(LEN(E5919)=0)*(LEN(#REF!)=0)</formula>
    </cfRule>
    <cfRule type="expression" dxfId="614" priority="930">
      <formula>(VALUE($B5919)&lt;1)*($B5919&lt;&gt;$B$7)*LEN(E$5)</formula>
    </cfRule>
    <cfRule type="expression" dxfId="613" priority="931" stopIfTrue="1">
      <formula>IsEntireDay*ShowAssignmentName</formula>
    </cfRule>
    <cfRule type="expression" dxfId="612" priority="932" stopIfTrue="1">
      <formula>(1=IsColor)*ShowAssignmentName</formula>
    </cfRule>
    <cfRule type="expression" dxfId="611" priority="933" stopIfTrue="1">
      <formula>(1=IsColor)*ShowAssignmentColor</formula>
    </cfRule>
    <cfRule type="expression" dxfId="610" priority="934" stopIfTrue="1">
      <formula>(2=IsColor)*ShowAssignmentName</formula>
    </cfRule>
    <cfRule type="expression" dxfId="609" priority="935" stopIfTrue="1">
      <formula>(2=IsColor)*ShowAssignmentColor</formula>
    </cfRule>
    <cfRule type="expression" dxfId="608" priority="936" stopIfTrue="1">
      <formula>(3=IsColor)*ShowAssignmentName</formula>
    </cfRule>
    <cfRule type="expression" dxfId="607" priority="937" stopIfTrue="1">
      <formula>(3=IsColor)*ShowAssignmentColor</formula>
    </cfRule>
    <cfRule type="expression" dxfId="606" priority="938" stopIfTrue="1">
      <formula>(4=IsColor)*ShowAssignmentName</formula>
    </cfRule>
    <cfRule type="expression" dxfId="605" priority="939" stopIfTrue="1">
      <formula>(4=IsColor)*ShowAssignmentColor</formula>
    </cfRule>
    <cfRule type="expression" dxfId="604" priority="940" stopIfTrue="1">
      <formula>(5=IsColor)*ShowAssignmentName</formula>
    </cfRule>
    <cfRule type="expression" dxfId="603" priority="941" stopIfTrue="1">
      <formula>(5=IsColor)*ShowAssignmentColor</formula>
    </cfRule>
    <cfRule type="expression" dxfId="602" priority="942" stopIfTrue="1">
      <formula>(6=IsColor)*ShowAssignmentName</formula>
    </cfRule>
    <cfRule type="expression" dxfId="601" priority="943" stopIfTrue="1">
      <formula>(6=IsColor)*ShowAssignmentColor</formula>
    </cfRule>
    <cfRule type="expression" dxfId="600" priority="944" stopIfTrue="1">
      <formula>(7=IsColor)*ShowAssignmentName</formula>
    </cfRule>
    <cfRule type="expression" dxfId="599" priority="945" stopIfTrue="1">
      <formula>(7=IsColor)*ShowAssignmentColor</formula>
    </cfRule>
    <cfRule type="expression" dxfId="598" priority="946" stopIfTrue="1">
      <formula>(8=IsColor)*ShowAssignmentName</formula>
    </cfRule>
    <cfRule type="expression" dxfId="597" priority="947" stopIfTrue="1">
      <formula>(8=IsColor)*ShowAssignmentColor</formula>
    </cfRule>
    <cfRule type="expression" dxfId="596" priority="948" stopIfTrue="1">
      <formula>(9=IsColor)*ShowAssignmentName</formula>
    </cfRule>
    <cfRule type="expression" dxfId="595" priority="949" stopIfTrue="1">
      <formula>(9=IsColor)*ShowAssignmentColor</formula>
    </cfRule>
    <cfRule type="expression" dxfId="594" priority="950" stopIfTrue="1">
      <formula>(10=IsColor)*ShowAssignmentName</formula>
    </cfRule>
    <cfRule type="expression" dxfId="593" priority="951" stopIfTrue="1">
      <formula>(10=IsColor)*ShowAssignmentColor</formula>
    </cfRule>
    <cfRule type="expression" dxfId="592" priority="952" stopIfTrue="1">
      <formula>(11=IsColor)*ShowAssignmentName</formula>
    </cfRule>
    <cfRule type="expression" dxfId="591" priority="953" stopIfTrue="1">
      <formula>(11=IsColor)*ShowAssignmentColor</formula>
    </cfRule>
  </conditionalFormatting>
  <conditionalFormatting sqref="D5919 E6263">
    <cfRule type="expression" dxfId="590" priority="904">
      <formula>(VALUE($B5919)&lt;1)*($B5919&lt;&gt;$B$7)*LEN(D$5)*(LEN(D5919)=0)*(LEN(E5918)=0)</formula>
    </cfRule>
    <cfRule type="expression" dxfId="589" priority="905">
      <formula>(VALUE($B5919)&lt;1)*($B5919&lt;&gt;$B$7)*LEN(D$5)</formula>
    </cfRule>
    <cfRule type="expression" dxfId="588" priority="906" stopIfTrue="1">
      <formula>IsEntireDay*ShowAssignmentName</formula>
    </cfRule>
    <cfRule type="expression" dxfId="587" priority="907" stopIfTrue="1">
      <formula>(1=IsColor)*ShowAssignmentName</formula>
    </cfRule>
    <cfRule type="expression" dxfId="586" priority="908" stopIfTrue="1">
      <formula>(1=IsColor)*ShowAssignmentColor</formula>
    </cfRule>
    <cfRule type="expression" dxfId="585" priority="909" stopIfTrue="1">
      <formula>(2=IsColor)*ShowAssignmentName</formula>
    </cfRule>
    <cfRule type="expression" dxfId="584" priority="910" stopIfTrue="1">
      <formula>(2=IsColor)*ShowAssignmentColor</formula>
    </cfRule>
    <cfRule type="expression" dxfId="583" priority="911" stopIfTrue="1">
      <formula>(3=IsColor)*ShowAssignmentName</formula>
    </cfRule>
    <cfRule type="expression" dxfId="582" priority="912" stopIfTrue="1">
      <formula>(3=IsColor)*ShowAssignmentColor</formula>
    </cfRule>
    <cfRule type="expression" dxfId="581" priority="913" stopIfTrue="1">
      <formula>(4=IsColor)*ShowAssignmentName</formula>
    </cfRule>
    <cfRule type="expression" dxfId="580" priority="914" stopIfTrue="1">
      <formula>(4=IsColor)*ShowAssignmentColor</formula>
    </cfRule>
    <cfRule type="expression" dxfId="579" priority="915" stopIfTrue="1">
      <formula>(5=IsColor)*ShowAssignmentName</formula>
    </cfRule>
    <cfRule type="expression" dxfId="578" priority="916" stopIfTrue="1">
      <formula>(5=IsColor)*ShowAssignmentColor</formula>
    </cfRule>
    <cfRule type="expression" dxfId="577" priority="917" stopIfTrue="1">
      <formula>(6=IsColor)*ShowAssignmentName</formula>
    </cfRule>
    <cfRule type="expression" dxfId="576" priority="918" stopIfTrue="1">
      <formula>(6=IsColor)*ShowAssignmentColor</formula>
    </cfRule>
    <cfRule type="expression" dxfId="575" priority="919" stopIfTrue="1">
      <formula>(7=IsColor)*ShowAssignmentName</formula>
    </cfRule>
    <cfRule type="expression" dxfId="574" priority="920" stopIfTrue="1">
      <formula>(7=IsColor)*ShowAssignmentColor</formula>
    </cfRule>
    <cfRule type="expression" dxfId="573" priority="921" stopIfTrue="1">
      <formula>(8=IsColor)*ShowAssignmentName</formula>
    </cfRule>
    <cfRule type="expression" dxfId="572" priority="922" stopIfTrue="1">
      <formula>(8=IsColor)*ShowAssignmentColor</formula>
    </cfRule>
    <cfRule type="expression" dxfId="571" priority="923" stopIfTrue="1">
      <formula>(9=IsColor)*ShowAssignmentName</formula>
    </cfRule>
    <cfRule type="expression" dxfId="570" priority="924" stopIfTrue="1">
      <formula>(9=IsColor)*ShowAssignmentColor</formula>
    </cfRule>
    <cfRule type="expression" dxfId="569" priority="925" stopIfTrue="1">
      <formula>(10=IsColor)*ShowAssignmentName</formula>
    </cfRule>
    <cfRule type="expression" dxfId="568" priority="926" stopIfTrue="1">
      <formula>(10=IsColor)*ShowAssignmentColor</formula>
    </cfRule>
    <cfRule type="expression" dxfId="567" priority="927" stopIfTrue="1">
      <formula>(11=IsColor)*ShowAssignmentName</formula>
    </cfRule>
    <cfRule type="expression" dxfId="566" priority="928" stopIfTrue="1">
      <formula>(11=IsColor)*ShowAssignmentColor</formula>
    </cfRule>
  </conditionalFormatting>
  <conditionalFormatting sqref="B6102:B6150 E6102">
    <cfRule type="expression" dxfId="565" priority="902">
      <formula>(VALUE($B6102)&lt;1)*Periods</formula>
    </cfRule>
  </conditionalFormatting>
  <conditionalFormatting sqref="D6100:I6100">
    <cfRule type="expression" dxfId="564" priority="901">
      <formula>LEN(D6100)&gt;0</formula>
    </cfRule>
  </conditionalFormatting>
  <conditionalFormatting sqref="D6130:H6130">
    <cfRule type="expression" dxfId="563" priority="900">
      <formula>LEN(D6130)&gt;0</formula>
    </cfRule>
  </conditionalFormatting>
  <conditionalFormatting sqref="H5950">
    <cfRule type="expression" dxfId="562" priority="899">
      <formula>LEN(H5950)&gt;0</formula>
    </cfRule>
  </conditionalFormatting>
  <conditionalFormatting sqref="E6156 E6189:F6198 F6183:F6188">
    <cfRule type="expression" dxfId="561" priority="847">
      <formula>(VALUE($B6156)&lt;1)*($B6156&lt;&gt;$B$7)*LEN(E$5)*(LEN(E6156)=0)*(LEN(E6155)=0)</formula>
    </cfRule>
    <cfRule type="expression" dxfId="560" priority="848">
      <formula>(VALUE($B6156)&lt;1)*($B6156&lt;&gt;$B$7)*LEN(E$5)</formula>
    </cfRule>
    <cfRule type="expression" dxfId="559" priority="849" stopIfTrue="1">
      <formula>IsEntireDay*ShowAssignmentName</formula>
    </cfRule>
    <cfRule type="expression" dxfId="558" priority="850" stopIfTrue="1">
      <formula>(1=IsColor)*ShowAssignmentName</formula>
    </cfRule>
    <cfRule type="expression" dxfId="557" priority="851" stopIfTrue="1">
      <formula>(1=IsColor)*ShowAssignmentColor</formula>
    </cfRule>
    <cfRule type="expression" dxfId="556" priority="852" stopIfTrue="1">
      <formula>(2=IsColor)*ShowAssignmentName</formula>
    </cfRule>
    <cfRule type="expression" dxfId="555" priority="853" stopIfTrue="1">
      <formula>(2=IsColor)*ShowAssignmentColor</formula>
    </cfRule>
    <cfRule type="expression" dxfId="554" priority="854" stopIfTrue="1">
      <formula>(3=IsColor)*ShowAssignmentName</formula>
    </cfRule>
    <cfRule type="expression" dxfId="553" priority="855" stopIfTrue="1">
      <formula>(3=IsColor)*ShowAssignmentColor</formula>
    </cfRule>
    <cfRule type="expression" dxfId="552" priority="856" stopIfTrue="1">
      <formula>(4=IsColor)*ShowAssignmentName</formula>
    </cfRule>
    <cfRule type="expression" dxfId="551" priority="857" stopIfTrue="1">
      <formula>(4=IsColor)*ShowAssignmentColor</formula>
    </cfRule>
    <cfRule type="expression" dxfId="550" priority="858" stopIfTrue="1">
      <formula>(5=IsColor)*ShowAssignmentName</formula>
    </cfRule>
    <cfRule type="expression" dxfId="549" priority="859" stopIfTrue="1">
      <formula>(5=IsColor)*ShowAssignmentColor</formula>
    </cfRule>
    <cfRule type="expression" dxfId="548" priority="860" stopIfTrue="1">
      <formula>(6=IsColor)*ShowAssignmentName</formula>
    </cfRule>
    <cfRule type="expression" dxfId="547" priority="861" stopIfTrue="1">
      <formula>(6=IsColor)*ShowAssignmentColor</formula>
    </cfRule>
    <cfRule type="expression" dxfId="546" priority="862" stopIfTrue="1">
      <formula>(7=IsColor)*ShowAssignmentName</formula>
    </cfRule>
    <cfRule type="expression" dxfId="545" priority="863" stopIfTrue="1">
      <formula>(7=IsColor)*ShowAssignmentColor</formula>
    </cfRule>
    <cfRule type="expression" dxfId="544" priority="864" stopIfTrue="1">
      <formula>(8=IsColor)*ShowAssignmentName</formula>
    </cfRule>
    <cfRule type="expression" dxfId="543" priority="865" stopIfTrue="1">
      <formula>(8=IsColor)*ShowAssignmentColor</formula>
    </cfRule>
    <cfRule type="expression" dxfId="542" priority="866" stopIfTrue="1">
      <formula>(9=IsColor)*ShowAssignmentName</formula>
    </cfRule>
    <cfRule type="expression" dxfId="541" priority="867" stopIfTrue="1">
      <formula>(9=IsColor)*ShowAssignmentColor</formula>
    </cfRule>
    <cfRule type="expression" dxfId="540" priority="868" stopIfTrue="1">
      <formula>(10=IsColor)*ShowAssignmentName</formula>
    </cfRule>
    <cfRule type="expression" dxfId="539" priority="869" stopIfTrue="1">
      <formula>(10=IsColor)*ShowAssignmentColor</formula>
    </cfRule>
    <cfRule type="expression" dxfId="538" priority="870" stopIfTrue="1">
      <formula>(11=IsColor)*ShowAssignmentName</formula>
    </cfRule>
    <cfRule type="expression" dxfId="537" priority="871" stopIfTrue="1">
      <formula>(11=IsColor)*ShowAssignmentColor</formula>
    </cfRule>
  </conditionalFormatting>
  <conditionalFormatting sqref="B6155:B6203 E6155">
    <cfRule type="expression" dxfId="536" priority="846">
      <formula>(VALUE($B6155)&lt;1)*Periods</formula>
    </cfRule>
  </conditionalFormatting>
  <conditionalFormatting sqref="D6153:I6153">
    <cfRule type="expression" dxfId="535" priority="845">
      <formula>LEN(D6153)&gt;0</formula>
    </cfRule>
  </conditionalFormatting>
  <conditionalFormatting sqref="D6183">
    <cfRule type="expression" dxfId="534" priority="844">
      <formula>LEN(D6183)&gt;0</formula>
    </cfRule>
  </conditionalFormatting>
  <conditionalFormatting sqref="D6206:I6206">
    <cfRule type="expression" dxfId="533" priority="818">
      <formula>LEN(D6206)&gt;0</formula>
    </cfRule>
  </conditionalFormatting>
  <conditionalFormatting sqref="E6261 E6314 E6367">
    <cfRule type="expression" dxfId="532" priority="792">
      <formula>(VALUE($B6261)&lt;1)*Periods</formula>
    </cfRule>
  </conditionalFormatting>
  <conditionalFormatting sqref="D6259:H6259 D6365:H6365 D6312:I6312">
    <cfRule type="expression" dxfId="531" priority="791">
      <formula>LEN(D6259)&gt;0</formula>
    </cfRule>
  </conditionalFormatting>
  <conditionalFormatting sqref="G6395">
    <cfRule type="expression" dxfId="530" priority="790">
      <formula>LEN(G6395)&gt;0</formula>
    </cfRule>
  </conditionalFormatting>
  <conditionalFormatting sqref="B6208:B6256">
    <cfRule type="expression" dxfId="529" priority="789">
      <formula>(VALUE($B6208)&lt;1)*Periods</formula>
    </cfRule>
  </conditionalFormatting>
  <conditionalFormatting sqref="B6261:B6309">
    <cfRule type="expression" dxfId="528" priority="788">
      <formula>(VALUE($B6261)&lt;1)*Periods</formula>
    </cfRule>
  </conditionalFormatting>
  <conditionalFormatting sqref="B6314:B6362">
    <cfRule type="expression" dxfId="527" priority="787">
      <formula>(VALUE($B6314)&lt;1)*Periods</formula>
    </cfRule>
  </conditionalFormatting>
  <conditionalFormatting sqref="B6367:B6415">
    <cfRule type="expression" dxfId="526" priority="786">
      <formula>(VALUE($B6367)&lt;1)*Periods</formula>
    </cfRule>
  </conditionalFormatting>
  <conditionalFormatting sqref="E6236">
    <cfRule type="expression" dxfId="525" priority="785">
      <formula>LEN(E6236)&gt;0</formula>
    </cfRule>
  </conditionalFormatting>
  <conditionalFormatting sqref="D6236">
    <cfRule type="expression" dxfId="524" priority="784">
      <formula>LEN(D6236)&gt;0</formula>
    </cfRule>
  </conditionalFormatting>
  <conditionalFormatting sqref="G6236">
    <cfRule type="expression" dxfId="523" priority="783">
      <formula>LEN(G6236)&gt;0</formula>
    </cfRule>
  </conditionalFormatting>
  <conditionalFormatting sqref="F6289">
    <cfRule type="expression" dxfId="521" priority="781">
      <formula>LEN(F6289)&gt;0</formula>
    </cfRule>
  </conditionalFormatting>
  <conditionalFormatting sqref="F6263">
    <cfRule type="expression" dxfId="520" priority="756">
      <formula>(VALUE($B6263)&lt;1)*($B6263&lt;&gt;$B$7)*LEN(F$5)*(LEN(F6263)=0)*(LEN(#REF!)=0)</formula>
    </cfRule>
    <cfRule type="expression" dxfId="519" priority="757">
      <formula>(VALUE($B6263)&lt;1)*($B6263&lt;&gt;$B$7)*LEN(F$5)</formula>
    </cfRule>
    <cfRule type="expression" dxfId="518" priority="758" stopIfTrue="1">
      <formula>IsEntireDay*ShowAssignmentName</formula>
    </cfRule>
    <cfRule type="expression" dxfId="517" priority="759" stopIfTrue="1">
      <formula>(1=IsColor)*ShowAssignmentName</formula>
    </cfRule>
    <cfRule type="expression" dxfId="516" priority="760" stopIfTrue="1">
      <formula>(1=IsColor)*ShowAssignmentColor</formula>
    </cfRule>
    <cfRule type="expression" dxfId="515" priority="761" stopIfTrue="1">
      <formula>(2=IsColor)*ShowAssignmentName</formula>
    </cfRule>
    <cfRule type="expression" dxfId="514" priority="762" stopIfTrue="1">
      <formula>(2=IsColor)*ShowAssignmentColor</formula>
    </cfRule>
    <cfRule type="expression" dxfId="513" priority="763" stopIfTrue="1">
      <formula>(3=IsColor)*ShowAssignmentName</formula>
    </cfRule>
    <cfRule type="expression" dxfId="512" priority="764" stopIfTrue="1">
      <formula>(3=IsColor)*ShowAssignmentColor</formula>
    </cfRule>
    <cfRule type="expression" dxfId="511" priority="765" stopIfTrue="1">
      <formula>(4=IsColor)*ShowAssignmentName</formula>
    </cfRule>
    <cfRule type="expression" dxfId="510" priority="766" stopIfTrue="1">
      <formula>(4=IsColor)*ShowAssignmentColor</formula>
    </cfRule>
    <cfRule type="expression" dxfId="509" priority="767" stopIfTrue="1">
      <formula>(5=IsColor)*ShowAssignmentName</formula>
    </cfRule>
    <cfRule type="expression" dxfId="508" priority="768" stopIfTrue="1">
      <formula>(5=IsColor)*ShowAssignmentColor</formula>
    </cfRule>
    <cfRule type="expression" dxfId="507" priority="769" stopIfTrue="1">
      <formula>(6=IsColor)*ShowAssignmentName</formula>
    </cfRule>
    <cfRule type="expression" dxfId="506" priority="770" stopIfTrue="1">
      <formula>(6=IsColor)*ShowAssignmentColor</formula>
    </cfRule>
    <cfRule type="expression" dxfId="505" priority="771" stopIfTrue="1">
      <formula>(7=IsColor)*ShowAssignmentName</formula>
    </cfRule>
    <cfRule type="expression" dxfId="504" priority="772" stopIfTrue="1">
      <formula>(7=IsColor)*ShowAssignmentColor</formula>
    </cfRule>
    <cfRule type="expression" dxfId="503" priority="773" stopIfTrue="1">
      <formula>(8=IsColor)*ShowAssignmentName</formula>
    </cfRule>
    <cfRule type="expression" dxfId="502" priority="774" stopIfTrue="1">
      <formula>(8=IsColor)*ShowAssignmentColor</formula>
    </cfRule>
    <cfRule type="expression" dxfId="501" priority="775" stopIfTrue="1">
      <formula>(9=IsColor)*ShowAssignmentName</formula>
    </cfRule>
    <cfRule type="expression" dxfId="500" priority="776" stopIfTrue="1">
      <formula>(9=IsColor)*ShowAssignmentColor</formula>
    </cfRule>
    <cfRule type="expression" dxfId="499" priority="777" stopIfTrue="1">
      <formula>(10=IsColor)*ShowAssignmentName</formula>
    </cfRule>
    <cfRule type="expression" dxfId="498" priority="778" stopIfTrue="1">
      <formula>(10=IsColor)*ShowAssignmentColor</formula>
    </cfRule>
    <cfRule type="expression" dxfId="497" priority="779" stopIfTrue="1">
      <formula>(11=IsColor)*ShowAssignmentName</formula>
    </cfRule>
    <cfRule type="expression" dxfId="496" priority="780" stopIfTrue="1">
      <formula>(11=IsColor)*ShowAssignmentColor</formula>
    </cfRule>
  </conditionalFormatting>
  <conditionalFormatting sqref="F6262">
    <cfRule type="expression" dxfId="495" priority="706">
      <formula>(VALUE($B6262)&lt;1)*($B6262&lt;&gt;$B$7)*LEN(E$5)*(LEN(F6262)=0)*(LEN(E6261)=0)</formula>
    </cfRule>
    <cfRule type="expression" dxfId="494" priority="707">
      <formula>(VALUE($B6262)&lt;1)*($B6262&lt;&gt;$B$7)*LEN(E$5)</formula>
    </cfRule>
    <cfRule type="expression" dxfId="493" priority="708" stopIfTrue="1">
      <formula>IsEntireDay*ShowAssignmentName</formula>
    </cfRule>
    <cfRule type="expression" dxfId="492" priority="709" stopIfTrue="1">
      <formula>(1=IsColor)*ShowAssignmentName</formula>
    </cfRule>
    <cfRule type="expression" dxfId="491" priority="710" stopIfTrue="1">
      <formula>(1=IsColor)*ShowAssignmentColor</formula>
    </cfRule>
    <cfRule type="expression" dxfId="490" priority="711" stopIfTrue="1">
      <formula>(2=IsColor)*ShowAssignmentName</formula>
    </cfRule>
    <cfRule type="expression" dxfId="489" priority="712" stopIfTrue="1">
      <formula>(2=IsColor)*ShowAssignmentColor</formula>
    </cfRule>
    <cfRule type="expression" dxfId="488" priority="713" stopIfTrue="1">
      <formula>(3=IsColor)*ShowAssignmentName</formula>
    </cfRule>
    <cfRule type="expression" dxfId="487" priority="714" stopIfTrue="1">
      <formula>(3=IsColor)*ShowAssignmentColor</formula>
    </cfRule>
    <cfRule type="expression" dxfId="486" priority="715" stopIfTrue="1">
      <formula>(4=IsColor)*ShowAssignmentName</formula>
    </cfRule>
    <cfRule type="expression" dxfId="485" priority="716" stopIfTrue="1">
      <formula>(4=IsColor)*ShowAssignmentColor</formula>
    </cfRule>
    <cfRule type="expression" dxfId="484" priority="717" stopIfTrue="1">
      <formula>(5=IsColor)*ShowAssignmentName</formula>
    </cfRule>
    <cfRule type="expression" dxfId="483" priority="718" stopIfTrue="1">
      <formula>(5=IsColor)*ShowAssignmentColor</formula>
    </cfRule>
    <cfRule type="expression" dxfId="482" priority="719" stopIfTrue="1">
      <formula>(6=IsColor)*ShowAssignmentName</formula>
    </cfRule>
    <cfRule type="expression" dxfId="481" priority="720" stopIfTrue="1">
      <formula>(6=IsColor)*ShowAssignmentColor</formula>
    </cfRule>
    <cfRule type="expression" dxfId="480" priority="721" stopIfTrue="1">
      <formula>(7=IsColor)*ShowAssignmentName</formula>
    </cfRule>
    <cfRule type="expression" dxfId="479" priority="722" stopIfTrue="1">
      <formula>(7=IsColor)*ShowAssignmentColor</formula>
    </cfRule>
    <cfRule type="expression" dxfId="478" priority="723" stopIfTrue="1">
      <formula>(8=IsColor)*ShowAssignmentName</formula>
    </cfRule>
    <cfRule type="expression" dxfId="477" priority="724" stopIfTrue="1">
      <formula>(8=IsColor)*ShowAssignmentColor</formula>
    </cfRule>
    <cfRule type="expression" dxfId="476" priority="725" stopIfTrue="1">
      <formula>(9=IsColor)*ShowAssignmentName</formula>
    </cfRule>
    <cfRule type="expression" dxfId="475" priority="726" stopIfTrue="1">
      <formula>(9=IsColor)*ShowAssignmentColor</formula>
    </cfRule>
    <cfRule type="expression" dxfId="474" priority="727" stopIfTrue="1">
      <formula>(10=IsColor)*ShowAssignmentName</formula>
    </cfRule>
    <cfRule type="expression" dxfId="473" priority="728" stopIfTrue="1">
      <formula>(10=IsColor)*ShowAssignmentColor</formula>
    </cfRule>
    <cfRule type="expression" dxfId="472" priority="729" stopIfTrue="1">
      <formula>(11=IsColor)*ShowAssignmentName</formula>
    </cfRule>
    <cfRule type="expression" dxfId="471" priority="730" stopIfTrue="1">
      <formula>(11=IsColor)*ShowAssignmentColor</formula>
    </cfRule>
  </conditionalFormatting>
  <conditionalFormatting sqref="F6632:H6632 D6743:F6743 H6766 H6660 H6713 E6686 E6739 E6713 E6646">
    <cfRule type="expression" dxfId="470" priority="681">
      <formula>(VALUE($B6632)&lt;1)*($B6632&lt;&gt;$B$7)*LEN(D$5)*(LEN(D6632)=0)*(LEN(D6631)=0)</formula>
    </cfRule>
    <cfRule type="expression" dxfId="469" priority="682">
      <formula>(VALUE($B6632)&lt;1)*($B6632&lt;&gt;$B$7)*LEN(D$5)</formula>
    </cfRule>
    <cfRule type="expression" dxfId="468" priority="683" stopIfTrue="1">
      <formula>IsEntireDay*ShowAssignmentName</formula>
    </cfRule>
    <cfRule type="expression" dxfId="467" priority="684" stopIfTrue="1">
      <formula>(1=IsColor)*ShowAssignmentName</formula>
    </cfRule>
    <cfRule type="expression" dxfId="466" priority="685" stopIfTrue="1">
      <formula>(1=IsColor)*ShowAssignmentColor</formula>
    </cfRule>
    <cfRule type="expression" dxfId="465" priority="686" stopIfTrue="1">
      <formula>(2=IsColor)*ShowAssignmentName</formula>
    </cfRule>
    <cfRule type="expression" dxfId="464" priority="687" stopIfTrue="1">
      <formula>(2=IsColor)*ShowAssignmentColor</formula>
    </cfRule>
    <cfRule type="expression" dxfId="463" priority="688" stopIfTrue="1">
      <formula>(3=IsColor)*ShowAssignmentName</formula>
    </cfRule>
    <cfRule type="expression" dxfId="462" priority="689" stopIfTrue="1">
      <formula>(3=IsColor)*ShowAssignmentColor</formula>
    </cfRule>
    <cfRule type="expression" dxfId="461" priority="690" stopIfTrue="1">
      <formula>(4=IsColor)*ShowAssignmentName</formula>
    </cfRule>
    <cfRule type="expression" dxfId="460" priority="691" stopIfTrue="1">
      <formula>(4=IsColor)*ShowAssignmentColor</formula>
    </cfRule>
    <cfRule type="expression" dxfId="459" priority="692" stopIfTrue="1">
      <formula>(5=IsColor)*ShowAssignmentName</formula>
    </cfRule>
    <cfRule type="expression" dxfId="458" priority="693" stopIfTrue="1">
      <formula>(5=IsColor)*ShowAssignmentColor</formula>
    </cfRule>
    <cfRule type="expression" dxfId="457" priority="694" stopIfTrue="1">
      <formula>(6=IsColor)*ShowAssignmentName</formula>
    </cfRule>
    <cfRule type="expression" dxfId="456" priority="695" stopIfTrue="1">
      <formula>(6=IsColor)*ShowAssignmentColor</formula>
    </cfRule>
    <cfRule type="expression" dxfId="455" priority="696" stopIfTrue="1">
      <formula>(7=IsColor)*ShowAssignmentName</formula>
    </cfRule>
    <cfRule type="expression" dxfId="454" priority="697" stopIfTrue="1">
      <formula>(7=IsColor)*ShowAssignmentColor</formula>
    </cfRule>
    <cfRule type="expression" dxfId="453" priority="698" stopIfTrue="1">
      <formula>(8=IsColor)*ShowAssignmentName</formula>
    </cfRule>
    <cfRule type="expression" dxfId="452" priority="699" stopIfTrue="1">
      <formula>(8=IsColor)*ShowAssignmentColor</formula>
    </cfRule>
    <cfRule type="expression" dxfId="451" priority="700" stopIfTrue="1">
      <formula>(9=IsColor)*ShowAssignmentName</formula>
    </cfRule>
    <cfRule type="expression" dxfId="450" priority="701" stopIfTrue="1">
      <formula>(9=IsColor)*ShowAssignmentColor</formula>
    </cfRule>
    <cfRule type="expression" dxfId="449" priority="702" stopIfTrue="1">
      <formula>(10=IsColor)*ShowAssignmentName</formula>
    </cfRule>
    <cfRule type="expression" dxfId="448" priority="703" stopIfTrue="1">
      <formula>(10=IsColor)*ShowAssignmentColor</formula>
    </cfRule>
    <cfRule type="expression" dxfId="447" priority="704" stopIfTrue="1">
      <formula>(11=IsColor)*ShowAssignmentName</formula>
    </cfRule>
    <cfRule type="expression" dxfId="446" priority="705" stopIfTrue="1">
      <formula>(11=IsColor)*ShowAssignmentColor</formula>
    </cfRule>
  </conditionalFormatting>
  <conditionalFormatting sqref="E6634">
    <cfRule type="expression" dxfId="445" priority="656">
      <formula>(VALUE($B6634)&lt;1)*($B6634&lt;&gt;$B$7)*LEN(E$5)*(LEN(E6634)=0)*(LEN(F6633)=0)</formula>
    </cfRule>
    <cfRule type="expression" dxfId="444" priority="657">
      <formula>(VALUE($B6634)&lt;1)*($B6634&lt;&gt;$B$7)*LEN(E$5)</formula>
    </cfRule>
    <cfRule type="expression" dxfId="443" priority="658" stopIfTrue="1">
      <formula>IsEntireDay*ShowAssignmentName</formula>
    </cfRule>
    <cfRule type="expression" dxfId="442" priority="659" stopIfTrue="1">
      <formula>(1=IsColor)*ShowAssignmentName</formula>
    </cfRule>
    <cfRule type="expression" dxfId="441" priority="660" stopIfTrue="1">
      <formula>(1=IsColor)*ShowAssignmentColor</formula>
    </cfRule>
    <cfRule type="expression" dxfId="440" priority="661" stopIfTrue="1">
      <formula>(2=IsColor)*ShowAssignmentName</formula>
    </cfRule>
    <cfRule type="expression" dxfId="439" priority="662" stopIfTrue="1">
      <formula>(2=IsColor)*ShowAssignmentColor</formula>
    </cfRule>
    <cfRule type="expression" dxfId="438" priority="663" stopIfTrue="1">
      <formula>(3=IsColor)*ShowAssignmentName</formula>
    </cfRule>
    <cfRule type="expression" dxfId="437" priority="664" stopIfTrue="1">
      <formula>(3=IsColor)*ShowAssignmentColor</formula>
    </cfRule>
    <cfRule type="expression" dxfId="436" priority="665" stopIfTrue="1">
      <formula>(4=IsColor)*ShowAssignmentName</formula>
    </cfRule>
    <cfRule type="expression" dxfId="435" priority="666" stopIfTrue="1">
      <formula>(4=IsColor)*ShowAssignmentColor</formula>
    </cfRule>
    <cfRule type="expression" dxfId="434" priority="667" stopIfTrue="1">
      <formula>(5=IsColor)*ShowAssignmentName</formula>
    </cfRule>
    <cfRule type="expression" dxfId="433" priority="668" stopIfTrue="1">
      <formula>(5=IsColor)*ShowAssignmentColor</formula>
    </cfRule>
    <cfRule type="expression" dxfId="432" priority="669" stopIfTrue="1">
      <formula>(6=IsColor)*ShowAssignmentName</formula>
    </cfRule>
    <cfRule type="expression" dxfId="431" priority="670" stopIfTrue="1">
      <formula>(6=IsColor)*ShowAssignmentColor</formula>
    </cfRule>
    <cfRule type="expression" dxfId="430" priority="671" stopIfTrue="1">
      <formula>(7=IsColor)*ShowAssignmentName</formula>
    </cfRule>
    <cfRule type="expression" dxfId="429" priority="672" stopIfTrue="1">
      <formula>(7=IsColor)*ShowAssignmentColor</formula>
    </cfRule>
    <cfRule type="expression" dxfId="428" priority="673" stopIfTrue="1">
      <formula>(8=IsColor)*ShowAssignmentName</formula>
    </cfRule>
    <cfRule type="expression" dxfId="427" priority="674" stopIfTrue="1">
      <formula>(8=IsColor)*ShowAssignmentColor</formula>
    </cfRule>
    <cfRule type="expression" dxfId="426" priority="675" stopIfTrue="1">
      <formula>(9=IsColor)*ShowAssignmentName</formula>
    </cfRule>
    <cfRule type="expression" dxfId="425" priority="676" stopIfTrue="1">
      <formula>(9=IsColor)*ShowAssignmentColor</formula>
    </cfRule>
    <cfRule type="expression" dxfId="424" priority="677" stopIfTrue="1">
      <formula>(10=IsColor)*ShowAssignmentName</formula>
    </cfRule>
    <cfRule type="expression" dxfId="423" priority="678" stopIfTrue="1">
      <formula>(10=IsColor)*ShowAssignmentColor</formula>
    </cfRule>
    <cfRule type="expression" dxfId="422" priority="679" stopIfTrue="1">
      <formula>(11=IsColor)*ShowAssignmentName</formula>
    </cfRule>
    <cfRule type="expression" dxfId="421" priority="680" stopIfTrue="1">
      <formula>(11=IsColor)*ShowAssignmentColor</formula>
    </cfRule>
  </conditionalFormatting>
  <conditionalFormatting sqref="E6527 E6554:F6554">
    <cfRule type="expression" dxfId="420" priority="628">
      <formula>(VALUE($B6527)&lt;1)*($B6527&lt;&gt;$B$7)*LEN(E$5)*(LEN(E6527)=0)*(LEN(E6526)=0)</formula>
    </cfRule>
    <cfRule type="expression" dxfId="419" priority="629">
      <formula>(VALUE($B6527)&lt;1)*($B6527&lt;&gt;$B$7)*LEN(E$5)</formula>
    </cfRule>
    <cfRule type="expression" dxfId="418" priority="630" stopIfTrue="1">
      <formula>IsEntireDay*ShowAssignmentName</formula>
    </cfRule>
    <cfRule type="expression" dxfId="417" priority="631" stopIfTrue="1">
      <formula>(1=IsColor)*ShowAssignmentName</formula>
    </cfRule>
    <cfRule type="expression" dxfId="416" priority="632" stopIfTrue="1">
      <formula>(1=IsColor)*ShowAssignmentColor</formula>
    </cfRule>
    <cfRule type="expression" dxfId="415" priority="633" stopIfTrue="1">
      <formula>(2=IsColor)*ShowAssignmentName</formula>
    </cfRule>
    <cfRule type="expression" dxfId="414" priority="634" stopIfTrue="1">
      <formula>(2=IsColor)*ShowAssignmentColor</formula>
    </cfRule>
    <cfRule type="expression" dxfId="413" priority="635" stopIfTrue="1">
      <formula>(3=IsColor)*ShowAssignmentName</formula>
    </cfRule>
    <cfRule type="expression" dxfId="412" priority="636" stopIfTrue="1">
      <formula>(3=IsColor)*ShowAssignmentColor</formula>
    </cfRule>
    <cfRule type="expression" dxfId="411" priority="637" stopIfTrue="1">
      <formula>(4=IsColor)*ShowAssignmentName</formula>
    </cfRule>
    <cfRule type="expression" dxfId="410" priority="638" stopIfTrue="1">
      <formula>(4=IsColor)*ShowAssignmentColor</formula>
    </cfRule>
    <cfRule type="expression" dxfId="409" priority="639" stopIfTrue="1">
      <formula>(5=IsColor)*ShowAssignmentName</formula>
    </cfRule>
    <cfRule type="expression" dxfId="408" priority="640" stopIfTrue="1">
      <formula>(5=IsColor)*ShowAssignmentColor</formula>
    </cfRule>
    <cfRule type="expression" dxfId="407" priority="641" stopIfTrue="1">
      <formula>(6=IsColor)*ShowAssignmentName</formula>
    </cfRule>
    <cfRule type="expression" dxfId="406" priority="642" stopIfTrue="1">
      <formula>(6=IsColor)*ShowAssignmentColor</formula>
    </cfRule>
    <cfRule type="expression" dxfId="405" priority="643" stopIfTrue="1">
      <formula>(7=IsColor)*ShowAssignmentName</formula>
    </cfRule>
    <cfRule type="expression" dxfId="404" priority="644" stopIfTrue="1">
      <formula>(7=IsColor)*ShowAssignmentColor</formula>
    </cfRule>
    <cfRule type="expression" dxfId="403" priority="645" stopIfTrue="1">
      <formula>(8=IsColor)*ShowAssignmentName</formula>
    </cfRule>
    <cfRule type="expression" dxfId="402" priority="646" stopIfTrue="1">
      <formula>(8=IsColor)*ShowAssignmentColor</formula>
    </cfRule>
    <cfRule type="expression" dxfId="401" priority="647" stopIfTrue="1">
      <formula>(9=IsColor)*ShowAssignmentName</formula>
    </cfRule>
    <cfRule type="expression" dxfId="400" priority="648" stopIfTrue="1">
      <formula>(9=IsColor)*ShowAssignmentColor</formula>
    </cfRule>
    <cfRule type="expression" dxfId="399" priority="649" stopIfTrue="1">
      <formula>(10=IsColor)*ShowAssignmentName</formula>
    </cfRule>
    <cfRule type="expression" dxfId="398" priority="650" stopIfTrue="1">
      <formula>(10=IsColor)*ShowAssignmentColor</formula>
    </cfRule>
    <cfRule type="expression" dxfId="397" priority="651" stopIfTrue="1">
      <formula>(11=IsColor)*ShowAssignmentName</formula>
    </cfRule>
    <cfRule type="expression" dxfId="396" priority="652" stopIfTrue="1">
      <formula>(11=IsColor)*ShowAssignmentColor</formula>
    </cfRule>
  </conditionalFormatting>
  <conditionalFormatting sqref="B6526:B6574 E6526">
    <cfRule type="expression" dxfId="395" priority="627">
      <formula>(VALUE($B6526)&lt;1)*Periods</formula>
    </cfRule>
  </conditionalFormatting>
  <conditionalFormatting sqref="D6524:I6524">
    <cfRule type="expression" dxfId="394" priority="626">
      <formula>LEN(D6524)&gt;0</formula>
    </cfRule>
  </conditionalFormatting>
  <conditionalFormatting sqref="D6554">
    <cfRule type="expression" dxfId="393" priority="625">
      <formula>LEN(D6554)&gt;0</formula>
    </cfRule>
  </conditionalFormatting>
  <conditionalFormatting sqref="E6632 E6685 E6738">
    <cfRule type="expression" dxfId="392" priority="599">
      <formula>(VALUE($B6632)&lt;1)*Periods</formula>
    </cfRule>
  </conditionalFormatting>
  <conditionalFormatting sqref="D6630:H6630 D6736:H6736 D6683:I6683">
    <cfRule type="expression" dxfId="391" priority="598">
      <formula>LEN(D6630)&gt;0</formula>
    </cfRule>
  </conditionalFormatting>
  <conditionalFormatting sqref="G6766">
    <cfRule type="expression" dxfId="390" priority="597">
      <formula>LEN(G6766)&gt;0</formula>
    </cfRule>
  </conditionalFormatting>
  <conditionalFormatting sqref="B6632:B6680">
    <cfRule type="expression" dxfId="389" priority="596">
      <formula>(VALUE($B6632)&lt;1)*Periods</formula>
    </cfRule>
  </conditionalFormatting>
  <conditionalFormatting sqref="B6685:B6733">
    <cfRule type="expression" dxfId="388" priority="595">
      <formula>(VALUE($B6685)&lt;1)*Periods</formula>
    </cfRule>
  </conditionalFormatting>
  <conditionalFormatting sqref="B6738:B6786">
    <cfRule type="expression" dxfId="387" priority="594">
      <formula>(VALUE($B6738)&lt;1)*Periods</formula>
    </cfRule>
  </conditionalFormatting>
  <conditionalFormatting sqref="D6660">
    <cfRule type="expression" dxfId="386" priority="593">
      <formula>LEN(D6660)&gt;0</formula>
    </cfRule>
  </conditionalFormatting>
  <conditionalFormatting sqref="F6660:G6660">
    <cfRule type="expression" dxfId="385" priority="592">
      <formula>LEN(F6660)&gt;0</formula>
    </cfRule>
  </conditionalFormatting>
  <conditionalFormatting sqref="G6713">
    <cfRule type="expression" dxfId="384" priority="591">
      <formula>LEN(G6713)&gt;0</formula>
    </cfRule>
  </conditionalFormatting>
  <conditionalFormatting sqref="F6713">
    <cfRule type="expression" dxfId="383" priority="590">
      <formula>LEN(F6713)&gt;0</formula>
    </cfRule>
  </conditionalFormatting>
  <conditionalFormatting sqref="F6634">
    <cfRule type="expression" dxfId="382" priority="565">
      <formula>(VALUE($B6634)&lt;1)*($B6634&lt;&gt;$B$7)*LEN(F$5)*(LEN(F6634)=0)*(LEN(#REF!)=0)</formula>
    </cfRule>
    <cfRule type="expression" dxfId="381" priority="566">
      <formula>(VALUE($B6634)&lt;1)*($B6634&lt;&gt;$B$7)*LEN(F$5)</formula>
    </cfRule>
    <cfRule type="expression" dxfId="380" priority="567" stopIfTrue="1">
      <formula>IsEntireDay*ShowAssignmentName</formula>
    </cfRule>
    <cfRule type="expression" dxfId="379" priority="568" stopIfTrue="1">
      <formula>(1=IsColor)*ShowAssignmentName</formula>
    </cfRule>
    <cfRule type="expression" dxfId="378" priority="569" stopIfTrue="1">
      <formula>(1=IsColor)*ShowAssignmentColor</formula>
    </cfRule>
    <cfRule type="expression" dxfId="377" priority="570" stopIfTrue="1">
      <formula>(2=IsColor)*ShowAssignmentName</formula>
    </cfRule>
    <cfRule type="expression" dxfId="376" priority="571" stopIfTrue="1">
      <formula>(2=IsColor)*ShowAssignmentColor</formula>
    </cfRule>
    <cfRule type="expression" dxfId="375" priority="572" stopIfTrue="1">
      <formula>(3=IsColor)*ShowAssignmentName</formula>
    </cfRule>
    <cfRule type="expression" dxfId="374" priority="573" stopIfTrue="1">
      <formula>(3=IsColor)*ShowAssignmentColor</formula>
    </cfRule>
    <cfRule type="expression" dxfId="373" priority="574" stopIfTrue="1">
      <formula>(4=IsColor)*ShowAssignmentName</formula>
    </cfRule>
    <cfRule type="expression" dxfId="372" priority="575" stopIfTrue="1">
      <formula>(4=IsColor)*ShowAssignmentColor</formula>
    </cfRule>
    <cfRule type="expression" dxfId="371" priority="576" stopIfTrue="1">
      <formula>(5=IsColor)*ShowAssignmentName</formula>
    </cfRule>
    <cfRule type="expression" dxfId="370" priority="577" stopIfTrue="1">
      <formula>(5=IsColor)*ShowAssignmentColor</formula>
    </cfRule>
    <cfRule type="expression" dxfId="369" priority="578" stopIfTrue="1">
      <formula>(6=IsColor)*ShowAssignmentName</formula>
    </cfRule>
    <cfRule type="expression" dxfId="368" priority="579" stopIfTrue="1">
      <formula>(6=IsColor)*ShowAssignmentColor</formula>
    </cfRule>
    <cfRule type="expression" dxfId="367" priority="580" stopIfTrue="1">
      <formula>(7=IsColor)*ShowAssignmentName</formula>
    </cfRule>
    <cfRule type="expression" dxfId="366" priority="581" stopIfTrue="1">
      <formula>(7=IsColor)*ShowAssignmentColor</formula>
    </cfRule>
    <cfRule type="expression" dxfId="365" priority="582" stopIfTrue="1">
      <formula>(8=IsColor)*ShowAssignmentName</formula>
    </cfRule>
    <cfRule type="expression" dxfId="364" priority="583" stopIfTrue="1">
      <formula>(8=IsColor)*ShowAssignmentColor</formula>
    </cfRule>
    <cfRule type="expression" dxfId="363" priority="584" stopIfTrue="1">
      <formula>(9=IsColor)*ShowAssignmentName</formula>
    </cfRule>
    <cfRule type="expression" dxfId="362" priority="585" stopIfTrue="1">
      <formula>(9=IsColor)*ShowAssignmentColor</formula>
    </cfRule>
    <cfRule type="expression" dxfId="361" priority="586" stopIfTrue="1">
      <formula>(10=IsColor)*ShowAssignmentName</formula>
    </cfRule>
    <cfRule type="expression" dxfId="360" priority="587" stopIfTrue="1">
      <formula>(10=IsColor)*ShowAssignmentColor</formula>
    </cfRule>
    <cfRule type="expression" dxfId="359" priority="588" stopIfTrue="1">
      <formula>(11=IsColor)*ShowAssignmentName</formula>
    </cfRule>
    <cfRule type="expression" dxfId="358" priority="589" stopIfTrue="1">
      <formula>(11=IsColor)*ShowAssignmentColor</formula>
    </cfRule>
  </conditionalFormatting>
  <conditionalFormatting sqref="F6633">
    <cfRule type="expression" dxfId="357" priority="540">
      <formula>(VALUE($B6633)&lt;1)*($B6633&lt;&gt;$B$7)*LEN(E$5)*(LEN(F6633)=0)*(LEN(E6632)=0)</formula>
    </cfRule>
    <cfRule type="expression" dxfId="356" priority="541">
      <formula>(VALUE($B6633)&lt;1)*($B6633&lt;&gt;$B$7)*LEN(E$5)</formula>
    </cfRule>
    <cfRule type="expression" dxfId="355" priority="542" stopIfTrue="1">
      <formula>IsEntireDay*ShowAssignmentName</formula>
    </cfRule>
    <cfRule type="expression" dxfId="354" priority="543" stopIfTrue="1">
      <formula>(1=IsColor)*ShowAssignmentName</formula>
    </cfRule>
    <cfRule type="expression" dxfId="353" priority="544" stopIfTrue="1">
      <formula>(1=IsColor)*ShowAssignmentColor</formula>
    </cfRule>
    <cfRule type="expression" dxfId="352" priority="545" stopIfTrue="1">
      <formula>(2=IsColor)*ShowAssignmentName</formula>
    </cfRule>
    <cfRule type="expression" dxfId="351" priority="546" stopIfTrue="1">
      <formula>(2=IsColor)*ShowAssignmentColor</formula>
    </cfRule>
    <cfRule type="expression" dxfId="350" priority="547" stopIfTrue="1">
      <formula>(3=IsColor)*ShowAssignmentName</formula>
    </cfRule>
    <cfRule type="expression" dxfId="349" priority="548" stopIfTrue="1">
      <formula>(3=IsColor)*ShowAssignmentColor</formula>
    </cfRule>
    <cfRule type="expression" dxfId="348" priority="549" stopIfTrue="1">
      <formula>(4=IsColor)*ShowAssignmentName</formula>
    </cfRule>
    <cfRule type="expression" dxfId="347" priority="550" stopIfTrue="1">
      <formula>(4=IsColor)*ShowAssignmentColor</formula>
    </cfRule>
    <cfRule type="expression" dxfId="346" priority="551" stopIfTrue="1">
      <formula>(5=IsColor)*ShowAssignmentName</formula>
    </cfRule>
    <cfRule type="expression" dxfId="345" priority="552" stopIfTrue="1">
      <formula>(5=IsColor)*ShowAssignmentColor</formula>
    </cfRule>
    <cfRule type="expression" dxfId="344" priority="553" stopIfTrue="1">
      <formula>(6=IsColor)*ShowAssignmentName</formula>
    </cfRule>
    <cfRule type="expression" dxfId="343" priority="554" stopIfTrue="1">
      <formula>(6=IsColor)*ShowAssignmentColor</formula>
    </cfRule>
    <cfRule type="expression" dxfId="342" priority="555" stopIfTrue="1">
      <formula>(7=IsColor)*ShowAssignmentName</formula>
    </cfRule>
    <cfRule type="expression" dxfId="341" priority="556" stopIfTrue="1">
      <formula>(7=IsColor)*ShowAssignmentColor</formula>
    </cfRule>
    <cfRule type="expression" dxfId="340" priority="557" stopIfTrue="1">
      <formula>(8=IsColor)*ShowAssignmentName</formula>
    </cfRule>
    <cfRule type="expression" dxfId="339" priority="558" stopIfTrue="1">
      <formula>(8=IsColor)*ShowAssignmentColor</formula>
    </cfRule>
    <cfRule type="expression" dxfId="338" priority="559" stopIfTrue="1">
      <formula>(9=IsColor)*ShowAssignmentName</formula>
    </cfRule>
    <cfRule type="expression" dxfId="337" priority="560" stopIfTrue="1">
      <formula>(9=IsColor)*ShowAssignmentColor</formula>
    </cfRule>
    <cfRule type="expression" dxfId="336" priority="561" stopIfTrue="1">
      <formula>(10=IsColor)*ShowAssignmentName</formula>
    </cfRule>
    <cfRule type="expression" dxfId="335" priority="562" stopIfTrue="1">
      <formula>(10=IsColor)*ShowAssignmentColor</formula>
    </cfRule>
    <cfRule type="expression" dxfId="334" priority="563" stopIfTrue="1">
      <formula>(11=IsColor)*ShowAssignmentName</formula>
    </cfRule>
    <cfRule type="expression" dxfId="333" priority="564" stopIfTrue="1">
      <formula>(11=IsColor)*ShowAssignmentColor</formula>
    </cfRule>
  </conditionalFormatting>
  <conditionalFormatting sqref="D6713">
    <cfRule type="expression" dxfId="332" priority="539">
      <formula>LEN(D6713)&gt;0</formula>
    </cfRule>
  </conditionalFormatting>
  <conditionalFormatting sqref="E6580 F6607 H6607">
    <cfRule type="expression" dxfId="331" priority="514">
      <formula>(VALUE($B6580)&lt;1)*($B6580&lt;&gt;$B$7)*LEN(E$5)*(LEN(E6580)=0)*(LEN(E6579)=0)</formula>
    </cfRule>
    <cfRule type="expression" dxfId="330" priority="515">
      <formula>(VALUE($B6580)&lt;1)*($B6580&lt;&gt;$B$7)*LEN(E$5)</formula>
    </cfRule>
    <cfRule type="expression" dxfId="329" priority="516" stopIfTrue="1">
      <formula>IsEntireDay*ShowAssignmentName</formula>
    </cfRule>
    <cfRule type="expression" dxfId="328" priority="517" stopIfTrue="1">
      <formula>(1=IsColor)*ShowAssignmentName</formula>
    </cfRule>
    <cfRule type="expression" dxfId="327" priority="518" stopIfTrue="1">
      <formula>(1=IsColor)*ShowAssignmentColor</formula>
    </cfRule>
    <cfRule type="expression" dxfId="326" priority="519" stopIfTrue="1">
      <formula>(2=IsColor)*ShowAssignmentName</formula>
    </cfRule>
    <cfRule type="expression" dxfId="325" priority="520" stopIfTrue="1">
      <formula>(2=IsColor)*ShowAssignmentColor</formula>
    </cfRule>
    <cfRule type="expression" dxfId="324" priority="521" stopIfTrue="1">
      <formula>(3=IsColor)*ShowAssignmentName</formula>
    </cfRule>
    <cfRule type="expression" dxfId="323" priority="522" stopIfTrue="1">
      <formula>(3=IsColor)*ShowAssignmentColor</formula>
    </cfRule>
    <cfRule type="expression" dxfId="322" priority="523" stopIfTrue="1">
      <formula>(4=IsColor)*ShowAssignmentName</formula>
    </cfRule>
    <cfRule type="expression" dxfId="321" priority="524" stopIfTrue="1">
      <formula>(4=IsColor)*ShowAssignmentColor</formula>
    </cfRule>
    <cfRule type="expression" dxfId="320" priority="525" stopIfTrue="1">
      <formula>(5=IsColor)*ShowAssignmentName</formula>
    </cfRule>
    <cfRule type="expression" dxfId="319" priority="526" stopIfTrue="1">
      <formula>(5=IsColor)*ShowAssignmentColor</formula>
    </cfRule>
    <cfRule type="expression" dxfId="318" priority="527" stopIfTrue="1">
      <formula>(6=IsColor)*ShowAssignmentName</formula>
    </cfRule>
    <cfRule type="expression" dxfId="317" priority="528" stopIfTrue="1">
      <formula>(6=IsColor)*ShowAssignmentColor</formula>
    </cfRule>
    <cfRule type="expression" dxfId="316" priority="529" stopIfTrue="1">
      <formula>(7=IsColor)*ShowAssignmentName</formula>
    </cfRule>
    <cfRule type="expression" dxfId="315" priority="530" stopIfTrue="1">
      <formula>(7=IsColor)*ShowAssignmentColor</formula>
    </cfRule>
    <cfRule type="expression" dxfId="314" priority="531" stopIfTrue="1">
      <formula>(8=IsColor)*ShowAssignmentName</formula>
    </cfRule>
    <cfRule type="expression" dxfId="313" priority="532" stopIfTrue="1">
      <formula>(8=IsColor)*ShowAssignmentColor</formula>
    </cfRule>
    <cfRule type="expression" dxfId="312" priority="533" stopIfTrue="1">
      <formula>(9=IsColor)*ShowAssignmentName</formula>
    </cfRule>
    <cfRule type="expression" dxfId="311" priority="534" stopIfTrue="1">
      <formula>(9=IsColor)*ShowAssignmentColor</formula>
    </cfRule>
    <cfRule type="expression" dxfId="310" priority="535" stopIfTrue="1">
      <formula>(10=IsColor)*ShowAssignmentName</formula>
    </cfRule>
    <cfRule type="expression" dxfId="309" priority="536" stopIfTrue="1">
      <formula>(10=IsColor)*ShowAssignmentColor</formula>
    </cfRule>
    <cfRule type="expression" dxfId="308" priority="537" stopIfTrue="1">
      <formula>(11=IsColor)*ShowAssignmentName</formula>
    </cfRule>
    <cfRule type="expression" dxfId="307" priority="538" stopIfTrue="1">
      <formula>(11=IsColor)*ShowAssignmentColor</formula>
    </cfRule>
  </conditionalFormatting>
  <conditionalFormatting sqref="E6579">
    <cfRule type="expression" dxfId="306" priority="513">
      <formula>(VALUE($B6579)&lt;1)*Periods</formula>
    </cfRule>
  </conditionalFormatting>
  <conditionalFormatting sqref="D6577:I6577">
    <cfRule type="expression" dxfId="305" priority="512">
      <formula>LEN(D6577)&gt;0</formula>
    </cfRule>
  </conditionalFormatting>
  <conditionalFormatting sqref="B6579:B6627">
    <cfRule type="expression" dxfId="304" priority="511">
      <formula>(VALUE($B6579)&lt;1)*Periods</formula>
    </cfRule>
  </conditionalFormatting>
  <conditionalFormatting sqref="E6607">
    <cfRule type="expression" dxfId="303" priority="510">
      <formula>LEN(E6607)&gt;0</formula>
    </cfRule>
  </conditionalFormatting>
  <conditionalFormatting sqref="D6607">
    <cfRule type="expression" dxfId="302" priority="509">
      <formula>LEN(D6607)&gt;0</formula>
    </cfRule>
  </conditionalFormatting>
  <conditionalFormatting sqref="G6607">
    <cfRule type="expression" dxfId="301" priority="508">
      <formula>LEN(G6607)&gt;0</formula>
    </cfRule>
  </conditionalFormatting>
  <conditionalFormatting sqref="E6791">
    <cfRule type="expression" dxfId="300" priority="457">
      <formula>(VALUE($B6791)&lt;1)*Periods</formula>
    </cfRule>
  </conditionalFormatting>
  <conditionalFormatting sqref="D6789:H6789">
    <cfRule type="expression" dxfId="299" priority="456">
      <formula>LEN(D6789)&gt;0</formula>
    </cfRule>
  </conditionalFormatting>
  <conditionalFormatting sqref="G6819">
    <cfRule type="expression" dxfId="298" priority="455">
      <formula>LEN(G6819)&gt;0</formula>
    </cfRule>
  </conditionalFormatting>
  <conditionalFormatting sqref="B6791:B6839">
    <cfRule type="expression" dxfId="297" priority="454">
      <formula>(VALUE($B6791)&lt;1)*Periods</formula>
    </cfRule>
  </conditionalFormatting>
  <conditionalFormatting sqref="B6844:B6892 B6897:B6945 E6844 E6897">
    <cfRule type="expression" dxfId="296" priority="428">
      <formula>(VALUE($B6844)&lt;1)*Periods</formula>
    </cfRule>
  </conditionalFormatting>
  <conditionalFormatting sqref="D6842:I6842 D6895:I6895">
    <cfRule type="expression" dxfId="295" priority="427">
      <formula>LEN(D6842)&gt;0</formula>
    </cfRule>
  </conditionalFormatting>
  <conditionalFormatting sqref="D6872:H6872 F6878">
    <cfRule type="expression" dxfId="294" priority="426">
      <formula>LEN(D6872)&gt;0</formula>
    </cfRule>
  </conditionalFormatting>
  <conditionalFormatting sqref="D6925">
    <cfRule type="expression" dxfId="293" priority="425">
      <formula>LEN(D6925)&gt;0</formula>
    </cfRule>
  </conditionalFormatting>
  <conditionalFormatting sqref="E7003 E7056 E7109">
    <cfRule type="expression" dxfId="292" priority="424">
      <formula>(VALUE($B7003)&lt;1)*Periods</formula>
    </cfRule>
  </conditionalFormatting>
  <conditionalFormatting sqref="D7001:I7001 D7054:I7054 D7107:I7107">
    <cfRule type="expression" dxfId="291" priority="423">
      <formula>LEN(D7001)&gt;0</formula>
    </cfRule>
  </conditionalFormatting>
  <conditionalFormatting sqref="G7137">
    <cfRule type="expression" dxfId="290" priority="422">
      <formula>LEN(G7137)&gt;0</formula>
    </cfRule>
  </conditionalFormatting>
  <conditionalFormatting sqref="B7003:B7051">
    <cfRule type="expression" dxfId="289" priority="421">
      <formula>(VALUE($B7003)&lt;1)*Periods</formula>
    </cfRule>
  </conditionalFormatting>
  <conditionalFormatting sqref="B7056:B7104">
    <cfRule type="expression" dxfId="288" priority="420">
      <formula>(VALUE($B7056)&lt;1)*Periods</formula>
    </cfRule>
  </conditionalFormatting>
  <conditionalFormatting sqref="B7109:B7157">
    <cfRule type="expression" dxfId="287" priority="419">
      <formula>(VALUE($B7109)&lt;1)*Periods</formula>
    </cfRule>
  </conditionalFormatting>
  <conditionalFormatting sqref="E7031">
    <cfRule type="expression" dxfId="286" priority="418">
      <formula>LEN(E7031)&gt;0</formula>
    </cfRule>
  </conditionalFormatting>
  <conditionalFormatting sqref="D7031">
    <cfRule type="expression" dxfId="285" priority="367">
      <formula>LEN(D7031)&gt;0</formula>
    </cfRule>
  </conditionalFormatting>
  <conditionalFormatting sqref="H7063">
    <cfRule type="expression" dxfId="284" priority="366">
      <formula>LEN(H7063)&gt;0</formula>
    </cfRule>
  </conditionalFormatting>
  <conditionalFormatting sqref="D7077">
    <cfRule type="expression" dxfId="283" priority="365">
      <formula>LEN(D7077)&gt;0</formula>
    </cfRule>
  </conditionalFormatting>
  <conditionalFormatting sqref="D7084">
    <cfRule type="expression" dxfId="282" priority="364">
      <formula>LEN(D7084)&gt;0</formula>
    </cfRule>
  </conditionalFormatting>
  <conditionalFormatting sqref="D6948:I6948">
    <cfRule type="expression" dxfId="281" priority="288">
      <formula>LEN(D6948)&gt;0</formula>
    </cfRule>
  </conditionalFormatting>
  <conditionalFormatting sqref="B6950:B6998">
    <cfRule type="expression" dxfId="280" priority="287">
      <formula>(VALUE($B6950)&lt;1)*Periods</formula>
    </cfRule>
  </conditionalFormatting>
  <conditionalFormatting sqref="E6978">
    <cfRule type="expression" dxfId="279" priority="286">
      <formula>LEN(E6978)&gt;0</formula>
    </cfRule>
  </conditionalFormatting>
  <conditionalFormatting sqref="D6978">
    <cfRule type="expression" dxfId="278" priority="285">
      <formula>LEN(D6978)&gt;0</formula>
    </cfRule>
  </conditionalFormatting>
  <conditionalFormatting sqref="G6978">
    <cfRule type="expression" dxfId="277" priority="284">
      <formula>LEN(G6978)&gt;0</formula>
    </cfRule>
  </conditionalFormatting>
  <conditionalFormatting sqref="F6646">
    <cfRule type="expression" dxfId="276" priority="258">
      <formula>LEN(F6646)&gt;0</formula>
    </cfRule>
  </conditionalFormatting>
  <conditionalFormatting sqref="F5547">
    <cfRule type="expression" dxfId="275" priority="257">
      <formula>LEN(F5547)&gt;0</formula>
    </cfRule>
  </conditionalFormatting>
  <conditionalFormatting sqref="I5547">
    <cfRule type="expression" dxfId="274" priority="255">
      <formula>LEN(I5547)&gt;0</formula>
    </cfRule>
  </conditionalFormatting>
  <conditionalFormatting sqref="I5517">
    <cfRule type="expression" dxfId="273" priority="254">
      <formula>LEN(I5517)&gt;0</formula>
    </cfRule>
  </conditionalFormatting>
  <conditionalFormatting sqref="D5600">
    <cfRule type="expression" dxfId="272" priority="253">
      <formula>LEN(D5600)&gt;0</formula>
    </cfRule>
  </conditionalFormatting>
  <conditionalFormatting sqref="I5600">
    <cfRule type="expression" dxfId="271" priority="252">
      <formula>LEN(I5600)&gt;0</formula>
    </cfRule>
  </conditionalFormatting>
  <conditionalFormatting sqref="F5600">
    <cfRule type="expression" dxfId="270" priority="251">
      <formula>LEN(F5600)&gt;0</formula>
    </cfRule>
  </conditionalFormatting>
  <conditionalFormatting sqref="I5948:I5959">
    <cfRule type="expression" dxfId="269" priority="154276">
      <formula>(VALUE($B5952)&lt;1)*($B5952&lt;&gt;$B$7)*LEN(I$5)*(LEN(I5948)=0)*(LEN(I5947)=0)</formula>
    </cfRule>
    <cfRule type="expression" dxfId="268" priority="154277">
      <formula>(VALUE($B5952)&lt;1)*($B5952&lt;&gt;$B$7)*LEN(I$5)</formula>
    </cfRule>
    <cfRule type="expression" dxfId="267" priority="154278" stopIfTrue="1">
      <formula>IsEntireDay*ShowAssignmentName</formula>
    </cfRule>
    <cfRule type="expression" dxfId="266" priority="154279" stopIfTrue="1">
      <formula>(1=IsColor)*ShowAssignmentName</formula>
    </cfRule>
    <cfRule type="expression" dxfId="265" priority="154280" stopIfTrue="1">
      <formula>(1=IsColor)*ShowAssignmentColor</formula>
    </cfRule>
    <cfRule type="expression" dxfId="264" priority="154281" stopIfTrue="1">
      <formula>(2=IsColor)*ShowAssignmentName</formula>
    </cfRule>
    <cfRule type="expression" dxfId="263" priority="154282" stopIfTrue="1">
      <formula>(2=IsColor)*ShowAssignmentColor</formula>
    </cfRule>
    <cfRule type="expression" dxfId="262" priority="154283" stopIfTrue="1">
      <formula>(3=IsColor)*ShowAssignmentName</formula>
    </cfRule>
    <cfRule type="expression" dxfId="261" priority="154284" stopIfTrue="1">
      <formula>(3=IsColor)*ShowAssignmentColor</formula>
    </cfRule>
    <cfRule type="expression" dxfId="260" priority="154285" stopIfTrue="1">
      <formula>(4=IsColor)*ShowAssignmentName</formula>
    </cfRule>
    <cfRule type="expression" dxfId="259" priority="154286" stopIfTrue="1">
      <formula>(4=IsColor)*ShowAssignmentColor</formula>
    </cfRule>
    <cfRule type="expression" dxfId="258" priority="154287" stopIfTrue="1">
      <formula>(5=IsColor)*ShowAssignmentName</formula>
    </cfRule>
    <cfRule type="expression" dxfId="257" priority="154288" stopIfTrue="1">
      <formula>(5=IsColor)*ShowAssignmentColor</formula>
    </cfRule>
    <cfRule type="expression" dxfId="256" priority="154289" stopIfTrue="1">
      <formula>(6=IsColor)*ShowAssignmentName</formula>
    </cfRule>
    <cfRule type="expression" dxfId="255" priority="154290" stopIfTrue="1">
      <formula>(6=IsColor)*ShowAssignmentColor</formula>
    </cfRule>
    <cfRule type="expression" dxfId="254" priority="154291" stopIfTrue="1">
      <formula>(7=IsColor)*ShowAssignmentName</formula>
    </cfRule>
    <cfRule type="expression" dxfId="253" priority="154292" stopIfTrue="1">
      <formula>(7=IsColor)*ShowAssignmentColor</formula>
    </cfRule>
    <cfRule type="expression" dxfId="252" priority="154293" stopIfTrue="1">
      <formula>(8=IsColor)*ShowAssignmentName</formula>
    </cfRule>
    <cfRule type="expression" dxfId="251" priority="154294" stopIfTrue="1">
      <formula>(8=IsColor)*ShowAssignmentColor</formula>
    </cfRule>
    <cfRule type="expression" dxfId="250" priority="154295" stopIfTrue="1">
      <formula>(9=IsColor)*ShowAssignmentName</formula>
    </cfRule>
    <cfRule type="expression" dxfId="249" priority="154296" stopIfTrue="1">
      <formula>(9=IsColor)*ShowAssignmentColor</formula>
    </cfRule>
    <cfRule type="expression" dxfId="248" priority="154297" stopIfTrue="1">
      <formula>(10=IsColor)*ShowAssignmentName</formula>
    </cfRule>
    <cfRule type="expression" dxfId="247" priority="154298" stopIfTrue="1">
      <formula>(10=IsColor)*ShowAssignmentColor</formula>
    </cfRule>
    <cfRule type="expression" dxfId="246" priority="154299" stopIfTrue="1">
      <formula>(11=IsColor)*ShowAssignmentName</formula>
    </cfRule>
    <cfRule type="expression" dxfId="245" priority="154300" stopIfTrue="1">
      <formula>(11=IsColor)*ShowAssignmentColor</formula>
    </cfRule>
  </conditionalFormatting>
  <conditionalFormatting sqref="I5947">
    <cfRule type="expression" dxfId="244" priority="154301">
      <formula>(VALUE($B5951)&lt;1)*($B5951&lt;&gt;$B$7)*LEN(I$5)*(LEN(I5947)=0)*(LEN(#REF!)=0)</formula>
    </cfRule>
    <cfRule type="expression" dxfId="243" priority="154302">
      <formula>(VALUE($B5951)&lt;1)*($B5951&lt;&gt;$B$7)*LEN(I$5)</formula>
    </cfRule>
    <cfRule type="expression" dxfId="242" priority="154303" stopIfTrue="1">
      <formula>IsEntireDay*ShowAssignmentName</formula>
    </cfRule>
    <cfRule type="expression" dxfId="241" priority="154304" stopIfTrue="1">
      <formula>(1=IsColor)*ShowAssignmentName</formula>
    </cfRule>
    <cfRule type="expression" dxfId="240" priority="154305" stopIfTrue="1">
      <formula>(1=IsColor)*ShowAssignmentColor</formula>
    </cfRule>
    <cfRule type="expression" dxfId="239" priority="154306" stopIfTrue="1">
      <formula>(2=IsColor)*ShowAssignmentName</formula>
    </cfRule>
    <cfRule type="expression" dxfId="238" priority="154307" stopIfTrue="1">
      <formula>(2=IsColor)*ShowAssignmentColor</formula>
    </cfRule>
    <cfRule type="expression" dxfId="237" priority="154308" stopIfTrue="1">
      <formula>(3=IsColor)*ShowAssignmentName</formula>
    </cfRule>
    <cfRule type="expression" dxfId="236" priority="154309" stopIfTrue="1">
      <formula>(3=IsColor)*ShowAssignmentColor</formula>
    </cfRule>
    <cfRule type="expression" dxfId="235" priority="154310" stopIfTrue="1">
      <formula>(4=IsColor)*ShowAssignmentName</formula>
    </cfRule>
    <cfRule type="expression" dxfId="234" priority="154311" stopIfTrue="1">
      <formula>(4=IsColor)*ShowAssignmentColor</formula>
    </cfRule>
    <cfRule type="expression" dxfId="233" priority="154312" stopIfTrue="1">
      <formula>(5=IsColor)*ShowAssignmentName</formula>
    </cfRule>
    <cfRule type="expression" dxfId="232" priority="154313" stopIfTrue="1">
      <formula>(5=IsColor)*ShowAssignmentColor</formula>
    </cfRule>
    <cfRule type="expression" dxfId="231" priority="154314" stopIfTrue="1">
      <formula>(6=IsColor)*ShowAssignmentName</formula>
    </cfRule>
    <cfRule type="expression" dxfId="230" priority="154315" stopIfTrue="1">
      <formula>(6=IsColor)*ShowAssignmentColor</formula>
    </cfRule>
    <cfRule type="expression" dxfId="229" priority="154316" stopIfTrue="1">
      <formula>(7=IsColor)*ShowAssignmentName</formula>
    </cfRule>
    <cfRule type="expression" dxfId="228" priority="154317" stopIfTrue="1">
      <formula>(7=IsColor)*ShowAssignmentColor</formula>
    </cfRule>
    <cfRule type="expression" dxfId="227" priority="154318" stopIfTrue="1">
      <formula>(8=IsColor)*ShowAssignmentName</formula>
    </cfRule>
    <cfRule type="expression" dxfId="226" priority="154319" stopIfTrue="1">
      <formula>(8=IsColor)*ShowAssignmentColor</formula>
    </cfRule>
    <cfRule type="expression" dxfId="225" priority="154320" stopIfTrue="1">
      <formula>(9=IsColor)*ShowAssignmentName</formula>
    </cfRule>
    <cfRule type="expression" dxfId="224" priority="154321" stopIfTrue="1">
      <formula>(9=IsColor)*ShowAssignmentColor</formula>
    </cfRule>
    <cfRule type="expression" dxfId="223" priority="154322" stopIfTrue="1">
      <formula>(10=IsColor)*ShowAssignmentName</formula>
    </cfRule>
    <cfRule type="expression" dxfId="222" priority="154323" stopIfTrue="1">
      <formula>(10=IsColor)*ShowAssignmentColor</formula>
    </cfRule>
    <cfRule type="expression" dxfId="221" priority="154324" stopIfTrue="1">
      <formula>(11=IsColor)*ShowAssignmentName</formula>
    </cfRule>
    <cfRule type="expression" dxfId="220" priority="154325" stopIfTrue="1">
      <formula>(11=IsColor)*ShowAssignmentColor</formula>
    </cfRule>
  </conditionalFormatting>
  <conditionalFormatting sqref="E6054:F6054 F6049:F6053 G6049:H6054 H6077 E6055:H6055 G6078:H6087 E6050:E6053 G6058:H6076 F6058:F6074 F6056:H6057 D6088:H6097 E6056:E6074 E6075:F6087 D6073:D6087">
    <cfRule type="expression" dxfId="219" priority="226">
      <formula>(VALUE($B6049)&lt;1)*($B6049&lt;&gt;$B$7)*LEN(D$5)*(LEN(D6049)=0)*(LEN(D6048)=0)</formula>
    </cfRule>
    <cfRule type="expression" dxfId="218" priority="227">
      <formula>(VALUE($B6049)&lt;1)*($B6049&lt;&gt;$B$7)*LEN(D$5)</formula>
    </cfRule>
    <cfRule type="expression" dxfId="217" priority="228" stopIfTrue="1">
      <formula>IsEntireDay*ShowAssignmentName</formula>
    </cfRule>
    <cfRule type="expression" dxfId="216" priority="229" stopIfTrue="1">
      <formula>(1=IsColor)*ShowAssignmentName</formula>
    </cfRule>
    <cfRule type="expression" dxfId="215" priority="230" stopIfTrue="1">
      <formula>(1=IsColor)*ShowAssignmentColor</formula>
    </cfRule>
    <cfRule type="expression" dxfId="214" priority="231" stopIfTrue="1">
      <formula>(2=IsColor)*ShowAssignmentName</formula>
    </cfRule>
    <cfRule type="expression" dxfId="213" priority="232" stopIfTrue="1">
      <formula>(2=IsColor)*ShowAssignmentColor</formula>
    </cfRule>
    <cfRule type="expression" dxfId="212" priority="233" stopIfTrue="1">
      <formula>(3=IsColor)*ShowAssignmentName</formula>
    </cfRule>
    <cfRule type="expression" dxfId="211" priority="234" stopIfTrue="1">
      <formula>(3=IsColor)*ShowAssignmentColor</formula>
    </cfRule>
    <cfRule type="expression" dxfId="210" priority="235" stopIfTrue="1">
      <formula>(4=IsColor)*ShowAssignmentName</formula>
    </cfRule>
    <cfRule type="expression" dxfId="209" priority="236" stopIfTrue="1">
      <formula>(4=IsColor)*ShowAssignmentColor</formula>
    </cfRule>
    <cfRule type="expression" dxfId="208" priority="237" stopIfTrue="1">
      <formula>(5=IsColor)*ShowAssignmentName</formula>
    </cfRule>
    <cfRule type="expression" dxfId="207" priority="238" stopIfTrue="1">
      <formula>(5=IsColor)*ShowAssignmentColor</formula>
    </cfRule>
    <cfRule type="expression" dxfId="206" priority="239" stopIfTrue="1">
      <formula>(6=IsColor)*ShowAssignmentName</formula>
    </cfRule>
    <cfRule type="expression" dxfId="205" priority="240" stopIfTrue="1">
      <formula>(6=IsColor)*ShowAssignmentColor</formula>
    </cfRule>
    <cfRule type="expression" dxfId="204" priority="241" stopIfTrue="1">
      <formula>(7=IsColor)*ShowAssignmentName</formula>
    </cfRule>
    <cfRule type="expression" dxfId="203" priority="242" stopIfTrue="1">
      <formula>(7=IsColor)*ShowAssignmentColor</formula>
    </cfRule>
    <cfRule type="expression" dxfId="202" priority="243" stopIfTrue="1">
      <formula>(8=IsColor)*ShowAssignmentName</formula>
    </cfRule>
    <cfRule type="expression" dxfId="201" priority="244" stopIfTrue="1">
      <formula>(8=IsColor)*ShowAssignmentColor</formula>
    </cfRule>
    <cfRule type="expression" dxfId="200" priority="245" stopIfTrue="1">
      <formula>(9=IsColor)*ShowAssignmentName</formula>
    </cfRule>
    <cfRule type="expression" dxfId="199" priority="246" stopIfTrue="1">
      <formula>(9=IsColor)*ShowAssignmentColor</formula>
    </cfRule>
    <cfRule type="expression" dxfId="198" priority="247" stopIfTrue="1">
      <formula>(10=IsColor)*ShowAssignmentName</formula>
    </cfRule>
    <cfRule type="expression" dxfId="197" priority="248" stopIfTrue="1">
      <formula>(10=IsColor)*ShowAssignmentColor</formula>
    </cfRule>
    <cfRule type="expression" dxfId="196" priority="249" stopIfTrue="1">
      <formula>(11=IsColor)*ShowAssignmentName</formula>
    </cfRule>
    <cfRule type="expression" dxfId="195" priority="250" stopIfTrue="1">
      <formula>(11=IsColor)*ShowAssignmentColor</formula>
    </cfRule>
  </conditionalFormatting>
  <conditionalFormatting sqref="D6049:D6072">
    <cfRule type="expression" dxfId="194" priority="201">
      <formula>(VALUE($B6049)&lt;1)*($B6049&lt;&gt;$B$7)*LEN(D$5)*(LEN(D6049)=0)*(LEN(D6048)=0)</formula>
    </cfRule>
    <cfRule type="expression" dxfId="193" priority="202">
      <formula>(VALUE($B6049)&lt;1)*($B6049&lt;&gt;$B$7)*LEN(D$5)</formula>
    </cfRule>
    <cfRule type="expression" dxfId="192" priority="203" stopIfTrue="1">
      <formula>IsEntireDay*ShowAssignmentName</formula>
    </cfRule>
    <cfRule type="expression" dxfId="191" priority="204" stopIfTrue="1">
      <formula>(1=IsColor)*ShowAssignmentName</formula>
    </cfRule>
    <cfRule type="expression" dxfId="190" priority="205" stopIfTrue="1">
      <formula>(1=IsColor)*ShowAssignmentColor</formula>
    </cfRule>
    <cfRule type="expression" dxfId="189" priority="206" stopIfTrue="1">
      <formula>(2=IsColor)*ShowAssignmentName</formula>
    </cfRule>
    <cfRule type="expression" dxfId="188" priority="207" stopIfTrue="1">
      <formula>(2=IsColor)*ShowAssignmentColor</formula>
    </cfRule>
    <cfRule type="expression" dxfId="187" priority="208" stopIfTrue="1">
      <formula>(3=IsColor)*ShowAssignmentName</formula>
    </cfRule>
    <cfRule type="expression" dxfId="186" priority="209" stopIfTrue="1">
      <formula>(3=IsColor)*ShowAssignmentColor</formula>
    </cfRule>
    <cfRule type="expression" dxfId="185" priority="210" stopIfTrue="1">
      <formula>(4=IsColor)*ShowAssignmentName</formula>
    </cfRule>
    <cfRule type="expression" dxfId="184" priority="211" stopIfTrue="1">
      <formula>(4=IsColor)*ShowAssignmentColor</formula>
    </cfRule>
    <cfRule type="expression" dxfId="183" priority="212" stopIfTrue="1">
      <formula>(5=IsColor)*ShowAssignmentName</formula>
    </cfRule>
    <cfRule type="expression" dxfId="182" priority="213" stopIfTrue="1">
      <formula>(5=IsColor)*ShowAssignmentColor</formula>
    </cfRule>
    <cfRule type="expression" dxfId="181" priority="214" stopIfTrue="1">
      <formula>(6=IsColor)*ShowAssignmentName</formula>
    </cfRule>
    <cfRule type="expression" dxfId="180" priority="215" stopIfTrue="1">
      <formula>(6=IsColor)*ShowAssignmentColor</formula>
    </cfRule>
    <cfRule type="expression" dxfId="179" priority="216" stopIfTrue="1">
      <formula>(7=IsColor)*ShowAssignmentName</formula>
    </cfRule>
    <cfRule type="expression" dxfId="178" priority="217" stopIfTrue="1">
      <formula>(7=IsColor)*ShowAssignmentColor</formula>
    </cfRule>
    <cfRule type="expression" dxfId="177" priority="218" stopIfTrue="1">
      <formula>(8=IsColor)*ShowAssignmentName</formula>
    </cfRule>
    <cfRule type="expression" dxfId="176" priority="219" stopIfTrue="1">
      <formula>(8=IsColor)*ShowAssignmentColor</formula>
    </cfRule>
    <cfRule type="expression" dxfId="175" priority="220" stopIfTrue="1">
      <formula>(9=IsColor)*ShowAssignmentName</formula>
    </cfRule>
    <cfRule type="expression" dxfId="174" priority="221" stopIfTrue="1">
      <formula>(9=IsColor)*ShowAssignmentColor</formula>
    </cfRule>
    <cfRule type="expression" dxfId="173" priority="222" stopIfTrue="1">
      <formula>(10=IsColor)*ShowAssignmentName</formula>
    </cfRule>
    <cfRule type="expression" dxfId="172" priority="223" stopIfTrue="1">
      <formula>(10=IsColor)*ShowAssignmentColor</formula>
    </cfRule>
    <cfRule type="expression" dxfId="171" priority="224" stopIfTrue="1">
      <formula>(11=IsColor)*ShowAssignmentName</formula>
    </cfRule>
    <cfRule type="expression" dxfId="170" priority="225" stopIfTrue="1">
      <formula>(11=IsColor)*ShowAssignmentColor</formula>
    </cfRule>
  </conditionalFormatting>
  <conditionalFormatting sqref="E6049">
    <cfRule type="expression" dxfId="169" priority="200">
      <formula>(VALUE($B6049)&lt;1)*Periods</formula>
    </cfRule>
  </conditionalFormatting>
  <conditionalFormatting sqref="D6047:H6047">
    <cfRule type="expression" dxfId="168" priority="199">
      <formula>LEN(D6047)&gt;0</formula>
    </cfRule>
  </conditionalFormatting>
  <conditionalFormatting sqref="G6077">
    <cfRule type="expression" dxfId="167" priority="198">
      <formula>LEN(G6077)&gt;0</formula>
    </cfRule>
  </conditionalFormatting>
  <conditionalFormatting sqref="B6049:B6097">
    <cfRule type="expression" dxfId="166" priority="197">
      <formula>(VALUE($B6049)&lt;1)*Periods</formula>
    </cfRule>
  </conditionalFormatting>
  <conditionalFormatting sqref="E6425:F6425 F6420:F6424 G6420:H6425 H6448 E6426:H6426 D6465:H6468 G6449:H6458 E6421:E6424 G6429:H6447 E6446:F6446 F6429:F6445 F6427:H6428 F6447:F6458 F6459:H6464 D6449:E6464 E6447:E6448 E6427:E6445 D6442:D6448">
    <cfRule type="expression" dxfId="165" priority="118">
      <formula>(VALUE($B6420)&lt;1)*($B6420&lt;&gt;$B$7)*LEN(D$5)*(LEN(D6420)=0)*(LEN(D6419)=0)</formula>
    </cfRule>
    <cfRule type="expression" dxfId="164" priority="119">
      <formula>(VALUE($B6420)&lt;1)*($B6420&lt;&gt;$B$7)*LEN(D$5)</formula>
    </cfRule>
    <cfRule type="expression" dxfId="163" priority="120" stopIfTrue="1">
      <formula>IsEntireDay*ShowAssignmentName</formula>
    </cfRule>
    <cfRule type="expression" dxfId="162" priority="121" stopIfTrue="1">
      <formula>(1=IsColor)*ShowAssignmentName</formula>
    </cfRule>
    <cfRule type="expression" dxfId="161" priority="122" stopIfTrue="1">
      <formula>(1=IsColor)*ShowAssignmentColor</formula>
    </cfRule>
    <cfRule type="expression" dxfId="160" priority="123" stopIfTrue="1">
      <formula>(2=IsColor)*ShowAssignmentName</formula>
    </cfRule>
    <cfRule type="expression" dxfId="159" priority="124" stopIfTrue="1">
      <formula>(2=IsColor)*ShowAssignmentColor</formula>
    </cfRule>
    <cfRule type="expression" dxfId="158" priority="125" stopIfTrue="1">
      <formula>(3=IsColor)*ShowAssignmentName</formula>
    </cfRule>
    <cfRule type="expression" dxfId="157" priority="126" stopIfTrue="1">
      <formula>(3=IsColor)*ShowAssignmentColor</formula>
    </cfRule>
    <cfRule type="expression" dxfId="156" priority="127" stopIfTrue="1">
      <formula>(4=IsColor)*ShowAssignmentName</formula>
    </cfRule>
    <cfRule type="expression" dxfId="155" priority="128" stopIfTrue="1">
      <formula>(4=IsColor)*ShowAssignmentColor</formula>
    </cfRule>
    <cfRule type="expression" dxfId="154" priority="129" stopIfTrue="1">
      <formula>(5=IsColor)*ShowAssignmentName</formula>
    </cfRule>
    <cfRule type="expression" dxfId="153" priority="130" stopIfTrue="1">
      <formula>(5=IsColor)*ShowAssignmentColor</formula>
    </cfRule>
    <cfRule type="expression" dxfId="152" priority="131" stopIfTrue="1">
      <formula>(6=IsColor)*ShowAssignmentName</formula>
    </cfRule>
    <cfRule type="expression" dxfId="151" priority="132" stopIfTrue="1">
      <formula>(6=IsColor)*ShowAssignmentColor</formula>
    </cfRule>
    <cfRule type="expression" dxfId="150" priority="133" stopIfTrue="1">
      <formula>(7=IsColor)*ShowAssignmentName</formula>
    </cfRule>
    <cfRule type="expression" dxfId="149" priority="134" stopIfTrue="1">
      <formula>(7=IsColor)*ShowAssignmentColor</formula>
    </cfRule>
    <cfRule type="expression" dxfId="148" priority="135" stopIfTrue="1">
      <formula>(8=IsColor)*ShowAssignmentName</formula>
    </cfRule>
    <cfRule type="expression" dxfId="147" priority="136" stopIfTrue="1">
      <formula>(8=IsColor)*ShowAssignmentColor</formula>
    </cfRule>
    <cfRule type="expression" dxfId="146" priority="137" stopIfTrue="1">
      <formula>(9=IsColor)*ShowAssignmentName</formula>
    </cfRule>
    <cfRule type="expression" dxfId="145" priority="138" stopIfTrue="1">
      <formula>(9=IsColor)*ShowAssignmentColor</formula>
    </cfRule>
    <cfRule type="expression" dxfId="144" priority="139" stopIfTrue="1">
      <formula>(10=IsColor)*ShowAssignmentName</formula>
    </cfRule>
    <cfRule type="expression" dxfId="143" priority="140" stopIfTrue="1">
      <formula>(10=IsColor)*ShowAssignmentColor</formula>
    </cfRule>
    <cfRule type="expression" dxfId="142" priority="141" stopIfTrue="1">
      <formula>(11=IsColor)*ShowAssignmentName</formula>
    </cfRule>
    <cfRule type="expression" dxfId="141" priority="142" stopIfTrue="1">
      <formula>(11=IsColor)*ShowAssignmentColor</formula>
    </cfRule>
  </conditionalFormatting>
  <conditionalFormatting sqref="D6420:D6441">
    <cfRule type="expression" dxfId="140" priority="93">
      <formula>(VALUE($B6420)&lt;1)*($B6420&lt;&gt;$B$7)*LEN(D$5)*(LEN(D6420)=0)*(LEN(D6419)=0)</formula>
    </cfRule>
    <cfRule type="expression" dxfId="139" priority="94">
      <formula>(VALUE($B6420)&lt;1)*($B6420&lt;&gt;$B$7)*LEN(D$5)</formula>
    </cfRule>
    <cfRule type="expression" dxfId="138" priority="95" stopIfTrue="1">
      <formula>IsEntireDay*ShowAssignmentName</formula>
    </cfRule>
    <cfRule type="expression" dxfId="137" priority="96" stopIfTrue="1">
      <formula>(1=IsColor)*ShowAssignmentName</formula>
    </cfRule>
    <cfRule type="expression" dxfId="136" priority="97" stopIfTrue="1">
      <formula>(1=IsColor)*ShowAssignmentColor</formula>
    </cfRule>
    <cfRule type="expression" dxfId="135" priority="98" stopIfTrue="1">
      <formula>(2=IsColor)*ShowAssignmentName</formula>
    </cfRule>
    <cfRule type="expression" dxfId="134" priority="99" stopIfTrue="1">
      <formula>(2=IsColor)*ShowAssignmentColor</formula>
    </cfRule>
    <cfRule type="expression" dxfId="133" priority="100" stopIfTrue="1">
      <formula>(3=IsColor)*ShowAssignmentName</formula>
    </cfRule>
    <cfRule type="expression" dxfId="132" priority="101" stopIfTrue="1">
      <formula>(3=IsColor)*ShowAssignmentColor</formula>
    </cfRule>
    <cfRule type="expression" dxfId="131" priority="102" stopIfTrue="1">
      <formula>(4=IsColor)*ShowAssignmentName</formula>
    </cfRule>
    <cfRule type="expression" dxfId="130" priority="103" stopIfTrue="1">
      <formula>(4=IsColor)*ShowAssignmentColor</formula>
    </cfRule>
    <cfRule type="expression" dxfId="129" priority="104" stopIfTrue="1">
      <formula>(5=IsColor)*ShowAssignmentName</formula>
    </cfRule>
    <cfRule type="expression" dxfId="128" priority="105" stopIfTrue="1">
      <formula>(5=IsColor)*ShowAssignmentColor</formula>
    </cfRule>
    <cfRule type="expression" dxfId="127" priority="106" stopIfTrue="1">
      <formula>(6=IsColor)*ShowAssignmentName</formula>
    </cfRule>
    <cfRule type="expression" dxfId="126" priority="107" stopIfTrue="1">
      <formula>(6=IsColor)*ShowAssignmentColor</formula>
    </cfRule>
    <cfRule type="expression" dxfId="125" priority="108" stopIfTrue="1">
      <formula>(7=IsColor)*ShowAssignmentName</formula>
    </cfRule>
    <cfRule type="expression" dxfId="124" priority="109" stopIfTrue="1">
      <formula>(7=IsColor)*ShowAssignmentColor</formula>
    </cfRule>
    <cfRule type="expression" dxfId="123" priority="110" stopIfTrue="1">
      <formula>(8=IsColor)*ShowAssignmentName</formula>
    </cfRule>
    <cfRule type="expression" dxfId="122" priority="111" stopIfTrue="1">
      <formula>(8=IsColor)*ShowAssignmentColor</formula>
    </cfRule>
    <cfRule type="expression" dxfId="121" priority="112" stopIfTrue="1">
      <formula>(9=IsColor)*ShowAssignmentName</formula>
    </cfRule>
    <cfRule type="expression" dxfId="120" priority="113" stopIfTrue="1">
      <formula>(9=IsColor)*ShowAssignmentColor</formula>
    </cfRule>
    <cfRule type="expression" dxfId="119" priority="114" stopIfTrue="1">
      <formula>(10=IsColor)*ShowAssignmentName</formula>
    </cfRule>
    <cfRule type="expression" dxfId="118" priority="115" stopIfTrue="1">
      <formula>(10=IsColor)*ShowAssignmentColor</formula>
    </cfRule>
    <cfRule type="expression" dxfId="117" priority="116" stopIfTrue="1">
      <formula>(11=IsColor)*ShowAssignmentName</formula>
    </cfRule>
    <cfRule type="expression" dxfId="116" priority="117" stopIfTrue="1">
      <formula>(11=IsColor)*ShowAssignmentColor</formula>
    </cfRule>
  </conditionalFormatting>
  <conditionalFormatting sqref="E6420">
    <cfRule type="expression" dxfId="115" priority="92">
      <formula>(VALUE($B6420)&lt;1)*Periods</formula>
    </cfRule>
  </conditionalFormatting>
  <conditionalFormatting sqref="D6418:H6418">
    <cfRule type="expression" dxfId="114" priority="91">
      <formula>LEN(D6418)&gt;0</formula>
    </cfRule>
  </conditionalFormatting>
  <conditionalFormatting sqref="G6448">
    <cfRule type="expression" dxfId="113" priority="90">
      <formula>LEN(G6448)&gt;0</formula>
    </cfRule>
  </conditionalFormatting>
  <conditionalFormatting sqref="B6420:B6468">
    <cfRule type="expression" dxfId="112" priority="89">
      <formula>(VALUE($B6420)&lt;1)*Periods</formula>
    </cfRule>
  </conditionalFormatting>
  <conditionalFormatting sqref="E6474 D6473:D6474 H6501:I6501 D6475:E6481 D6498:E6500 G6498:I6500 F6498:F6501 D6502:I6521 D6482:I6497 F6473:I6481">
    <cfRule type="expression" dxfId="111" priority="64">
      <formula>(VALUE($B6473)&lt;1)*($B6473&lt;&gt;$B$7)*LEN(D$5)*(LEN(D6473)=0)*(LEN(D6472)=0)</formula>
    </cfRule>
    <cfRule type="expression" dxfId="110" priority="65">
      <formula>(VALUE($B6473)&lt;1)*($B6473&lt;&gt;$B$7)*LEN(D$5)</formula>
    </cfRule>
    <cfRule type="expression" dxfId="109" priority="66" stopIfTrue="1">
      <formula>IsEntireDay*ShowAssignmentName</formula>
    </cfRule>
    <cfRule type="expression" dxfId="108" priority="67" stopIfTrue="1">
      <formula>(1=IsColor)*ShowAssignmentName</formula>
    </cfRule>
    <cfRule type="expression" dxfId="107" priority="68" stopIfTrue="1">
      <formula>(1=IsColor)*ShowAssignmentColor</formula>
    </cfRule>
    <cfRule type="expression" dxfId="106" priority="69" stopIfTrue="1">
      <formula>(2=IsColor)*ShowAssignmentName</formula>
    </cfRule>
    <cfRule type="expression" dxfId="105" priority="70" stopIfTrue="1">
      <formula>(2=IsColor)*ShowAssignmentColor</formula>
    </cfRule>
    <cfRule type="expression" dxfId="104" priority="71" stopIfTrue="1">
      <formula>(3=IsColor)*ShowAssignmentName</formula>
    </cfRule>
    <cfRule type="expression" dxfId="103" priority="72" stopIfTrue="1">
      <formula>(3=IsColor)*ShowAssignmentColor</formula>
    </cfRule>
    <cfRule type="expression" dxfId="102" priority="73" stopIfTrue="1">
      <formula>(4=IsColor)*ShowAssignmentName</formula>
    </cfRule>
    <cfRule type="expression" dxfId="101" priority="74" stopIfTrue="1">
      <formula>(4=IsColor)*ShowAssignmentColor</formula>
    </cfRule>
    <cfRule type="expression" dxfId="100" priority="75" stopIfTrue="1">
      <formula>(5=IsColor)*ShowAssignmentName</formula>
    </cfRule>
    <cfRule type="expression" dxfId="99" priority="76" stopIfTrue="1">
      <formula>(5=IsColor)*ShowAssignmentColor</formula>
    </cfRule>
    <cfRule type="expression" dxfId="98" priority="77" stopIfTrue="1">
      <formula>(6=IsColor)*ShowAssignmentName</formula>
    </cfRule>
    <cfRule type="expression" dxfId="97" priority="78" stopIfTrue="1">
      <formula>(6=IsColor)*ShowAssignmentColor</formula>
    </cfRule>
    <cfRule type="expression" dxfId="96" priority="79" stopIfTrue="1">
      <formula>(7=IsColor)*ShowAssignmentName</formula>
    </cfRule>
    <cfRule type="expression" dxfId="95" priority="80" stopIfTrue="1">
      <formula>(7=IsColor)*ShowAssignmentColor</formula>
    </cfRule>
    <cfRule type="expression" dxfId="94" priority="81" stopIfTrue="1">
      <formula>(8=IsColor)*ShowAssignmentName</formula>
    </cfRule>
    <cfRule type="expression" dxfId="93" priority="82" stopIfTrue="1">
      <formula>(8=IsColor)*ShowAssignmentColor</formula>
    </cfRule>
    <cfRule type="expression" dxfId="92" priority="83" stopIfTrue="1">
      <formula>(9=IsColor)*ShowAssignmentName</formula>
    </cfRule>
    <cfRule type="expression" dxfId="91" priority="84" stopIfTrue="1">
      <formula>(9=IsColor)*ShowAssignmentColor</formula>
    </cfRule>
    <cfRule type="expression" dxfId="90" priority="85" stopIfTrue="1">
      <formula>(10=IsColor)*ShowAssignmentName</formula>
    </cfRule>
    <cfRule type="expression" dxfId="89" priority="86" stopIfTrue="1">
      <formula>(10=IsColor)*ShowAssignmentColor</formula>
    </cfRule>
    <cfRule type="expression" dxfId="88" priority="87" stopIfTrue="1">
      <formula>(11=IsColor)*ShowAssignmentName</formula>
    </cfRule>
    <cfRule type="expression" dxfId="87" priority="88" stopIfTrue="1">
      <formula>(11=IsColor)*ShowAssignmentColor</formula>
    </cfRule>
  </conditionalFormatting>
  <conditionalFormatting sqref="E6473">
    <cfRule type="expression" dxfId="86" priority="63">
      <formula>(VALUE($B6473)&lt;1)*Periods</formula>
    </cfRule>
  </conditionalFormatting>
  <conditionalFormatting sqref="D6471:I6471">
    <cfRule type="expression" dxfId="85" priority="62">
      <formula>LEN(D6471)&gt;0</formula>
    </cfRule>
  </conditionalFormatting>
  <conditionalFormatting sqref="B6473:B6521">
    <cfRule type="expression" dxfId="84" priority="61">
      <formula>(VALUE($B6473)&lt;1)*Periods</formula>
    </cfRule>
  </conditionalFormatting>
  <conditionalFormatting sqref="D6501:E6501 G6501">
    <cfRule type="expression" dxfId="83" priority="60">
      <formula>LEN(D6501)&gt;0</formula>
    </cfRule>
  </conditionalFormatting>
  <conditionalFormatting sqref="F5759">
    <cfRule type="expression" dxfId="82" priority="59">
      <formula>LEN(F5759)&gt;0</formula>
    </cfRule>
  </conditionalFormatting>
  <conditionalFormatting sqref="E5812">
    <cfRule type="expression" dxfId="81" priority="58">
      <formula>LEN(E5812)&gt;0</formula>
    </cfRule>
  </conditionalFormatting>
  <conditionalFormatting sqref="H5865">
    <cfRule type="expression" dxfId="80" priority="57">
      <formula>LEN(H5865)&gt;0</formula>
    </cfRule>
  </conditionalFormatting>
  <conditionalFormatting sqref="I5865">
    <cfRule type="expression" dxfId="79" priority="56">
      <formula>LEN(I5865)&gt;0</formula>
    </cfRule>
  </conditionalFormatting>
  <conditionalFormatting sqref="D5972:D5974">
    <cfRule type="expression" dxfId="78" priority="30">
      <formula>(VALUE($B5972)&lt;1)*($B5972&lt;&gt;$B$7)*LEN(D$5)*(LEN(D5972)=0)*(LEN(D5971)=0)</formula>
    </cfRule>
    <cfRule type="expression" dxfId="77" priority="31">
      <formula>(VALUE($B5972)&lt;1)*($B5972&lt;&gt;$B$7)*LEN(D$5)</formula>
    </cfRule>
    <cfRule type="expression" dxfId="76" priority="32" stopIfTrue="1">
      <formula>IsEntireDay*ShowAssignmentName</formula>
    </cfRule>
    <cfRule type="expression" dxfId="75" priority="33" stopIfTrue="1">
      <formula>(1=IsColor)*ShowAssignmentName</formula>
    </cfRule>
    <cfRule type="expression" dxfId="74" priority="34" stopIfTrue="1">
      <formula>(1=IsColor)*ShowAssignmentColor</formula>
    </cfRule>
    <cfRule type="expression" dxfId="73" priority="35" stopIfTrue="1">
      <formula>(2=IsColor)*ShowAssignmentName</formula>
    </cfRule>
    <cfRule type="expression" dxfId="72" priority="36" stopIfTrue="1">
      <formula>(2=IsColor)*ShowAssignmentColor</formula>
    </cfRule>
    <cfRule type="expression" dxfId="71" priority="37" stopIfTrue="1">
      <formula>(3=IsColor)*ShowAssignmentName</formula>
    </cfRule>
    <cfRule type="expression" dxfId="70" priority="38" stopIfTrue="1">
      <formula>(3=IsColor)*ShowAssignmentColor</formula>
    </cfRule>
    <cfRule type="expression" dxfId="69" priority="39" stopIfTrue="1">
      <formula>(4=IsColor)*ShowAssignmentName</formula>
    </cfRule>
    <cfRule type="expression" dxfId="68" priority="40" stopIfTrue="1">
      <formula>(4=IsColor)*ShowAssignmentColor</formula>
    </cfRule>
    <cfRule type="expression" dxfId="67" priority="41" stopIfTrue="1">
      <formula>(5=IsColor)*ShowAssignmentName</formula>
    </cfRule>
    <cfRule type="expression" dxfId="66" priority="42" stopIfTrue="1">
      <formula>(5=IsColor)*ShowAssignmentColor</formula>
    </cfRule>
    <cfRule type="expression" dxfId="65" priority="43" stopIfTrue="1">
      <formula>(6=IsColor)*ShowAssignmentName</formula>
    </cfRule>
    <cfRule type="expression" dxfId="64" priority="44" stopIfTrue="1">
      <formula>(6=IsColor)*ShowAssignmentColor</formula>
    </cfRule>
    <cfRule type="expression" dxfId="63" priority="45" stopIfTrue="1">
      <formula>(7=IsColor)*ShowAssignmentName</formula>
    </cfRule>
    <cfRule type="expression" dxfId="62" priority="46" stopIfTrue="1">
      <formula>(7=IsColor)*ShowAssignmentColor</formula>
    </cfRule>
    <cfRule type="expression" dxfId="61" priority="47" stopIfTrue="1">
      <formula>(8=IsColor)*ShowAssignmentName</formula>
    </cfRule>
    <cfRule type="expression" dxfId="60" priority="48" stopIfTrue="1">
      <formula>(8=IsColor)*ShowAssignmentColor</formula>
    </cfRule>
    <cfRule type="expression" dxfId="59" priority="49" stopIfTrue="1">
      <formula>(9=IsColor)*ShowAssignmentName</formula>
    </cfRule>
    <cfRule type="expression" dxfId="58" priority="50" stopIfTrue="1">
      <formula>(9=IsColor)*ShowAssignmentColor</formula>
    </cfRule>
    <cfRule type="expression" dxfId="57" priority="51" stopIfTrue="1">
      <formula>(10=IsColor)*ShowAssignmentName</formula>
    </cfRule>
    <cfRule type="expression" dxfId="56" priority="52" stopIfTrue="1">
      <formula>(10=IsColor)*ShowAssignmentColor</formula>
    </cfRule>
    <cfRule type="expression" dxfId="55" priority="53" stopIfTrue="1">
      <formula>(11=IsColor)*ShowAssignmentName</formula>
    </cfRule>
    <cfRule type="expression" dxfId="54" priority="54" stopIfTrue="1">
      <formula>(11=IsColor)*ShowAssignmentColor</formula>
    </cfRule>
  </conditionalFormatting>
  <conditionalFormatting sqref="D5975:D5977">
    <cfRule type="expression" dxfId="53" priority="5">
      <formula>(VALUE($B5975)&lt;1)*($B5975&lt;&gt;$B$7)*LEN(D$5)*(LEN(D5975)=0)*(LEN(D5974)=0)</formula>
    </cfRule>
    <cfRule type="expression" dxfId="52" priority="6">
      <formula>(VALUE($B5975)&lt;1)*($B5975&lt;&gt;$B$7)*LEN(D$5)</formula>
    </cfRule>
    <cfRule type="expression" dxfId="51" priority="7" stopIfTrue="1">
      <formula>IsEntireDay*ShowAssignmentName</formula>
    </cfRule>
    <cfRule type="expression" dxfId="50" priority="8" stopIfTrue="1">
      <formula>(1=IsColor)*ShowAssignmentName</formula>
    </cfRule>
    <cfRule type="expression" dxfId="49" priority="9" stopIfTrue="1">
      <formula>(1=IsColor)*ShowAssignmentColor</formula>
    </cfRule>
    <cfRule type="expression" dxfId="48" priority="10" stopIfTrue="1">
      <formula>(2=IsColor)*ShowAssignmentName</formula>
    </cfRule>
    <cfRule type="expression" dxfId="47" priority="11" stopIfTrue="1">
      <formula>(2=IsColor)*ShowAssignmentColor</formula>
    </cfRule>
    <cfRule type="expression" dxfId="46" priority="12" stopIfTrue="1">
      <formula>(3=IsColor)*ShowAssignmentName</formula>
    </cfRule>
    <cfRule type="expression" dxfId="45" priority="13" stopIfTrue="1">
      <formula>(3=IsColor)*ShowAssignmentColor</formula>
    </cfRule>
    <cfRule type="expression" dxfId="44" priority="14" stopIfTrue="1">
      <formula>(4=IsColor)*ShowAssignmentName</formula>
    </cfRule>
    <cfRule type="expression" dxfId="43" priority="15" stopIfTrue="1">
      <formula>(4=IsColor)*ShowAssignmentColor</formula>
    </cfRule>
    <cfRule type="expression" dxfId="42" priority="16" stopIfTrue="1">
      <formula>(5=IsColor)*ShowAssignmentName</formula>
    </cfRule>
    <cfRule type="expression" dxfId="41" priority="17" stopIfTrue="1">
      <formula>(5=IsColor)*ShowAssignmentColor</formula>
    </cfRule>
    <cfRule type="expression" dxfId="40" priority="18" stopIfTrue="1">
      <formula>(6=IsColor)*ShowAssignmentName</formula>
    </cfRule>
    <cfRule type="expression" dxfId="39" priority="19" stopIfTrue="1">
      <formula>(6=IsColor)*ShowAssignmentColor</formula>
    </cfRule>
    <cfRule type="expression" dxfId="38" priority="20" stopIfTrue="1">
      <formula>(7=IsColor)*ShowAssignmentName</formula>
    </cfRule>
    <cfRule type="expression" dxfId="37" priority="21" stopIfTrue="1">
      <formula>(7=IsColor)*ShowAssignmentColor</formula>
    </cfRule>
    <cfRule type="expression" dxfId="36" priority="22" stopIfTrue="1">
      <formula>(8=IsColor)*ShowAssignmentName</formula>
    </cfRule>
    <cfRule type="expression" dxfId="35" priority="23" stopIfTrue="1">
      <formula>(8=IsColor)*ShowAssignmentColor</formula>
    </cfRule>
    <cfRule type="expression" dxfId="34" priority="24" stopIfTrue="1">
      <formula>(9=IsColor)*ShowAssignmentName</formula>
    </cfRule>
    <cfRule type="expression" dxfId="33" priority="25" stopIfTrue="1">
      <formula>(9=IsColor)*ShowAssignmentColor</formula>
    </cfRule>
    <cfRule type="expression" dxfId="32" priority="26" stopIfTrue="1">
      <formula>(10=IsColor)*ShowAssignmentName</formula>
    </cfRule>
    <cfRule type="expression" dxfId="31" priority="27" stopIfTrue="1">
      <formula>(10=IsColor)*ShowAssignmentColor</formula>
    </cfRule>
    <cfRule type="expression" dxfId="30" priority="28" stopIfTrue="1">
      <formula>(11=IsColor)*ShowAssignmentName</formula>
    </cfRule>
    <cfRule type="expression" dxfId="29" priority="29" stopIfTrue="1">
      <formula>(11=IsColor)*ShowAssignmentColor</formula>
    </cfRule>
  </conditionalFormatting>
  <conditionalFormatting sqref="F5971">
    <cfRule type="expression" dxfId="28" priority="4">
      <formula>LEN(F5971)&gt;0</formula>
    </cfRule>
  </conditionalFormatting>
  <conditionalFormatting sqref="I5971">
    <cfRule type="expression" dxfId="26" priority="2">
      <formula>LEN(I5971)&gt;0</formula>
    </cfRule>
  </conditionalFormatting>
  <conditionalFormatting sqref="D5971:E5971">
    <cfRule type="expression" dxfId="25" priority="1">
      <formula>LEN(D5971)&gt;0</formula>
    </cfRule>
  </conditionalFormatting>
  <dataValidations count="2">
    <dataValidation type="list" allowBlank="1" showInputMessage="1" sqref="D111:I111 L13 L23 D87 D164:E164 D5:I5 D58:I58 F215 D217:I217 D301:E301 D270:I270 D429:I429 D405 D482:E482 D323:I323 D376:I376 L1338 D1625 F533 D535:I535 D619:E619 D588:I588 D694:I694 D723 D747:I747 D641:I641 L1073 F851 F830:G830 D1095:E1095 D906:I906 D1012:I1012 D1041 D883:G883 G989 L1348 D1253 D1277:I1277 D199 D1224:I1224 F1381 D1330:I1330 L66 L119 L172 L278 L288 L331 L384 L437 L543 L553 L596 L649 L702 L808 L818 L861 L914 L967 L1083 L1126 L1179 D800:I800 D853:I853 D959:I959 D989:E989 L1391 L1444 L1232 L76 L129 L182 L225 L235 L341 L394 L447 L490 L500 L606 L659 L712 L755 L765 L871 L924 L977 L1020 L1030 L1136 L1189 D1065:I1065 D1118:I1118 D1171:I1171 L1401 L1454 F1466:G1466 E937 G1095 D1595:I1595 D1148 G1625 L1242 L1285 L1295 F1148:G1148 D1200:G1200 D1383:I1383 D1436:I1436 D1837:E1837 G1837 D1943:E1943 D2472:G2472 D2579 G2579 D2632 L1603 L1613 D1542:I1542 L1550 L1560 L1497 F1487 D1489:I1489 F2632:G2632 L1507 F2685:G2685 L2779 D2844:D2845 D1701:I1701 D1677 D1754:E1754 D1648:I1648 L2610 F1805 D1807:I1807 D1891:E1891 D1860:I1860 D1966:I1966 D1995:D1996 D2019:I2019 D1913:I1913 L2345 F2123 G2102 D2367:E2367 D2178:I2178 D2284:I2284 D2313 D2155:G2155 G1943 L2620 D2525 D2549:I2549 D2496:I2496 F2653 D2602:I2602 L1656 L1709 L1815 L1825 L1868 L1921 L1974 L2080 L2090 L2133 L2186 L2239 L2355 L2398 L2451 D2072:I2072 D2125:I2125 D2231:I2231 F1996:G1996 L2663 L2716 L2504 L1666 L1719 L1762 L1772 L1878 L1931 L1984 L2027 L2037 L2143 L2196 L2249 L2292 L2302 L2408 L2461 D2337:I2337 D2390:I2390 D2443:I2443 L2673 L2726 F2738:G2738 E2209 G2367 F2314:G2314 L2514 L2557 L2567 E2261:F2261 G2420 D2655:I2655 D2708:I2708 G1678 D1731:G1731 F2759 D2761:I2761 D2791:I2791 D2814:I2814 L2822 L2832 L2769 D2920:I2920 D2949 D2973:I2973 D2867:I2867 F3056:G3056 L2875 L2928 L3034 L3044 D3026:I3026 L2885 L2938 L2981 L2991 G2897 D2897 D3109:G3109 D3215:E3215 F3077 D3079:I3079 D3163:E3163 D3132:I3132 D3238:I3238 D3267:D3268 D3291:I3291 D3185:I3185 G3374 G3215 L3087 L3097 L3140 L3193 L3246 L3352 L3362 D3344:I3344 F3268:G3268 L3150 L3203 L3256 L3299 L3309 D3321 D4169 D3427:E3427 G3427 D3533:E3533 F3395 D3397:I3397 D3481:E3481 D3450:I3450 D3556:I3556 D3585:D3586 D3609:I3609 D3503:I3503 G3692 G3533 L3405 L3415 L3458 L3511 L3564 L3670 L3680 D3662:I3662 F3586:G3586 L3468 L3521 L3574 L3617 L3627 F3639:G3639 D3744:G3744 D3851 G3851 D3904 F3904:G3904 F3957:G3957 L4051 D4116:D4117 L3882 L3892 D3797 D3821:I3821 D3768:I3768 F3925 D3874:I3874 L3723 L3935 L3988 L3776 L3733 D3715:I3715 L3945 L3998 F4010:G4010 L3786 L3829 L3839 D3927:I3927 D3980:I3980 F4031 D4033:I4033 D4063:I4063 D4086:I4086 L4094 L4104 L4041 D4139:I4139 L4147 L4157 G4169 D4192:I4192 D4221 D4245:I4245 L4200 L4210 L4253 L4263 D4539 L4306 L4316 D4298:I4298 L4369 D4434:D4435 F4349 D4351:I4351 D4381:I4381 D4404:I4404 L4412 L4422 L4359 D4487:E4487 D4510:I4510 D4563:I4563 D4457:I4457 G4646 G4487 L4465 L4518 L4624 L4634 D4616:I4616 L4581 L4475 L4528 L4571 D4540:F4540 F4382:F4392 L4687 F4667 D4669:I4669 L4677 D4699:I4699 H4572:I4572 D4586 D4593 L4740 D4722:I4722 L4730 D4752 D4805:E4805 D4828:H4828 D4857:D4858 D4881:I4881 D4775:H4775 G4964 G4805 D4934:H4934 F4858:G4858 L5260 L4793 L4846 L4899 L4952 L4783 L4836 L4889 L4942 D5229 L5005 F4985 D4987:I4987 L4995 L5207 L5058 D5040:I5040 L5048 G5017 L5270 D5146:H5146 D5175:D5176 D5199:I5199 D5070 G5282 L5154 D5252:H5252 F5176:G5176 F5229:G5229 D5017 L5164 L5217 D5123:E5123 D5093:I5093 L5111 L5101 G5123 L5313 L5323 G5335 D5305:H5305 D5546 L5376 D5441:D5442 F5356 D5358:I5358 F5394 D5547:F5547 L5419 L5429 L5366 L5694 I5547 D5570:I5570 G5706 G5653 D5388:H5388 L5472 L5525 L5631 L5641 D5623:I5623 L5588 L5482 L5535 L5578 F5162 D5676:H5676 D5411:I5411 H7063 G6978 L5684 D5494:E5494 D5464:H5464 G5494 H5579 F6469 L5747 D5812:D5813 F5727 D5729:I5729 D5517:I5517 D5782:I5782 L5790 L5800 L5737 D5865:E5865 D5888:I5888 D5941:I5941 D5835:I5835 E5812 G5865:I5865 L5843 L5896 L6002 L6012 D5994:I5994 L5959 L5853 L5906 L5949 I5600 D6471:I6471 L6118 F6098 D6100:I6100 L6108 L6055 H5950 G6501 L6171 D6153:I6153 L6161 D6183 D6236:E6236 D6259:H6259 F6289 D6312:I6312 D6206:I6206 G6395 G6236 D6365:H6365 D5971:E5971 L6744 L6224 L6277 L6330 L6383 L6214 L6267 L6320 L6373 D6713 L6489 L6426 L6436 L6479 L6691 L6542 D6524:I6524 L6532 G6448 L6754 D6630:H6630 D6659:D6660 D6683:I6683 D6554 G6766 L6638 D6736:H6736 F6660:G6660 F6713:G6713 D6418:H6418 L6648 L6701 D6607:E6607 D6577:I6577 L6595 L6585 G6607 L6797 L6807 G6819 D6789:H6789 D7030 L6860 D6925:D6926 F6840 D6842:I6842 F6878 D7031:E7031 L6903 L6913 L6850 D7001:I7001 D7054:I7054 G7137 D6872:H6872 L6956 L7009 L7115 L7125 D7107:I7107 L7072 L6966 L7019 L7062 F6646 D6895:I6895 D7077 D7084 D6978:E6978 D6948:H6948 D5600 D5759:H5759 L6065 G6077 D6047:H6047 D6130:H6130 D6501:E6501 I5971 D6288:D6289" xr:uid="{ECDC4800-BD48-40E7-910A-A36958524A21}">
      <formula1>_employees</formula1>
    </dataValidation>
    <dataValidation type="list" allowBlank="1" showInputMessage="1" sqref="F301:F320 D113:I161 D60:D86 D88:D108 E60:I108 F1067:F1115 D7:D55 D302:E320 G272:I320 D219:I267 F7:I55 D272:F300 D431:I479 D378:D404 D406:D426 E378:I426 D484:I532 D325:D373 F325:I373 E326:E373 F619:F638 D620:E638 G590:I638 D537:I585 D590:F618 D724:D744 D696:D722 F2604:G2631 F643:I691 E8:E55 E644:E691 F937:F956 D1096:E1115 D855:G882 G908:I956 D908:F936 D1014:D1040 G990:G1009 D1149:G1168 D802:E850 F961:F1009 D961:D988 D1226:D1252 D1201:G1221 D1279:I1327 D937:D956 H961:I1009 D1254:D1274 E1148 G961:G988 D990:E1009 H1120:I1168 D1120:G1147 E1226:I1274 E696:I744 H802:I850 F831:G850 F802:G829 D1042:D1062 H1173:I1221 F1173:G1199 D1173:D1199 D1626:D1645 E1174:E1199 H1597:I1645 G1597:G1624 D1332:I1380 E1598:E1645 D1597:D1624 F1597:F1645 D1438:E1486 D1544:I1592 H1438:I1486 F1467:G1486 D1385:I1433 F1438:G1465 G2551:G2578 D2633:D2652 D2604:D2631 F2633:G2652 E1014:I1062 D1067:E1094 H855:I903 D884:G903 E938:E956 E962:E988 G1096:G1115 H1067:I1115 G1067:G1094 E2604:E2652 E166:I214 H2604:I2652 F2686:G2705 H2657:I2705 D2657:E2705 D166:D198 D200:D214 D1491:I1539 D2710:E2758 D2846:D2864 D643:D691 D2816:D2843 G1626:G1645 E2816:I2864 F2315:G2334 G2339:G2366 D1678:D1698 D1650:D1676 G1679:G1698 D2074:F2122 F1891:F1910 D1892:E1910 G1862:I1910 D1732:G1751 F1809:F1837 D1997:D2016 D1968:D1994 D1862:F1890 D1944:E1963 D2368:E2387 H1809:I1857 D2127:G2154 D2286:D2312 E2234:E2260 D2498:D2524 F2445:G2471 E2498:I2546 D2209:D2228 E1968:E2016 D2526:D2546 D2180:E2208 D2233:D2281 H2392:I2440 F2339:F2387 H2445:I2493 F2180:I2228 H2074:I2122 D2021:I2069 D2314:D2334 E2446:E2471 D2392:F2440 D2445:D2471 D2473:G2493 D2580:D2599 F2657:G2684 H2710:I2758 F2739:G2758 D749:I797 D4618:F4666 E2262:F2281 D2339:E2366 H2127:I2175 D2156:G2175 E2210:E2228 F1915:F1963 G2368:G2387 H2339:I2387 E1650:F1698 H1650:I1698 G1650:G1677 H1703:I1751 D1703:G1730 D1838:G1857 D1756:I1804 G2074:G2101 G2103:G2122 D1809:E1836 G1809:G1836 E1916:E1942 D1915:D1942 G1944:G1963 H1915:I1963 G1915:G1942 H1968:I2016 F1968:G1995 F1997:G2016 G2233:I2281 F2233:F2260 E2286:E2334 H2286:I2334 F2286:G2313 G2421:G2440 G2392:G2419 G2580:G2599 E2551:F2599 D2551:D2578 H2551:I2599 D2792:I2811 D2763:I2790 D2950:D2970 H3081:I3129 E2922:I2970 E2870:E2917 D3028:E3076 G3187:G3214 H3028:I3076 D2922:D2948 D2975:I3023 G2898:G2917 F2869:F2917 H2869:I2917 G2869:G2896 D2869:D2896 D2898:D2917 D3346:F3394 F3240:G3267 D3134:F3162 G3134:I3182 F3269:G3288 D3269:D3288 D3240:D3266 D3164:E3182 D3216:E3235 E3240:E3288 H3346:I3394 F3163:F3182 F3028:G3055 F3057:G3076 G3346:G3373 G3375:G3394 E3188:E3214 D3187:D3214 G3216:G3235 H3187:I3235 D3110:G3129 H3240:I3288 F3187:F3235 D3081:G3108 D3322:D3341 D3293:D3320 F3717:G3743 D3664:F3712 F3481:F3500 D3428:G3447 D3452:F3480 D3399:E3426 D3587:D3606 D3558:D3584 F3505:F3553 D3534:E3553 F3399:F3427 E3558:E3606 H3664:I3712 H3505:I3553 G3452:I3500 H3399:I3447 G3664:G3691 G3693:G3712 F3587:G3606 D3482:E3500 G3399:G3426 G3534:G3553 D3505:E3532 G3505:G3532 H3558:I3606 F3558:G3585 H3611:I3659 D3611:E3659 F3640:G3659 F3611:G3638 F3876:G3903 G3823:G3850 D3876:D3903 H3876:I3924 F3905:G3924 E3823:F3871 D3905:D3924 F3958:G3977 F3929:G3956 H3929:I3977 D3982:E4030 D4118:D4136 E4088:I4136 F4536:F4539 E3770:I3818 D3745:G3765 E3293:I3341 D3798:D3818 D5042:D5069 D4170:D4189 D3717:D3743 E3718:E3743 D3852:D3871 E3876:E3924 H3982:I4030 F4011:G4030 F3982:G4009 H3823:I3871 G3852:G3871 D3823:D3850 D3770:D3796 D4035:I4062 D3929:E3977 E4142:E4189 G4170:G4189 D4088:D4115 H4141:I4189 G4141:G4168 D4064:I4083 E4204:E4242 D4204:D4220 D4436:D4454 D4406:D4433 F4393:F4401 G4459:G4486 D4594:D4613 F4459:F4507 C4536 D4541:D4560 D4488:E4507 D4536:D4538 H4618:I4666 G4618:G4645 G4647:G4666 E4460:E4486 D4459:D4486 G4488:G4507 H4459:I4507 E4406:I4454 D4141:D4168 D4222:D4242 F4194:I4242 F4141:F4189 D4194:E4203 D4247:I4295 F4541:F4560 G4536:G4560 H4512:I4560 D4512:G4535 E4536:E4560 D4382:E4401 G4382:I4401 D4353:I4380 F2710:G2737 J4567:J4570 H4573:I4613 H4565:I4571 E4565:G4613 D4565:D4585 D4587:D4592 D4308:E4326 F4304:I4326 D4300:I4303 D4327:I4348 D4671:I4698 D4700:I4719 D4753:D4772 D4724:D4751 D4806:E4825 D4859:D4878 H3717:I3765 H4936:H4984 H4777:H4825 G4936:G4963 G4965:G4984 F4859:G4878 G4806:G4825 D4777:E4804 G4777:G4804 D4830:D4856 F4777:F4825 H4830:H4878 E4830 E4832:E4878 F4830:G4857 E4724:I4772 D4936:F4984 D4989:E5016 D5071:D5090 I5519:I5546 E5017:E5037 D5519:E5542 E5201:E5249 H5254:H5302 H4989:I5037 G5254:G5281 G5283:G5302 D5018:D5037 G4989:G5016 G5018:G5037 E5042:I5090 F5230:G5249 D5148:D5174 F5177:G5196 D5201:D5228 E5148 F5201:G5228 D4883:I4931 D5230:D5249 D5124:E5143 D5177:D5196 F4989:F5037 F5095:F5143 E5096:E5122 G5124:G5143 F5163:F5175 D5095:D5122 H5095:I5143 G5095:G5122 H5173:H5196 H5307:H5355 G5307:G5334 G5336:G5355 D5254:F5302 E5572:G5620 D5443:D5461 E5413:I5461 F5389:F5393 H5678:H5726 H5580:H5620 G5678:G5705 C5543 D5548:D5567 G5707:G5726 D5543:D5545 H5625:I5673 G5625:G5652 G5654:G5673 F5395:F5408 H5201:I5249 I5360:I5408 D5572:D5599 E5150:E5196 D6897:D6924 F5466:F5514 E5543:E5567 D5389:E5408 D5601:D5620 J5574:J5577 G5389:H5408 I5548:I5567 H5466:H5514 I5601:I5620 D5495:E5514 D5307:F5355 G5495:G5514 D5466:E5493 G5466:G5493 D5360:H5387 G5148:H5172 G5173:G5175 F5148:F5161 H5572:H5578 D5413:D5440 D6526:D6553 D5814:D5832 D5731:H5758 I5943:I5970 C5914 D5866:E5885 F5943:G5991 E5838:E5864 D5837:D5864 I5731:I5779 D5760:H5779 G5866:I5885 G6473:G6500 J5945:J5948 D5996:I6044 F5837:F5885 D6184:D6203 G6289:G6309 E6155:I6203 E6263:E6309 G6396:G6415 H6208:I6256 G6367:G6394 D6290:D6309 D6208:E6235 G6237:G6256 F6473:F6501 H6261:H6309 F6208:F6256 G6208:G6235 D6367:F6415 E6261 D6314:I6362 D6155:D6182 D5972:E5991 H6738:H6786 I6102:I6150 D6555:D6574 D6102:H6129 D7003:E7026 E6685:E6733 G6767:G6786 H6367:H6415 G6738:G6765 D6738:F6786 D6420:F6468 H6420:H6468 G6420:G6447 E6526:I6574 F6714:G6733 D6632:D6658 F6661:G6680 D6685:D6712 E6632 F6685:G6712 D6237:E6256 D6714:D6733 D6608:E6627 D6661:D6680 G6449:G6468 F6579:F6627 E6580:E6606 G6608:G6627 F6647:F6659 D6579:D6606 H6579:I6627 G6579:G6606 H6657:H6680 H6791:H6839 G6791:G6818 G6820:G6839 I7056:I7104 D6927:D6945 E6897:I6945 F6873:F6877 D7085:D7104 C7027 D7032:D7051 D7027:D7029 H7109:I7157 G7109:G7136 G7138:G7157 F6879:F6892 H6685:I6733 I6844:I6892 E7056:G7104 E6634:E6680 F7003:I7051 F6950:F6998 E7027:E7051 D6873:E6892 H7064:H7104 J7058:J7061 G6873:H6892 D7109:F7157 H6950:H6998 D7056:D7076 D7078:D7083 D6979:E6998 D6791:F6839 G6979:G6998 D6950:E6977 G6950:G6977 D6844:H6871 G6632:H6656 G6657:G6659 F6632:F6645 H7056:H7062 F5548:F5567 F5519:F5546 G5519:H5567 F5784:I5832 D5678:F5726 D5625:F5673 I5572:I5599 H5943:H5949 D6131:H6150 H6049:H6097 G6049:G6076 G6078:G6097 D6502:G6521 D6473:E6500 F6261:G6288 H6473:I6521 E5813:E5832 D5784:E5811 G5837:I5864 D5890:I5938 H5951:H5991 I5972:I5991 D6049:F6097 D5943:E5970 F6290:F6309 D6261:D6287" xr:uid="{C53F88EA-4B2B-474F-A883-9DF642C7353F}">
      <formula1>_positions</formula1>
    </dataValidation>
  </dataValidations>
  <printOptions horizontalCentered="1" verticalCentered="1"/>
  <pageMargins left="0" right="0" top="0" bottom="0" header="0" footer="0"/>
  <pageSetup paperSize="9" scale="61" fitToHeight="0" orientation="portrait" r:id="rId1"/>
  <rowBreaks count="134" manualBreakCount="134">
    <brk id="2" max="8" man="1"/>
    <brk id="55" max="8" man="1"/>
    <brk id="108" max="8" man="1"/>
    <brk id="161" max="8" man="1"/>
    <brk id="214" max="8" man="1"/>
    <brk id="267" max="8" man="1"/>
    <brk id="320" max="8" man="1"/>
    <brk id="373" max="8" man="1"/>
    <brk id="426" max="8" man="1"/>
    <brk id="479" max="8" man="1"/>
    <brk id="532" max="8" man="1"/>
    <brk id="585" max="8" man="1"/>
    <brk id="638" max="8" man="1"/>
    <brk id="691" max="8" man="1"/>
    <brk id="744" max="8" man="1"/>
    <brk id="797" max="8" man="1"/>
    <brk id="850" max="8" man="1"/>
    <brk id="903" max="8" man="1"/>
    <brk id="956" max="8" man="1"/>
    <brk id="1009" max="8" man="1"/>
    <brk id="1062" max="8" man="1"/>
    <brk id="1115" max="8" man="1"/>
    <brk id="1168" max="8" man="1"/>
    <brk id="1221" max="8" man="1"/>
    <brk id="1274" max="8" man="1"/>
    <brk id="1327" max="8" man="1"/>
    <brk id="1380" max="8" man="1"/>
    <brk id="1433" max="8" man="1"/>
    <brk id="1486" max="8" man="1"/>
    <brk id="1539" max="8" man="1"/>
    <brk id="1592" max="8" man="1"/>
    <brk id="1645" max="8" man="1"/>
    <brk id="1698" max="8" man="1"/>
    <brk id="1751" max="8" man="1"/>
    <brk id="1804" max="8" man="1"/>
    <brk id="1857" max="8" man="1"/>
    <brk id="1910" max="8" man="1"/>
    <brk id="1963" max="8" man="1"/>
    <brk id="2016" max="8" man="1"/>
    <brk id="2069" max="8" man="1"/>
    <brk id="2122" max="8" man="1"/>
    <brk id="2175" max="8" man="1"/>
    <brk id="2228" max="8" man="1"/>
    <brk id="2281" max="8" man="1"/>
    <brk id="2334" max="8" man="1"/>
    <brk id="2387" max="8" man="1"/>
    <brk id="2440" max="8" man="1"/>
    <brk id="2493" max="8" man="1"/>
    <brk id="2546" max="8" man="1"/>
    <brk id="2599" max="8" man="1"/>
    <brk id="2652" max="8" man="1"/>
    <brk id="2705" max="8" man="1"/>
    <brk id="2758" max="8" man="1"/>
    <brk id="2811" max="8" man="1"/>
    <brk id="2864" max="8" man="1"/>
    <brk id="2917" max="8" man="1"/>
    <brk id="2970" max="8" man="1"/>
    <brk id="3023" max="8" man="1"/>
    <brk id="3076" max="8" man="1"/>
    <brk id="3129" max="8" man="1"/>
    <brk id="3182" max="8" man="1"/>
    <brk id="3235" max="8" man="1"/>
    <brk id="3288" max="8" man="1"/>
    <brk id="3341" max="8" man="1"/>
    <brk id="3394" max="8" man="1"/>
    <brk id="3447" max="8" man="1"/>
    <brk id="3500" max="8" man="1"/>
    <brk id="3553" max="8" man="1"/>
    <brk id="3606" max="8" man="1"/>
    <brk id="3659" max="8" man="1"/>
    <brk id="3712" max="8" man="1"/>
    <brk id="3765" max="8" man="1"/>
    <brk id="3818" max="8" man="1"/>
    <brk id="3871" max="8" man="1"/>
    <brk id="3924" max="8" man="1"/>
    <brk id="3977" max="8" man="1"/>
    <brk id="4030" max="8" man="1"/>
    <brk id="4083" max="8" man="1"/>
    <brk id="4136" max="8" man="1"/>
    <brk id="4189" max="8" man="1"/>
    <brk id="4242" max="8" man="1"/>
    <brk id="4295" max="8" man="1"/>
    <brk id="4348" max="8" man="1"/>
    <brk id="4401" max="8" man="1"/>
    <brk id="4454" max="8" man="1"/>
    <brk id="4507" max="8" man="1"/>
    <brk id="4560" max="8" man="1"/>
    <brk id="4613" max="8" man="1"/>
    <brk id="4666" max="8" man="1"/>
    <brk id="4719" max="8" man="1"/>
    <brk id="4772" max="8" man="1"/>
    <brk id="4825" max="8" man="1"/>
    <brk id="4878" max="8" man="1"/>
    <brk id="4931" max="8" man="1"/>
    <brk id="4984" max="8" man="1"/>
    <brk id="5037" max="8" man="1"/>
    <brk id="5090" max="8" man="1"/>
    <brk id="5143" max="8" man="1"/>
    <brk id="5196" max="8" man="1"/>
    <brk id="5249" max="8" man="1"/>
    <brk id="5302" max="8" man="1"/>
    <brk id="5355" max="8" man="1"/>
    <brk id="5408" max="8" man="1"/>
    <brk id="5461" max="8" man="1"/>
    <brk id="5514" max="8" man="1"/>
    <brk id="5567" max="8" man="1"/>
    <brk id="5620" max="8" man="1"/>
    <brk id="5673" max="8" man="1"/>
    <brk id="5726" max="8" man="1"/>
    <brk id="5779" max="8" man="1"/>
    <brk id="5832" max="8" man="1"/>
    <brk id="5885" max="8" man="1"/>
    <brk id="5938" max="8" man="1"/>
    <brk id="5991" max="8" man="1"/>
    <brk id="6044" max="8" man="1"/>
    <brk id="6097" max="8" man="1"/>
    <brk id="6150" max="8" man="1"/>
    <brk id="6203" max="8" man="1"/>
    <brk id="6256" max="8" man="1"/>
    <brk id="6309" max="8" man="1"/>
    <brk id="6362" max="8" man="1"/>
    <brk id="6415" max="8" man="1"/>
    <brk id="6468" max="8" man="1"/>
    <brk id="6521" max="8" man="1"/>
    <brk id="6574" max="8" man="1"/>
    <brk id="6627" max="8" man="1"/>
    <brk id="6680" max="8" man="1"/>
    <brk id="6733" max="8" man="1"/>
    <brk id="6786" max="8" man="1"/>
    <brk id="6839" max="8" man="1"/>
    <brk id="6892" max="8" man="1"/>
    <brk id="6945" max="8" man="1"/>
    <brk id="6998" max="8" man="1"/>
    <brk id="7104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50" r:id="rId4" name="Button 14">
              <controlPr defaultSize="0" print="0" autoFill="0" autoPict="0" macro="[0]!カレンダーから入力_Click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581025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71EF805-4B33-4DCE-A35A-67D7FEAC7660}">
          <x14:formula1>
            <xm:f>ﾘｽﾄマスタ!$N$8:$N$19</xm:f>
          </x14:formula1>
          <xm:sqref>G3:I3 G1699:I1699 G1646:I1646 G1593:I1593 G1540:I1540 G1487:I1487 G1381:I1381 G1275:I1275 G1222:I1222 G1169:I1169 G1063:I1063 G1010:I1010 G957:I957 G904:I904 G851:I851 G745:I745 G692:I692 G639:I639 G586:I586 G533:I533 G427:I427 G374:I374 G321:I321 G268:I268 G215:I215 G109:I109 G56:I56 G2653:I2653 G2547:I2547 G2494:I2494 G2441:I2441 G2335:I2335 G2282:I2282 G2229:I2229 G2176:I2176 G2123:I2123 G2017:I2017 G1964:I1964 G1911:I1911 G1858:I1858 G1805:I1805 G2812:I2812 G2759:I2759 G2971:I2971 G2918:I2918 G2865:I2865 G3289:I3289 G3236:I3236 G3183:I3183 G3130:I3130 G3077:I3077 G3607:I3607 G3554:I3554 G3501:I3501 G3448:I3448 G3395:I3395 G3925:I3925 G3819:I3819 G3766:I3766 G3713:I3713 G4084:I4084 G4031:I4031 G4137:I4137 G4243:I4243 G4190:I4190 G4402:I4402 G4349:I4349 G4561:I4561 G4508:I4508 G4455:I4455 G4667:I4667 G4720:I4720 G4879:H4879 G4826:H4826 G4773:H4773 G4985:I4985 G5038:I5038 G5197:H5197 G5144:H5144 G5091:I5091 G5409:I5409 G5356:I5356 G5568:I5568 G5515:I5515 G5462:H5462 G5780:I5780 G5727:I5727 G5939:I5939 G5886:I5886 G5833:I5833 G6098:I6098 G6151:I6151 G6310:H6310 G6257:H6257 G6204:I6204 G6946:H6946 G6522:I6522 G6681:H6681 G6628:H6628 G6575:I6575 G6893:I6893 G6840:I6840 G7052:I7052 G6999:I6999 G6469:I6469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DB8C-74E9-4A2F-8DCE-B18250848268}">
  <sheetPr codeName="Sheet3"/>
  <dimension ref="B1:DB113"/>
  <sheetViews>
    <sheetView workbookViewId="0">
      <pane xSplit="2" ySplit="1" topLeftCell="C13" activePane="bottomRight" state="frozen"/>
      <selection pane="topRight" activeCell="C1" sqref="C1"/>
      <selection pane="bottomLeft" activeCell="A2" sqref="A2"/>
      <selection pane="bottomRight" activeCell="C20" sqref="C20"/>
    </sheetView>
  </sheetViews>
  <sheetFormatPr defaultColWidth="10.7109375" defaultRowHeight="18.75"/>
  <cols>
    <col min="1" max="1" width="7.28515625" style="15" customWidth="1"/>
    <col min="2" max="33" width="8.140625" style="15" customWidth="1"/>
    <col min="34" max="16384" width="10.7109375" style="15"/>
  </cols>
  <sheetData>
    <row r="1" spans="2:106" ht="19.5" thickBot="1">
      <c r="B1" s="30"/>
      <c r="C1" s="239">
        <v>2026</v>
      </c>
      <c r="D1" s="240"/>
      <c r="E1" s="30" t="s">
        <v>20</v>
      </c>
      <c r="F1" s="31">
        <v>4</v>
      </c>
      <c r="G1" s="32" t="s">
        <v>21</v>
      </c>
      <c r="H1" s="33">
        <v>1</v>
      </c>
      <c r="I1" s="241">
        <f>DATE(C1,F1,H1)</f>
        <v>46113</v>
      </c>
      <c r="J1" s="242"/>
      <c r="K1" s="242"/>
      <c r="L1" s="243"/>
    </row>
    <row r="2" spans="2:106" ht="19.5" thickBot="1">
      <c r="B2" s="14" t="str">
        <f>F1&amp;"月"</f>
        <v>4月</v>
      </c>
      <c r="AH2" s="15" t="str">
        <f>F1+1&amp;"月"</f>
        <v>5月</v>
      </c>
      <c r="CU2" s="135"/>
      <c r="CV2" s="136"/>
      <c r="CW2" s="136"/>
      <c r="CX2" s="136"/>
      <c r="CY2" s="136"/>
      <c r="CZ2" s="136"/>
      <c r="DA2" s="137"/>
      <c r="DB2" s="136"/>
    </row>
    <row r="3" spans="2:106" ht="19.5" thickBot="1">
      <c r="B3" s="16"/>
      <c r="C3" s="17">
        <f>I1</f>
        <v>46113</v>
      </c>
      <c r="D3" s="17">
        <f>C3+1</f>
        <v>46114</v>
      </c>
      <c r="E3" s="17">
        <f t="shared" ref="E3:AG3" si="0">D3+1</f>
        <v>46115</v>
      </c>
      <c r="F3" s="17">
        <f t="shared" si="0"/>
        <v>46116</v>
      </c>
      <c r="G3" s="17">
        <f t="shared" si="0"/>
        <v>46117</v>
      </c>
      <c r="H3" s="17">
        <f t="shared" si="0"/>
        <v>46118</v>
      </c>
      <c r="I3" s="17">
        <f t="shared" si="0"/>
        <v>46119</v>
      </c>
      <c r="J3" s="17">
        <f t="shared" si="0"/>
        <v>46120</v>
      </c>
      <c r="K3" s="17">
        <f t="shared" si="0"/>
        <v>46121</v>
      </c>
      <c r="L3" s="17">
        <f t="shared" si="0"/>
        <v>46122</v>
      </c>
      <c r="M3" s="17">
        <f t="shared" si="0"/>
        <v>46123</v>
      </c>
      <c r="N3" s="17">
        <f t="shared" si="0"/>
        <v>46124</v>
      </c>
      <c r="O3" s="17">
        <f t="shared" si="0"/>
        <v>46125</v>
      </c>
      <c r="P3" s="17">
        <f t="shared" si="0"/>
        <v>46126</v>
      </c>
      <c r="Q3" s="17">
        <f t="shared" si="0"/>
        <v>46127</v>
      </c>
      <c r="R3" s="17">
        <f t="shared" si="0"/>
        <v>46128</v>
      </c>
      <c r="S3" s="17">
        <f t="shared" si="0"/>
        <v>46129</v>
      </c>
      <c r="T3" s="17">
        <f t="shared" si="0"/>
        <v>46130</v>
      </c>
      <c r="U3" s="17">
        <f t="shared" si="0"/>
        <v>46131</v>
      </c>
      <c r="V3" s="17">
        <f t="shared" si="0"/>
        <v>46132</v>
      </c>
      <c r="W3" s="17">
        <f t="shared" si="0"/>
        <v>46133</v>
      </c>
      <c r="X3" s="17">
        <f t="shared" si="0"/>
        <v>46134</v>
      </c>
      <c r="Y3" s="17">
        <f t="shared" si="0"/>
        <v>46135</v>
      </c>
      <c r="Z3" s="17">
        <f t="shared" si="0"/>
        <v>46136</v>
      </c>
      <c r="AA3" s="17">
        <f t="shared" si="0"/>
        <v>46137</v>
      </c>
      <c r="AB3" s="17">
        <f t="shared" si="0"/>
        <v>46138</v>
      </c>
      <c r="AC3" s="17">
        <f t="shared" si="0"/>
        <v>46139</v>
      </c>
      <c r="AD3" s="17">
        <f t="shared" si="0"/>
        <v>46140</v>
      </c>
      <c r="AE3" s="17">
        <f t="shared" si="0"/>
        <v>46141</v>
      </c>
      <c r="AF3" s="17">
        <f t="shared" si="0"/>
        <v>46142</v>
      </c>
      <c r="AG3" s="17">
        <f t="shared" si="0"/>
        <v>46143</v>
      </c>
      <c r="AH3" s="17">
        <f t="shared" ref="AH3:BI3" si="1">AG3+1</f>
        <v>46144</v>
      </c>
      <c r="AI3" s="17">
        <f t="shared" si="1"/>
        <v>46145</v>
      </c>
      <c r="AJ3" s="17">
        <f t="shared" si="1"/>
        <v>46146</v>
      </c>
      <c r="AK3" s="17">
        <f t="shared" si="1"/>
        <v>46147</v>
      </c>
      <c r="AL3" s="17">
        <f t="shared" si="1"/>
        <v>46148</v>
      </c>
      <c r="AM3" s="17">
        <f t="shared" si="1"/>
        <v>46149</v>
      </c>
      <c r="AN3" s="17">
        <f t="shared" si="1"/>
        <v>46150</v>
      </c>
      <c r="AO3" s="17">
        <f t="shared" si="1"/>
        <v>46151</v>
      </c>
      <c r="AP3" s="17">
        <f t="shared" si="1"/>
        <v>46152</v>
      </c>
      <c r="AQ3" s="17">
        <f t="shared" si="1"/>
        <v>46153</v>
      </c>
      <c r="AR3" s="17">
        <f t="shared" si="1"/>
        <v>46154</v>
      </c>
      <c r="AS3" s="17">
        <f t="shared" si="1"/>
        <v>46155</v>
      </c>
      <c r="AT3" s="17">
        <f t="shared" si="1"/>
        <v>46156</v>
      </c>
      <c r="AU3" s="17">
        <f t="shared" si="1"/>
        <v>46157</v>
      </c>
      <c r="AV3" s="17">
        <f t="shared" si="1"/>
        <v>46158</v>
      </c>
      <c r="AW3" s="17">
        <f t="shared" si="1"/>
        <v>46159</v>
      </c>
      <c r="AX3" s="17">
        <f t="shared" si="1"/>
        <v>46160</v>
      </c>
      <c r="AY3" s="17">
        <f t="shared" si="1"/>
        <v>46161</v>
      </c>
      <c r="AZ3" s="17">
        <f t="shared" si="1"/>
        <v>46162</v>
      </c>
      <c r="BA3" s="17">
        <f t="shared" si="1"/>
        <v>46163</v>
      </c>
      <c r="BB3" s="17">
        <f t="shared" si="1"/>
        <v>46164</v>
      </c>
      <c r="BC3" s="17">
        <f t="shared" si="1"/>
        <v>46165</v>
      </c>
      <c r="BD3" s="17">
        <f t="shared" si="1"/>
        <v>46166</v>
      </c>
      <c r="BE3" s="17">
        <f t="shared" si="1"/>
        <v>46167</v>
      </c>
      <c r="BF3" s="17">
        <f t="shared" si="1"/>
        <v>46168</v>
      </c>
      <c r="BG3" s="17">
        <f t="shared" si="1"/>
        <v>46169</v>
      </c>
      <c r="BH3" s="17">
        <f t="shared" si="1"/>
        <v>46170</v>
      </c>
      <c r="BI3" s="17">
        <f t="shared" si="1"/>
        <v>46171</v>
      </c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CU3" s="138"/>
      <c r="CV3" s="139" t="s">
        <v>204</v>
      </c>
      <c r="CW3" s="140"/>
      <c r="CX3" s="139" t="s">
        <v>201</v>
      </c>
      <c r="CY3" s="139" t="s">
        <v>202</v>
      </c>
      <c r="CZ3" s="139" t="s">
        <v>322</v>
      </c>
      <c r="DA3" s="140"/>
      <c r="DB3" s="140"/>
    </row>
    <row r="4" spans="2:106" ht="19.5" thickBot="1">
      <c r="B4" s="169" t="s">
        <v>649</v>
      </c>
      <c r="G4" s="15" t="s">
        <v>634</v>
      </c>
      <c r="H4" s="15" t="s">
        <v>35</v>
      </c>
      <c r="M4" s="15" t="s">
        <v>634</v>
      </c>
      <c r="N4" s="15" t="s">
        <v>634</v>
      </c>
      <c r="R4" s="15" t="s">
        <v>649</v>
      </c>
      <c r="U4" s="15" t="s">
        <v>346</v>
      </c>
      <c r="V4" s="15" t="s">
        <v>634</v>
      </c>
      <c r="AB4" s="15" t="s">
        <v>634</v>
      </c>
      <c r="AC4" s="15" t="s">
        <v>634</v>
      </c>
      <c r="AF4" s="15" t="s">
        <v>634</v>
      </c>
      <c r="AJ4" s="15" t="s">
        <v>634</v>
      </c>
      <c r="AK4" s="15" t="s">
        <v>634</v>
      </c>
      <c r="AL4" s="15" t="s">
        <v>634</v>
      </c>
      <c r="AM4" s="15" t="s">
        <v>345</v>
      </c>
      <c r="AP4" s="15" t="s">
        <v>634</v>
      </c>
      <c r="AQ4" s="15" t="s">
        <v>634</v>
      </c>
      <c r="AX4" s="15" t="s">
        <v>634</v>
      </c>
      <c r="BD4" s="15" t="s">
        <v>634</v>
      </c>
      <c r="BE4" s="15" t="s">
        <v>634</v>
      </c>
      <c r="BK4" s="15" t="s">
        <v>346</v>
      </c>
      <c r="BL4" s="15" t="s">
        <v>634</v>
      </c>
      <c r="BM4" s="63"/>
      <c r="BN4" s="60" t="s">
        <v>320</v>
      </c>
      <c r="BO4" s="60" t="s">
        <v>320</v>
      </c>
      <c r="BP4" s="61"/>
      <c r="BQ4" s="60" t="s">
        <v>320</v>
      </c>
      <c r="BR4" s="61"/>
      <c r="BS4" s="59" t="s">
        <v>330</v>
      </c>
      <c r="BT4" s="62"/>
      <c r="BU4" s="63"/>
      <c r="BV4" s="63"/>
      <c r="BW4" s="64"/>
      <c r="BX4" s="65" t="s">
        <v>321</v>
      </c>
      <c r="BY4" s="61"/>
      <c r="BZ4" s="59" t="s">
        <v>330</v>
      </c>
      <c r="CA4" s="62"/>
      <c r="CB4" s="63"/>
      <c r="CC4" s="63"/>
      <c r="CD4" s="64"/>
      <c r="CE4" s="61"/>
      <c r="CF4" s="61"/>
      <c r="CG4" s="59" t="s">
        <v>330</v>
      </c>
      <c r="CH4" s="62"/>
      <c r="CI4" s="62"/>
      <c r="CJ4" s="62"/>
      <c r="CK4" s="59" t="s">
        <v>330</v>
      </c>
      <c r="CL4" s="64"/>
      <c r="CM4" s="61"/>
      <c r="CN4" s="59" t="s">
        <v>330</v>
      </c>
      <c r="CO4" s="62"/>
      <c r="CP4" s="62"/>
      <c r="CQ4"/>
      <c r="CR4"/>
      <c r="CS4"/>
      <c r="CT4"/>
      <c r="CU4" s="138"/>
      <c r="CV4" s="139" t="s">
        <v>201</v>
      </c>
      <c r="CW4" s="140"/>
      <c r="CX4" s="139" t="s">
        <v>204</v>
      </c>
      <c r="CY4" s="139" t="s">
        <v>202</v>
      </c>
      <c r="CZ4" s="139" t="s">
        <v>322</v>
      </c>
      <c r="DA4" s="140"/>
      <c r="DB4" s="140"/>
    </row>
    <row r="5" spans="2:106" ht="19.5" thickBot="1">
      <c r="B5" s="170" t="s">
        <v>822</v>
      </c>
      <c r="C5" s="15" t="s">
        <v>202</v>
      </c>
      <c r="D5" s="15" t="s">
        <v>202</v>
      </c>
      <c r="E5" s="15" t="s">
        <v>202</v>
      </c>
      <c r="F5" s="15" t="s">
        <v>322</v>
      </c>
      <c r="G5" s="15" t="s">
        <v>634</v>
      </c>
      <c r="H5" s="15" t="s">
        <v>202</v>
      </c>
      <c r="I5" s="15" t="s">
        <v>202</v>
      </c>
      <c r="J5" s="15" t="s">
        <v>201</v>
      </c>
      <c r="K5" s="15" t="s">
        <v>201</v>
      </c>
      <c r="L5" s="15" t="s">
        <v>646</v>
      </c>
      <c r="M5" s="15" t="s">
        <v>634</v>
      </c>
      <c r="N5" s="15" t="s">
        <v>634</v>
      </c>
      <c r="O5" s="15" t="s">
        <v>201</v>
      </c>
      <c r="P5" s="15" t="s">
        <v>201</v>
      </c>
      <c r="Q5" s="15" t="s">
        <v>825</v>
      </c>
      <c r="R5" s="15" t="s">
        <v>822</v>
      </c>
      <c r="S5" s="15" t="s">
        <v>201</v>
      </c>
      <c r="T5" s="15" t="s">
        <v>201</v>
      </c>
      <c r="U5" s="15" t="s">
        <v>204</v>
      </c>
      <c r="V5" s="15" t="s">
        <v>634</v>
      </c>
      <c r="W5" s="15" t="s">
        <v>346</v>
      </c>
      <c r="X5" s="15" t="s">
        <v>201</v>
      </c>
      <c r="Y5" s="15" t="s">
        <v>202</v>
      </c>
      <c r="Z5" s="15" t="s">
        <v>202</v>
      </c>
      <c r="AA5" s="15" t="s">
        <v>62</v>
      </c>
      <c r="AB5" s="15" t="s">
        <v>634</v>
      </c>
      <c r="AC5" s="15" t="s">
        <v>634</v>
      </c>
      <c r="AD5" s="15" t="s">
        <v>201</v>
      </c>
      <c r="AE5" s="15" t="s">
        <v>355</v>
      </c>
      <c r="AF5" s="15" t="s">
        <v>345</v>
      </c>
      <c r="AG5" s="15" t="s">
        <v>201</v>
      </c>
      <c r="AH5" s="15" t="s">
        <v>646</v>
      </c>
      <c r="AJ5" s="15" t="s">
        <v>634</v>
      </c>
      <c r="AK5" s="15" t="s">
        <v>345</v>
      </c>
      <c r="AL5" s="15" t="s">
        <v>345</v>
      </c>
      <c r="AM5" s="15" t="s">
        <v>345</v>
      </c>
      <c r="AP5" s="15" t="s">
        <v>634</v>
      </c>
      <c r="AQ5" s="15" t="s">
        <v>634</v>
      </c>
      <c r="AT5" s="15" t="s">
        <v>645</v>
      </c>
      <c r="AW5" s="15" t="s">
        <v>346</v>
      </c>
      <c r="AX5" s="15" t="s">
        <v>634</v>
      </c>
      <c r="BB5" s="15" t="s">
        <v>355</v>
      </c>
      <c r="BD5" s="15" t="s">
        <v>634</v>
      </c>
      <c r="BE5" s="15" t="s">
        <v>634</v>
      </c>
      <c r="BL5" s="15" t="s">
        <v>634</v>
      </c>
      <c r="BM5" s="63"/>
      <c r="BN5" s="61"/>
      <c r="BO5" s="61"/>
      <c r="BP5" s="60" t="s">
        <v>331</v>
      </c>
      <c r="BQ5" s="59" t="s">
        <v>330</v>
      </c>
      <c r="BR5" s="61"/>
      <c r="BS5" s="65" t="s">
        <v>321</v>
      </c>
      <c r="BT5" s="59" t="s">
        <v>330</v>
      </c>
      <c r="BU5" s="63"/>
      <c r="BV5" s="63"/>
      <c r="BW5" s="59" t="s">
        <v>330</v>
      </c>
      <c r="BX5" s="61"/>
      <c r="BY5" s="61"/>
      <c r="BZ5" s="63" t="s">
        <v>319</v>
      </c>
      <c r="CA5" s="59" t="s">
        <v>330</v>
      </c>
      <c r="CB5" s="63" t="s">
        <v>319</v>
      </c>
      <c r="CC5" s="63" t="s">
        <v>319</v>
      </c>
      <c r="CD5" s="63" t="s">
        <v>319</v>
      </c>
      <c r="CE5" s="63" t="s">
        <v>319</v>
      </c>
      <c r="CF5" s="61"/>
      <c r="CG5" s="62"/>
      <c r="CH5" s="62"/>
      <c r="CI5" s="62"/>
      <c r="CJ5" s="59" t="s">
        <v>330</v>
      </c>
      <c r="CK5" s="58" t="s">
        <v>329</v>
      </c>
      <c r="CL5" s="61"/>
      <c r="CM5" s="61"/>
      <c r="CN5" s="63"/>
      <c r="CO5" s="59" t="s">
        <v>330</v>
      </c>
      <c r="CP5" s="63"/>
      <c r="CQ5"/>
      <c r="CR5"/>
      <c r="CS5"/>
      <c r="CT5"/>
      <c r="CU5" s="138"/>
      <c r="CV5" s="139" t="s">
        <v>201</v>
      </c>
      <c r="CW5" s="140"/>
      <c r="CX5" s="139" t="s">
        <v>202</v>
      </c>
      <c r="CY5" s="139" t="s">
        <v>204</v>
      </c>
      <c r="CZ5" s="139" t="s">
        <v>322</v>
      </c>
      <c r="DA5" s="140"/>
      <c r="DB5" s="140"/>
    </row>
    <row r="6" spans="2:106" ht="19.5" thickBot="1">
      <c r="B6" s="170" t="s">
        <v>354</v>
      </c>
      <c r="C6" s="15" t="s">
        <v>201</v>
      </c>
      <c r="D6" s="15" t="s">
        <v>201</v>
      </c>
      <c r="E6" s="15" t="s">
        <v>646</v>
      </c>
      <c r="F6" s="15" t="s">
        <v>647</v>
      </c>
      <c r="G6" s="15" t="s">
        <v>634</v>
      </c>
      <c r="H6" s="15" t="s">
        <v>827</v>
      </c>
      <c r="I6" s="15" t="s">
        <v>62</v>
      </c>
      <c r="J6" s="15" t="s">
        <v>204</v>
      </c>
      <c r="K6" s="15" t="s">
        <v>202</v>
      </c>
      <c r="L6" s="15" t="s">
        <v>202</v>
      </c>
      <c r="M6" s="15" t="s">
        <v>634</v>
      </c>
      <c r="N6" s="15" t="s">
        <v>634</v>
      </c>
      <c r="O6" s="15" t="s">
        <v>828</v>
      </c>
      <c r="P6" s="15" t="s">
        <v>62</v>
      </c>
      <c r="Q6" s="15" t="s">
        <v>347</v>
      </c>
      <c r="R6" s="15" t="s">
        <v>354</v>
      </c>
      <c r="S6" s="15" t="s">
        <v>62</v>
      </c>
      <c r="T6" s="15" t="s">
        <v>62</v>
      </c>
      <c r="V6" s="15" t="s">
        <v>634</v>
      </c>
      <c r="W6" s="15" t="s">
        <v>204</v>
      </c>
      <c r="X6" s="15" t="s">
        <v>204</v>
      </c>
      <c r="Y6" s="15" t="s">
        <v>204</v>
      </c>
      <c r="Z6" s="15" t="s">
        <v>204</v>
      </c>
      <c r="AA6" s="15" t="s">
        <v>829</v>
      </c>
      <c r="AB6" s="15" t="s">
        <v>634</v>
      </c>
      <c r="AC6" s="15" t="s">
        <v>634</v>
      </c>
      <c r="AD6" s="15" t="s">
        <v>62</v>
      </c>
      <c r="AE6" s="15" t="s">
        <v>201</v>
      </c>
      <c r="AF6" s="15" t="s">
        <v>345</v>
      </c>
      <c r="AG6" s="15" t="s">
        <v>355</v>
      </c>
      <c r="AH6" s="15" t="s">
        <v>62</v>
      </c>
      <c r="AJ6" s="15" t="s">
        <v>634</v>
      </c>
      <c r="AK6" s="15" t="s">
        <v>634</v>
      </c>
      <c r="AL6" s="15" t="s">
        <v>345</v>
      </c>
      <c r="AM6" s="15" t="s">
        <v>634</v>
      </c>
      <c r="AP6" s="15" t="s">
        <v>634</v>
      </c>
      <c r="AQ6" s="15" t="s">
        <v>634</v>
      </c>
      <c r="AR6" s="15" t="s">
        <v>346</v>
      </c>
      <c r="AX6" s="15" t="s">
        <v>634</v>
      </c>
      <c r="BD6" s="15" t="s">
        <v>634</v>
      </c>
      <c r="BE6" s="15" t="s">
        <v>634</v>
      </c>
      <c r="BL6" s="15" t="s">
        <v>634</v>
      </c>
      <c r="BM6" s="63"/>
      <c r="BN6" s="59" t="s">
        <v>332</v>
      </c>
      <c r="BO6" s="60" t="s">
        <v>327</v>
      </c>
      <c r="BP6" s="61"/>
      <c r="BQ6" s="61"/>
      <c r="BR6" s="61"/>
      <c r="BS6" s="63"/>
      <c r="BT6" s="63"/>
      <c r="BU6" s="59" t="s">
        <v>330</v>
      </c>
      <c r="BV6" s="63"/>
      <c r="BW6" s="63"/>
      <c r="BX6" s="63"/>
      <c r="BY6" s="61"/>
      <c r="BZ6" s="65" t="s">
        <v>321</v>
      </c>
      <c r="CA6" s="63"/>
      <c r="CB6" s="59" t="s">
        <v>330</v>
      </c>
      <c r="CC6" s="63"/>
      <c r="CD6" s="58" t="s">
        <v>329</v>
      </c>
      <c r="CE6" s="61"/>
      <c r="CF6" s="61"/>
      <c r="CG6" s="63" t="s">
        <v>319</v>
      </c>
      <c r="CH6" s="63" t="s">
        <v>319</v>
      </c>
      <c r="CI6" s="59" t="s">
        <v>330</v>
      </c>
      <c r="CJ6" s="63" t="s">
        <v>319</v>
      </c>
      <c r="CK6" s="63" t="s">
        <v>319</v>
      </c>
      <c r="CL6" s="60" t="s">
        <v>320</v>
      </c>
      <c r="CM6" s="61"/>
      <c r="CN6" s="62"/>
      <c r="CO6" s="62"/>
      <c r="CP6" s="59" t="s">
        <v>330</v>
      </c>
      <c r="CQ6"/>
      <c r="CR6"/>
      <c r="CS6"/>
      <c r="CT6"/>
      <c r="CU6" s="138"/>
      <c r="CV6" s="139" t="s">
        <v>204</v>
      </c>
      <c r="CW6" s="140"/>
      <c r="CX6" s="139" t="s">
        <v>201</v>
      </c>
      <c r="CY6" s="139" t="s">
        <v>202</v>
      </c>
      <c r="CZ6" s="139" t="s">
        <v>322</v>
      </c>
      <c r="DA6" s="140"/>
      <c r="DB6" s="142" t="s">
        <v>347</v>
      </c>
    </row>
    <row r="7" spans="2:106" ht="19.5" thickBot="1">
      <c r="B7" s="171" t="s">
        <v>249</v>
      </c>
      <c r="C7" s="15" t="s">
        <v>204</v>
      </c>
      <c r="D7" s="15" t="s">
        <v>204</v>
      </c>
      <c r="E7" s="15" t="s">
        <v>204</v>
      </c>
      <c r="F7" s="15" t="s">
        <v>634</v>
      </c>
      <c r="G7" s="15" t="s">
        <v>634</v>
      </c>
      <c r="H7" s="15" t="s">
        <v>201</v>
      </c>
      <c r="I7" s="15" t="s">
        <v>201</v>
      </c>
      <c r="J7" s="15" t="s">
        <v>201</v>
      </c>
      <c r="K7" s="15" t="s">
        <v>62</v>
      </c>
      <c r="L7" s="15" t="s">
        <v>646</v>
      </c>
      <c r="N7" s="15" t="s">
        <v>634</v>
      </c>
      <c r="O7" s="15" t="s">
        <v>202</v>
      </c>
      <c r="P7" s="15" t="s">
        <v>202</v>
      </c>
      <c r="Q7" s="15" t="s">
        <v>202</v>
      </c>
      <c r="R7" s="15" t="s">
        <v>249</v>
      </c>
      <c r="S7" s="15" t="s">
        <v>202</v>
      </c>
      <c r="T7" s="15" t="s">
        <v>202</v>
      </c>
      <c r="U7" s="15" t="s">
        <v>634</v>
      </c>
      <c r="V7" s="15" t="s">
        <v>634</v>
      </c>
      <c r="W7" s="15" t="s">
        <v>62</v>
      </c>
      <c r="X7" s="15" t="s">
        <v>62</v>
      </c>
      <c r="Y7" s="15" t="s">
        <v>62</v>
      </c>
      <c r="Z7" s="15" t="s">
        <v>62</v>
      </c>
      <c r="AA7" s="15" t="s">
        <v>204</v>
      </c>
      <c r="AC7" s="15" t="s">
        <v>634</v>
      </c>
      <c r="AD7" s="15" t="s">
        <v>346</v>
      </c>
      <c r="AE7" s="15" t="s">
        <v>204</v>
      </c>
      <c r="AF7" s="15" t="s">
        <v>634</v>
      </c>
      <c r="AG7" s="15" t="s">
        <v>204</v>
      </c>
      <c r="AH7" s="15" t="s">
        <v>204</v>
      </c>
      <c r="AI7" s="15" t="s">
        <v>634</v>
      </c>
      <c r="AJ7" s="15" t="s">
        <v>634</v>
      </c>
      <c r="AK7" s="15" t="s">
        <v>345</v>
      </c>
      <c r="AL7" s="15" t="s">
        <v>634</v>
      </c>
      <c r="AM7" s="15" t="s">
        <v>345</v>
      </c>
      <c r="AQ7" s="15" t="s">
        <v>634</v>
      </c>
      <c r="AW7" s="15" t="s">
        <v>634</v>
      </c>
      <c r="AX7" s="15" t="s">
        <v>634</v>
      </c>
      <c r="AY7" s="15" t="s">
        <v>346</v>
      </c>
      <c r="BE7" s="15" t="s">
        <v>634</v>
      </c>
      <c r="BG7" s="15" t="s">
        <v>645</v>
      </c>
      <c r="BK7" s="15" t="s">
        <v>634</v>
      </c>
      <c r="BL7" s="15" t="s">
        <v>634</v>
      </c>
      <c r="BM7" s="59" t="s">
        <v>330</v>
      </c>
      <c r="BN7" s="61"/>
      <c r="BO7" s="61"/>
      <c r="BP7" s="59" t="s">
        <v>332</v>
      </c>
      <c r="BQ7" s="64"/>
      <c r="BR7" s="61"/>
      <c r="BS7" s="62"/>
      <c r="BT7" s="62"/>
      <c r="BU7" s="62"/>
      <c r="BV7" s="59" t="s">
        <v>330</v>
      </c>
      <c r="BW7" s="58" t="s">
        <v>329</v>
      </c>
      <c r="BX7" s="61"/>
      <c r="BY7" s="61"/>
      <c r="BZ7" s="63"/>
      <c r="CA7" s="63"/>
      <c r="CB7" s="63"/>
      <c r="CC7" s="59" t="s">
        <v>330</v>
      </c>
      <c r="CD7" s="63"/>
      <c r="CE7" s="59" t="s">
        <v>330</v>
      </c>
      <c r="CF7" s="61"/>
      <c r="CG7" s="65" t="s">
        <v>321</v>
      </c>
      <c r="CH7" s="63"/>
      <c r="CI7" s="63"/>
      <c r="CJ7" s="63"/>
      <c r="CK7" s="63"/>
      <c r="CL7" s="60" t="s">
        <v>320</v>
      </c>
      <c r="CM7" s="61"/>
      <c r="CN7" s="63" t="s">
        <v>319</v>
      </c>
      <c r="CO7" s="63" t="s">
        <v>319</v>
      </c>
      <c r="CP7" s="63" t="s">
        <v>319</v>
      </c>
      <c r="CQ7"/>
      <c r="CR7"/>
      <c r="CS7"/>
      <c r="CT7"/>
      <c r="CU7" s="138"/>
      <c r="CV7" s="139" t="s">
        <v>201</v>
      </c>
      <c r="CW7" s="140"/>
      <c r="CX7" s="139" t="s">
        <v>204</v>
      </c>
      <c r="CY7" s="143" t="s">
        <v>646</v>
      </c>
      <c r="CZ7" s="139" t="s">
        <v>322</v>
      </c>
      <c r="DA7" s="140"/>
      <c r="DB7" s="140"/>
    </row>
    <row r="8" spans="2:106" ht="19.5" thickBot="1">
      <c r="B8" s="171" t="s">
        <v>650</v>
      </c>
      <c r="C8" s="15" t="s">
        <v>62</v>
      </c>
      <c r="D8" s="15" t="s">
        <v>322</v>
      </c>
      <c r="E8" s="15" t="s">
        <v>322</v>
      </c>
      <c r="F8" s="15" t="s">
        <v>634</v>
      </c>
      <c r="G8" s="15" t="s">
        <v>634</v>
      </c>
      <c r="H8" s="15" t="s">
        <v>204</v>
      </c>
      <c r="I8" s="15" t="s">
        <v>204</v>
      </c>
      <c r="J8" s="15" t="s">
        <v>645</v>
      </c>
      <c r="K8" s="15" t="s">
        <v>204</v>
      </c>
      <c r="L8" s="15" t="s">
        <v>204</v>
      </c>
      <c r="M8" s="15" t="s">
        <v>346</v>
      </c>
      <c r="N8" s="15" t="s">
        <v>634</v>
      </c>
      <c r="O8" s="15" t="s">
        <v>201</v>
      </c>
      <c r="P8" s="15" t="s">
        <v>201</v>
      </c>
      <c r="Q8" s="15" t="s">
        <v>201</v>
      </c>
      <c r="R8" s="15" t="s">
        <v>650</v>
      </c>
      <c r="S8" s="15" t="s">
        <v>201</v>
      </c>
      <c r="T8" s="15" t="s">
        <v>646</v>
      </c>
      <c r="U8" s="15" t="s">
        <v>634</v>
      </c>
      <c r="V8" s="15" t="s">
        <v>634</v>
      </c>
      <c r="W8" s="15" t="s">
        <v>202</v>
      </c>
      <c r="X8" s="15" t="s">
        <v>202</v>
      </c>
      <c r="Y8" s="15" t="s">
        <v>201</v>
      </c>
      <c r="Z8" s="15" t="s">
        <v>202</v>
      </c>
      <c r="AA8" s="15" t="s">
        <v>202</v>
      </c>
      <c r="AC8" s="15" t="s">
        <v>634</v>
      </c>
      <c r="AD8" s="15" t="s">
        <v>204</v>
      </c>
      <c r="AE8" s="15" t="s">
        <v>62</v>
      </c>
      <c r="AF8" s="15" t="s">
        <v>345</v>
      </c>
      <c r="AG8" s="15" t="s">
        <v>62</v>
      </c>
      <c r="AH8" s="15" t="s">
        <v>355</v>
      </c>
      <c r="AI8" s="15" t="s">
        <v>634</v>
      </c>
      <c r="AJ8" s="15" t="s">
        <v>634</v>
      </c>
      <c r="AK8" s="15" t="s">
        <v>634</v>
      </c>
      <c r="AL8" s="15" t="s">
        <v>345</v>
      </c>
      <c r="AM8" s="15" t="s">
        <v>634</v>
      </c>
      <c r="AP8" s="15" t="s">
        <v>346</v>
      </c>
      <c r="AQ8" s="15" t="s">
        <v>634</v>
      </c>
      <c r="AW8" s="15" t="s">
        <v>634</v>
      </c>
      <c r="AX8" s="15" t="s">
        <v>634</v>
      </c>
      <c r="BE8" s="15" t="s">
        <v>634</v>
      </c>
      <c r="BK8" s="15" t="s">
        <v>634</v>
      </c>
      <c r="BL8" s="15" t="s">
        <v>634</v>
      </c>
      <c r="BM8" s="63"/>
      <c r="BN8" s="60" t="s">
        <v>320</v>
      </c>
      <c r="BO8" s="60" t="s">
        <v>320</v>
      </c>
      <c r="BP8" s="61"/>
      <c r="BQ8" s="61"/>
      <c r="BR8" s="61"/>
      <c r="BS8" s="62"/>
      <c r="BT8" s="62"/>
      <c r="BU8" s="62"/>
      <c r="BV8" s="62"/>
      <c r="BW8" s="62"/>
      <c r="BX8" s="62"/>
      <c r="BY8" s="61"/>
      <c r="BZ8" s="63"/>
      <c r="CA8" s="63"/>
      <c r="CB8" s="63"/>
      <c r="CC8" s="63"/>
      <c r="CD8" s="63"/>
      <c r="CE8" s="60" t="s">
        <v>320</v>
      </c>
      <c r="CF8" s="61"/>
      <c r="CG8" s="63"/>
      <c r="CH8" s="63"/>
      <c r="CI8" s="63"/>
      <c r="CJ8" s="63"/>
      <c r="CK8" s="63"/>
      <c r="CL8" s="65" t="s">
        <v>321</v>
      </c>
      <c r="CM8" s="61"/>
      <c r="CN8" s="63"/>
      <c r="CO8" s="63"/>
      <c r="CP8" s="63"/>
      <c r="CQ8"/>
      <c r="CR8"/>
      <c r="CS8"/>
      <c r="CT8"/>
      <c r="CU8" s="138"/>
      <c r="CV8" s="141"/>
      <c r="CW8" s="139" t="s">
        <v>322</v>
      </c>
      <c r="CX8" s="141"/>
      <c r="CY8" s="140"/>
      <c r="CZ8" s="141"/>
      <c r="DA8" s="140"/>
      <c r="DB8" s="141"/>
    </row>
    <row r="9" spans="2:106" ht="19.5" thickBot="1">
      <c r="B9" s="170" t="s">
        <v>727</v>
      </c>
      <c r="C9" s="15" t="s">
        <v>202</v>
      </c>
      <c r="D9" s="15" t="s">
        <v>202</v>
      </c>
      <c r="E9" s="15" t="s">
        <v>202</v>
      </c>
      <c r="F9" s="15" t="s">
        <v>346</v>
      </c>
      <c r="G9" s="15" t="s">
        <v>634</v>
      </c>
      <c r="H9" s="15" t="s">
        <v>322</v>
      </c>
      <c r="I9" s="15" t="s">
        <v>203</v>
      </c>
      <c r="J9" s="15" t="s">
        <v>203</v>
      </c>
      <c r="K9" s="15" t="s">
        <v>322</v>
      </c>
      <c r="L9" s="15" t="s">
        <v>828</v>
      </c>
      <c r="M9" s="15" t="s">
        <v>634</v>
      </c>
      <c r="N9" s="15" t="s">
        <v>634</v>
      </c>
      <c r="O9" s="15" t="s">
        <v>204</v>
      </c>
      <c r="P9" s="15" t="s">
        <v>204</v>
      </c>
      <c r="Q9" s="15" t="s">
        <v>204</v>
      </c>
      <c r="R9" s="15" t="s">
        <v>727</v>
      </c>
      <c r="S9" s="15" t="s">
        <v>204</v>
      </c>
      <c r="T9" s="15" t="s">
        <v>204</v>
      </c>
      <c r="V9" s="15" t="s">
        <v>634</v>
      </c>
      <c r="W9" s="15" t="s">
        <v>201</v>
      </c>
      <c r="X9" s="15" t="s">
        <v>201</v>
      </c>
      <c r="Y9" s="15" t="s">
        <v>645</v>
      </c>
      <c r="Z9" s="15" t="s">
        <v>201</v>
      </c>
      <c r="AA9" s="15" t="s">
        <v>646</v>
      </c>
      <c r="AB9" s="15" t="s">
        <v>634</v>
      </c>
      <c r="AC9" s="15" t="s">
        <v>634</v>
      </c>
      <c r="AD9" s="15" t="s">
        <v>202</v>
      </c>
      <c r="AE9" s="15" t="s">
        <v>202</v>
      </c>
      <c r="AF9" s="15" t="s">
        <v>634</v>
      </c>
      <c r="AG9" s="15" t="s">
        <v>202</v>
      </c>
      <c r="AH9" s="15" t="s">
        <v>202</v>
      </c>
      <c r="AI9" s="15" t="s">
        <v>346</v>
      </c>
      <c r="AJ9" s="15" t="s">
        <v>634</v>
      </c>
      <c r="AK9" s="15" t="s">
        <v>345</v>
      </c>
      <c r="AL9" s="15" t="s">
        <v>634</v>
      </c>
      <c r="AM9" s="15" t="s">
        <v>345</v>
      </c>
      <c r="AP9" s="15" t="s">
        <v>634</v>
      </c>
      <c r="AQ9" s="15" t="s">
        <v>634</v>
      </c>
      <c r="AX9" s="15" t="s">
        <v>634</v>
      </c>
      <c r="BD9" s="15" t="s">
        <v>634</v>
      </c>
      <c r="BE9" s="15" t="s">
        <v>634</v>
      </c>
      <c r="BL9" s="15" t="s">
        <v>634</v>
      </c>
      <c r="BM9" s="63" t="s">
        <v>319</v>
      </c>
      <c r="BN9" s="61"/>
      <c r="BO9" s="61"/>
      <c r="BP9" s="60" t="s">
        <v>327</v>
      </c>
      <c r="BQ9" s="63" t="s">
        <v>319</v>
      </c>
      <c r="BR9" s="61"/>
      <c r="BS9" s="62"/>
      <c r="BT9" s="62"/>
      <c r="BU9" s="62"/>
      <c r="BV9" s="63"/>
      <c r="BW9" s="62"/>
      <c r="BX9" s="60" t="s">
        <v>327</v>
      </c>
      <c r="BY9" s="61"/>
      <c r="BZ9" s="63"/>
      <c r="CA9" s="63" t="s">
        <v>319</v>
      </c>
      <c r="CB9" s="63"/>
      <c r="CC9" s="63"/>
      <c r="CD9" s="62"/>
      <c r="CE9" s="62"/>
      <c r="CF9" s="61"/>
      <c r="CG9" s="63"/>
      <c r="CH9" s="63"/>
      <c r="CI9" s="63" t="s">
        <v>319</v>
      </c>
      <c r="CJ9" s="63"/>
      <c r="CK9" s="65" t="s">
        <v>321</v>
      </c>
      <c r="CL9" s="61"/>
      <c r="CM9" s="61"/>
      <c r="CN9" s="63"/>
      <c r="CO9" s="63"/>
      <c r="CP9" s="63"/>
      <c r="CQ9"/>
      <c r="CR9"/>
      <c r="CS9"/>
      <c r="CT9"/>
      <c r="CU9" s="144"/>
      <c r="CV9" s="141"/>
      <c r="CW9" s="141"/>
      <c r="CX9" s="141"/>
      <c r="CY9" s="141"/>
      <c r="CZ9" s="141"/>
      <c r="DA9" s="140"/>
      <c r="DB9" s="141"/>
    </row>
    <row r="10" spans="2:106" ht="19.5" thickBot="1">
      <c r="B10" s="171" t="s">
        <v>651</v>
      </c>
      <c r="C10" s="15" t="s">
        <v>322</v>
      </c>
      <c r="D10" s="15" t="s">
        <v>62</v>
      </c>
      <c r="E10" s="15" t="s">
        <v>62</v>
      </c>
      <c r="F10" s="15" t="s">
        <v>634</v>
      </c>
      <c r="G10" s="15" t="s">
        <v>634</v>
      </c>
      <c r="H10" s="15" t="s">
        <v>322</v>
      </c>
      <c r="I10" s="15" t="s">
        <v>322</v>
      </c>
      <c r="J10" s="15" t="s">
        <v>322</v>
      </c>
      <c r="K10" s="15" t="s">
        <v>62</v>
      </c>
      <c r="L10" s="15" t="s">
        <v>62</v>
      </c>
      <c r="M10" s="15" t="s">
        <v>62</v>
      </c>
      <c r="N10" s="15" t="s">
        <v>634</v>
      </c>
      <c r="O10" s="15" t="s">
        <v>322</v>
      </c>
      <c r="P10" s="15" t="s">
        <v>322</v>
      </c>
      <c r="Q10" s="15" t="s">
        <v>322</v>
      </c>
      <c r="R10" s="15" t="s">
        <v>651</v>
      </c>
      <c r="S10" s="15" t="s">
        <v>62</v>
      </c>
      <c r="T10" s="15" t="s">
        <v>62</v>
      </c>
      <c r="U10" s="15" t="s">
        <v>634</v>
      </c>
      <c r="V10" s="15" t="s">
        <v>634</v>
      </c>
      <c r="W10" s="15" t="s">
        <v>322</v>
      </c>
      <c r="X10" s="15" t="s">
        <v>322</v>
      </c>
      <c r="Y10" s="15" t="s">
        <v>322</v>
      </c>
      <c r="Z10" s="15" t="s">
        <v>62</v>
      </c>
      <c r="AA10" s="15" t="s">
        <v>62</v>
      </c>
      <c r="AB10" s="15" t="s">
        <v>346</v>
      </c>
      <c r="AC10" s="15" t="s">
        <v>634</v>
      </c>
      <c r="AD10" s="15" t="s">
        <v>322</v>
      </c>
      <c r="AE10" s="15" t="s">
        <v>322</v>
      </c>
      <c r="AF10" s="15" t="s">
        <v>647</v>
      </c>
      <c r="AG10" s="15" t="s">
        <v>62</v>
      </c>
      <c r="AH10" s="15" t="s">
        <v>62</v>
      </c>
      <c r="AI10" s="15" t="s">
        <v>634</v>
      </c>
      <c r="AJ10" s="15" t="s">
        <v>634</v>
      </c>
      <c r="AK10" s="15" t="s">
        <v>345</v>
      </c>
      <c r="AL10" s="15" t="s">
        <v>634</v>
      </c>
      <c r="AM10" s="15" t="s">
        <v>634</v>
      </c>
      <c r="AQ10" s="15" t="s">
        <v>634</v>
      </c>
      <c r="AW10" s="15" t="s">
        <v>634</v>
      </c>
      <c r="AX10" s="15" t="s">
        <v>634</v>
      </c>
      <c r="BD10" s="15" t="s">
        <v>346</v>
      </c>
      <c r="BE10" s="15" t="s">
        <v>634</v>
      </c>
      <c r="BK10" s="15" t="s">
        <v>634</v>
      </c>
      <c r="BL10" s="15" t="s">
        <v>634</v>
      </c>
      <c r="BM10" s="63"/>
      <c r="BN10" s="60" t="s">
        <v>327</v>
      </c>
      <c r="BO10" s="59" t="s">
        <v>332</v>
      </c>
      <c r="BP10" s="61"/>
      <c r="BQ10" s="61"/>
      <c r="BR10" s="61"/>
      <c r="BS10" s="63" t="s">
        <v>319</v>
      </c>
      <c r="BT10" s="63" t="s">
        <v>319</v>
      </c>
      <c r="BU10" s="63" t="s">
        <v>319</v>
      </c>
      <c r="BV10" s="63" t="s">
        <v>319</v>
      </c>
      <c r="BW10" s="63" t="s">
        <v>319</v>
      </c>
      <c r="BX10" s="59" t="s">
        <v>332</v>
      </c>
      <c r="BY10" s="61"/>
      <c r="BZ10" s="62"/>
      <c r="CA10" s="62"/>
      <c r="CB10" s="62"/>
      <c r="CC10" s="62"/>
      <c r="CD10" s="59" t="s">
        <v>330</v>
      </c>
      <c r="CE10" s="61"/>
      <c r="CF10" s="61"/>
      <c r="CG10" s="63"/>
      <c r="CH10" s="59" t="s">
        <v>330</v>
      </c>
      <c r="CI10" s="63"/>
      <c r="CJ10" s="63"/>
      <c r="CK10" s="63"/>
      <c r="CL10" s="59" t="s">
        <v>330</v>
      </c>
      <c r="CM10" s="61"/>
      <c r="CN10" s="65" t="s">
        <v>321</v>
      </c>
      <c r="CO10" s="63"/>
      <c r="CP10" s="63"/>
      <c r="CQ10"/>
      <c r="CR10"/>
      <c r="CS10"/>
      <c r="CT10"/>
      <c r="CU10" s="145" t="s">
        <v>346</v>
      </c>
      <c r="CV10" s="139" t="s">
        <v>204</v>
      </c>
      <c r="CW10" s="140"/>
      <c r="CX10" s="139" t="s">
        <v>202</v>
      </c>
      <c r="CY10" s="139" t="s">
        <v>201</v>
      </c>
      <c r="CZ10" s="139" t="s">
        <v>322</v>
      </c>
      <c r="DA10" s="140"/>
      <c r="DB10" s="140"/>
    </row>
    <row r="11" spans="2:106" ht="19.5" thickBot="1">
      <c r="B11" s="171" t="s">
        <v>823</v>
      </c>
      <c r="N11" s="15" t="s">
        <v>634</v>
      </c>
      <c r="R11" s="15" t="s">
        <v>823</v>
      </c>
      <c r="U11" s="15" t="s">
        <v>634</v>
      </c>
      <c r="V11" s="15" t="s">
        <v>634</v>
      </c>
      <c r="AC11" s="15" t="s">
        <v>634</v>
      </c>
      <c r="AF11" s="15" t="s">
        <v>634</v>
      </c>
      <c r="AI11" s="15" t="s">
        <v>634</v>
      </c>
      <c r="AJ11" s="15" t="s">
        <v>634</v>
      </c>
      <c r="AK11" s="15" t="s">
        <v>634</v>
      </c>
      <c r="AL11" s="15" t="s">
        <v>634</v>
      </c>
      <c r="AM11" s="15" t="s">
        <v>345</v>
      </c>
      <c r="BM11" s="63"/>
      <c r="BN11" s="61"/>
      <c r="BO11" s="61"/>
      <c r="BP11" s="60" t="s">
        <v>320</v>
      </c>
      <c r="BQ11" s="61"/>
      <c r="BR11" s="61"/>
      <c r="BS11" s="62"/>
      <c r="BT11" s="62"/>
      <c r="BU11" s="62"/>
      <c r="BV11" s="62"/>
      <c r="BW11" s="64"/>
      <c r="BX11" s="61"/>
      <c r="BY11" s="61"/>
      <c r="BZ11" s="64"/>
      <c r="CA11" s="64"/>
      <c r="CB11" s="64"/>
      <c r="CC11" s="64"/>
      <c r="CD11" s="64"/>
      <c r="CE11" s="61"/>
      <c r="CF11" s="61"/>
      <c r="CG11" s="62"/>
      <c r="CH11" s="62"/>
      <c r="CI11" s="62"/>
      <c r="CJ11" s="62"/>
      <c r="CK11" s="62"/>
      <c r="CL11" s="61"/>
      <c r="CM11" s="61"/>
      <c r="CN11" s="62"/>
      <c r="CO11" s="62"/>
      <c r="CP11" s="62"/>
      <c r="CQ11"/>
      <c r="CR11"/>
      <c r="CS11"/>
      <c r="CT11"/>
      <c r="CU11" s="138"/>
      <c r="CV11" s="139" t="s">
        <v>201</v>
      </c>
      <c r="CW11" s="140"/>
      <c r="CX11" s="139" t="s">
        <v>202</v>
      </c>
      <c r="CY11" s="139" t="s">
        <v>204</v>
      </c>
      <c r="CZ11" s="139" t="s">
        <v>322</v>
      </c>
      <c r="DA11" s="140"/>
      <c r="DB11" s="140"/>
    </row>
    <row r="12" spans="2:106" ht="19.5" thickBot="1">
      <c r="B12" s="137"/>
      <c r="M12" s="15" t="s">
        <v>698</v>
      </c>
      <c r="AB12" s="15" t="s">
        <v>698</v>
      </c>
      <c r="AP12" s="15" t="s">
        <v>698</v>
      </c>
      <c r="BD12" s="15" t="s">
        <v>698</v>
      </c>
      <c r="BM12" s="63"/>
      <c r="BN12" s="61"/>
      <c r="BO12" s="61"/>
      <c r="BP12" s="61"/>
      <c r="BQ12" s="61"/>
      <c r="BR12" s="61"/>
      <c r="BS12" s="62"/>
      <c r="BT12" s="62"/>
      <c r="BU12" s="62"/>
      <c r="BV12" s="62"/>
      <c r="BW12" s="64"/>
      <c r="BX12" s="61"/>
      <c r="BY12" s="61"/>
      <c r="BZ12" s="64"/>
      <c r="CA12" s="64"/>
      <c r="CB12" s="64"/>
      <c r="CC12" s="64"/>
      <c r="CD12" s="64"/>
      <c r="CE12" s="61"/>
      <c r="CF12" s="61"/>
      <c r="CG12" s="62"/>
      <c r="CH12" s="62"/>
      <c r="CI12" s="62"/>
      <c r="CJ12" s="62"/>
      <c r="CK12" s="66" t="s">
        <v>333</v>
      </c>
      <c r="CL12" s="61"/>
      <c r="CM12" s="61"/>
      <c r="CN12" s="62"/>
      <c r="CO12" s="62"/>
      <c r="CP12" s="62"/>
      <c r="CQ12"/>
      <c r="CR12"/>
      <c r="CS12"/>
      <c r="CT12"/>
      <c r="CU12" s="138"/>
      <c r="CV12" s="139" t="s">
        <v>201</v>
      </c>
      <c r="CW12" s="140"/>
      <c r="CX12" s="139" t="s">
        <v>204</v>
      </c>
      <c r="CY12" s="146" t="s">
        <v>645</v>
      </c>
      <c r="CZ12" s="139" t="s">
        <v>322</v>
      </c>
      <c r="DA12" s="140"/>
      <c r="DB12" s="140"/>
    </row>
    <row r="13" spans="2:106" ht="19.5" thickBot="1">
      <c r="B13" s="172" t="s">
        <v>654</v>
      </c>
      <c r="C13" s="15" t="s">
        <v>634</v>
      </c>
      <c r="D13" s="15" t="s">
        <v>634</v>
      </c>
      <c r="E13" s="15" t="s">
        <v>634</v>
      </c>
      <c r="F13" s="15">
        <v>1</v>
      </c>
      <c r="G13" s="15" t="s">
        <v>634</v>
      </c>
      <c r="H13" s="15" t="s">
        <v>634</v>
      </c>
      <c r="I13" s="15">
        <v>2</v>
      </c>
      <c r="J13" s="15" t="s">
        <v>634</v>
      </c>
      <c r="K13" s="15" t="s">
        <v>634</v>
      </c>
      <c r="L13" s="15">
        <v>3</v>
      </c>
      <c r="M13" s="15">
        <v>4</v>
      </c>
      <c r="N13" s="15" t="s">
        <v>634</v>
      </c>
      <c r="O13" s="15" t="s">
        <v>634</v>
      </c>
      <c r="P13" s="15">
        <v>5</v>
      </c>
      <c r="Q13" s="15" t="s">
        <v>634</v>
      </c>
      <c r="R13" s="15" t="s">
        <v>654</v>
      </c>
      <c r="S13" s="15" t="s">
        <v>634</v>
      </c>
      <c r="T13" s="15" t="s">
        <v>634</v>
      </c>
      <c r="U13" s="15">
        <v>6</v>
      </c>
      <c r="V13" s="15" t="s">
        <v>634</v>
      </c>
      <c r="W13" s="15" t="s">
        <v>634</v>
      </c>
      <c r="X13" s="15">
        <v>7</v>
      </c>
      <c r="Y13" s="15" t="s">
        <v>634</v>
      </c>
      <c r="Z13" s="15" t="s">
        <v>634</v>
      </c>
      <c r="AA13" s="15" t="s">
        <v>634</v>
      </c>
      <c r="AB13" s="15">
        <v>8</v>
      </c>
      <c r="AC13" s="15" t="s">
        <v>634</v>
      </c>
      <c r="AD13" s="15" t="s">
        <v>634</v>
      </c>
      <c r="AE13" s="15">
        <v>9</v>
      </c>
      <c r="AF13" s="15" t="s">
        <v>634</v>
      </c>
      <c r="AG13" s="15">
        <v>10</v>
      </c>
      <c r="AH13" s="15" t="s">
        <v>634</v>
      </c>
      <c r="AI13" s="15">
        <v>1</v>
      </c>
      <c r="AJ13" s="15" t="s">
        <v>634</v>
      </c>
      <c r="AK13" s="15" t="s">
        <v>634</v>
      </c>
      <c r="AL13" s="15">
        <v>2</v>
      </c>
      <c r="AM13" s="15" t="s">
        <v>634</v>
      </c>
      <c r="AN13" s="15" t="s">
        <v>634</v>
      </c>
      <c r="AO13" s="15" t="s">
        <v>634</v>
      </c>
      <c r="AP13" s="15">
        <v>3</v>
      </c>
      <c r="AQ13" s="15" t="s">
        <v>634</v>
      </c>
      <c r="AR13" s="15" t="s">
        <v>634</v>
      </c>
      <c r="AS13" s="15" t="s">
        <v>830</v>
      </c>
      <c r="AT13" s="15" t="s">
        <v>634</v>
      </c>
      <c r="AU13" s="15" t="s">
        <v>634</v>
      </c>
      <c r="AV13" s="15" t="s">
        <v>634</v>
      </c>
      <c r="AW13" s="15">
        <v>5</v>
      </c>
      <c r="AX13" s="15" t="s">
        <v>634</v>
      </c>
      <c r="AY13" s="15" t="s">
        <v>634</v>
      </c>
      <c r="AZ13" s="15" t="s">
        <v>831</v>
      </c>
      <c r="BA13" s="15" t="s">
        <v>634</v>
      </c>
      <c r="BB13" s="15" t="s">
        <v>832</v>
      </c>
      <c r="BC13" s="15" t="s">
        <v>634</v>
      </c>
      <c r="BD13" s="15">
        <v>8</v>
      </c>
      <c r="BE13" s="15" t="s">
        <v>634</v>
      </c>
      <c r="BF13" s="15" t="s">
        <v>634</v>
      </c>
      <c r="BG13" s="15" t="s">
        <v>833</v>
      </c>
      <c r="BH13" s="15" t="s">
        <v>634</v>
      </c>
      <c r="BI13" s="15" t="s">
        <v>634</v>
      </c>
      <c r="BJ13" s="15" t="s">
        <v>634</v>
      </c>
      <c r="BK13" s="15">
        <v>10</v>
      </c>
      <c r="BL13" s="15" t="s">
        <v>634</v>
      </c>
      <c r="BM13" s="63"/>
      <c r="BN13" s="61"/>
      <c r="BO13" s="61"/>
      <c r="BP13" s="61"/>
      <c r="BQ13" s="61"/>
      <c r="BR13" s="61"/>
      <c r="BS13" s="62"/>
      <c r="BT13" s="62"/>
      <c r="BU13" s="62"/>
      <c r="BV13" s="62"/>
      <c r="BW13" s="64"/>
      <c r="BX13" s="61"/>
      <c r="BY13" s="61"/>
      <c r="BZ13" s="64"/>
      <c r="CA13" s="64"/>
      <c r="CB13" s="64"/>
      <c r="CC13" s="64"/>
      <c r="CD13" s="64"/>
      <c r="CE13" s="61"/>
      <c r="CF13" s="61"/>
      <c r="CG13" s="62"/>
      <c r="CH13" s="62"/>
      <c r="CI13" s="62"/>
      <c r="CJ13" s="62"/>
      <c r="CK13" s="62"/>
      <c r="CL13" s="61"/>
      <c r="CM13" s="61"/>
      <c r="CN13" s="62"/>
      <c r="CO13" s="62"/>
      <c r="CP13" s="62"/>
      <c r="CQ13" s="34"/>
      <c r="CR13" s="34"/>
      <c r="CS13" s="34"/>
      <c r="CT13" s="34"/>
      <c r="CU13" s="138"/>
      <c r="CV13" s="139" t="s">
        <v>204</v>
      </c>
      <c r="CW13" s="140"/>
      <c r="CX13" s="139" t="s">
        <v>202</v>
      </c>
      <c r="CY13" s="139" t="s">
        <v>201</v>
      </c>
      <c r="CZ13" s="139" t="s">
        <v>322</v>
      </c>
      <c r="DA13" s="140"/>
      <c r="DB13" s="140"/>
    </row>
    <row r="14" spans="2:106" ht="19.5" thickBot="1">
      <c r="B14" s="172" t="s">
        <v>652</v>
      </c>
      <c r="F14" s="15" t="s">
        <v>634</v>
      </c>
      <c r="G14" s="15" t="s">
        <v>634</v>
      </c>
      <c r="L14" s="15" t="s">
        <v>347</v>
      </c>
      <c r="M14" s="15" t="s">
        <v>634</v>
      </c>
      <c r="N14" s="15" t="s">
        <v>634</v>
      </c>
      <c r="R14" s="15" t="s">
        <v>652</v>
      </c>
      <c r="U14" s="15" t="s">
        <v>634</v>
      </c>
      <c r="V14" s="15" t="s">
        <v>634</v>
      </c>
      <c r="AB14" s="15" t="s">
        <v>634</v>
      </c>
      <c r="AC14" s="15" t="s">
        <v>634</v>
      </c>
      <c r="AF14" s="15" t="s">
        <v>634</v>
      </c>
      <c r="AI14" s="15" t="s">
        <v>634</v>
      </c>
      <c r="AJ14" s="15" t="s">
        <v>634</v>
      </c>
      <c r="AK14" s="15" t="s">
        <v>634</v>
      </c>
      <c r="AL14" s="15" t="s">
        <v>634</v>
      </c>
      <c r="AM14" s="15" t="s">
        <v>634</v>
      </c>
      <c r="AP14" s="15" t="s">
        <v>634</v>
      </c>
      <c r="AQ14" s="15" t="s">
        <v>634</v>
      </c>
      <c r="AW14" s="15" t="s">
        <v>634</v>
      </c>
      <c r="AX14" s="15" t="s">
        <v>634</v>
      </c>
      <c r="BD14" s="15" t="s">
        <v>634</v>
      </c>
      <c r="BE14" s="15" t="s">
        <v>634</v>
      </c>
      <c r="BK14" s="15" t="s">
        <v>634</v>
      </c>
      <c r="BL14" s="15" t="s">
        <v>634</v>
      </c>
      <c r="CU14" s="138"/>
      <c r="CV14" s="139" t="s">
        <v>202</v>
      </c>
      <c r="CW14" s="147" t="s">
        <v>346</v>
      </c>
      <c r="CX14" s="143" t="s">
        <v>646</v>
      </c>
      <c r="CY14" s="139" t="s">
        <v>204</v>
      </c>
      <c r="CZ14" s="139" t="s">
        <v>322</v>
      </c>
      <c r="DA14" s="140"/>
      <c r="DB14" s="140"/>
    </row>
    <row r="15" spans="2:106" ht="19.5" thickBot="1">
      <c r="B15" s="172" t="s">
        <v>653</v>
      </c>
      <c r="E15" s="15" t="s">
        <v>826</v>
      </c>
      <c r="F15" s="15" t="s">
        <v>634</v>
      </c>
      <c r="G15" s="15" t="s">
        <v>634</v>
      </c>
      <c r="M15" s="15" t="s">
        <v>634</v>
      </c>
      <c r="N15" s="15" t="s">
        <v>634</v>
      </c>
      <c r="R15" s="15" t="s">
        <v>653</v>
      </c>
      <c r="U15" s="15" t="s">
        <v>634</v>
      </c>
      <c r="V15" s="15" t="s">
        <v>634</v>
      </c>
      <c r="AB15" s="15" t="s">
        <v>634</v>
      </c>
      <c r="AC15" s="15" t="s">
        <v>634</v>
      </c>
      <c r="AF15" s="15" t="s">
        <v>634</v>
      </c>
      <c r="AI15" s="15" t="s">
        <v>634</v>
      </c>
      <c r="AJ15" s="15" t="s">
        <v>634</v>
      </c>
      <c r="AK15" s="15" t="s">
        <v>634</v>
      </c>
      <c r="AL15" s="15" t="s">
        <v>634</v>
      </c>
      <c r="AM15" s="15" t="s">
        <v>634</v>
      </c>
      <c r="AP15" s="15" t="s">
        <v>634</v>
      </c>
      <c r="AQ15" s="15" t="s">
        <v>634</v>
      </c>
      <c r="AW15" s="15" t="s">
        <v>634</v>
      </c>
      <c r="AX15" s="15" t="s">
        <v>634</v>
      </c>
      <c r="BD15" s="15" t="s">
        <v>634</v>
      </c>
      <c r="BE15" s="15" t="s">
        <v>634</v>
      </c>
      <c r="BK15" s="15" t="s">
        <v>634</v>
      </c>
      <c r="BL15" s="15" t="s">
        <v>634</v>
      </c>
      <c r="CU15" s="138"/>
      <c r="CV15" s="139"/>
      <c r="CW15" s="147"/>
      <c r="CX15" s="143"/>
      <c r="CY15" s="139"/>
      <c r="CZ15" s="139"/>
      <c r="DA15" s="140"/>
      <c r="DB15" s="140"/>
    </row>
    <row r="16" spans="2:106" ht="19.5" thickBot="1">
      <c r="B16" s="172" t="s">
        <v>824</v>
      </c>
      <c r="C16" s="15" t="s">
        <v>825</v>
      </c>
      <c r="D16" s="15" t="s">
        <v>267</v>
      </c>
      <c r="E16" s="15" t="s">
        <v>267</v>
      </c>
      <c r="F16" s="15" t="s">
        <v>634</v>
      </c>
      <c r="G16" s="15" t="s">
        <v>634</v>
      </c>
      <c r="H16" s="15" t="s">
        <v>267</v>
      </c>
      <c r="I16" s="15" t="s">
        <v>267</v>
      </c>
      <c r="J16" s="15" t="s">
        <v>267</v>
      </c>
      <c r="K16" s="15" t="s">
        <v>267</v>
      </c>
      <c r="L16" s="15" t="s">
        <v>267</v>
      </c>
      <c r="M16" s="15" t="s">
        <v>634</v>
      </c>
      <c r="N16" s="15" t="s">
        <v>634</v>
      </c>
      <c r="O16" s="15" t="s">
        <v>267</v>
      </c>
      <c r="P16" s="15" t="s">
        <v>267</v>
      </c>
      <c r="Q16" s="15" t="s">
        <v>825</v>
      </c>
      <c r="R16" s="15" t="s">
        <v>824</v>
      </c>
      <c r="S16" s="15" t="s">
        <v>267</v>
      </c>
      <c r="T16" s="15" t="s">
        <v>267</v>
      </c>
      <c r="U16" s="15" t="s">
        <v>634</v>
      </c>
      <c r="V16" s="15" t="s">
        <v>634</v>
      </c>
      <c r="W16" s="15" t="s">
        <v>267</v>
      </c>
      <c r="X16" s="15" t="s">
        <v>267</v>
      </c>
      <c r="Y16" s="15" t="s">
        <v>267</v>
      </c>
      <c r="Z16" s="15" t="s">
        <v>267</v>
      </c>
      <c r="AA16" s="15" t="s">
        <v>267</v>
      </c>
      <c r="AB16" s="15" t="s">
        <v>634</v>
      </c>
      <c r="AC16" s="15" t="s">
        <v>634</v>
      </c>
      <c r="AD16" s="15" t="s">
        <v>267</v>
      </c>
      <c r="AE16" s="15" t="s">
        <v>267</v>
      </c>
      <c r="AF16" s="15" t="s">
        <v>634</v>
      </c>
      <c r="AG16" s="15" t="s">
        <v>267</v>
      </c>
      <c r="AH16" s="15" t="s">
        <v>267</v>
      </c>
      <c r="AI16" s="15" t="s">
        <v>634</v>
      </c>
      <c r="AJ16" s="15" t="s">
        <v>634</v>
      </c>
      <c r="AK16" s="15" t="s">
        <v>634</v>
      </c>
      <c r="AL16" s="15" t="s">
        <v>634</v>
      </c>
      <c r="AM16" s="15" t="s">
        <v>634</v>
      </c>
      <c r="AP16" s="15" t="s">
        <v>634</v>
      </c>
      <c r="AQ16" s="15" t="s">
        <v>634</v>
      </c>
      <c r="AW16" s="15" t="s">
        <v>634</v>
      </c>
      <c r="AX16" s="15" t="s">
        <v>634</v>
      </c>
      <c r="BD16" s="15" t="s">
        <v>634</v>
      </c>
      <c r="BE16" s="15" t="s">
        <v>634</v>
      </c>
      <c r="BK16" s="15" t="s">
        <v>634</v>
      </c>
      <c r="BL16" s="15" t="s">
        <v>634</v>
      </c>
      <c r="CU16" s="138"/>
      <c r="CV16" s="139"/>
      <c r="CW16" s="147"/>
      <c r="CX16" s="143"/>
      <c r="CY16" s="139"/>
      <c r="CZ16" s="139"/>
      <c r="DA16" s="140"/>
      <c r="DB16" s="140"/>
    </row>
    <row r="17" spans="2:106" ht="19.5" thickBot="1">
      <c r="B17" s="18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CU17" s="144"/>
      <c r="CV17" s="140"/>
      <c r="CW17" s="141"/>
      <c r="CX17" s="140"/>
      <c r="CY17" s="141"/>
      <c r="CZ17" s="139" t="s">
        <v>322</v>
      </c>
      <c r="DA17" s="140"/>
      <c r="DB17" s="141"/>
    </row>
    <row r="19" spans="2:106" ht="19.5" thickBot="1">
      <c r="B19" s="20"/>
      <c r="C19" s="19">
        <f>C3</f>
        <v>46113</v>
      </c>
      <c r="D19" s="19">
        <f t="shared" ref="D19:AG19" si="2">D3</f>
        <v>46114</v>
      </c>
      <c r="E19" s="19">
        <f t="shared" si="2"/>
        <v>46115</v>
      </c>
      <c r="F19" s="19">
        <f t="shared" si="2"/>
        <v>46116</v>
      </c>
      <c r="G19" s="19">
        <f t="shared" si="2"/>
        <v>46117</v>
      </c>
      <c r="H19" s="19">
        <f t="shared" si="2"/>
        <v>46118</v>
      </c>
      <c r="I19" s="19">
        <f t="shared" si="2"/>
        <v>46119</v>
      </c>
      <c r="J19" s="19">
        <f t="shared" si="2"/>
        <v>46120</v>
      </c>
      <c r="K19" s="19">
        <f t="shared" si="2"/>
        <v>46121</v>
      </c>
      <c r="L19" s="19">
        <f t="shared" si="2"/>
        <v>46122</v>
      </c>
      <c r="M19" s="19">
        <f t="shared" si="2"/>
        <v>46123</v>
      </c>
      <c r="N19" s="19">
        <f t="shared" si="2"/>
        <v>46124</v>
      </c>
      <c r="O19" s="19">
        <f t="shared" si="2"/>
        <v>46125</v>
      </c>
      <c r="P19" s="19">
        <f t="shared" si="2"/>
        <v>46126</v>
      </c>
      <c r="Q19" s="19">
        <f t="shared" si="2"/>
        <v>46127</v>
      </c>
      <c r="R19" s="19">
        <f t="shared" si="2"/>
        <v>46128</v>
      </c>
      <c r="S19" s="19">
        <f t="shared" si="2"/>
        <v>46129</v>
      </c>
      <c r="T19" s="19">
        <f t="shared" si="2"/>
        <v>46130</v>
      </c>
      <c r="U19" s="19">
        <f t="shared" si="2"/>
        <v>46131</v>
      </c>
      <c r="V19" s="19">
        <f t="shared" si="2"/>
        <v>46132</v>
      </c>
      <c r="W19" s="19">
        <f t="shared" si="2"/>
        <v>46133</v>
      </c>
      <c r="X19" s="19">
        <f t="shared" si="2"/>
        <v>46134</v>
      </c>
      <c r="Y19" s="19">
        <f t="shared" si="2"/>
        <v>46135</v>
      </c>
      <c r="Z19" s="19">
        <f t="shared" si="2"/>
        <v>46136</v>
      </c>
      <c r="AA19" s="19">
        <f t="shared" si="2"/>
        <v>46137</v>
      </c>
      <c r="AB19" s="19">
        <f t="shared" si="2"/>
        <v>46138</v>
      </c>
      <c r="AC19" s="19">
        <f t="shared" si="2"/>
        <v>46139</v>
      </c>
      <c r="AD19" s="19">
        <f t="shared" si="2"/>
        <v>46140</v>
      </c>
      <c r="AE19" s="19">
        <f t="shared" si="2"/>
        <v>46141</v>
      </c>
      <c r="AF19" s="19">
        <f t="shared" si="2"/>
        <v>46142</v>
      </c>
      <c r="AG19" s="19">
        <f t="shared" si="2"/>
        <v>46143</v>
      </c>
      <c r="AH19" s="19">
        <f t="shared" ref="AH19:CS19" si="3">AH3</f>
        <v>46144</v>
      </c>
      <c r="AI19" s="19">
        <f t="shared" si="3"/>
        <v>46145</v>
      </c>
      <c r="AJ19" s="19">
        <f t="shared" si="3"/>
        <v>46146</v>
      </c>
      <c r="AK19" s="19">
        <f t="shared" si="3"/>
        <v>46147</v>
      </c>
      <c r="AL19" s="19">
        <f t="shared" si="3"/>
        <v>46148</v>
      </c>
      <c r="AM19" s="19">
        <f t="shared" si="3"/>
        <v>46149</v>
      </c>
      <c r="AN19" s="19">
        <f t="shared" si="3"/>
        <v>46150</v>
      </c>
      <c r="AO19" s="19">
        <f t="shared" si="3"/>
        <v>46151</v>
      </c>
      <c r="AP19" s="19">
        <f t="shared" si="3"/>
        <v>46152</v>
      </c>
      <c r="AQ19" s="19">
        <f t="shared" si="3"/>
        <v>46153</v>
      </c>
      <c r="AR19" s="19">
        <f t="shared" si="3"/>
        <v>46154</v>
      </c>
      <c r="AS19" s="19">
        <f t="shared" si="3"/>
        <v>46155</v>
      </c>
      <c r="AT19" s="19">
        <f t="shared" si="3"/>
        <v>46156</v>
      </c>
      <c r="AU19" s="19">
        <f t="shared" si="3"/>
        <v>46157</v>
      </c>
      <c r="AV19" s="19">
        <f t="shared" si="3"/>
        <v>46158</v>
      </c>
      <c r="AW19" s="19">
        <f t="shared" si="3"/>
        <v>46159</v>
      </c>
      <c r="AX19" s="19">
        <f t="shared" si="3"/>
        <v>46160</v>
      </c>
      <c r="AY19" s="19">
        <f t="shared" si="3"/>
        <v>46161</v>
      </c>
      <c r="AZ19" s="19">
        <f t="shared" si="3"/>
        <v>46162</v>
      </c>
      <c r="BA19" s="19">
        <f t="shared" si="3"/>
        <v>46163</v>
      </c>
      <c r="BB19" s="19">
        <f t="shared" si="3"/>
        <v>46164</v>
      </c>
      <c r="BC19" s="19">
        <f t="shared" si="3"/>
        <v>46165</v>
      </c>
      <c r="BD19" s="19">
        <f t="shared" si="3"/>
        <v>46166</v>
      </c>
      <c r="BE19" s="19">
        <f t="shared" si="3"/>
        <v>46167</v>
      </c>
      <c r="BF19" s="19">
        <f t="shared" si="3"/>
        <v>46168</v>
      </c>
      <c r="BG19" s="19">
        <f t="shared" si="3"/>
        <v>46169</v>
      </c>
      <c r="BH19" s="19">
        <f t="shared" si="3"/>
        <v>46170</v>
      </c>
      <c r="BI19" s="19">
        <f t="shared" si="3"/>
        <v>46171</v>
      </c>
      <c r="BJ19" s="19">
        <f t="shared" si="3"/>
        <v>0</v>
      </c>
      <c r="BK19" s="19">
        <f t="shared" si="3"/>
        <v>0</v>
      </c>
      <c r="BL19" s="19">
        <f t="shared" si="3"/>
        <v>0</v>
      </c>
      <c r="BM19" s="19">
        <f t="shared" si="3"/>
        <v>0</v>
      </c>
      <c r="BN19" s="19">
        <f t="shared" si="3"/>
        <v>0</v>
      </c>
      <c r="BO19" s="19">
        <f t="shared" si="3"/>
        <v>0</v>
      </c>
      <c r="BP19" s="19">
        <f t="shared" si="3"/>
        <v>0</v>
      </c>
      <c r="BQ19" s="19">
        <f t="shared" si="3"/>
        <v>0</v>
      </c>
      <c r="BR19" s="19">
        <f t="shared" si="3"/>
        <v>0</v>
      </c>
      <c r="BS19" s="19">
        <f t="shared" si="3"/>
        <v>0</v>
      </c>
      <c r="BT19" s="19">
        <f t="shared" si="3"/>
        <v>0</v>
      </c>
      <c r="BU19" s="19">
        <f t="shared" si="3"/>
        <v>0</v>
      </c>
      <c r="BV19" s="19">
        <f t="shared" si="3"/>
        <v>0</v>
      </c>
      <c r="BW19" s="19">
        <f t="shared" si="3"/>
        <v>0</v>
      </c>
      <c r="BX19" s="19">
        <f t="shared" si="3"/>
        <v>0</v>
      </c>
      <c r="BY19" s="19">
        <f t="shared" si="3"/>
        <v>0</v>
      </c>
      <c r="BZ19" s="19">
        <f t="shared" si="3"/>
        <v>0</v>
      </c>
      <c r="CA19" s="19">
        <f t="shared" si="3"/>
        <v>0</v>
      </c>
      <c r="CB19" s="19">
        <f t="shared" si="3"/>
        <v>0</v>
      </c>
      <c r="CC19" s="19">
        <f t="shared" si="3"/>
        <v>0</v>
      </c>
      <c r="CD19" s="19">
        <f t="shared" si="3"/>
        <v>0</v>
      </c>
      <c r="CE19" s="19">
        <f t="shared" si="3"/>
        <v>0</v>
      </c>
      <c r="CF19" s="19">
        <f t="shared" si="3"/>
        <v>0</v>
      </c>
      <c r="CG19" s="19">
        <f t="shared" si="3"/>
        <v>0</v>
      </c>
      <c r="CH19" s="19">
        <f t="shared" si="3"/>
        <v>0</v>
      </c>
      <c r="CI19" s="19">
        <f t="shared" si="3"/>
        <v>0</v>
      </c>
      <c r="CJ19" s="19">
        <f t="shared" si="3"/>
        <v>0</v>
      </c>
      <c r="CK19" s="19">
        <f t="shared" si="3"/>
        <v>0</v>
      </c>
      <c r="CL19" s="19">
        <f t="shared" si="3"/>
        <v>0</v>
      </c>
      <c r="CM19" s="19">
        <f t="shared" si="3"/>
        <v>0</v>
      </c>
      <c r="CN19" s="19">
        <f t="shared" si="3"/>
        <v>0</v>
      </c>
      <c r="CO19" s="19">
        <f t="shared" si="3"/>
        <v>0</v>
      </c>
      <c r="CP19" s="19">
        <f t="shared" si="3"/>
        <v>0</v>
      </c>
      <c r="CQ19" s="19">
        <f t="shared" si="3"/>
        <v>0</v>
      </c>
      <c r="CR19" s="19">
        <f t="shared" si="3"/>
        <v>0</v>
      </c>
      <c r="CS19" s="19">
        <f t="shared" si="3"/>
        <v>0</v>
      </c>
      <c r="CT19" s="19">
        <f>CT3</f>
        <v>0</v>
      </c>
      <c r="CU19" s="148" t="s">
        <v>204</v>
      </c>
      <c r="CV19" s="147" t="s">
        <v>346</v>
      </c>
      <c r="CW19" s="139" t="s">
        <v>322</v>
      </c>
      <c r="CX19" s="139" t="s">
        <v>201</v>
      </c>
      <c r="CY19" s="139" t="s">
        <v>202</v>
      </c>
      <c r="CZ19" s="147" t="s">
        <v>346</v>
      </c>
      <c r="DA19" s="140"/>
      <c r="DB19" s="140"/>
    </row>
    <row r="20" spans="2:106" ht="19.5" thickBot="1">
      <c r="B20" s="35" t="s">
        <v>323</v>
      </c>
      <c r="C20" s="15" t="str" cm="1">
        <f t="array" aca="1" ref="C20" ca="1">IFERROR(_xlfn.TEXTJOIN("、",TRUE,_xlfn._xlws.FILTER($B$4:$B$17,ISNUMBER(SEARCH($B20,INDIRECT(ADDRESS(4, MATCH(C$19,$3:$3)) &amp; ":" &amp; ADDRESS(15, MATCH(C$19,$3:$3))))))), "")</f>
        <v/>
      </c>
      <c r="D20" s="15" t="str" cm="1">
        <f t="array" aca="1" ref="D20" ca="1">IFERROR(_xlfn.TEXTJOIN("、",TRUE,_xlfn._xlws.FILTER($B$4:$B$17,ISNUMBER(SEARCH($B20,INDIRECT(ADDRESS(4, MATCH(D$19,$3:$3)) &amp; ":" &amp; ADDRESS(15, MATCH(D$19,$3:$3))))))), "")</f>
        <v/>
      </c>
      <c r="E20" s="15" t="str" cm="1">
        <f t="array" aca="1" ref="E20" ca="1">IFERROR(_xlfn.TEXTJOIN("、",TRUE,_xlfn._xlws.FILTER($B$4:$B$17,ISNUMBER(SEARCH($B20,INDIRECT(ADDRESS(4, MATCH(E$19,$3:$3)) &amp; ":" &amp; ADDRESS(15, MATCH(E$19,$3:$3))))))), "")</f>
        <v/>
      </c>
      <c r="F20" s="15" t="str" cm="1">
        <f t="array" aca="1" ref="F20" ca="1">IFERROR(_xlfn.TEXTJOIN("、",TRUE,_xlfn._xlws.FILTER($B$4:$B$17,ISNUMBER(SEARCH($B20,INDIRECT(ADDRESS(4, MATCH(F$19,$3:$3)) &amp; ":" &amp; ADDRESS(15, MATCH(F$19,$3:$3))))))), "")</f>
        <v/>
      </c>
      <c r="G20" s="15" t="str" cm="1">
        <f t="array" aca="1" ref="G20" ca="1">IFERROR(_xlfn.TEXTJOIN("、",TRUE,_xlfn._xlws.FILTER($B$4:$B$17,ISNUMBER(SEARCH($B20,INDIRECT(ADDRESS(4, MATCH(G$19,$3:$3)) &amp; ":" &amp; ADDRESS(15, MATCH(G$19,$3:$3))))))), "")</f>
        <v/>
      </c>
      <c r="H20" s="15" t="str" cm="1">
        <f t="array" aca="1" ref="H20" ca="1">IFERROR(_xlfn.TEXTJOIN("、",TRUE,_xlfn._xlws.FILTER($B$4:$B$17,ISNUMBER(SEARCH($B20,INDIRECT(ADDRESS(4, MATCH(H$19,$3:$3)) &amp; ":" &amp; ADDRESS(15, MATCH(H$19,$3:$3))))))), "")</f>
        <v/>
      </c>
      <c r="I20" s="15" t="str" cm="1">
        <f t="array" aca="1" ref="I20" ca="1">IFERROR(_xlfn.TEXTJOIN("、",TRUE,_xlfn._xlws.FILTER($B$4:$B$17,ISNUMBER(SEARCH($B20,INDIRECT(ADDRESS(4, MATCH(I$19,$3:$3)) &amp; ":" &amp; ADDRESS(15, MATCH(I$19,$3:$3))))))), "")</f>
        <v/>
      </c>
      <c r="J20" s="15" t="str" cm="1">
        <f t="array" aca="1" ref="J20" ca="1">IFERROR(_xlfn.TEXTJOIN("、",TRUE,_xlfn._xlws.FILTER($B$4:$B$17,ISNUMBER(SEARCH($B20,INDIRECT(ADDRESS(4, MATCH(J$19,$3:$3)) &amp; ":" &amp; ADDRESS(15, MATCH(J$19,$3:$3))))))), "")</f>
        <v/>
      </c>
      <c r="K20" s="15" t="str" cm="1">
        <f t="array" aca="1" ref="K20" ca="1">IFERROR(_xlfn.TEXTJOIN("、",TRUE,_xlfn._xlws.FILTER($B$4:$B$17,ISNUMBER(SEARCH($B20,INDIRECT(ADDRESS(4, MATCH(K$19,$3:$3)) &amp; ":" &amp; ADDRESS(15, MATCH(K$19,$3:$3))))))), "")</f>
        <v/>
      </c>
      <c r="L20" s="15" t="str" cm="1">
        <f t="array" aca="1" ref="L20" ca="1">IFERROR(_xlfn.TEXTJOIN("、",TRUE,_xlfn._xlws.FILTER($B$4:$B$17,ISNUMBER(SEARCH($B20,INDIRECT(ADDRESS(4, MATCH(L$19,$3:$3)) &amp; ":" &amp; ADDRESS(15, MATCH(L$19,$3:$3))))))), "")</f>
        <v/>
      </c>
      <c r="M20" s="15" t="str" cm="1">
        <f t="array" aca="1" ref="M20" ca="1">IFERROR(_xlfn.TEXTJOIN("、",TRUE,_xlfn._xlws.FILTER($B$4:$B$17,ISNUMBER(SEARCH($B20,INDIRECT(ADDRESS(4, MATCH(M$19,$3:$3)) &amp; ":" &amp; ADDRESS(15, MATCH(M$19,$3:$3))))))), "")</f>
        <v/>
      </c>
      <c r="N20" s="15" t="str" cm="1">
        <f t="array" aca="1" ref="N20" ca="1">IFERROR(_xlfn.TEXTJOIN("、",TRUE,_xlfn._xlws.FILTER($B$4:$B$17,ISNUMBER(SEARCH($B20,INDIRECT(ADDRESS(4, MATCH(N$19,$3:$3)) &amp; ":" &amp; ADDRESS(15, MATCH(N$19,$3:$3))))))), "")</f>
        <v/>
      </c>
      <c r="O20" s="15" t="str" cm="1">
        <f t="array" aca="1" ref="O20" ca="1">IFERROR(_xlfn.TEXTJOIN("、",TRUE,_xlfn._xlws.FILTER($B$4:$B$17,ISNUMBER(SEARCH($B20,INDIRECT(ADDRESS(4, MATCH(O$19,$3:$3)) &amp; ":" &amp; ADDRESS(15, MATCH(O$19,$3:$3))))))), "")</f>
        <v/>
      </c>
      <c r="P20" s="15" t="str" cm="1">
        <f t="array" aca="1" ref="P20" ca="1">IFERROR(_xlfn.TEXTJOIN("、",TRUE,_xlfn._xlws.FILTER($B$4:$B$17,ISNUMBER(SEARCH($B20,INDIRECT(ADDRESS(4, MATCH(P$19,$3:$3)) &amp; ":" &amp; ADDRESS(15, MATCH(P$19,$3:$3))))))), "")</f>
        <v/>
      </c>
      <c r="Q20" s="15" t="str" cm="1">
        <f t="array" aca="1" ref="Q20" ca="1">IFERROR(_xlfn.TEXTJOIN("、",TRUE,_xlfn._xlws.FILTER($B$4:$B$17,ISNUMBER(SEARCH($B20,INDIRECT(ADDRESS(4, MATCH(Q$19,$3:$3)) &amp; ":" &amp; ADDRESS(15, MATCH(Q$19,$3:$3))))))), "")</f>
        <v/>
      </c>
      <c r="R20" s="15" t="str" cm="1">
        <f t="array" aca="1" ref="R20" ca="1">IFERROR(_xlfn.TEXTJOIN("、",TRUE,_xlfn._xlws.FILTER($B$4:$B$17,ISNUMBER(SEARCH($B20,INDIRECT(ADDRESS(4, MATCH(R$19,$3:$3)) &amp; ":" &amp; ADDRESS(15, MATCH(R$19,$3:$3))))))), "")</f>
        <v/>
      </c>
      <c r="S20" s="15" t="str" cm="1">
        <f t="array" aca="1" ref="S20" ca="1">IFERROR(_xlfn.TEXTJOIN("、",TRUE,_xlfn._xlws.FILTER($B$4:$B$17,ISNUMBER(SEARCH($B20,INDIRECT(ADDRESS(4, MATCH(S$19,$3:$3)) &amp; ":" &amp; ADDRESS(15, MATCH(S$19,$3:$3))))))), "")</f>
        <v/>
      </c>
      <c r="T20" s="15" t="str" cm="1">
        <f t="array" aca="1" ref="T20" ca="1">IFERROR(_xlfn.TEXTJOIN("、",TRUE,_xlfn._xlws.FILTER($B$4:$B$17,ISNUMBER(SEARCH($B20,INDIRECT(ADDRESS(4, MATCH(T$19,$3:$3)) &amp; ":" &amp; ADDRESS(15, MATCH(T$19,$3:$3))))))), "")</f>
        <v/>
      </c>
      <c r="U20" s="15" t="str" cm="1">
        <f t="array" aca="1" ref="U20" ca="1">IFERROR(_xlfn.TEXTJOIN("、",TRUE,_xlfn._xlws.FILTER($B$4:$B$17,ISNUMBER(SEARCH($B20,INDIRECT(ADDRESS(4, MATCH(U$19,$3:$3)) &amp; ":" &amp; ADDRESS(15, MATCH(U$19,$3:$3))))))), "")</f>
        <v/>
      </c>
      <c r="V20" s="15" t="str" cm="1">
        <f t="array" aca="1" ref="V20" ca="1">IFERROR(_xlfn.TEXTJOIN("、",TRUE,_xlfn._xlws.FILTER($B$4:$B$17,ISNUMBER(SEARCH($B20,INDIRECT(ADDRESS(4, MATCH(V$19,$3:$3)) &amp; ":" &amp; ADDRESS(15, MATCH(V$19,$3:$3))))))), "")</f>
        <v/>
      </c>
      <c r="W20" s="15" t="str" cm="1">
        <f t="array" aca="1" ref="W20" ca="1">IFERROR(_xlfn.TEXTJOIN("、",TRUE,_xlfn._xlws.FILTER($B$4:$B$17,ISNUMBER(SEARCH($B20,INDIRECT(ADDRESS(4, MATCH(W$19,$3:$3)) &amp; ":" &amp; ADDRESS(15, MATCH(W$19,$3:$3))))))), "")</f>
        <v/>
      </c>
      <c r="X20" s="15" t="str" cm="1">
        <f t="array" aca="1" ref="X20" ca="1">IFERROR(_xlfn.TEXTJOIN("、",TRUE,_xlfn._xlws.FILTER($B$4:$B$17,ISNUMBER(SEARCH($B20,INDIRECT(ADDRESS(4, MATCH(X$19,$3:$3)) &amp; ":" &amp; ADDRESS(15, MATCH(X$19,$3:$3))))))), "")</f>
        <v/>
      </c>
      <c r="Y20" s="15" t="str" cm="1">
        <f t="array" aca="1" ref="Y20" ca="1">IFERROR(_xlfn.TEXTJOIN("、",TRUE,_xlfn._xlws.FILTER($B$4:$B$17,ISNUMBER(SEARCH($B20,INDIRECT(ADDRESS(4, MATCH(Y$19,$3:$3)) &amp; ":" &amp; ADDRESS(15, MATCH(Y$19,$3:$3))))))), "")</f>
        <v/>
      </c>
      <c r="Z20" s="15" t="str" cm="1">
        <f t="array" aca="1" ref="Z20" ca="1">IFERROR(_xlfn.TEXTJOIN("、",TRUE,_xlfn._xlws.FILTER($B$4:$B$17,ISNUMBER(SEARCH($B20,INDIRECT(ADDRESS(4, MATCH(Z$19,$3:$3)) &amp; ":" &amp; ADDRESS(15, MATCH(Z$19,$3:$3))))))), "")</f>
        <v/>
      </c>
      <c r="AA20" s="15" t="str" cm="1">
        <f t="array" aca="1" ref="AA20" ca="1">IFERROR(_xlfn.TEXTJOIN("、",TRUE,_xlfn._xlws.FILTER($B$4:$B$17,ISNUMBER(SEARCH($B20,INDIRECT(ADDRESS(4, MATCH(AA$19,$3:$3)) &amp; ":" &amp; ADDRESS(15, MATCH(AA$19,$3:$3))))))), "")</f>
        <v/>
      </c>
      <c r="AB20" s="15" t="str" cm="1">
        <f t="array" aca="1" ref="AB20" ca="1">IFERROR(_xlfn.TEXTJOIN("、",TRUE,_xlfn._xlws.FILTER($B$4:$B$17,ISNUMBER(SEARCH($B20,INDIRECT(ADDRESS(4, MATCH(AB$19,$3:$3)) &amp; ":" &amp; ADDRESS(15, MATCH(AB$19,$3:$3))))))), "")</f>
        <v/>
      </c>
      <c r="AC20" s="15" t="str" cm="1">
        <f t="array" aca="1" ref="AC20" ca="1">IFERROR(_xlfn.TEXTJOIN("、",TRUE,_xlfn._xlws.FILTER($B$4:$B$17,ISNUMBER(SEARCH($B20,INDIRECT(ADDRESS(4, MATCH(AC$19,$3:$3)) &amp; ":" &amp; ADDRESS(15, MATCH(AC$19,$3:$3))))))), "")</f>
        <v/>
      </c>
      <c r="AD20" s="15" t="str" cm="1">
        <f t="array" aca="1" ref="AD20" ca="1">IFERROR(_xlfn.TEXTJOIN("、",TRUE,_xlfn._xlws.FILTER($B$4:$B$17,ISNUMBER(SEARCH($B20,INDIRECT(ADDRESS(4, MATCH(AD$19,$3:$3)) &amp; ":" &amp; ADDRESS(15, MATCH(AD$19,$3:$3))))))), "")</f>
        <v/>
      </c>
      <c r="AE20" s="15" t="str" cm="1">
        <f t="array" aca="1" ref="AE20" ca="1">IFERROR(_xlfn.TEXTJOIN("、",TRUE,_xlfn._xlws.FILTER($B$4:$B$17,ISNUMBER(SEARCH($B20,INDIRECT(ADDRESS(4, MATCH(AE$19,$3:$3)) &amp; ":" &amp; ADDRESS(15, MATCH(AE$19,$3:$3))))))), "")</f>
        <v/>
      </c>
      <c r="AF20" s="15" t="str" cm="1">
        <f t="array" aca="1" ref="AF20" ca="1">IFERROR(_xlfn.TEXTJOIN("、",TRUE,_xlfn._xlws.FILTER($B$4:$B$17,ISNUMBER(SEARCH($B20,INDIRECT(ADDRESS(4, MATCH(AF$19,$3:$3)) &amp; ":" &amp; ADDRESS(15, MATCH(AF$19,$3:$3))))))), "")</f>
        <v/>
      </c>
      <c r="AG20" s="15" t="str" cm="1">
        <f t="array" aca="1" ref="AG20" ca="1">IFERROR(_xlfn.TEXTJOIN("、",TRUE,_xlfn._xlws.FILTER($B$4:$B$17,ISNUMBER(SEARCH($B20,INDIRECT(ADDRESS(4, MATCH(AG$19,$3:$3)) &amp; ":" &amp; ADDRESS(15, MATCH(AG$19,$3:$3))))))), "")</f>
        <v/>
      </c>
      <c r="AH20" s="15" t="str" cm="1">
        <f t="array" aca="1" ref="AH20" ca="1">IFERROR(_xlfn.TEXTJOIN("、",TRUE,_xlfn._xlws.FILTER($B$4:$B$17,ISNUMBER(SEARCH($B20,INDIRECT(ADDRESS(4, MATCH(AH$19,$3:$3)) &amp; ":" &amp; ADDRESS(15, MATCH(AH$19,$3:$3))))))), "")</f>
        <v/>
      </c>
      <c r="AI20" s="15" t="str" cm="1">
        <f t="array" aca="1" ref="AI20" ca="1">IFERROR(_xlfn.TEXTJOIN("、",TRUE,_xlfn._xlws.FILTER($B$4:$B$17,ISNUMBER(SEARCH($B20,INDIRECT(ADDRESS(4, MATCH(AI$19,$3:$3)) &amp; ":" &amp; ADDRESS(15, MATCH(AI$19,$3:$3))))))), "")</f>
        <v/>
      </c>
      <c r="AJ20" s="15" t="str" cm="1">
        <f t="array" aca="1" ref="AJ20" ca="1">IFERROR(_xlfn.TEXTJOIN("、",TRUE,_xlfn._xlws.FILTER($B$4:$B$17,ISNUMBER(SEARCH($B20,INDIRECT(ADDRESS(4, MATCH(AJ$19,$3:$3)) &amp; ":" &amp; ADDRESS(15, MATCH(AJ$19,$3:$3))))))), "")</f>
        <v/>
      </c>
      <c r="AK20" s="15" t="str" cm="1">
        <f t="array" aca="1" ref="AK20" ca="1">IFERROR(_xlfn.TEXTJOIN("、",TRUE,_xlfn._xlws.FILTER($B$4:$B$17,ISNUMBER(SEARCH($B20,INDIRECT(ADDRESS(4, MATCH(AK$19,$3:$3)) &amp; ":" &amp; ADDRESS(15, MATCH(AK$19,$3:$3))))))), "")</f>
        <v/>
      </c>
      <c r="AL20" s="15" t="str" cm="1">
        <f t="array" aca="1" ref="AL20" ca="1">IFERROR(_xlfn.TEXTJOIN("、",TRUE,_xlfn._xlws.FILTER($B$4:$B$17,ISNUMBER(SEARCH($B20,INDIRECT(ADDRESS(4, MATCH(AL$19,$3:$3)) &amp; ":" &amp; ADDRESS(15, MATCH(AL$19,$3:$3))))))), "")</f>
        <v/>
      </c>
      <c r="AM20" s="15" t="str" cm="1">
        <f t="array" aca="1" ref="AM20" ca="1">IFERROR(_xlfn.TEXTJOIN("、",TRUE,_xlfn._xlws.FILTER($B$4:$B$17,ISNUMBER(SEARCH($B20,INDIRECT(ADDRESS(4, MATCH(AM$19,$3:$3)) &amp; ":" &amp; ADDRESS(15, MATCH(AM$19,$3:$3))))))), "")</f>
        <v/>
      </c>
      <c r="AN20" s="15" t="str" cm="1">
        <f t="array" aca="1" ref="AN20" ca="1">IFERROR(_xlfn.TEXTJOIN("、",TRUE,_xlfn._xlws.FILTER($B$4:$B$17,ISNUMBER(SEARCH($B20,INDIRECT(ADDRESS(4, MATCH(AN$19,$3:$3)) &amp; ":" &amp; ADDRESS(15, MATCH(AN$19,$3:$3))))))), "")</f>
        <v/>
      </c>
      <c r="AO20" s="15" t="str" cm="1">
        <f t="array" aca="1" ref="AO20" ca="1">IFERROR(_xlfn.TEXTJOIN("、",TRUE,_xlfn._xlws.FILTER($B$4:$B$17,ISNUMBER(SEARCH($B20,INDIRECT(ADDRESS(4, MATCH(AO$19,$3:$3)) &amp; ":" &amp; ADDRESS(15, MATCH(AO$19,$3:$3))))))), "")</f>
        <v/>
      </c>
      <c r="AP20" s="15" t="str" cm="1">
        <f t="array" aca="1" ref="AP20" ca="1">IFERROR(_xlfn.TEXTJOIN("、",TRUE,_xlfn._xlws.FILTER($B$4:$B$17,ISNUMBER(SEARCH($B20,INDIRECT(ADDRESS(4, MATCH(AP$19,$3:$3)) &amp; ":" &amp; ADDRESS(15, MATCH(AP$19,$3:$3))))))), "")</f>
        <v/>
      </c>
      <c r="AQ20" s="15" t="str" cm="1">
        <f t="array" aca="1" ref="AQ20" ca="1">IFERROR(_xlfn.TEXTJOIN("、",TRUE,_xlfn._xlws.FILTER($B$4:$B$17,ISNUMBER(SEARCH($B20,INDIRECT(ADDRESS(4, MATCH(AQ$19,$3:$3)) &amp; ":" &amp; ADDRESS(15, MATCH(AQ$19,$3:$3))))))), "")</f>
        <v/>
      </c>
      <c r="AR20" s="15" t="str" cm="1">
        <f t="array" aca="1" ref="AR20" ca="1">IFERROR(_xlfn.TEXTJOIN("、",TRUE,_xlfn._xlws.FILTER($B$4:$B$17,ISNUMBER(SEARCH($B20,INDIRECT(ADDRESS(4, MATCH(AR$19,$3:$3)) &amp; ":" &amp; ADDRESS(15, MATCH(AR$19,$3:$3))))))), "")</f>
        <v/>
      </c>
      <c r="AS20" s="15" t="str" cm="1">
        <f t="array" aca="1" ref="AS20" ca="1">IFERROR(_xlfn.TEXTJOIN("、",TRUE,_xlfn._xlws.FILTER($B$4:$B$17,ISNUMBER(SEARCH($B20,INDIRECT(ADDRESS(4, MATCH(AS$19,$3:$3)) &amp; ":" &amp; ADDRESS(15, MATCH(AS$19,$3:$3))))))), "")</f>
        <v/>
      </c>
      <c r="AT20" s="15" t="str" cm="1">
        <f t="array" aca="1" ref="AT20" ca="1">IFERROR(_xlfn.TEXTJOIN("、",TRUE,_xlfn._xlws.FILTER($B$4:$B$17,ISNUMBER(SEARCH($B20,INDIRECT(ADDRESS(4, MATCH(AT$19,$3:$3)) &amp; ":" &amp; ADDRESS(15, MATCH(AT$19,$3:$3))))))), "")</f>
        <v/>
      </c>
      <c r="AU20" s="15" t="str" cm="1">
        <f t="array" aca="1" ref="AU20" ca="1">IFERROR(_xlfn.TEXTJOIN("、",TRUE,_xlfn._xlws.FILTER($B$4:$B$17,ISNUMBER(SEARCH($B20,INDIRECT(ADDRESS(4, MATCH(AU$19,$3:$3)) &amp; ":" &amp; ADDRESS(15, MATCH(AU$19,$3:$3))))))), "")</f>
        <v/>
      </c>
      <c r="AV20" s="15" t="str" cm="1">
        <f t="array" aca="1" ref="AV20" ca="1">IFERROR(_xlfn.TEXTJOIN("、",TRUE,_xlfn._xlws.FILTER($B$4:$B$17,ISNUMBER(SEARCH($B20,INDIRECT(ADDRESS(4, MATCH(AV$19,$3:$3)) &amp; ":" &amp; ADDRESS(15, MATCH(AV$19,$3:$3))))))), "")</f>
        <v/>
      </c>
      <c r="AW20" s="15" t="str" cm="1">
        <f t="array" aca="1" ref="AW20" ca="1">IFERROR(_xlfn.TEXTJOIN("、",TRUE,_xlfn._xlws.FILTER($B$4:$B$17,ISNUMBER(SEARCH($B20,INDIRECT(ADDRESS(4, MATCH(AW$19,$3:$3)) &amp; ":" &amp; ADDRESS(15, MATCH(AW$19,$3:$3))))))), "")</f>
        <v/>
      </c>
      <c r="AX20" s="15" t="str" cm="1">
        <f t="array" aca="1" ref="AX20" ca="1">IFERROR(_xlfn.TEXTJOIN("、",TRUE,_xlfn._xlws.FILTER($B$4:$B$17,ISNUMBER(SEARCH($B20,INDIRECT(ADDRESS(4, MATCH(AX$19,$3:$3)) &amp; ":" &amp; ADDRESS(15, MATCH(AX$19,$3:$3))))))), "")</f>
        <v/>
      </c>
      <c r="AY20" s="15" t="str" cm="1">
        <f t="array" aca="1" ref="AY20" ca="1">IFERROR(_xlfn.TEXTJOIN("、",TRUE,_xlfn._xlws.FILTER($B$4:$B$17,ISNUMBER(SEARCH($B20,INDIRECT(ADDRESS(4, MATCH(AY$19,$3:$3)) &amp; ":" &amp; ADDRESS(15, MATCH(AY$19,$3:$3))))))), "")</f>
        <v/>
      </c>
      <c r="AZ20" s="15" t="str" cm="1">
        <f t="array" aca="1" ref="AZ20" ca="1">IFERROR(_xlfn.TEXTJOIN("、",TRUE,_xlfn._xlws.FILTER($B$4:$B$17,ISNUMBER(SEARCH($B20,INDIRECT(ADDRESS(4, MATCH(AZ$19,$3:$3)) &amp; ":" &amp; ADDRESS(15, MATCH(AZ$19,$3:$3))))))), "")</f>
        <v/>
      </c>
      <c r="BA20" s="15" t="str" cm="1">
        <f t="array" aca="1" ref="BA20" ca="1">IFERROR(_xlfn.TEXTJOIN("、",TRUE,_xlfn._xlws.FILTER($B$4:$B$17,ISNUMBER(SEARCH($B20,INDIRECT(ADDRESS(4, MATCH(BA$19,$3:$3)) &amp; ":" &amp; ADDRESS(15, MATCH(BA$19,$3:$3))))))), "")</f>
        <v/>
      </c>
      <c r="BB20" s="15" t="str" cm="1">
        <f t="array" aca="1" ref="BB20" ca="1">IFERROR(_xlfn.TEXTJOIN("、",TRUE,_xlfn._xlws.FILTER($B$4:$B$17,ISNUMBER(SEARCH($B20,INDIRECT(ADDRESS(4, MATCH(BB$19,$3:$3)) &amp; ":" &amp; ADDRESS(15, MATCH(BB$19,$3:$3))))))), "")</f>
        <v/>
      </c>
      <c r="BC20" s="15" t="str" cm="1">
        <f t="array" aca="1" ref="BC20" ca="1">IFERROR(_xlfn.TEXTJOIN("、",TRUE,_xlfn._xlws.FILTER($B$4:$B$17,ISNUMBER(SEARCH($B20,INDIRECT(ADDRESS(4, MATCH(BC$19,$3:$3)) &amp; ":" &amp; ADDRESS(15, MATCH(BC$19,$3:$3))))))), "")</f>
        <v/>
      </c>
      <c r="BD20" s="15" t="str" cm="1">
        <f t="array" aca="1" ref="BD20" ca="1">IFERROR(_xlfn.TEXTJOIN("、",TRUE,_xlfn._xlws.FILTER($B$4:$B$17,ISNUMBER(SEARCH($B20,INDIRECT(ADDRESS(4, MATCH(BD$19,$3:$3)) &amp; ":" &amp; ADDRESS(15, MATCH(BD$19,$3:$3))))))), "")</f>
        <v/>
      </c>
      <c r="BE20" s="15" t="str" cm="1">
        <f t="array" aca="1" ref="BE20" ca="1">IFERROR(_xlfn.TEXTJOIN("、",TRUE,_xlfn._xlws.FILTER($B$4:$B$17,ISNUMBER(SEARCH($B20,INDIRECT(ADDRESS(4, MATCH(BE$19,$3:$3)) &amp; ":" &amp; ADDRESS(15, MATCH(BE$19,$3:$3))))))), "")</f>
        <v/>
      </c>
      <c r="BF20" s="15" t="str" cm="1">
        <f t="array" aca="1" ref="BF20" ca="1">IFERROR(_xlfn.TEXTJOIN("、",TRUE,_xlfn._xlws.FILTER($B$4:$B$17,ISNUMBER(SEARCH($B20,INDIRECT(ADDRESS(4, MATCH(BF$19,$3:$3)) &amp; ":" &amp; ADDRESS(15, MATCH(BF$19,$3:$3))))))), "")</f>
        <v/>
      </c>
      <c r="BG20" s="15" t="str" cm="1">
        <f t="array" aca="1" ref="BG20" ca="1">IFERROR(_xlfn.TEXTJOIN("、",TRUE,_xlfn._xlws.FILTER($B$4:$B$17,ISNUMBER(SEARCH($B20,INDIRECT(ADDRESS(4, MATCH(BG$19,$3:$3)) &amp; ":" &amp; ADDRESS(15, MATCH(BG$19,$3:$3))))))), "")</f>
        <v/>
      </c>
      <c r="BH20" s="15" t="str" cm="1">
        <f t="array" aca="1" ref="BH20" ca="1">IFERROR(_xlfn.TEXTJOIN("、",TRUE,_xlfn._xlws.FILTER($B$4:$B$17,ISNUMBER(SEARCH($B20,INDIRECT(ADDRESS(4, MATCH(BH$19,$3:$3)) &amp; ":" &amp; ADDRESS(15, MATCH(BH$19,$3:$3))))))), "")</f>
        <v/>
      </c>
      <c r="BI20" s="15" t="str" cm="1">
        <f t="array" aca="1" ref="BI20" ca="1">IFERROR(_xlfn.TEXTJOIN("、",TRUE,_xlfn._xlws.FILTER($B$4:$B$17,ISNUMBER(SEARCH($B20,INDIRECT(ADDRESS(4, MATCH(BI$19,$3:$3)) &amp; ":" &amp; ADDRESS(15, MATCH(BI$19,$3:$3))))))), "")</f>
        <v/>
      </c>
      <c r="BJ20" s="15" t="str" cm="1">
        <f t="array" aca="1" ref="BJ20" ca="1">IFERROR(_xlfn.TEXTJOIN("、",TRUE,_xlfn._xlws.FILTER($B$4:$B$17,ISNUMBER(SEARCH($B20,INDIRECT(ADDRESS(4, MATCH(BJ$19,$3:$3)) &amp; ":" &amp; ADDRESS(15, MATCH(BJ$19,$3:$3))))))), "")</f>
        <v/>
      </c>
      <c r="BK20" s="15" t="str" cm="1">
        <f t="array" aca="1" ref="BK20" ca="1">IFERROR(_xlfn.TEXTJOIN("、",TRUE,_xlfn._xlws.FILTER($B$4:$B$17,ISNUMBER(SEARCH($B20,INDIRECT(ADDRESS(4, MATCH(BK$19,$3:$3)) &amp; ":" &amp; ADDRESS(15, MATCH(BK$19,$3:$3))))))), "")</f>
        <v/>
      </c>
      <c r="BL20" s="15" t="str" cm="1">
        <f t="array" aca="1" ref="BL20" ca="1">IFERROR(_xlfn.TEXTJOIN("、",TRUE,_xlfn._xlws.FILTER($B$4:$B$17,ISNUMBER(SEARCH($B20,INDIRECT(ADDRESS(4, MATCH(BL$19,$3:$3)) &amp; ":" &amp; ADDRESS(15, MATCH(BL$19,$3:$3))))))), "")</f>
        <v/>
      </c>
      <c r="BM20" s="15" t="str" cm="1">
        <f t="array" aca="1" ref="BM20" ca="1">IFERROR(_xlfn.TEXTJOIN("、",TRUE,_xlfn._xlws.FILTER($B$4:$B$17,ISNUMBER(SEARCH($B20,INDIRECT(ADDRESS(4, MATCH(BM$19,$3:$3)) &amp; ":" &amp; ADDRESS(15, MATCH(BM$19,$3:$3))))))), "")</f>
        <v/>
      </c>
      <c r="BN20" s="15" t="str" cm="1">
        <f t="array" aca="1" ref="BN20" ca="1">IFERROR(_xlfn.TEXTJOIN("、",TRUE,_xlfn._xlws.FILTER($B$4:$B$17,ISNUMBER(SEARCH($B20,INDIRECT(ADDRESS(4, MATCH(BN$19,$3:$3)) &amp; ":" &amp; ADDRESS(15, MATCH(BN$19,$3:$3))))))), "")</f>
        <v/>
      </c>
      <c r="BO20" s="15" t="str" cm="1">
        <f t="array" aca="1" ref="BO20" ca="1">IFERROR(_xlfn.TEXTJOIN("、",TRUE,_xlfn._xlws.FILTER($B$4:$B$17,ISNUMBER(SEARCH($B20,INDIRECT(ADDRESS(4, MATCH(BO$19,$3:$3)) &amp; ":" &amp; ADDRESS(15, MATCH(BO$19,$3:$3))))))), "")</f>
        <v/>
      </c>
      <c r="BP20" s="15" t="str" cm="1">
        <f t="array" aca="1" ref="BP20" ca="1">IFERROR(_xlfn.TEXTJOIN("、",TRUE,_xlfn._xlws.FILTER($B$4:$B$17,ISNUMBER(SEARCH($B20,INDIRECT(ADDRESS(4, MATCH(BP$19,$3:$3)) &amp; ":" &amp; ADDRESS(15, MATCH(BP$19,$3:$3))))))), "")</f>
        <v/>
      </c>
      <c r="BQ20" s="15" t="str" cm="1">
        <f t="array" aca="1" ref="BQ20" ca="1">IFERROR(_xlfn.TEXTJOIN("、",TRUE,_xlfn._xlws.FILTER($B$4:$B$17,ISNUMBER(SEARCH($B20,INDIRECT(ADDRESS(4, MATCH(BQ$19,$3:$3)) &amp; ":" &amp; ADDRESS(15, MATCH(BQ$19,$3:$3))))))), "")</f>
        <v/>
      </c>
      <c r="BR20" s="15" t="str" cm="1">
        <f t="array" aca="1" ref="BR20" ca="1">IFERROR(_xlfn.TEXTJOIN("、",TRUE,_xlfn._xlws.FILTER($B$4:$B$17,ISNUMBER(SEARCH($B20,INDIRECT(ADDRESS(4, MATCH(BR$19,$3:$3)) &amp; ":" &amp; ADDRESS(15, MATCH(BR$19,$3:$3))))))), "")</f>
        <v/>
      </c>
      <c r="BS20" s="15" t="str" cm="1">
        <f t="array" aca="1" ref="BS20" ca="1">IFERROR(_xlfn.TEXTJOIN("、",TRUE,_xlfn._xlws.FILTER($B$4:$B$17,ISNUMBER(SEARCH($B20,INDIRECT(ADDRESS(4, MATCH(BS$19,$3:$3)) &amp; ":" &amp; ADDRESS(15, MATCH(BS$19,$3:$3))))))), "")</f>
        <v/>
      </c>
      <c r="BT20" s="15" t="str" cm="1">
        <f t="array" aca="1" ref="BT20" ca="1">IFERROR(_xlfn.TEXTJOIN("、",TRUE,_xlfn._xlws.FILTER($B$4:$B$17,ISNUMBER(SEARCH($B20,INDIRECT(ADDRESS(4, MATCH(BT$19,$3:$3)) &amp; ":" &amp; ADDRESS(15, MATCH(BT$19,$3:$3))))))), "")</f>
        <v/>
      </c>
      <c r="BU20" s="15" t="str" cm="1">
        <f t="array" aca="1" ref="BU20" ca="1">IFERROR(_xlfn.TEXTJOIN("、",TRUE,_xlfn._xlws.FILTER($B$4:$B$17,ISNUMBER(SEARCH($B20,INDIRECT(ADDRESS(4, MATCH(BU$19,$3:$3)) &amp; ":" &amp; ADDRESS(15, MATCH(BU$19,$3:$3))))))), "")</f>
        <v/>
      </c>
      <c r="BV20" s="15" t="str" cm="1">
        <f t="array" aca="1" ref="BV20" ca="1">IFERROR(_xlfn.TEXTJOIN("、",TRUE,_xlfn._xlws.FILTER($B$4:$B$17,ISNUMBER(SEARCH($B20,INDIRECT(ADDRESS(4, MATCH(BV$19,$3:$3)) &amp; ":" &amp; ADDRESS(15, MATCH(BV$19,$3:$3))))))), "")</f>
        <v/>
      </c>
      <c r="BW20" s="15" t="str" cm="1">
        <f t="array" aca="1" ref="BW20" ca="1">IFERROR(_xlfn.TEXTJOIN("、",TRUE,_xlfn._xlws.FILTER($B$4:$B$17,ISNUMBER(SEARCH($B20,INDIRECT(ADDRESS(4, MATCH(BW$19,$3:$3)) &amp; ":" &amp; ADDRESS(15, MATCH(BW$19,$3:$3))))))), "")</f>
        <v/>
      </c>
      <c r="BX20" s="15" t="str" cm="1">
        <f t="array" aca="1" ref="BX20" ca="1">IFERROR(_xlfn.TEXTJOIN("、",TRUE,_xlfn._xlws.FILTER($B$4:$B$17,ISNUMBER(SEARCH($B20,INDIRECT(ADDRESS(4, MATCH(BX$19,$3:$3)) &amp; ":" &amp; ADDRESS(15, MATCH(BX$19,$3:$3))))))), "")</f>
        <v/>
      </c>
      <c r="BY20" s="15" t="str" cm="1">
        <f t="array" aca="1" ref="BY20" ca="1">IFERROR(_xlfn.TEXTJOIN("、",TRUE,_xlfn._xlws.FILTER($B$4:$B$17,ISNUMBER(SEARCH($B20,INDIRECT(ADDRESS(4, MATCH(BY$19,$3:$3)) &amp; ":" &amp; ADDRESS(15, MATCH(BY$19,$3:$3))))))), "")</f>
        <v/>
      </c>
      <c r="BZ20" s="15" t="str" cm="1">
        <f t="array" aca="1" ref="BZ20" ca="1">IFERROR(_xlfn.TEXTJOIN("、",TRUE,_xlfn._xlws.FILTER($B$4:$B$17,ISNUMBER(SEARCH($B20,INDIRECT(ADDRESS(4, MATCH(BZ$19,$3:$3)) &amp; ":" &amp; ADDRESS(15, MATCH(BZ$19,$3:$3))))))), "")</f>
        <v/>
      </c>
      <c r="CA20" s="15" t="str" cm="1">
        <f t="array" aca="1" ref="CA20" ca="1">IFERROR(_xlfn.TEXTJOIN("、",TRUE,_xlfn._xlws.FILTER($B$4:$B$17,ISNUMBER(SEARCH($B20,INDIRECT(ADDRESS(4, MATCH(CA$19,$3:$3)) &amp; ":" &amp; ADDRESS(15, MATCH(CA$19,$3:$3))))))), "")</f>
        <v/>
      </c>
      <c r="CB20" s="15" t="str" cm="1">
        <f t="array" aca="1" ref="CB20" ca="1">IFERROR(_xlfn.TEXTJOIN("、",TRUE,_xlfn._xlws.FILTER($B$4:$B$17,ISNUMBER(SEARCH($B20,INDIRECT(ADDRESS(4, MATCH(CB$19,$3:$3)) &amp; ":" &amp; ADDRESS(15, MATCH(CB$19,$3:$3))))))), "")</f>
        <v/>
      </c>
      <c r="CC20" s="15" t="str" cm="1">
        <f t="array" aca="1" ref="CC20" ca="1">IFERROR(_xlfn.TEXTJOIN("、",TRUE,_xlfn._xlws.FILTER($B$4:$B$17,ISNUMBER(SEARCH($B20,INDIRECT(ADDRESS(4, MATCH(CC$19,$3:$3)) &amp; ":" &amp; ADDRESS(15, MATCH(CC$19,$3:$3))))))), "")</f>
        <v/>
      </c>
      <c r="CD20" s="15" t="str" cm="1">
        <f t="array" aca="1" ref="CD20" ca="1">IFERROR(_xlfn.TEXTJOIN("、",TRUE,_xlfn._xlws.FILTER($B$4:$B$17,ISNUMBER(SEARCH($B20,INDIRECT(ADDRESS(4, MATCH(CD$19,$3:$3)) &amp; ":" &amp; ADDRESS(15, MATCH(CD$19,$3:$3))))))), "")</f>
        <v/>
      </c>
      <c r="CE20" s="15" t="str" cm="1">
        <f t="array" aca="1" ref="CE20" ca="1">IFERROR(_xlfn.TEXTJOIN("、",TRUE,_xlfn._xlws.FILTER($B$4:$B$17,ISNUMBER(SEARCH($B20,INDIRECT(ADDRESS(4, MATCH(CE$19,$3:$3)) &amp; ":" &amp; ADDRESS(15, MATCH(CE$19,$3:$3))))))), "")</f>
        <v/>
      </c>
      <c r="CF20" s="15" t="str" cm="1">
        <f t="array" aca="1" ref="CF20" ca="1">IFERROR(_xlfn.TEXTJOIN("、",TRUE,_xlfn._xlws.FILTER($B$4:$B$17,ISNUMBER(SEARCH($B20,INDIRECT(ADDRESS(4, MATCH(CF$19,$3:$3)) &amp; ":" &amp; ADDRESS(15, MATCH(CF$19,$3:$3))))))), "")</f>
        <v/>
      </c>
      <c r="CG20" s="15" t="str" cm="1">
        <f t="array" aca="1" ref="CG20" ca="1">IFERROR(_xlfn.TEXTJOIN("、",TRUE,_xlfn._xlws.FILTER($B$4:$B$17,ISNUMBER(SEARCH($B20,INDIRECT(ADDRESS(4, MATCH(CG$19,$3:$3)) &amp; ":" &amp; ADDRESS(15, MATCH(CG$19,$3:$3))))))), "")</f>
        <v/>
      </c>
      <c r="CH20" s="15" t="str" cm="1">
        <f t="array" aca="1" ref="CH20" ca="1">IFERROR(_xlfn.TEXTJOIN("、",TRUE,_xlfn._xlws.FILTER($B$4:$B$17,ISNUMBER(SEARCH($B20,INDIRECT(ADDRESS(4, MATCH(CH$19,$3:$3)) &amp; ":" &amp; ADDRESS(15, MATCH(CH$19,$3:$3))))))), "")</f>
        <v/>
      </c>
      <c r="CI20" s="15" t="str" cm="1">
        <f t="array" aca="1" ref="CI20" ca="1">IFERROR(_xlfn.TEXTJOIN("、",TRUE,_xlfn._xlws.FILTER($B$4:$B$17,ISNUMBER(SEARCH($B20,INDIRECT(ADDRESS(4, MATCH(CI$19,$3:$3)) &amp; ":" &amp; ADDRESS(15, MATCH(CI$19,$3:$3))))))), "")</f>
        <v/>
      </c>
      <c r="CJ20" s="15" t="str" cm="1">
        <f t="array" aca="1" ref="CJ20" ca="1">IFERROR(_xlfn.TEXTJOIN("、",TRUE,_xlfn._xlws.FILTER($B$4:$B$17,ISNUMBER(SEARCH($B20,INDIRECT(ADDRESS(4, MATCH(CJ$19,$3:$3)) &amp; ":" &amp; ADDRESS(15, MATCH(CJ$19,$3:$3))))))), "")</f>
        <v/>
      </c>
      <c r="CK20" s="15" t="str" cm="1">
        <f t="array" aca="1" ref="CK20" ca="1">IFERROR(_xlfn.TEXTJOIN("、",TRUE,_xlfn._xlws.FILTER($B$4:$B$17,ISNUMBER(SEARCH($B20,INDIRECT(ADDRESS(4, MATCH(CK$19,$3:$3)) &amp; ":" &amp; ADDRESS(15, MATCH(CK$19,$3:$3))))))), "")</f>
        <v/>
      </c>
      <c r="CL20" s="15" t="str" cm="1">
        <f t="array" aca="1" ref="CL20" ca="1">IFERROR(_xlfn.TEXTJOIN("、",TRUE,_xlfn._xlws.FILTER($B$4:$B$17,ISNUMBER(SEARCH($B20,INDIRECT(ADDRESS(4, MATCH(CL$19,$3:$3)) &amp; ":" &amp; ADDRESS(15, MATCH(CL$19,$3:$3))))))), "")</f>
        <v/>
      </c>
      <c r="CM20" s="15" t="str" cm="1">
        <f t="array" aca="1" ref="CM20" ca="1">IFERROR(_xlfn.TEXTJOIN("、",TRUE,_xlfn._xlws.FILTER($B$4:$B$17,ISNUMBER(SEARCH($B20,INDIRECT(ADDRESS(4, MATCH(CM$19,$3:$3)) &amp; ":" &amp; ADDRESS(15, MATCH(CM$19,$3:$3))))))), "")</f>
        <v/>
      </c>
      <c r="CN20" s="15" t="str" cm="1">
        <f t="array" aca="1" ref="CN20" ca="1">IFERROR(_xlfn.TEXTJOIN("、",TRUE,_xlfn._xlws.FILTER($B$4:$B$17,ISNUMBER(SEARCH($B20,INDIRECT(ADDRESS(4, MATCH(CN$19,$3:$3)) &amp; ":" &amp; ADDRESS(15, MATCH(CN$19,$3:$3))))))), "")</f>
        <v/>
      </c>
      <c r="CO20" s="15" t="str" cm="1">
        <f t="array" aca="1" ref="CO20" ca="1">IFERROR(_xlfn.TEXTJOIN("、",TRUE,_xlfn._xlws.FILTER($B$4:$B$17,ISNUMBER(SEARCH($B20,INDIRECT(ADDRESS(4, MATCH(CO$19,$3:$3)) &amp; ":" &amp; ADDRESS(15, MATCH(CO$19,$3:$3))))))), "")</f>
        <v/>
      </c>
      <c r="CP20" s="15" t="str" cm="1">
        <f t="array" aca="1" ref="CP20" ca="1">IFERROR(_xlfn.TEXTJOIN("、",TRUE,_xlfn._xlws.FILTER($B$4:$B$17,ISNUMBER(SEARCH($B20,INDIRECT(ADDRESS(4, MATCH(CP$19,$3:$3)) &amp; ":" &amp; ADDRESS(15, MATCH(CP$19,$3:$3))))))), "")</f>
        <v/>
      </c>
      <c r="CQ20" s="15" t="str" cm="1">
        <f t="array" aca="1" ref="CQ20" ca="1">IFERROR(_xlfn.TEXTJOIN("、",TRUE,_xlfn._xlws.FILTER($B$4:$B$17,INDIRECT(ADDRESS(4, MATCH(CQ$19,$3:$3)) &amp; ":" &amp; ADDRESS(15, MATCH(CQ$19,$3:$3)))=$B20)), "")</f>
        <v/>
      </c>
      <c r="CR20" s="15" t="str" cm="1">
        <f t="array" aca="1" ref="CR20" ca="1">IFERROR(_xlfn.TEXTJOIN("、",TRUE,_xlfn._xlws.FILTER($B$4:$B$17,INDIRECT(ADDRESS(4, MATCH(CR$19,$3:$3)) &amp; ":" &amp; ADDRESS(15, MATCH(CR$19,$3:$3)))=$B20)), "")</f>
        <v/>
      </c>
      <c r="CS20" s="15" t="str" cm="1">
        <f t="array" aca="1" ref="CS20" ca="1">IFERROR(_xlfn.TEXTJOIN("、",TRUE,_xlfn._xlws.FILTER($B$4:$B$17,INDIRECT(ADDRESS(4, MATCH(CS$19,$3:$3)) &amp; ":" &amp; ADDRESS(15, MATCH(CS$19,$3:$3)))=$B20)), "")</f>
        <v/>
      </c>
      <c r="CT20" s="15" t="str" cm="1">
        <f t="array" aca="1" ref="CT20" ca="1">IFERROR(_xlfn.TEXTJOIN("、",TRUE,_xlfn._xlws.FILTER($B$4:$B$17,INDIRECT(ADDRESS(4, MATCH(CT$19,$3:$3)) &amp; ":" &amp; ADDRESS(15, MATCH(CT$19,$3:$3)))=$B20)), "")</f>
        <v/>
      </c>
      <c r="CU20" s="138"/>
      <c r="CV20" s="139" t="s">
        <v>204</v>
      </c>
      <c r="CW20" s="140"/>
      <c r="CX20" s="139" t="s">
        <v>201</v>
      </c>
      <c r="CY20" s="139" t="s">
        <v>202</v>
      </c>
      <c r="CZ20" s="139" t="s">
        <v>322</v>
      </c>
      <c r="DA20" s="140"/>
      <c r="DB20" s="140"/>
    </row>
    <row r="21" spans="2:106" ht="19.5" thickBot="1">
      <c r="B21" s="35" t="s">
        <v>334</v>
      </c>
      <c r="C21" s="15" t="str" cm="1">
        <f t="array" aca="1" ref="C21" ca="1">IFERROR(_xlfn.TEXTJOIN("、",TRUE,_xlfn._xlws.FILTER($B$4:$B$17,ISNUMBER(SEARCH($B21,INDIRECT(ADDRESS(4, MATCH(C$19,$3:$3)) &amp; ":" &amp; ADDRESS(15, MATCH(C$19,$3:$3))))))), "")</f>
        <v/>
      </c>
      <c r="D21" s="15" t="str" cm="1">
        <f t="array" aca="1" ref="D21" ca="1">IFERROR(_xlfn.TEXTJOIN("、",TRUE,_xlfn._xlws.FILTER($B$4:$B$17,ISNUMBER(SEARCH($B21,INDIRECT(ADDRESS(4, MATCH(D$19,$3:$3)) &amp; ":" &amp; ADDRESS(15, MATCH(D$19,$3:$3))))))), "")</f>
        <v/>
      </c>
      <c r="E21" s="15" t="str" cm="1">
        <f t="array" aca="1" ref="E21" ca="1">IFERROR(_xlfn.TEXTJOIN("、",TRUE,_xlfn._xlws.FILTER($B$4:$B$17,ISNUMBER(SEARCH($B21,INDIRECT(ADDRESS(4, MATCH(E$19,$3:$3)) &amp; ":" &amp; ADDRESS(15, MATCH(E$19,$3:$3))))))), "")</f>
        <v/>
      </c>
      <c r="F21" s="15" t="str" cm="1">
        <f t="array" aca="1" ref="F21" ca="1">IFERROR(_xlfn.TEXTJOIN("、",TRUE,_xlfn._xlws.FILTER($B$4:$B$17,ISNUMBER(SEARCH($B21,INDIRECT(ADDRESS(4, MATCH(F$19,$3:$3)) &amp; ":" &amp; ADDRESS(15, MATCH(F$19,$3:$3))))))), "")</f>
        <v/>
      </c>
      <c r="G21" s="15" t="str" cm="1">
        <f t="array" aca="1" ref="G21" ca="1">IFERROR(_xlfn.TEXTJOIN("、",TRUE,_xlfn._xlws.FILTER($B$4:$B$17,ISNUMBER(SEARCH($B21,INDIRECT(ADDRESS(4, MATCH(G$19,$3:$3)) &amp; ":" &amp; ADDRESS(15, MATCH(G$19,$3:$3))))))), "")</f>
        <v/>
      </c>
      <c r="H21" s="15" t="str" cm="1">
        <f t="array" aca="1" ref="H21" ca="1">IFERROR(_xlfn.TEXTJOIN("、",TRUE,_xlfn._xlws.FILTER($B$4:$B$17,ISNUMBER(SEARCH($B21,INDIRECT(ADDRESS(4, MATCH(H$19,$3:$3)) &amp; ":" &amp; ADDRESS(15, MATCH(H$19,$3:$3))))))), "")</f>
        <v/>
      </c>
      <c r="I21" s="15" t="str" cm="1">
        <f t="array" aca="1" ref="I21" ca="1">IFERROR(_xlfn.TEXTJOIN("、",TRUE,_xlfn._xlws.FILTER($B$4:$B$17,ISNUMBER(SEARCH($B21,INDIRECT(ADDRESS(4, MATCH(I$19,$3:$3)) &amp; ":" &amp; ADDRESS(15, MATCH(I$19,$3:$3))))))), "")</f>
        <v/>
      </c>
      <c r="J21" s="15" t="str" cm="1">
        <f t="array" aca="1" ref="J21" ca="1">IFERROR(_xlfn.TEXTJOIN("、",TRUE,_xlfn._xlws.FILTER($B$4:$B$17,ISNUMBER(SEARCH($B21,INDIRECT(ADDRESS(4, MATCH(J$19,$3:$3)) &amp; ":" &amp; ADDRESS(15, MATCH(J$19,$3:$3))))))), "")</f>
        <v/>
      </c>
      <c r="K21" s="15" t="str" cm="1">
        <f t="array" aca="1" ref="K21" ca="1">IFERROR(_xlfn.TEXTJOIN("、",TRUE,_xlfn._xlws.FILTER($B$4:$B$17,ISNUMBER(SEARCH($B21,INDIRECT(ADDRESS(4, MATCH(K$19,$3:$3)) &amp; ":" &amp; ADDRESS(15, MATCH(K$19,$3:$3))))))), "")</f>
        <v/>
      </c>
      <c r="L21" s="15" t="str" cm="1">
        <f t="array" aca="1" ref="L21" ca="1">IFERROR(_xlfn.TEXTJOIN("、",TRUE,_xlfn._xlws.FILTER($B$4:$B$17,ISNUMBER(SEARCH($B21,INDIRECT(ADDRESS(4, MATCH(L$19,$3:$3)) &amp; ":" &amp; ADDRESS(15, MATCH(L$19,$3:$3))))))), "")</f>
        <v/>
      </c>
      <c r="M21" s="15" t="str" cm="1">
        <f t="array" aca="1" ref="M21" ca="1">IFERROR(_xlfn.TEXTJOIN("、",TRUE,_xlfn._xlws.FILTER($B$4:$B$17,ISNUMBER(SEARCH($B21,INDIRECT(ADDRESS(4, MATCH(M$19,$3:$3)) &amp; ":" &amp; ADDRESS(15, MATCH(M$19,$3:$3))))))), "")</f>
        <v/>
      </c>
      <c r="N21" s="15" t="str" cm="1">
        <f t="array" aca="1" ref="N21" ca="1">IFERROR(_xlfn.TEXTJOIN("、",TRUE,_xlfn._xlws.FILTER($B$4:$B$17,ISNUMBER(SEARCH($B21,INDIRECT(ADDRESS(4, MATCH(N$19,$3:$3)) &amp; ":" &amp; ADDRESS(15, MATCH(N$19,$3:$3))))))), "")</f>
        <v/>
      </c>
      <c r="O21" s="15" t="str" cm="1">
        <f t="array" aca="1" ref="O21" ca="1">IFERROR(_xlfn.TEXTJOIN("、",TRUE,_xlfn._xlws.FILTER($B$4:$B$17,ISNUMBER(SEARCH($B21,INDIRECT(ADDRESS(4, MATCH(O$19,$3:$3)) &amp; ":" &amp; ADDRESS(15, MATCH(O$19,$3:$3))))))), "")</f>
        <v/>
      </c>
      <c r="P21" s="15" t="str" cm="1">
        <f t="array" aca="1" ref="P21" ca="1">IFERROR(_xlfn.TEXTJOIN("、",TRUE,_xlfn._xlws.FILTER($B$4:$B$17,ISNUMBER(SEARCH($B21,INDIRECT(ADDRESS(4, MATCH(P$19,$3:$3)) &amp; ":" &amp; ADDRESS(15, MATCH(P$19,$3:$3))))))), "")</f>
        <v/>
      </c>
      <c r="Q21" s="15" t="str" cm="1">
        <f t="array" aca="1" ref="Q21" ca="1">IFERROR(_xlfn.TEXTJOIN("、",TRUE,_xlfn._xlws.FILTER($B$4:$B$17,ISNUMBER(SEARCH($B21,INDIRECT(ADDRESS(4, MATCH(Q$19,$3:$3)) &amp; ":" &amp; ADDRESS(15, MATCH(Q$19,$3:$3))))))), "")</f>
        <v/>
      </c>
      <c r="R21" s="15" t="str" cm="1">
        <f t="array" aca="1" ref="R21" ca="1">IFERROR(_xlfn.TEXTJOIN("、",TRUE,_xlfn._xlws.FILTER($B$4:$B$17,ISNUMBER(SEARCH($B21,INDIRECT(ADDRESS(4, MATCH(R$19,$3:$3)) &amp; ":" &amp; ADDRESS(15, MATCH(R$19,$3:$3))))))), "")</f>
        <v/>
      </c>
      <c r="S21" s="15" t="str" cm="1">
        <f t="array" aca="1" ref="S21" ca="1">IFERROR(_xlfn.TEXTJOIN("、",TRUE,_xlfn._xlws.FILTER($B$4:$B$17,ISNUMBER(SEARCH($B21,INDIRECT(ADDRESS(4, MATCH(S$19,$3:$3)) &amp; ":" &amp; ADDRESS(15, MATCH(S$19,$3:$3))))))), "")</f>
        <v/>
      </c>
      <c r="T21" s="15" t="str" cm="1">
        <f t="array" aca="1" ref="T21" ca="1">IFERROR(_xlfn.TEXTJOIN("、",TRUE,_xlfn._xlws.FILTER($B$4:$B$17,ISNUMBER(SEARCH($B21,INDIRECT(ADDRESS(4, MATCH(T$19,$3:$3)) &amp; ":" &amp; ADDRESS(15, MATCH(T$19,$3:$3))))))), "")</f>
        <v/>
      </c>
      <c r="U21" s="15" t="str" cm="1">
        <f t="array" aca="1" ref="U21" ca="1">IFERROR(_xlfn.TEXTJOIN("、",TRUE,_xlfn._xlws.FILTER($B$4:$B$17,ISNUMBER(SEARCH($B21,INDIRECT(ADDRESS(4, MATCH(U$19,$3:$3)) &amp; ":" &amp; ADDRESS(15, MATCH(U$19,$3:$3))))))), "")</f>
        <v/>
      </c>
      <c r="V21" s="15" t="str" cm="1">
        <f t="array" aca="1" ref="V21" ca="1">IFERROR(_xlfn.TEXTJOIN("、",TRUE,_xlfn._xlws.FILTER($B$4:$B$17,ISNUMBER(SEARCH($B21,INDIRECT(ADDRESS(4, MATCH(V$19,$3:$3)) &amp; ":" &amp; ADDRESS(15, MATCH(V$19,$3:$3))))))), "")</f>
        <v/>
      </c>
      <c r="W21" s="15" t="str" cm="1">
        <f t="array" aca="1" ref="W21" ca="1">IFERROR(_xlfn.TEXTJOIN("、",TRUE,_xlfn._xlws.FILTER($B$4:$B$17,ISNUMBER(SEARCH($B21,INDIRECT(ADDRESS(4, MATCH(W$19,$3:$3)) &amp; ":" &amp; ADDRESS(15, MATCH(W$19,$3:$3))))))), "")</f>
        <v/>
      </c>
      <c r="X21" s="15" t="str" cm="1">
        <f t="array" aca="1" ref="X21" ca="1">IFERROR(_xlfn.TEXTJOIN("、",TRUE,_xlfn._xlws.FILTER($B$4:$B$17,ISNUMBER(SEARCH($B21,INDIRECT(ADDRESS(4, MATCH(X$19,$3:$3)) &amp; ":" &amp; ADDRESS(15, MATCH(X$19,$3:$3))))))), "")</f>
        <v/>
      </c>
      <c r="Y21" s="15" t="str" cm="1">
        <f t="array" aca="1" ref="Y21" ca="1">IFERROR(_xlfn.TEXTJOIN("、",TRUE,_xlfn._xlws.FILTER($B$4:$B$17,ISNUMBER(SEARCH($B21,INDIRECT(ADDRESS(4, MATCH(Y$19,$3:$3)) &amp; ":" &amp; ADDRESS(15, MATCH(Y$19,$3:$3))))))), "")</f>
        <v/>
      </c>
      <c r="Z21" s="15" t="str" cm="1">
        <f t="array" aca="1" ref="Z21" ca="1">IFERROR(_xlfn.TEXTJOIN("、",TRUE,_xlfn._xlws.FILTER($B$4:$B$17,ISNUMBER(SEARCH($B21,INDIRECT(ADDRESS(4, MATCH(Z$19,$3:$3)) &amp; ":" &amp; ADDRESS(15, MATCH(Z$19,$3:$3))))))), "")</f>
        <v/>
      </c>
      <c r="AA21" s="15" t="str" cm="1">
        <f t="array" aca="1" ref="AA21" ca="1">IFERROR(_xlfn.TEXTJOIN("、",TRUE,_xlfn._xlws.FILTER($B$4:$B$17,ISNUMBER(SEARCH($B21,INDIRECT(ADDRESS(4, MATCH(AA$19,$3:$3)) &amp; ":" &amp; ADDRESS(15, MATCH(AA$19,$3:$3))))))), "")</f>
        <v/>
      </c>
      <c r="AB21" s="15" t="str" cm="1">
        <f t="array" aca="1" ref="AB21" ca="1">IFERROR(_xlfn.TEXTJOIN("、",TRUE,_xlfn._xlws.FILTER($B$4:$B$17,ISNUMBER(SEARCH($B21,INDIRECT(ADDRESS(4, MATCH(AB$19,$3:$3)) &amp; ":" &amp; ADDRESS(15, MATCH(AB$19,$3:$3))))))), "")</f>
        <v/>
      </c>
      <c r="AC21" s="15" t="str" cm="1">
        <f t="array" aca="1" ref="AC21" ca="1">IFERROR(_xlfn.TEXTJOIN("、",TRUE,_xlfn._xlws.FILTER($B$4:$B$17,ISNUMBER(SEARCH($B21,INDIRECT(ADDRESS(4, MATCH(AC$19,$3:$3)) &amp; ":" &amp; ADDRESS(15, MATCH(AC$19,$3:$3))))))), "")</f>
        <v/>
      </c>
      <c r="AD21" s="15" t="str" cm="1">
        <f t="array" aca="1" ref="AD21" ca="1">IFERROR(_xlfn.TEXTJOIN("、",TRUE,_xlfn._xlws.FILTER($B$4:$B$17,ISNUMBER(SEARCH($B21,INDIRECT(ADDRESS(4, MATCH(AD$19,$3:$3)) &amp; ":" &amp; ADDRESS(15, MATCH(AD$19,$3:$3))))))), "")</f>
        <v/>
      </c>
      <c r="AE21" s="15" t="str" cm="1">
        <f t="array" aca="1" ref="AE21" ca="1">IFERROR(_xlfn.TEXTJOIN("、",TRUE,_xlfn._xlws.FILTER($B$4:$B$17,ISNUMBER(SEARCH($B21,INDIRECT(ADDRESS(4, MATCH(AE$19,$3:$3)) &amp; ":" &amp; ADDRESS(15, MATCH(AE$19,$3:$3))))))), "")</f>
        <v/>
      </c>
      <c r="AF21" s="15" t="str" cm="1">
        <f t="array" aca="1" ref="AF21" ca="1">IFERROR(_xlfn.TEXTJOIN("、",TRUE,_xlfn._xlws.FILTER($B$4:$B$17,ISNUMBER(SEARCH($B21,INDIRECT(ADDRESS(4, MATCH(AF$19,$3:$3)) &amp; ":" &amp; ADDRESS(15, MATCH(AF$19,$3:$3))))))), "")</f>
        <v/>
      </c>
      <c r="AG21" s="15" t="str" cm="1">
        <f t="array" aca="1" ref="AG21" ca="1">IFERROR(_xlfn.TEXTJOIN("、",TRUE,_xlfn._xlws.FILTER($B$4:$B$17,ISNUMBER(SEARCH($B21,INDIRECT(ADDRESS(4, MATCH(AG$19,$3:$3)) &amp; ":" &amp; ADDRESS(15, MATCH(AG$19,$3:$3))))))), "")</f>
        <v/>
      </c>
      <c r="AH21" s="15" t="str" cm="1">
        <f t="array" aca="1" ref="AH21" ca="1">IFERROR(_xlfn.TEXTJOIN("、",TRUE,_xlfn._xlws.FILTER($B$4:$B$17,ISNUMBER(SEARCH($B21,INDIRECT(ADDRESS(4, MATCH(AH$19,$3:$3)) &amp; ":" &amp; ADDRESS(15, MATCH(AH$19,$3:$3))))))), "")</f>
        <v/>
      </c>
      <c r="AI21" s="15" t="str" cm="1">
        <f t="array" aca="1" ref="AI21" ca="1">IFERROR(_xlfn.TEXTJOIN("、",TRUE,_xlfn._xlws.FILTER($B$4:$B$17,ISNUMBER(SEARCH($B21,INDIRECT(ADDRESS(4, MATCH(AI$19,$3:$3)) &amp; ":" &amp; ADDRESS(15, MATCH(AI$19,$3:$3))))))), "")</f>
        <v/>
      </c>
      <c r="AJ21" s="15" t="str" cm="1">
        <f t="array" aca="1" ref="AJ21" ca="1">IFERROR(_xlfn.TEXTJOIN("、",TRUE,_xlfn._xlws.FILTER($B$4:$B$17,ISNUMBER(SEARCH($B21,INDIRECT(ADDRESS(4, MATCH(AJ$19,$3:$3)) &amp; ":" &amp; ADDRESS(15, MATCH(AJ$19,$3:$3))))))), "")</f>
        <v/>
      </c>
      <c r="AK21" s="15" t="str" cm="1">
        <f t="array" aca="1" ref="AK21" ca="1">IFERROR(_xlfn.TEXTJOIN("、",TRUE,_xlfn._xlws.FILTER($B$4:$B$17,ISNUMBER(SEARCH($B21,INDIRECT(ADDRESS(4, MATCH(AK$19,$3:$3)) &amp; ":" &amp; ADDRESS(15, MATCH(AK$19,$3:$3))))))), "")</f>
        <v/>
      </c>
      <c r="AL21" s="15" t="str" cm="1">
        <f t="array" aca="1" ref="AL21" ca="1">IFERROR(_xlfn.TEXTJOIN("、",TRUE,_xlfn._xlws.FILTER($B$4:$B$17,ISNUMBER(SEARCH($B21,INDIRECT(ADDRESS(4, MATCH(AL$19,$3:$3)) &amp; ":" &amp; ADDRESS(15, MATCH(AL$19,$3:$3))))))), "")</f>
        <v/>
      </c>
      <c r="AM21" s="15" t="str" cm="1">
        <f t="array" aca="1" ref="AM21" ca="1">IFERROR(_xlfn.TEXTJOIN("、",TRUE,_xlfn._xlws.FILTER($B$4:$B$17,ISNUMBER(SEARCH($B21,INDIRECT(ADDRESS(4, MATCH(AM$19,$3:$3)) &amp; ":" &amp; ADDRESS(15, MATCH(AM$19,$3:$3))))))), "")</f>
        <v/>
      </c>
      <c r="AN21" s="15" t="str" cm="1">
        <f t="array" aca="1" ref="AN21" ca="1">IFERROR(_xlfn.TEXTJOIN("、",TRUE,_xlfn._xlws.FILTER($B$4:$B$17,ISNUMBER(SEARCH($B21,INDIRECT(ADDRESS(4, MATCH(AN$19,$3:$3)) &amp; ":" &amp; ADDRESS(15, MATCH(AN$19,$3:$3))))))), "")</f>
        <v/>
      </c>
      <c r="AO21" s="15" t="str" cm="1">
        <f t="array" aca="1" ref="AO21" ca="1">IFERROR(_xlfn.TEXTJOIN("、",TRUE,_xlfn._xlws.FILTER($B$4:$B$17,ISNUMBER(SEARCH($B21,INDIRECT(ADDRESS(4, MATCH(AO$19,$3:$3)) &amp; ":" &amp; ADDRESS(15, MATCH(AO$19,$3:$3))))))), "")</f>
        <v/>
      </c>
      <c r="AP21" s="15" t="str" cm="1">
        <f t="array" aca="1" ref="AP21" ca="1">IFERROR(_xlfn.TEXTJOIN("、",TRUE,_xlfn._xlws.FILTER($B$4:$B$17,ISNUMBER(SEARCH($B21,INDIRECT(ADDRESS(4, MATCH(AP$19,$3:$3)) &amp; ":" &amp; ADDRESS(15, MATCH(AP$19,$3:$3))))))), "")</f>
        <v/>
      </c>
      <c r="AQ21" s="15" t="str" cm="1">
        <f t="array" aca="1" ref="AQ21" ca="1">IFERROR(_xlfn.TEXTJOIN("、",TRUE,_xlfn._xlws.FILTER($B$4:$B$17,ISNUMBER(SEARCH($B21,INDIRECT(ADDRESS(4, MATCH(AQ$19,$3:$3)) &amp; ":" &amp; ADDRESS(15, MATCH(AQ$19,$3:$3))))))), "")</f>
        <v/>
      </c>
      <c r="AR21" s="15" t="str" cm="1">
        <f t="array" aca="1" ref="AR21" ca="1">IFERROR(_xlfn.TEXTJOIN("、",TRUE,_xlfn._xlws.FILTER($B$4:$B$17,ISNUMBER(SEARCH($B21,INDIRECT(ADDRESS(4, MATCH(AR$19,$3:$3)) &amp; ":" &amp; ADDRESS(15, MATCH(AR$19,$3:$3))))))), "")</f>
        <v/>
      </c>
      <c r="AS21" s="15" t="str" cm="1">
        <f t="array" aca="1" ref="AS21" ca="1">IFERROR(_xlfn.TEXTJOIN("、",TRUE,_xlfn._xlws.FILTER($B$4:$B$17,ISNUMBER(SEARCH($B21,INDIRECT(ADDRESS(4, MATCH(AS$19,$3:$3)) &amp; ":" &amp; ADDRESS(15, MATCH(AS$19,$3:$3))))))), "")</f>
        <v/>
      </c>
      <c r="AT21" s="15" t="str" cm="1">
        <f t="array" aca="1" ref="AT21" ca="1">IFERROR(_xlfn.TEXTJOIN("、",TRUE,_xlfn._xlws.FILTER($B$4:$B$17,ISNUMBER(SEARCH($B21,INDIRECT(ADDRESS(4, MATCH(AT$19,$3:$3)) &amp; ":" &amp; ADDRESS(15, MATCH(AT$19,$3:$3))))))), "")</f>
        <v/>
      </c>
      <c r="AU21" s="15" t="str" cm="1">
        <f t="array" aca="1" ref="AU21" ca="1">IFERROR(_xlfn.TEXTJOIN("、",TRUE,_xlfn._xlws.FILTER($B$4:$B$17,ISNUMBER(SEARCH($B21,INDIRECT(ADDRESS(4, MATCH(AU$19,$3:$3)) &amp; ":" &amp; ADDRESS(15, MATCH(AU$19,$3:$3))))))), "")</f>
        <v/>
      </c>
      <c r="AV21" s="15" t="str" cm="1">
        <f t="array" aca="1" ref="AV21" ca="1">IFERROR(_xlfn.TEXTJOIN("、",TRUE,_xlfn._xlws.FILTER($B$4:$B$17,ISNUMBER(SEARCH($B21,INDIRECT(ADDRESS(4, MATCH(AV$19,$3:$3)) &amp; ":" &amp; ADDRESS(15, MATCH(AV$19,$3:$3))))))), "")</f>
        <v/>
      </c>
      <c r="AW21" s="15" t="str" cm="1">
        <f t="array" aca="1" ref="AW21" ca="1">IFERROR(_xlfn.TEXTJOIN("、",TRUE,_xlfn._xlws.FILTER($B$4:$B$17,ISNUMBER(SEARCH($B21,INDIRECT(ADDRESS(4, MATCH(AW$19,$3:$3)) &amp; ":" &amp; ADDRESS(15, MATCH(AW$19,$3:$3))))))), "")</f>
        <v/>
      </c>
      <c r="AX21" s="15" t="str" cm="1">
        <f t="array" aca="1" ref="AX21" ca="1">IFERROR(_xlfn.TEXTJOIN("、",TRUE,_xlfn._xlws.FILTER($B$4:$B$17,ISNUMBER(SEARCH($B21,INDIRECT(ADDRESS(4, MATCH(AX$19,$3:$3)) &amp; ":" &amp; ADDRESS(15, MATCH(AX$19,$3:$3))))))), "")</f>
        <v/>
      </c>
      <c r="AY21" s="15" t="str" cm="1">
        <f t="array" aca="1" ref="AY21" ca="1">IFERROR(_xlfn.TEXTJOIN("、",TRUE,_xlfn._xlws.FILTER($B$4:$B$17,ISNUMBER(SEARCH($B21,INDIRECT(ADDRESS(4, MATCH(AY$19,$3:$3)) &amp; ":" &amp; ADDRESS(15, MATCH(AY$19,$3:$3))))))), "")</f>
        <v/>
      </c>
      <c r="AZ21" s="15" t="str" cm="1">
        <f t="array" aca="1" ref="AZ21" ca="1">IFERROR(_xlfn.TEXTJOIN("、",TRUE,_xlfn._xlws.FILTER($B$4:$B$17,ISNUMBER(SEARCH($B21,INDIRECT(ADDRESS(4, MATCH(AZ$19,$3:$3)) &amp; ":" &amp; ADDRESS(15, MATCH(AZ$19,$3:$3))))))), "")</f>
        <v/>
      </c>
      <c r="BA21" s="15" t="str" cm="1">
        <f t="array" aca="1" ref="BA21" ca="1">IFERROR(_xlfn.TEXTJOIN("、",TRUE,_xlfn._xlws.FILTER($B$4:$B$17,ISNUMBER(SEARCH($B21,INDIRECT(ADDRESS(4, MATCH(BA$19,$3:$3)) &amp; ":" &amp; ADDRESS(15, MATCH(BA$19,$3:$3))))))), "")</f>
        <v/>
      </c>
      <c r="BB21" s="15" t="str" cm="1">
        <f t="array" aca="1" ref="BB21" ca="1">IFERROR(_xlfn.TEXTJOIN("、",TRUE,_xlfn._xlws.FILTER($B$4:$B$17,ISNUMBER(SEARCH($B21,INDIRECT(ADDRESS(4, MATCH(BB$19,$3:$3)) &amp; ":" &amp; ADDRESS(15, MATCH(BB$19,$3:$3))))))), "")</f>
        <v/>
      </c>
      <c r="BC21" s="15" t="str" cm="1">
        <f t="array" aca="1" ref="BC21" ca="1">IFERROR(_xlfn.TEXTJOIN("、",TRUE,_xlfn._xlws.FILTER($B$4:$B$17,ISNUMBER(SEARCH($B21,INDIRECT(ADDRESS(4, MATCH(BC$19,$3:$3)) &amp; ":" &amp; ADDRESS(15, MATCH(BC$19,$3:$3))))))), "")</f>
        <v/>
      </c>
      <c r="BD21" s="15" t="str" cm="1">
        <f t="array" aca="1" ref="BD21" ca="1">IFERROR(_xlfn.TEXTJOIN("、",TRUE,_xlfn._xlws.FILTER($B$4:$B$17,ISNUMBER(SEARCH($B21,INDIRECT(ADDRESS(4, MATCH(BD$19,$3:$3)) &amp; ":" &amp; ADDRESS(15, MATCH(BD$19,$3:$3))))))), "")</f>
        <v/>
      </c>
      <c r="BE21" s="15" t="str" cm="1">
        <f t="array" aca="1" ref="BE21" ca="1">IFERROR(_xlfn.TEXTJOIN("、",TRUE,_xlfn._xlws.FILTER($B$4:$B$17,ISNUMBER(SEARCH($B21,INDIRECT(ADDRESS(4, MATCH(BE$19,$3:$3)) &amp; ":" &amp; ADDRESS(15, MATCH(BE$19,$3:$3))))))), "")</f>
        <v/>
      </c>
      <c r="BF21" s="15" t="str" cm="1">
        <f t="array" aca="1" ref="BF21" ca="1">IFERROR(_xlfn.TEXTJOIN("、",TRUE,_xlfn._xlws.FILTER($B$4:$B$17,ISNUMBER(SEARCH($B21,INDIRECT(ADDRESS(4, MATCH(BF$19,$3:$3)) &amp; ":" &amp; ADDRESS(15, MATCH(BF$19,$3:$3))))))), "")</f>
        <v/>
      </c>
      <c r="BG21" s="15" t="str" cm="1">
        <f t="array" aca="1" ref="BG21" ca="1">IFERROR(_xlfn.TEXTJOIN("、",TRUE,_xlfn._xlws.FILTER($B$4:$B$17,ISNUMBER(SEARCH($B21,INDIRECT(ADDRESS(4, MATCH(BG$19,$3:$3)) &amp; ":" &amp; ADDRESS(15, MATCH(BG$19,$3:$3))))))), "")</f>
        <v/>
      </c>
      <c r="BH21" s="15" t="str" cm="1">
        <f t="array" aca="1" ref="BH21" ca="1">IFERROR(_xlfn.TEXTJOIN("、",TRUE,_xlfn._xlws.FILTER($B$4:$B$17,ISNUMBER(SEARCH($B21,INDIRECT(ADDRESS(4, MATCH(BH$19,$3:$3)) &amp; ":" &amp; ADDRESS(15, MATCH(BH$19,$3:$3))))))), "")</f>
        <v/>
      </c>
      <c r="BI21" s="15" t="str" cm="1">
        <f t="array" aca="1" ref="BI21" ca="1">IFERROR(_xlfn.TEXTJOIN("、",TRUE,_xlfn._xlws.FILTER($B$4:$B$17,ISNUMBER(SEARCH($B21,INDIRECT(ADDRESS(4, MATCH(BI$19,$3:$3)) &amp; ":" &amp; ADDRESS(15, MATCH(BI$19,$3:$3))))))), "")</f>
        <v/>
      </c>
      <c r="BJ21" s="15" t="str" cm="1">
        <f t="array" aca="1" ref="BJ21" ca="1">IFERROR(_xlfn.TEXTJOIN("、",TRUE,_xlfn._xlws.FILTER($B$4:$B$17,ISNUMBER(SEARCH($B21,INDIRECT(ADDRESS(4, MATCH(BJ$19,$3:$3)) &amp; ":" &amp; ADDRESS(15, MATCH(BJ$19,$3:$3))))))), "")</f>
        <v/>
      </c>
      <c r="BK21" s="15" t="str" cm="1">
        <f t="array" aca="1" ref="BK21" ca="1">IFERROR(_xlfn.TEXTJOIN("、",TRUE,_xlfn._xlws.FILTER($B$4:$B$17,ISNUMBER(SEARCH($B21,INDIRECT(ADDRESS(4, MATCH(BK$19,$3:$3)) &amp; ":" &amp; ADDRESS(15, MATCH(BK$19,$3:$3))))))), "")</f>
        <v/>
      </c>
      <c r="BL21" s="15" t="str" cm="1">
        <f t="array" aca="1" ref="BL21" ca="1">IFERROR(_xlfn.TEXTJOIN("、",TRUE,_xlfn._xlws.FILTER($B$4:$B$17,ISNUMBER(SEARCH($B21,INDIRECT(ADDRESS(4, MATCH(BL$19,$3:$3)) &amp; ":" &amp; ADDRESS(15, MATCH(BL$19,$3:$3))))))), "")</f>
        <v/>
      </c>
      <c r="BM21" s="15" t="str" cm="1">
        <f t="array" aca="1" ref="BM21" ca="1">IFERROR(_xlfn.TEXTJOIN("、",TRUE,_xlfn._xlws.FILTER($B$4:$B$17,ISNUMBER(SEARCH($B21,INDIRECT(ADDRESS(4, MATCH(BM$19,$3:$3)) &amp; ":" &amp; ADDRESS(15, MATCH(BM$19,$3:$3))))))), "")</f>
        <v/>
      </c>
      <c r="BN21" s="15" t="str" cm="1">
        <f t="array" aca="1" ref="BN21" ca="1">IFERROR(_xlfn.TEXTJOIN("、",TRUE,_xlfn._xlws.FILTER($B$4:$B$17,ISNUMBER(SEARCH($B21,INDIRECT(ADDRESS(4, MATCH(BN$19,$3:$3)) &amp; ":" &amp; ADDRESS(15, MATCH(BN$19,$3:$3))))))), "")</f>
        <v/>
      </c>
      <c r="BO21" s="15" t="str" cm="1">
        <f t="array" aca="1" ref="BO21" ca="1">IFERROR(_xlfn.TEXTJOIN("、",TRUE,_xlfn._xlws.FILTER($B$4:$B$17,ISNUMBER(SEARCH($B21,INDIRECT(ADDRESS(4, MATCH(BO$19,$3:$3)) &amp; ":" &amp; ADDRESS(15, MATCH(BO$19,$3:$3))))))), "")</f>
        <v/>
      </c>
      <c r="BP21" s="15" t="str" cm="1">
        <f t="array" aca="1" ref="BP21" ca="1">IFERROR(_xlfn.TEXTJOIN("、",TRUE,_xlfn._xlws.FILTER($B$4:$B$17,ISNUMBER(SEARCH($B21,INDIRECT(ADDRESS(4, MATCH(BP$19,$3:$3)) &amp; ":" &amp; ADDRESS(15, MATCH(BP$19,$3:$3))))))), "")</f>
        <v/>
      </c>
      <c r="BQ21" s="15" t="str" cm="1">
        <f t="array" aca="1" ref="BQ21" ca="1">IFERROR(_xlfn.TEXTJOIN("、",TRUE,_xlfn._xlws.FILTER($B$4:$B$17,ISNUMBER(SEARCH($B21,INDIRECT(ADDRESS(4, MATCH(BQ$19,$3:$3)) &amp; ":" &amp; ADDRESS(15, MATCH(BQ$19,$3:$3))))))), "")</f>
        <v/>
      </c>
      <c r="BR21" s="15" t="str" cm="1">
        <f t="array" aca="1" ref="BR21" ca="1">IFERROR(_xlfn.TEXTJOIN("、",TRUE,_xlfn._xlws.FILTER($B$4:$B$17,ISNUMBER(SEARCH($B21,INDIRECT(ADDRESS(4, MATCH(BR$19,$3:$3)) &amp; ":" &amp; ADDRESS(15, MATCH(BR$19,$3:$3))))))), "")</f>
        <v/>
      </c>
      <c r="BS21" s="15" t="str" cm="1">
        <f t="array" aca="1" ref="BS21" ca="1">IFERROR(_xlfn.TEXTJOIN("、",TRUE,_xlfn._xlws.FILTER($B$4:$B$17,ISNUMBER(SEARCH($B21,INDIRECT(ADDRESS(4, MATCH(BS$19,$3:$3)) &amp; ":" &amp; ADDRESS(15, MATCH(BS$19,$3:$3))))))), "")</f>
        <v/>
      </c>
      <c r="BT21" s="15" t="str" cm="1">
        <f t="array" aca="1" ref="BT21" ca="1">IFERROR(_xlfn.TEXTJOIN("、",TRUE,_xlfn._xlws.FILTER($B$4:$B$17,ISNUMBER(SEARCH($B21,INDIRECT(ADDRESS(4, MATCH(BT$19,$3:$3)) &amp; ":" &amp; ADDRESS(15, MATCH(BT$19,$3:$3))))))), "")</f>
        <v/>
      </c>
      <c r="BU21" s="15" t="str" cm="1">
        <f t="array" aca="1" ref="BU21" ca="1">IFERROR(_xlfn.TEXTJOIN("、",TRUE,_xlfn._xlws.FILTER($B$4:$B$17,ISNUMBER(SEARCH($B21,INDIRECT(ADDRESS(4, MATCH(BU$19,$3:$3)) &amp; ":" &amp; ADDRESS(15, MATCH(BU$19,$3:$3))))))), "")</f>
        <v/>
      </c>
      <c r="BV21" s="15" t="str" cm="1">
        <f t="array" aca="1" ref="BV21" ca="1">IFERROR(_xlfn.TEXTJOIN("、",TRUE,_xlfn._xlws.FILTER($B$4:$B$17,ISNUMBER(SEARCH($B21,INDIRECT(ADDRESS(4, MATCH(BV$19,$3:$3)) &amp; ":" &amp; ADDRESS(15, MATCH(BV$19,$3:$3))))))), "")</f>
        <v/>
      </c>
      <c r="BW21" s="15" t="str" cm="1">
        <f t="array" aca="1" ref="BW21" ca="1">IFERROR(_xlfn.TEXTJOIN("、",TRUE,_xlfn._xlws.FILTER($B$4:$B$17,ISNUMBER(SEARCH($B21,INDIRECT(ADDRESS(4, MATCH(BW$19,$3:$3)) &amp; ":" &amp; ADDRESS(15, MATCH(BW$19,$3:$3))))))), "")</f>
        <v/>
      </c>
      <c r="BX21" s="15" t="str" cm="1">
        <f t="array" aca="1" ref="BX21" ca="1">IFERROR(_xlfn.TEXTJOIN("、",TRUE,_xlfn._xlws.FILTER($B$4:$B$17,ISNUMBER(SEARCH($B21,INDIRECT(ADDRESS(4, MATCH(BX$19,$3:$3)) &amp; ":" &amp; ADDRESS(15, MATCH(BX$19,$3:$3))))))), "")</f>
        <v/>
      </c>
      <c r="BY21" s="15" t="str" cm="1">
        <f t="array" aca="1" ref="BY21" ca="1">IFERROR(_xlfn.TEXTJOIN("、",TRUE,_xlfn._xlws.FILTER($B$4:$B$17,ISNUMBER(SEARCH($B21,INDIRECT(ADDRESS(4, MATCH(BY$19,$3:$3)) &amp; ":" &amp; ADDRESS(15, MATCH(BY$19,$3:$3))))))), "")</f>
        <v/>
      </c>
      <c r="BZ21" s="15" t="str" cm="1">
        <f t="array" aca="1" ref="BZ21" ca="1">IFERROR(_xlfn.TEXTJOIN("、",TRUE,_xlfn._xlws.FILTER($B$4:$B$17,ISNUMBER(SEARCH($B21,INDIRECT(ADDRESS(4, MATCH(BZ$19,$3:$3)) &amp; ":" &amp; ADDRESS(15, MATCH(BZ$19,$3:$3))))))), "")</f>
        <v/>
      </c>
      <c r="CA21" s="15" t="str" cm="1">
        <f t="array" aca="1" ref="CA21" ca="1">IFERROR(_xlfn.TEXTJOIN("、",TRUE,_xlfn._xlws.FILTER($B$4:$B$17,ISNUMBER(SEARCH($B21,INDIRECT(ADDRESS(4, MATCH(CA$19,$3:$3)) &amp; ":" &amp; ADDRESS(15, MATCH(CA$19,$3:$3))))))), "")</f>
        <v/>
      </c>
      <c r="CB21" s="15" t="str" cm="1">
        <f t="array" aca="1" ref="CB21" ca="1">IFERROR(_xlfn.TEXTJOIN("、",TRUE,_xlfn._xlws.FILTER($B$4:$B$17,ISNUMBER(SEARCH($B21,INDIRECT(ADDRESS(4, MATCH(CB$19,$3:$3)) &amp; ":" &amp; ADDRESS(15, MATCH(CB$19,$3:$3))))))), "")</f>
        <v/>
      </c>
      <c r="CC21" s="15" t="str" cm="1">
        <f t="array" aca="1" ref="CC21" ca="1">IFERROR(_xlfn.TEXTJOIN("、",TRUE,_xlfn._xlws.FILTER($B$4:$B$17,ISNUMBER(SEARCH($B21,INDIRECT(ADDRESS(4, MATCH(CC$19,$3:$3)) &amp; ":" &amp; ADDRESS(15, MATCH(CC$19,$3:$3))))))), "")</f>
        <v/>
      </c>
      <c r="CD21" s="15" t="str" cm="1">
        <f t="array" aca="1" ref="CD21" ca="1">IFERROR(_xlfn.TEXTJOIN("、",TRUE,_xlfn._xlws.FILTER($B$4:$B$17,ISNUMBER(SEARCH($B21,INDIRECT(ADDRESS(4, MATCH(CD$19,$3:$3)) &amp; ":" &amp; ADDRESS(15, MATCH(CD$19,$3:$3))))))), "")</f>
        <v/>
      </c>
      <c r="CE21" s="15" t="str" cm="1">
        <f t="array" aca="1" ref="CE21" ca="1">IFERROR(_xlfn.TEXTJOIN("、",TRUE,_xlfn._xlws.FILTER($B$4:$B$17,ISNUMBER(SEARCH($B21,INDIRECT(ADDRESS(4, MATCH(CE$19,$3:$3)) &amp; ":" &amp; ADDRESS(15, MATCH(CE$19,$3:$3))))))), "")</f>
        <v/>
      </c>
      <c r="CF21" s="15" t="str" cm="1">
        <f t="array" aca="1" ref="CF21" ca="1">IFERROR(_xlfn.TEXTJOIN("、",TRUE,_xlfn._xlws.FILTER($B$4:$B$17,ISNUMBER(SEARCH($B21,INDIRECT(ADDRESS(4, MATCH(CF$19,$3:$3)) &amp; ":" &amp; ADDRESS(15, MATCH(CF$19,$3:$3))))))), "")</f>
        <v/>
      </c>
      <c r="CG21" s="15" t="str" cm="1">
        <f t="array" aca="1" ref="CG21" ca="1">IFERROR(_xlfn.TEXTJOIN("、",TRUE,_xlfn._xlws.FILTER($B$4:$B$17,ISNUMBER(SEARCH($B21,INDIRECT(ADDRESS(4, MATCH(CG$19,$3:$3)) &amp; ":" &amp; ADDRESS(15, MATCH(CG$19,$3:$3))))))), "")</f>
        <v/>
      </c>
      <c r="CH21" s="15" t="str" cm="1">
        <f t="array" aca="1" ref="CH21" ca="1">IFERROR(_xlfn.TEXTJOIN("、",TRUE,_xlfn._xlws.FILTER($B$4:$B$17,ISNUMBER(SEARCH($B21,INDIRECT(ADDRESS(4, MATCH(CH$19,$3:$3)) &amp; ":" &amp; ADDRESS(15, MATCH(CH$19,$3:$3))))))), "")</f>
        <v/>
      </c>
      <c r="CI21" s="15" t="str" cm="1">
        <f t="array" aca="1" ref="CI21" ca="1">IFERROR(_xlfn.TEXTJOIN("、",TRUE,_xlfn._xlws.FILTER($B$4:$B$17,ISNUMBER(SEARCH($B21,INDIRECT(ADDRESS(4, MATCH(CI$19,$3:$3)) &amp; ":" &amp; ADDRESS(15, MATCH(CI$19,$3:$3))))))), "")</f>
        <v/>
      </c>
      <c r="CJ21" s="15" t="str" cm="1">
        <f t="array" aca="1" ref="CJ21" ca="1">IFERROR(_xlfn.TEXTJOIN("、",TRUE,_xlfn._xlws.FILTER($B$4:$B$17,ISNUMBER(SEARCH($B21,INDIRECT(ADDRESS(4, MATCH(CJ$19,$3:$3)) &amp; ":" &amp; ADDRESS(15, MATCH(CJ$19,$3:$3))))))), "")</f>
        <v/>
      </c>
      <c r="CK21" s="15" t="str" cm="1">
        <f t="array" aca="1" ref="CK21" ca="1">IFERROR(_xlfn.TEXTJOIN("、",TRUE,_xlfn._xlws.FILTER($B$4:$B$17,ISNUMBER(SEARCH($B21,INDIRECT(ADDRESS(4, MATCH(CK$19,$3:$3)) &amp; ":" &amp; ADDRESS(15, MATCH(CK$19,$3:$3))))))), "")</f>
        <v/>
      </c>
      <c r="CL21" s="15" t="str" cm="1">
        <f t="array" aca="1" ref="CL21" ca="1">IFERROR(_xlfn.TEXTJOIN("、",TRUE,_xlfn._xlws.FILTER($B$4:$B$17,ISNUMBER(SEARCH($B21,INDIRECT(ADDRESS(4, MATCH(CL$19,$3:$3)) &amp; ":" &amp; ADDRESS(15, MATCH(CL$19,$3:$3))))))), "")</f>
        <v/>
      </c>
      <c r="CM21" s="15" t="str" cm="1">
        <f t="array" aca="1" ref="CM21" ca="1">IFERROR(_xlfn.TEXTJOIN("、",TRUE,_xlfn._xlws.FILTER($B$4:$B$17,ISNUMBER(SEARCH($B21,INDIRECT(ADDRESS(4, MATCH(CM$19,$3:$3)) &amp; ":" &amp; ADDRESS(15, MATCH(CM$19,$3:$3))))))), "")</f>
        <v/>
      </c>
      <c r="CN21" s="15" t="str" cm="1">
        <f t="array" aca="1" ref="CN21" ca="1">IFERROR(_xlfn.TEXTJOIN("、",TRUE,_xlfn._xlws.FILTER($B$4:$B$17,ISNUMBER(SEARCH($B21,INDIRECT(ADDRESS(4, MATCH(CN$19,$3:$3)) &amp; ":" &amp; ADDRESS(15, MATCH(CN$19,$3:$3))))))), "")</f>
        <v/>
      </c>
      <c r="CO21" s="15" t="str" cm="1">
        <f t="array" aca="1" ref="CO21" ca="1">IFERROR(_xlfn.TEXTJOIN("、",TRUE,_xlfn._xlws.FILTER($B$4:$B$17,ISNUMBER(SEARCH($B21,INDIRECT(ADDRESS(4, MATCH(CO$19,$3:$3)) &amp; ":" &amp; ADDRESS(15, MATCH(CO$19,$3:$3))))))), "")</f>
        <v/>
      </c>
      <c r="CP21" s="15" t="str" cm="1">
        <f t="array" aca="1" ref="CP21" ca="1">IFERROR(_xlfn.TEXTJOIN("、",TRUE,_xlfn._xlws.FILTER($B$4:$B$17,ISNUMBER(SEARCH($B21,INDIRECT(ADDRESS(4, MATCH(CP$19,$3:$3)) &amp; ":" &amp; ADDRESS(15, MATCH(CP$19,$3:$3))))))), "")</f>
        <v/>
      </c>
      <c r="CQ21" s="15" t="str" cm="1">
        <f t="array" aca="1" ref="CQ21" ca="1">IFERROR(_xlfn.TEXTJOIN("、",TRUE,_xlfn._xlws.FILTER($B$4:$B$17,INDIRECT(ADDRESS(4, MATCH(CQ$19,$3:$3)) &amp; ":" &amp; ADDRESS(15, MATCH(CQ$19,$3:$3)))=$B21)), "")</f>
        <v/>
      </c>
      <c r="CR21" s="15" t="str" cm="1">
        <f t="array" aca="1" ref="CR21" ca="1">IFERROR(_xlfn.TEXTJOIN("、",TRUE,_xlfn._xlws.FILTER($B$4:$B$17,INDIRECT(ADDRESS(4, MATCH(CR$19,$3:$3)) &amp; ":" &amp; ADDRESS(15, MATCH(CR$19,$3:$3)))=$B21)), "")</f>
        <v/>
      </c>
      <c r="CS21" s="15" t="str" cm="1">
        <f t="array" aca="1" ref="CS21" ca="1">IFERROR(_xlfn.TEXTJOIN("、",TRUE,_xlfn._xlws.FILTER($B$4:$B$17,INDIRECT(ADDRESS(4, MATCH(CS$19,$3:$3)) &amp; ":" &amp; ADDRESS(15, MATCH(CS$19,$3:$3)))=$B21)), "")</f>
        <v/>
      </c>
      <c r="CT21" s="15" t="str" cm="1">
        <f t="array" aca="1" ref="CT21" ca="1">IFERROR(_xlfn.TEXTJOIN("、",TRUE,_xlfn._xlws.FILTER($B$4:$B$17,INDIRECT(ADDRESS(4, MATCH(CT$19,$3:$3)) &amp; ":" &amp; ADDRESS(15, MATCH(CT$19,$3:$3)))=$B21)), "")</f>
        <v/>
      </c>
      <c r="CU21" s="138"/>
      <c r="CV21" s="139" t="s">
        <v>202</v>
      </c>
      <c r="CW21" s="140"/>
      <c r="CX21" s="139" t="s">
        <v>204</v>
      </c>
      <c r="CY21" s="139" t="s">
        <v>201</v>
      </c>
      <c r="CZ21" s="139" t="s">
        <v>322</v>
      </c>
      <c r="DA21" s="140"/>
      <c r="DB21" s="140"/>
    </row>
    <row r="22" spans="2:106" s="20" customFormat="1" ht="19.5" thickBot="1">
      <c r="B22" s="35" t="s">
        <v>328</v>
      </c>
      <c r="C22" s="15" t="str" cm="1">
        <f t="array" aca="1" ref="C22" ca="1">IFERROR(_xlfn.TEXTJOIN("、",TRUE,_xlfn._xlws.FILTER($B$4:$B$17,ISNUMBER(SEARCH($B22,INDIRECT(ADDRESS(4, MATCH(C$19,$3:$3)) &amp; ":" &amp; ADDRESS(15, MATCH(C$19,$3:$3))))))), "")</f>
        <v/>
      </c>
      <c r="D22" s="15" t="str" cm="1">
        <f t="array" aca="1" ref="D22" ca="1">IFERROR(_xlfn.TEXTJOIN("、",TRUE,_xlfn._xlws.FILTER($B$4:$B$17,ISNUMBER(SEARCH($B22,INDIRECT(ADDRESS(4, MATCH(D$19,$3:$3)) &amp; ":" &amp; ADDRESS(15, MATCH(D$19,$3:$3))))))), "")</f>
        <v/>
      </c>
      <c r="E22" s="15" t="str" cm="1">
        <f t="array" aca="1" ref="E22" ca="1">IFERROR(_xlfn.TEXTJOIN("、",TRUE,_xlfn._xlws.FILTER($B$4:$B$17,ISNUMBER(SEARCH($B22,INDIRECT(ADDRESS(4, MATCH(E$19,$3:$3)) &amp; ":" &amp; ADDRESS(15, MATCH(E$19,$3:$3))))))), "")</f>
        <v/>
      </c>
      <c r="F22" s="15" t="str" cm="1">
        <f t="array" aca="1" ref="F22" ca="1">IFERROR(_xlfn.TEXTJOIN("、",TRUE,_xlfn._xlws.FILTER($B$4:$B$17,ISNUMBER(SEARCH($B22,INDIRECT(ADDRESS(4, MATCH(F$19,$3:$3)) &amp; ":" &amp; ADDRESS(15, MATCH(F$19,$3:$3))))))), "")</f>
        <v/>
      </c>
      <c r="G22" s="15" t="str" cm="1">
        <f t="array" aca="1" ref="G22" ca="1">IFERROR(_xlfn.TEXTJOIN("、",TRUE,_xlfn._xlws.FILTER($B$4:$B$17,ISNUMBER(SEARCH($B22,INDIRECT(ADDRESS(4, MATCH(G$19,$3:$3)) &amp; ":" &amp; ADDRESS(15, MATCH(G$19,$3:$3))))))), "")</f>
        <v/>
      </c>
      <c r="H22" s="15" t="str" cm="1">
        <f t="array" aca="1" ref="H22" ca="1">IFERROR(_xlfn.TEXTJOIN("、",TRUE,_xlfn._xlws.FILTER($B$4:$B$17,ISNUMBER(SEARCH($B22,INDIRECT(ADDRESS(4, MATCH(H$19,$3:$3)) &amp; ":" &amp; ADDRESS(15, MATCH(H$19,$3:$3))))))), "")</f>
        <v/>
      </c>
      <c r="I22" s="15" t="str" cm="1">
        <f t="array" aca="1" ref="I22" ca="1">IFERROR(_xlfn.TEXTJOIN("、",TRUE,_xlfn._xlws.FILTER($B$4:$B$17,ISNUMBER(SEARCH($B22,INDIRECT(ADDRESS(4, MATCH(I$19,$3:$3)) &amp; ":" &amp; ADDRESS(15, MATCH(I$19,$3:$3))))))), "")</f>
        <v/>
      </c>
      <c r="J22" s="15" t="str" cm="1">
        <f t="array" aca="1" ref="J22" ca="1">IFERROR(_xlfn.TEXTJOIN("、",TRUE,_xlfn._xlws.FILTER($B$4:$B$17,ISNUMBER(SEARCH($B22,INDIRECT(ADDRESS(4, MATCH(J$19,$3:$3)) &amp; ":" &amp; ADDRESS(15, MATCH(J$19,$3:$3))))))), "")</f>
        <v/>
      </c>
      <c r="K22" s="15" t="str" cm="1">
        <f t="array" aca="1" ref="K22" ca="1">IFERROR(_xlfn.TEXTJOIN("、",TRUE,_xlfn._xlws.FILTER($B$4:$B$17,ISNUMBER(SEARCH($B22,INDIRECT(ADDRESS(4, MATCH(K$19,$3:$3)) &amp; ":" &amp; ADDRESS(15, MATCH(K$19,$3:$3))))))), "")</f>
        <v/>
      </c>
      <c r="L22" s="15" t="str" cm="1">
        <f t="array" aca="1" ref="L22" ca="1">IFERROR(_xlfn.TEXTJOIN("、",TRUE,_xlfn._xlws.FILTER($B$4:$B$17,ISNUMBER(SEARCH($B22,INDIRECT(ADDRESS(4, MATCH(L$19,$3:$3)) &amp; ":" &amp; ADDRESS(15, MATCH(L$19,$3:$3))))))), "")</f>
        <v/>
      </c>
      <c r="M22" s="15" t="str" cm="1">
        <f t="array" aca="1" ref="M22" ca="1">IFERROR(_xlfn.TEXTJOIN("、",TRUE,_xlfn._xlws.FILTER($B$4:$B$17,ISNUMBER(SEARCH($B22,INDIRECT(ADDRESS(4, MATCH(M$19,$3:$3)) &amp; ":" &amp; ADDRESS(15, MATCH(M$19,$3:$3))))))), "")</f>
        <v/>
      </c>
      <c r="N22" s="15" t="str" cm="1">
        <f t="array" aca="1" ref="N22" ca="1">IFERROR(_xlfn.TEXTJOIN("、",TRUE,_xlfn._xlws.FILTER($B$4:$B$17,ISNUMBER(SEARCH($B22,INDIRECT(ADDRESS(4, MATCH(N$19,$3:$3)) &amp; ":" &amp; ADDRESS(15, MATCH(N$19,$3:$3))))))), "")</f>
        <v/>
      </c>
      <c r="O22" s="15" t="str" cm="1">
        <f t="array" aca="1" ref="O22" ca="1">IFERROR(_xlfn.TEXTJOIN("、",TRUE,_xlfn._xlws.FILTER($B$4:$B$17,ISNUMBER(SEARCH($B22,INDIRECT(ADDRESS(4, MATCH(O$19,$3:$3)) &amp; ":" &amp; ADDRESS(15, MATCH(O$19,$3:$3))))))), "")</f>
        <v/>
      </c>
      <c r="P22" s="15" t="str" cm="1">
        <f t="array" aca="1" ref="P22" ca="1">IFERROR(_xlfn.TEXTJOIN("、",TRUE,_xlfn._xlws.FILTER($B$4:$B$17,ISNUMBER(SEARCH($B22,INDIRECT(ADDRESS(4, MATCH(P$19,$3:$3)) &amp; ":" &amp; ADDRESS(15, MATCH(P$19,$3:$3))))))), "")</f>
        <v/>
      </c>
      <c r="Q22" s="15" t="str" cm="1">
        <f t="array" aca="1" ref="Q22" ca="1">IFERROR(_xlfn.TEXTJOIN("、",TRUE,_xlfn._xlws.FILTER($B$4:$B$17,ISNUMBER(SEARCH($B22,INDIRECT(ADDRESS(4, MATCH(Q$19,$3:$3)) &amp; ":" &amp; ADDRESS(15, MATCH(Q$19,$3:$3))))))), "")</f>
        <v/>
      </c>
      <c r="R22" s="15" t="str" cm="1">
        <f t="array" aca="1" ref="R22" ca="1">IFERROR(_xlfn.TEXTJOIN("、",TRUE,_xlfn._xlws.FILTER($B$4:$B$17,ISNUMBER(SEARCH($B22,INDIRECT(ADDRESS(4, MATCH(R$19,$3:$3)) &amp; ":" &amp; ADDRESS(15, MATCH(R$19,$3:$3))))))), "")</f>
        <v/>
      </c>
      <c r="S22" s="15" t="str" cm="1">
        <f t="array" aca="1" ref="S22" ca="1">IFERROR(_xlfn.TEXTJOIN("、",TRUE,_xlfn._xlws.FILTER($B$4:$B$17,ISNUMBER(SEARCH($B22,INDIRECT(ADDRESS(4, MATCH(S$19,$3:$3)) &amp; ":" &amp; ADDRESS(15, MATCH(S$19,$3:$3))))))), "")</f>
        <v/>
      </c>
      <c r="T22" s="15" t="str" cm="1">
        <f t="array" aca="1" ref="T22" ca="1">IFERROR(_xlfn.TEXTJOIN("、",TRUE,_xlfn._xlws.FILTER($B$4:$B$17,ISNUMBER(SEARCH($B22,INDIRECT(ADDRESS(4, MATCH(T$19,$3:$3)) &amp; ":" &amp; ADDRESS(15, MATCH(T$19,$3:$3))))))), "")</f>
        <v/>
      </c>
      <c r="U22" s="15" t="str" cm="1">
        <f t="array" aca="1" ref="U22" ca="1">IFERROR(_xlfn.TEXTJOIN("、",TRUE,_xlfn._xlws.FILTER($B$4:$B$17,ISNUMBER(SEARCH($B22,INDIRECT(ADDRESS(4, MATCH(U$19,$3:$3)) &amp; ":" &amp; ADDRESS(15, MATCH(U$19,$3:$3))))))), "")</f>
        <v/>
      </c>
      <c r="V22" s="15" t="str" cm="1">
        <f t="array" aca="1" ref="V22" ca="1">IFERROR(_xlfn.TEXTJOIN("、",TRUE,_xlfn._xlws.FILTER($B$4:$B$17,ISNUMBER(SEARCH($B22,INDIRECT(ADDRESS(4, MATCH(V$19,$3:$3)) &amp; ":" &amp; ADDRESS(15, MATCH(V$19,$3:$3))))))), "")</f>
        <v/>
      </c>
      <c r="W22" s="15" t="str" cm="1">
        <f t="array" aca="1" ref="W22" ca="1">IFERROR(_xlfn.TEXTJOIN("、",TRUE,_xlfn._xlws.FILTER($B$4:$B$17,ISNUMBER(SEARCH($B22,INDIRECT(ADDRESS(4, MATCH(W$19,$3:$3)) &amp; ":" &amp; ADDRESS(15, MATCH(W$19,$3:$3))))))), "")</f>
        <v/>
      </c>
      <c r="X22" s="15" t="str" cm="1">
        <f t="array" aca="1" ref="X22" ca="1">IFERROR(_xlfn.TEXTJOIN("、",TRUE,_xlfn._xlws.FILTER($B$4:$B$17,ISNUMBER(SEARCH($B22,INDIRECT(ADDRESS(4, MATCH(X$19,$3:$3)) &amp; ":" &amp; ADDRESS(15, MATCH(X$19,$3:$3))))))), "")</f>
        <v/>
      </c>
      <c r="Y22" s="15" t="str" cm="1">
        <f t="array" aca="1" ref="Y22" ca="1">IFERROR(_xlfn.TEXTJOIN("、",TRUE,_xlfn._xlws.FILTER($B$4:$B$17,ISNUMBER(SEARCH($B22,INDIRECT(ADDRESS(4, MATCH(Y$19,$3:$3)) &amp; ":" &amp; ADDRESS(15, MATCH(Y$19,$3:$3))))))), "")</f>
        <v/>
      </c>
      <c r="Z22" s="15" t="str" cm="1">
        <f t="array" aca="1" ref="Z22" ca="1">IFERROR(_xlfn.TEXTJOIN("、",TRUE,_xlfn._xlws.FILTER($B$4:$B$17,ISNUMBER(SEARCH($B22,INDIRECT(ADDRESS(4, MATCH(Z$19,$3:$3)) &amp; ":" &amp; ADDRESS(15, MATCH(Z$19,$3:$3))))))), "")</f>
        <v/>
      </c>
      <c r="AA22" s="15" t="str" cm="1">
        <f t="array" aca="1" ref="AA22" ca="1">IFERROR(_xlfn.TEXTJOIN("、",TRUE,_xlfn._xlws.FILTER($B$4:$B$17,ISNUMBER(SEARCH($B22,INDIRECT(ADDRESS(4, MATCH(AA$19,$3:$3)) &amp; ":" &amp; ADDRESS(15, MATCH(AA$19,$3:$3))))))), "")</f>
        <v/>
      </c>
      <c r="AB22" s="15" t="str" cm="1">
        <f t="array" aca="1" ref="AB22" ca="1">IFERROR(_xlfn.TEXTJOIN("、",TRUE,_xlfn._xlws.FILTER($B$4:$B$17,ISNUMBER(SEARCH($B22,INDIRECT(ADDRESS(4, MATCH(AB$19,$3:$3)) &amp; ":" &amp; ADDRESS(15, MATCH(AB$19,$3:$3))))))), "")</f>
        <v/>
      </c>
      <c r="AC22" s="15" t="str" cm="1">
        <f t="array" aca="1" ref="AC22" ca="1">IFERROR(_xlfn.TEXTJOIN("、",TRUE,_xlfn._xlws.FILTER($B$4:$B$17,ISNUMBER(SEARCH($B22,INDIRECT(ADDRESS(4, MATCH(AC$19,$3:$3)) &amp; ":" &amp; ADDRESS(15, MATCH(AC$19,$3:$3))))))), "")</f>
        <v/>
      </c>
      <c r="AD22" s="15" t="str" cm="1">
        <f t="array" aca="1" ref="AD22" ca="1">IFERROR(_xlfn.TEXTJOIN("、",TRUE,_xlfn._xlws.FILTER($B$4:$B$17,ISNUMBER(SEARCH($B22,INDIRECT(ADDRESS(4, MATCH(AD$19,$3:$3)) &amp; ":" &amp; ADDRESS(15, MATCH(AD$19,$3:$3))))))), "")</f>
        <v/>
      </c>
      <c r="AE22" s="15" t="str" cm="1">
        <f t="array" aca="1" ref="AE22" ca="1">IFERROR(_xlfn.TEXTJOIN("、",TRUE,_xlfn._xlws.FILTER($B$4:$B$17,ISNUMBER(SEARCH($B22,INDIRECT(ADDRESS(4, MATCH(AE$19,$3:$3)) &amp; ":" &amp; ADDRESS(15, MATCH(AE$19,$3:$3))))))), "")</f>
        <v/>
      </c>
      <c r="AF22" s="15" t="str" cm="1">
        <f t="array" aca="1" ref="AF22" ca="1">IFERROR(_xlfn.TEXTJOIN("、",TRUE,_xlfn._xlws.FILTER($B$4:$B$17,ISNUMBER(SEARCH($B22,INDIRECT(ADDRESS(4, MATCH(AF$19,$3:$3)) &amp; ":" &amp; ADDRESS(15, MATCH(AF$19,$3:$3))))))), "")</f>
        <v/>
      </c>
      <c r="AG22" s="15" t="str" cm="1">
        <f t="array" aca="1" ref="AG22" ca="1">IFERROR(_xlfn.TEXTJOIN("、",TRUE,_xlfn._xlws.FILTER($B$4:$B$17,ISNUMBER(SEARCH($B22,INDIRECT(ADDRESS(4, MATCH(AG$19,$3:$3)) &amp; ":" &amp; ADDRESS(15, MATCH(AG$19,$3:$3))))))), "")</f>
        <v/>
      </c>
      <c r="AH22" s="15" t="str" cm="1">
        <f t="array" aca="1" ref="AH22" ca="1">IFERROR(_xlfn.TEXTJOIN("、",TRUE,_xlfn._xlws.FILTER($B$4:$B$17,ISNUMBER(SEARCH($B22,INDIRECT(ADDRESS(4, MATCH(AH$19,$3:$3)) &amp; ":" &amp; ADDRESS(15, MATCH(AH$19,$3:$3))))))), "")</f>
        <v/>
      </c>
      <c r="AI22" s="15" t="str" cm="1">
        <f t="array" aca="1" ref="AI22" ca="1">IFERROR(_xlfn.TEXTJOIN("、",TRUE,_xlfn._xlws.FILTER($B$4:$B$17,ISNUMBER(SEARCH($B22,INDIRECT(ADDRESS(4, MATCH(AI$19,$3:$3)) &amp; ":" &amp; ADDRESS(15, MATCH(AI$19,$3:$3))))))), "")</f>
        <v/>
      </c>
      <c r="AJ22" s="15" t="str" cm="1">
        <f t="array" aca="1" ref="AJ22" ca="1">IFERROR(_xlfn.TEXTJOIN("、",TRUE,_xlfn._xlws.FILTER($B$4:$B$17,ISNUMBER(SEARCH($B22,INDIRECT(ADDRESS(4, MATCH(AJ$19,$3:$3)) &amp; ":" &amp; ADDRESS(15, MATCH(AJ$19,$3:$3))))))), "")</f>
        <v/>
      </c>
      <c r="AK22" s="15" t="str" cm="1">
        <f t="array" aca="1" ref="AK22" ca="1">IFERROR(_xlfn.TEXTJOIN("、",TRUE,_xlfn._xlws.FILTER($B$4:$B$17,ISNUMBER(SEARCH($B22,INDIRECT(ADDRESS(4, MATCH(AK$19,$3:$3)) &amp; ":" &amp; ADDRESS(15, MATCH(AK$19,$3:$3))))))), "")</f>
        <v/>
      </c>
      <c r="AL22" s="15" t="str" cm="1">
        <f t="array" aca="1" ref="AL22" ca="1">IFERROR(_xlfn.TEXTJOIN("、",TRUE,_xlfn._xlws.FILTER($B$4:$B$17,ISNUMBER(SEARCH($B22,INDIRECT(ADDRESS(4, MATCH(AL$19,$3:$3)) &amp; ":" &amp; ADDRESS(15, MATCH(AL$19,$3:$3))))))), "")</f>
        <v/>
      </c>
      <c r="AM22" s="15" t="str" cm="1">
        <f t="array" aca="1" ref="AM22" ca="1">IFERROR(_xlfn.TEXTJOIN("、",TRUE,_xlfn._xlws.FILTER($B$4:$B$17,ISNUMBER(SEARCH($B22,INDIRECT(ADDRESS(4, MATCH(AM$19,$3:$3)) &amp; ":" &amp; ADDRESS(15, MATCH(AM$19,$3:$3))))))), "")</f>
        <v/>
      </c>
      <c r="AN22" s="15" t="str" cm="1">
        <f t="array" aca="1" ref="AN22" ca="1">IFERROR(_xlfn.TEXTJOIN("、",TRUE,_xlfn._xlws.FILTER($B$4:$B$17,ISNUMBER(SEARCH($B22,INDIRECT(ADDRESS(4, MATCH(AN$19,$3:$3)) &amp; ":" &amp; ADDRESS(15, MATCH(AN$19,$3:$3))))))), "")</f>
        <v/>
      </c>
      <c r="AO22" s="15" t="str" cm="1">
        <f t="array" aca="1" ref="AO22" ca="1">IFERROR(_xlfn.TEXTJOIN("、",TRUE,_xlfn._xlws.FILTER($B$4:$B$17,ISNUMBER(SEARCH($B22,INDIRECT(ADDRESS(4, MATCH(AO$19,$3:$3)) &amp; ":" &amp; ADDRESS(15, MATCH(AO$19,$3:$3))))))), "")</f>
        <v/>
      </c>
      <c r="AP22" s="15" t="str" cm="1">
        <f t="array" aca="1" ref="AP22" ca="1">IFERROR(_xlfn.TEXTJOIN("、",TRUE,_xlfn._xlws.FILTER($B$4:$B$17,ISNUMBER(SEARCH($B22,INDIRECT(ADDRESS(4, MATCH(AP$19,$3:$3)) &amp; ":" &amp; ADDRESS(15, MATCH(AP$19,$3:$3))))))), "")</f>
        <v/>
      </c>
      <c r="AQ22" s="15" t="str" cm="1">
        <f t="array" aca="1" ref="AQ22" ca="1">IFERROR(_xlfn.TEXTJOIN("、",TRUE,_xlfn._xlws.FILTER($B$4:$B$17,ISNUMBER(SEARCH($B22,INDIRECT(ADDRESS(4, MATCH(AQ$19,$3:$3)) &amp; ":" &amp; ADDRESS(15, MATCH(AQ$19,$3:$3))))))), "")</f>
        <v/>
      </c>
      <c r="AR22" s="15" t="str" cm="1">
        <f t="array" aca="1" ref="AR22" ca="1">IFERROR(_xlfn.TEXTJOIN("、",TRUE,_xlfn._xlws.FILTER($B$4:$B$17,ISNUMBER(SEARCH($B22,INDIRECT(ADDRESS(4, MATCH(AR$19,$3:$3)) &amp; ":" &amp; ADDRESS(15, MATCH(AR$19,$3:$3))))))), "")</f>
        <v/>
      </c>
      <c r="AS22" s="15" t="str" cm="1">
        <f t="array" aca="1" ref="AS22" ca="1">IFERROR(_xlfn.TEXTJOIN("、",TRUE,_xlfn._xlws.FILTER($B$4:$B$17,ISNUMBER(SEARCH($B22,INDIRECT(ADDRESS(4, MATCH(AS$19,$3:$3)) &amp; ":" &amp; ADDRESS(15, MATCH(AS$19,$3:$3))))))), "")</f>
        <v/>
      </c>
      <c r="AT22" s="15" t="str" cm="1">
        <f t="array" aca="1" ref="AT22" ca="1">IFERROR(_xlfn.TEXTJOIN("、",TRUE,_xlfn._xlws.FILTER($B$4:$B$17,ISNUMBER(SEARCH($B22,INDIRECT(ADDRESS(4, MATCH(AT$19,$3:$3)) &amp; ":" &amp; ADDRESS(15, MATCH(AT$19,$3:$3))))))), "")</f>
        <v/>
      </c>
      <c r="AU22" s="15" t="str" cm="1">
        <f t="array" aca="1" ref="AU22" ca="1">IFERROR(_xlfn.TEXTJOIN("、",TRUE,_xlfn._xlws.FILTER($B$4:$B$17,ISNUMBER(SEARCH($B22,INDIRECT(ADDRESS(4, MATCH(AU$19,$3:$3)) &amp; ":" &amp; ADDRESS(15, MATCH(AU$19,$3:$3))))))), "")</f>
        <v/>
      </c>
      <c r="AV22" s="15" t="str" cm="1">
        <f t="array" aca="1" ref="AV22" ca="1">IFERROR(_xlfn.TEXTJOIN("、",TRUE,_xlfn._xlws.FILTER($B$4:$B$17,ISNUMBER(SEARCH($B22,INDIRECT(ADDRESS(4, MATCH(AV$19,$3:$3)) &amp; ":" &amp; ADDRESS(15, MATCH(AV$19,$3:$3))))))), "")</f>
        <v/>
      </c>
      <c r="AW22" s="15" t="str" cm="1">
        <f t="array" aca="1" ref="AW22" ca="1">IFERROR(_xlfn.TEXTJOIN("、",TRUE,_xlfn._xlws.FILTER($B$4:$B$17,ISNUMBER(SEARCH($B22,INDIRECT(ADDRESS(4, MATCH(AW$19,$3:$3)) &amp; ":" &amp; ADDRESS(15, MATCH(AW$19,$3:$3))))))), "")</f>
        <v/>
      </c>
      <c r="AX22" s="15" t="str" cm="1">
        <f t="array" aca="1" ref="AX22" ca="1">IFERROR(_xlfn.TEXTJOIN("、",TRUE,_xlfn._xlws.FILTER($B$4:$B$17,ISNUMBER(SEARCH($B22,INDIRECT(ADDRESS(4, MATCH(AX$19,$3:$3)) &amp; ":" &amp; ADDRESS(15, MATCH(AX$19,$3:$3))))))), "")</f>
        <v/>
      </c>
      <c r="AY22" s="15" t="str" cm="1">
        <f t="array" aca="1" ref="AY22" ca="1">IFERROR(_xlfn.TEXTJOIN("、",TRUE,_xlfn._xlws.FILTER($B$4:$B$17,ISNUMBER(SEARCH($B22,INDIRECT(ADDRESS(4, MATCH(AY$19,$3:$3)) &amp; ":" &amp; ADDRESS(15, MATCH(AY$19,$3:$3))))))), "")</f>
        <v/>
      </c>
      <c r="AZ22" s="15" t="str" cm="1">
        <f t="array" aca="1" ref="AZ22" ca="1">IFERROR(_xlfn.TEXTJOIN("、",TRUE,_xlfn._xlws.FILTER($B$4:$B$17,ISNUMBER(SEARCH($B22,INDIRECT(ADDRESS(4, MATCH(AZ$19,$3:$3)) &amp; ":" &amp; ADDRESS(15, MATCH(AZ$19,$3:$3))))))), "")</f>
        <v/>
      </c>
      <c r="BA22" s="15" t="str" cm="1">
        <f t="array" aca="1" ref="BA22" ca="1">IFERROR(_xlfn.TEXTJOIN("、",TRUE,_xlfn._xlws.FILTER($B$4:$B$17,ISNUMBER(SEARCH($B22,INDIRECT(ADDRESS(4, MATCH(BA$19,$3:$3)) &amp; ":" &amp; ADDRESS(15, MATCH(BA$19,$3:$3))))))), "")</f>
        <v/>
      </c>
      <c r="BB22" s="15" t="str" cm="1">
        <f t="array" aca="1" ref="BB22" ca="1">IFERROR(_xlfn.TEXTJOIN("、",TRUE,_xlfn._xlws.FILTER($B$4:$B$17,ISNUMBER(SEARCH($B22,INDIRECT(ADDRESS(4, MATCH(BB$19,$3:$3)) &amp; ":" &amp; ADDRESS(15, MATCH(BB$19,$3:$3))))))), "")</f>
        <v/>
      </c>
      <c r="BC22" s="15" t="str" cm="1">
        <f t="array" aca="1" ref="BC22" ca="1">IFERROR(_xlfn.TEXTJOIN("、",TRUE,_xlfn._xlws.FILTER($B$4:$B$17,ISNUMBER(SEARCH($B22,INDIRECT(ADDRESS(4, MATCH(BC$19,$3:$3)) &amp; ":" &amp; ADDRESS(15, MATCH(BC$19,$3:$3))))))), "")</f>
        <v/>
      </c>
      <c r="BD22" s="15" t="str" cm="1">
        <f t="array" aca="1" ref="BD22" ca="1">IFERROR(_xlfn.TEXTJOIN("、",TRUE,_xlfn._xlws.FILTER($B$4:$B$17,ISNUMBER(SEARCH($B22,INDIRECT(ADDRESS(4, MATCH(BD$19,$3:$3)) &amp; ":" &amp; ADDRESS(15, MATCH(BD$19,$3:$3))))))), "")</f>
        <v/>
      </c>
      <c r="BE22" s="15" t="str" cm="1">
        <f t="array" aca="1" ref="BE22" ca="1">IFERROR(_xlfn.TEXTJOIN("、",TRUE,_xlfn._xlws.FILTER($B$4:$B$17,ISNUMBER(SEARCH($B22,INDIRECT(ADDRESS(4, MATCH(BE$19,$3:$3)) &amp; ":" &amp; ADDRESS(15, MATCH(BE$19,$3:$3))))))), "")</f>
        <v/>
      </c>
      <c r="BF22" s="15" t="str" cm="1">
        <f t="array" aca="1" ref="BF22" ca="1">IFERROR(_xlfn.TEXTJOIN("、",TRUE,_xlfn._xlws.FILTER($B$4:$B$17,ISNUMBER(SEARCH($B22,INDIRECT(ADDRESS(4, MATCH(BF$19,$3:$3)) &amp; ":" &amp; ADDRESS(15, MATCH(BF$19,$3:$3))))))), "")</f>
        <v/>
      </c>
      <c r="BG22" s="15" t="str" cm="1">
        <f t="array" aca="1" ref="BG22" ca="1">IFERROR(_xlfn.TEXTJOIN("、",TRUE,_xlfn._xlws.FILTER($B$4:$B$17,ISNUMBER(SEARCH($B22,INDIRECT(ADDRESS(4, MATCH(BG$19,$3:$3)) &amp; ":" &amp; ADDRESS(15, MATCH(BG$19,$3:$3))))))), "")</f>
        <v/>
      </c>
      <c r="BH22" s="15" t="str" cm="1">
        <f t="array" aca="1" ref="BH22" ca="1">IFERROR(_xlfn.TEXTJOIN("、",TRUE,_xlfn._xlws.FILTER($B$4:$B$17,ISNUMBER(SEARCH($B22,INDIRECT(ADDRESS(4, MATCH(BH$19,$3:$3)) &amp; ":" &amp; ADDRESS(15, MATCH(BH$19,$3:$3))))))), "")</f>
        <v/>
      </c>
      <c r="BI22" s="15" t="str" cm="1">
        <f t="array" aca="1" ref="BI22" ca="1">IFERROR(_xlfn.TEXTJOIN("、",TRUE,_xlfn._xlws.FILTER($B$4:$B$17,ISNUMBER(SEARCH($B22,INDIRECT(ADDRESS(4, MATCH(BI$19,$3:$3)) &amp; ":" &amp; ADDRESS(15, MATCH(BI$19,$3:$3))))))), "")</f>
        <v/>
      </c>
      <c r="BJ22" s="15" t="str" cm="1">
        <f t="array" aca="1" ref="BJ22" ca="1">IFERROR(_xlfn.TEXTJOIN("、",TRUE,_xlfn._xlws.FILTER($B$4:$B$17,ISNUMBER(SEARCH($B22,INDIRECT(ADDRESS(4, MATCH(BJ$19,$3:$3)) &amp; ":" &amp; ADDRESS(15, MATCH(BJ$19,$3:$3))))))), "")</f>
        <v/>
      </c>
      <c r="BK22" s="15" t="str" cm="1">
        <f t="array" aca="1" ref="BK22" ca="1">IFERROR(_xlfn.TEXTJOIN("、",TRUE,_xlfn._xlws.FILTER($B$4:$B$17,ISNUMBER(SEARCH($B22,INDIRECT(ADDRESS(4, MATCH(BK$19,$3:$3)) &amp; ":" &amp; ADDRESS(15, MATCH(BK$19,$3:$3))))))), "")</f>
        <v/>
      </c>
      <c r="BL22" s="15" t="str" cm="1">
        <f t="array" aca="1" ref="BL22" ca="1">IFERROR(_xlfn.TEXTJOIN("、",TRUE,_xlfn._xlws.FILTER($B$4:$B$17,ISNUMBER(SEARCH($B22,INDIRECT(ADDRESS(4, MATCH(BL$19,$3:$3)) &amp; ":" &amp; ADDRESS(15, MATCH(BL$19,$3:$3))))))), "")</f>
        <v/>
      </c>
      <c r="BM22" s="15" t="str" cm="1">
        <f t="array" aca="1" ref="BM22" ca="1">IFERROR(_xlfn.TEXTJOIN("、",TRUE,_xlfn._xlws.FILTER($B$4:$B$17,ISNUMBER(SEARCH($B22,INDIRECT(ADDRESS(4, MATCH(BM$19,$3:$3)) &amp; ":" &amp; ADDRESS(15, MATCH(BM$19,$3:$3))))))), "")</f>
        <v/>
      </c>
      <c r="BN22" s="15" t="str" cm="1">
        <f t="array" aca="1" ref="BN22" ca="1">IFERROR(_xlfn.TEXTJOIN("、",TRUE,_xlfn._xlws.FILTER($B$4:$B$17,ISNUMBER(SEARCH($B22,INDIRECT(ADDRESS(4, MATCH(BN$19,$3:$3)) &amp; ":" &amp; ADDRESS(15, MATCH(BN$19,$3:$3))))))), "")</f>
        <v/>
      </c>
      <c r="BO22" s="15" t="str" cm="1">
        <f t="array" aca="1" ref="BO22" ca="1">IFERROR(_xlfn.TEXTJOIN("、",TRUE,_xlfn._xlws.FILTER($B$4:$B$17,ISNUMBER(SEARCH($B22,INDIRECT(ADDRESS(4, MATCH(BO$19,$3:$3)) &amp; ":" &amp; ADDRESS(15, MATCH(BO$19,$3:$3))))))), "")</f>
        <v/>
      </c>
      <c r="BP22" s="15" t="str" cm="1">
        <f t="array" aca="1" ref="BP22" ca="1">IFERROR(_xlfn.TEXTJOIN("、",TRUE,_xlfn._xlws.FILTER($B$4:$B$17,ISNUMBER(SEARCH($B22,INDIRECT(ADDRESS(4, MATCH(BP$19,$3:$3)) &amp; ":" &amp; ADDRESS(15, MATCH(BP$19,$3:$3))))))), "")</f>
        <v/>
      </c>
      <c r="BQ22" s="15" t="str" cm="1">
        <f t="array" aca="1" ref="BQ22" ca="1">IFERROR(_xlfn.TEXTJOIN("、",TRUE,_xlfn._xlws.FILTER($B$4:$B$17,ISNUMBER(SEARCH($B22,INDIRECT(ADDRESS(4, MATCH(BQ$19,$3:$3)) &amp; ":" &amp; ADDRESS(15, MATCH(BQ$19,$3:$3))))))), "")</f>
        <v/>
      </c>
      <c r="BR22" s="15" t="str" cm="1">
        <f t="array" aca="1" ref="BR22" ca="1">IFERROR(_xlfn.TEXTJOIN("、",TRUE,_xlfn._xlws.FILTER($B$4:$B$17,ISNUMBER(SEARCH($B22,INDIRECT(ADDRESS(4, MATCH(BR$19,$3:$3)) &amp; ":" &amp; ADDRESS(15, MATCH(BR$19,$3:$3))))))), "")</f>
        <v/>
      </c>
      <c r="BS22" s="15" t="str" cm="1">
        <f t="array" aca="1" ref="BS22" ca="1">IFERROR(_xlfn.TEXTJOIN("、",TRUE,_xlfn._xlws.FILTER($B$4:$B$17,ISNUMBER(SEARCH($B22,INDIRECT(ADDRESS(4, MATCH(BS$19,$3:$3)) &amp; ":" &amp; ADDRESS(15, MATCH(BS$19,$3:$3))))))), "")</f>
        <v/>
      </c>
      <c r="BT22" s="15" t="str" cm="1">
        <f t="array" aca="1" ref="BT22" ca="1">IFERROR(_xlfn.TEXTJOIN("、",TRUE,_xlfn._xlws.FILTER($B$4:$B$17,ISNUMBER(SEARCH($B22,INDIRECT(ADDRESS(4, MATCH(BT$19,$3:$3)) &amp; ":" &amp; ADDRESS(15, MATCH(BT$19,$3:$3))))))), "")</f>
        <v/>
      </c>
      <c r="BU22" s="15" t="str" cm="1">
        <f t="array" aca="1" ref="BU22" ca="1">IFERROR(_xlfn.TEXTJOIN("、",TRUE,_xlfn._xlws.FILTER($B$4:$B$17,ISNUMBER(SEARCH($B22,INDIRECT(ADDRESS(4, MATCH(BU$19,$3:$3)) &amp; ":" &amp; ADDRESS(15, MATCH(BU$19,$3:$3))))))), "")</f>
        <v/>
      </c>
      <c r="BV22" s="15" t="str" cm="1">
        <f t="array" aca="1" ref="BV22" ca="1">IFERROR(_xlfn.TEXTJOIN("、",TRUE,_xlfn._xlws.FILTER($B$4:$B$17,ISNUMBER(SEARCH($B22,INDIRECT(ADDRESS(4, MATCH(BV$19,$3:$3)) &amp; ":" &amp; ADDRESS(15, MATCH(BV$19,$3:$3))))))), "")</f>
        <v/>
      </c>
      <c r="BW22" s="15" t="str" cm="1">
        <f t="array" aca="1" ref="BW22" ca="1">IFERROR(_xlfn.TEXTJOIN("、",TRUE,_xlfn._xlws.FILTER($B$4:$B$17,ISNUMBER(SEARCH($B22,INDIRECT(ADDRESS(4, MATCH(BW$19,$3:$3)) &amp; ":" &amp; ADDRESS(15, MATCH(BW$19,$3:$3))))))), "")</f>
        <v/>
      </c>
      <c r="BX22" s="15" t="str" cm="1">
        <f t="array" aca="1" ref="BX22" ca="1">IFERROR(_xlfn.TEXTJOIN("、",TRUE,_xlfn._xlws.FILTER($B$4:$B$17,ISNUMBER(SEARCH($B22,INDIRECT(ADDRESS(4, MATCH(BX$19,$3:$3)) &amp; ":" &amp; ADDRESS(15, MATCH(BX$19,$3:$3))))))), "")</f>
        <v/>
      </c>
      <c r="BY22" s="15" t="str" cm="1">
        <f t="array" aca="1" ref="BY22" ca="1">IFERROR(_xlfn.TEXTJOIN("、",TRUE,_xlfn._xlws.FILTER($B$4:$B$17,ISNUMBER(SEARCH($B22,INDIRECT(ADDRESS(4, MATCH(BY$19,$3:$3)) &amp; ":" &amp; ADDRESS(15, MATCH(BY$19,$3:$3))))))), "")</f>
        <v/>
      </c>
      <c r="BZ22" s="15" t="str" cm="1">
        <f t="array" aca="1" ref="BZ22" ca="1">IFERROR(_xlfn.TEXTJOIN("、",TRUE,_xlfn._xlws.FILTER($B$4:$B$17,ISNUMBER(SEARCH($B22,INDIRECT(ADDRESS(4, MATCH(BZ$19,$3:$3)) &amp; ":" &amp; ADDRESS(15, MATCH(BZ$19,$3:$3))))))), "")</f>
        <v/>
      </c>
      <c r="CA22" s="15" t="str" cm="1">
        <f t="array" aca="1" ref="CA22" ca="1">IFERROR(_xlfn.TEXTJOIN("、",TRUE,_xlfn._xlws.FILTER($B$4:$B$17,ISNUMBER(SEARCH($B22,INDIRECT(ADDRESS(4, MATCH(CA$19,$3:$3)) &amp; ":" &amp; ADDRESS(15, MATCH(CA$19,$3:$3))))))), "")</f>
        <v/>
      </c>
      <c r="CB22" s="15" t="str" cm="1">
        <f t="array" aca="1" ref="CB22" ca="1">IFERROR(_xlfn.TEXTJOIN("、",TRUE,_xlfn._xlws.FILTER($B$4:$B$17,ISNUMBER(SEARCH($B22,INDIRECT(ADDRESS(4, MATCH(CB$19,$3:$3)) &amp; ":" &amp; ADDRESS(15, MATCH(CB$19,$3:$3))))))), "")</f>
        <v/>
      </c>
      <c r="CC22" s="15" t="str" cm="1">
        <f t="array" aca="1" ref="CC22" ca="1">IFERROR(_xlfn.TEXTJOIN("、",TRUE,_xlfn._xlws.FILTER($B$4:$B$17,ISNUMBER(SEARCH($B22,INDIRECT(ADDRESS(4, MATCH(CC$19,$3:$3)) &amp; ":" &amp; ADDRESS(15, MATCH(CC$19,$3:$3))))))), "")</f>
        <v/>
      </c>
      <c r="CD22" s="15" t="str" cm="1">
        <f t="array" aca="1" ref="CD22" ca="1">IFERROR(_xlfn.TEXTJOIN("、",TRUE,_xlfn._xlws.FILTER($B$4:$B$17,ISNUMBER(SEARCH($B22,INDIRECT(ADDRESS(4, MATCH(CD$19,$3:$3)) &amp; ":" &amp; ADDRESS(15, MATCH(CD$19,$3:$3))))))), "")</f>
        <v/>
      </c>
      <c r="CE22" s="15" t="str" cm="1">
        <f t="array" aca="1" ref="CE22" ca="1">IFERROR(_xlfn.TEXTJOIN("、",TRUE,_xlfn._xlws.FILTER($B$4:$B$17,ISNUMBER(SEARCH($B22,INDIRECT(ADDRESS(4, MATCH(CE$19,$3:$3)) &amp; ":" &amp; ADDRESS(15, MATCH(CE$19,$3:$3))))))), "")</f>
        <v/>
      </c>
      <c r="CF22" s="15" t="str" cm="1">
        <f t="array" aca="1" ref="CF22" ca="1">IFERROR(_xlfn.TEXTJOIN("、",TRUE,_xlfn._xlws.FILTER($B$4:$B$17,ISNUMBER(SEARCH($B22,INDIRECT(ADDRESS(4, MATCH(CF$19,$3:$3)) &amp; ":" &amp; ADDRESS(15, MATCH(CF$19,$3:$3))))))), "")</f>
        <v/>
      </c>
      <c r="CG22" s="15" t="str" cm="1">
        <f t="array" aca="1" ref="CG22" ca="1">IFERROR(_xlfn.TEXTJOIN("、",TRUE,_xlfn._xlws.FILTER($B$4:$B$17,ISNUMBER(SEARCH($B22,INDIRECT(ADDRESS(4, MATCH(CG$19,$3:$3)) &amp; ":" &amp; ADDRESS(15, MATCH(CG$19,$3:$3))))))), "")</f>
        <v/>
      </c>
      <c r="CH22" s="15" t="str" cm="1">
        <f t="array" aca="1" ref="CH22" ca="1">IFERROR(_xlfn.TEXTJOIN("、",TRUE,_xlfn._xlws.FILTER($B$4:$B$17,ISNUMBER(SEARCH($B22,INDIRECT(ADDRESS(4, MATCH(CH$19,$3:$3)) &amp; ":" &amp; ADDRESS(15, MATCH(CH$19,$3:$3))))))), "")</f>
        <v/>
      </c>
      <c r="CI22" s="15" t="str" cm="1">
        <f t="array" aca="1" ref="CI22" ca="1">IFERROR(_xlfn.TEXTJOIN("、",TRUE,_xlfn._xlws.FILTER($B$4:$B$17,ISNUMBER(SEARCH($B22,INDIRECT(ADDRESS(4, MATCH(CI$19,$3:$3)) &amp; ":" &amp; ADDRESS(15, MATCH(CI$19,$3:$3))))))), "")</f>
        <v/>
      </c>
      <c r="CJ22" s="15" t="str" cm="1">
        <f t="array" aca="1" ref="CJ22" ca="1">IFERROR(_xlfn.TEXTJOIN("、",TRUE,_xlfn._xlws.FILTER($B$4:$B$17,ISNUMBER(SEARCH($B22,INDIRECT(ADDRESS(4, MATCH(CJ$19,$3:$3)) &amp; ":" &amp; ADDRESS(15, MATCH(CJ$19,$3:$3))))))), "")</f>
        <v/>
      </c>
      <c r="CK22" s="15" t="str" cm="1">
        <f t="array" aca="1" ref="CK22" ca="1">IFERROR(_xlfn.TEXTJOIN("、",TRUE,_xlfn._xlws.FILTER($B$4:$B$17,ISNUMBER(SEARCH($B22,INDIRECT(ADDRESS(4, MATCH(CK$19,$3:$3)) &amp; ":" &amp; ADDRESS(15, MATCH(CK$19,$3:$3))))))), "")</f>
        <v/>
      </c>
      <c r="CL22" s="15" t="str" cm="1">
        <f t="array" aca="1" ref="CL22" ca="1">IFERROR(_xlfn.TEXTJOIN("、",TRUE,_xlfn._xlws.FILTER($B$4:$B$17,ISNUMBER(SEARCH($B22,INDIRECT(ADDRESS(4, MATCH(CL$19,$3:$3)) &amp; ":" &amp; ADDRESS(15, MATCH(CL$19,$3:$3))))))), "")</f>
        <v/>
      </c>
      <c r="CM22" s="15" t="str" cm="1">
        <f t="array" aca="1" ref="CM22" ca="1">IFERROR(_xlfn.TEXTJOIN("、",TRUE,_xlfn._xlws.FILTER($B$4:$B$17,ISNUMBER(SEARCH($B22,INDIRECT(ADDRESS(4, MATCH(CM$19,$3:$3)) &amp; ":" &amp; ADDRESS(15, MATCH(CM$19,$3:$3))))))), "")</f>
        <v/>
      </c>
      <c r="CN22" s="15" t="str" cm="1">
        <f t="array" aca="1" ref="CN22" ca="1">IFERROR(_xlfn.TEXTJOIN("、",TRUE,_xlfn._xlws.FILTER($B$4:$B$17,ISNUMBER(SEARCH($B22,INDIRECT(ADDRESS(4, MATCH(CN$19,$3:$3)) &amp; ":" &amp; ADDRESS(15, MATCH(CN$19,$3:$3))))))), "")</f>
        <v/>
      </c>
      <c r="CO22" s="15" t="str" cm="1">
        <f t="array" aca="1" ref="CO22" ca="1">IFERROR(_xlfn.TEXTJOIN("、",TRUE,_xlfn._xlws.FILTER($B$4:$B$17,ISNUMBER(SEARCH($B22,INDIRECT(ADDRESS(4, MATCH(CO$19,$3:$3)) &amp; ":" &amp; ADDRESS(15, MATCH(CO$19,$3:$3))))))), "")</f>
        <v/>
      </c>
      <c r="CP22" s="15" t="str" cm="1">
        <f t="array" aca="1" ref="CP22" ca="1">IFERROR(_xlfn.TEXTJOIN("、",TRUE,_xlfn._xlws.FILTER($B$4:$B$17,ISNUMBER(SEARCH($B22,INDIRECT(ADDRESS(4, MATCH(CP$19,$3:$3)) &amp; ":" &amp; ADDRESS(15, MATCH(CP$19,$3:$3))))))), "")</f>
        <v/>
      </c>
      <c r="CQ22" s="20" t="str" cm="1">
        <f t="array" aca="1" ref="CQ22" ca="1">IFERROR(_xlfn.TEXTJOIN("、",TRUE,_xlfn._xlws.FILTER($B$4:$B$17,INDIRECT(ADDRESS(4, MATCH(CQ$19,$3:$3)) &amp; ":" &amp; ADDRESS(15, MATCH(CQ$19,$3:$3)))=$B22)), "")</f>
        <v/>
      </c>
      <c r="CR22" s="20" t="str" cm="1">
        <f t="array" aca="1" ref="CR22" ca="1">IFERROR(_xlfn.TEXTJOIN("、",TRUE,_xlfn._xlws.FILTER($B$4:$B$17,INDIRECT(ADDRESS(4, MATCH(CR$19,$3:$3)) &amp; ":" &amp; ADDRESS(15, MATCH(CR$19,$3:$3)))=$B22)), "")</f>
        <v/>
      </c>
      <c r="CS22" s="20" t="str" cm="1">
        <f t="array" aca="1" ref="CS22" ca="1">IFERROR(_xlfn.TEXTJOIN("、",TRUE,_xlfn._xlws.FILTER($B$4:$B$17,INDIRECT(ADDRESS(4, MATCH(CS$19,$3:$3)) &amp; ":" &amp; ADDRESS(15, MATCH(CS$19,$3:$3)))=$B22)), "")</f>
        <v/>
      </c>
      <c r="CT22" s="20" t="str" cm="1">
        <f t="array" aca="1" ref="CT22" ca="1">IFERROR(_xlfn.TEXTJOIN("、",TRUE,_xlfn._xlws.FILTER($B$4:$B$17,INDIRECT(ADDRESS(4, MATCH(CT$19,$3:$3)) &amp; ":" &amp; ADDRESS(15, MATCH(CT$19,$3:$3)))=$B22)), "")</f>
        <v/>
      </c>
      <c r="CU22" s="138"/>
      <c r="CV22" s="139" t="s">
        <v>202</v>
      </c>
      <c r="CW22" s="140"/>
      <c r="CX22" s="139" t="s">
        <v>201</v>
      </c>
      <c r="CY22" s="139" t="s">
        <v>204</v>
      </c>
      <c r="CZ22" s="139" t="s">
        <v>322</v>
      </c>
      <c r="DA22" s="140"/>
      <c r="DB22" s="140"/>
    </row>
    <row r="23" spans="2:106" ht="19.5" thickBot="1">
      <c r="B23" s="35" t="s">
        <v>335</v>
      </c>
      <c r="C23" s="15" t="str" cm="1">
        <f t="array" aca="1" ref="C23" ca="1">IFERROR(_xlfn.TEXTJOIN("、",TRUE,_xlfn._xlws.FILTER($B$4:$B$17,ISNUMBER(SEARCH($B23,INDIRECT(ADDRESS(4, MATCH(C$19,$3:$3)) &amp; ":" &amp; ADDRESS(15, MATCH(C$19,$3:$3))))))), "")</f>
        <v/>
      </c>
      <c r="D23" s="15" t="str" cm="1">
        <f t="array" aca="1" ref="D23" ca="1">IFERROR(_xlfn.TEXTJOIN("、",TRUE,_xlfn._xlws.FILTER($B$4:$B$17,ISNUMBER(SEARCH($B23,INDIRECT(ADDRESS(4, MATCH(D$19,$3:$3)) &amp; ":" &amp; ADDRESS(15, MATCH(D$19,$3:$3))))))), "")</f>
        <v/>
      </c>
      <c r="E23" s="15" t="str" cm="1">
        <f t="array" aca="1" ref="E23" ca="1">IFERROR(_xlfn.TEXTJOIN("、",TRUE,_xlfn._xlws.FILTER($B$4:$B$17,ISNUMBER(SEARCH($B23,INDIRECT(ADDRESS(4, MATCH(E$19,$3:$3)) &amp; ":" &amp; ADDRESS(15, MATCH(E$19,$3:$3))))))), "")</f>
        <v/>
      </c>
      <c r="F23" s="15" t="str" cm="1">
        <f t="array" aca="1" ref="F23" ca="1">IFERROR(_xlfn.TEXTJOIN("、",TRUE,_xlfn._xlws.FILTER($B$4:$B$17,ISNUMBER(SEARCH($B23,INDIRECT(ADDRESS(4, MATCH(F$19,$3:$3)) &amp; ":" &amp; ADDRESS(15, MATCH(F$19,$3:$3))))))), "")</f>
        <v/>
      </c>
      <c r="G23" s="15" t="str" cm="1">
        <f t="array" aca="1" ref="G23" ca="1">IFERROR(_xlfn.TEXTJOIN("、",TRUE,_xlfn._xlws.FILTER($B$4:$B$17,ISNUMBER(SEARCH($B23,INDIRECT(ADDRESS(4, MATCH(G$19,$3:$3)) &amp; ":" &amp; ADDRESS(15, MATCH(G$19,$3:$3))))))), "")</f>
        <v/>
      </c>
      <c r="H23" s="15" t="str" cm="1">
        <f t="array" aca="1" ref="H23" ca="1">IFERROR(_xlfn.TEXTJOIN("、",TRUE,_xlfn._xlws.FILTER($B$4:$B$17,ISNUMBER(SEARCH($B23,INDIRECT(ADDRESS(4, MATCH(H$19,$3:$3)) &amp; ":" &amp; ADDRESS(15, MATCH(H$19,$3:$3))))))), "")</f>
        <v/>
      </c>
      <c r="I23" s="15" t="str" cm="1">
        <f t="array" aca="1" ref="I23" ca="1">IFERROR(_xlfn.TEXTJOIN("、",TRUE,_xlfn._xlws.FILTER($B$4:$B$17,ISNUMBER(SEARCH($B23,INDIRECT(ADDRESS(4, MATCH(I$19,$3:$3)) &amp; ":" &amp; ADDRESS(15, MATCH(I$19,$3:$3))))))), "")</f>
        <v/>
      </c>
      <c r="J23" s="15" t="str" cm="1">
        <f t="array" aca="1" ref="J23" ca="1">IFERROR(_xlfn.TEXTJOIN("、",TRUE,_xlfn._xlws.FILTER($B$4:$B$17,ISNUMBER(SEARCH($B23,INDIRECT(ADDRESS(4, MATCH(J$19,$3:$3)) &amp; ":" &amp; ADDRESS(15, MATCH(J$19,$3:$3))))))), "")</f>
        <v/>
      </c>
      <c r="K23" s="15" t="str" cm="1">
        <f t="array" aca="1" ref="K23" ca="1">IFERROR(_xlfn.TEXTJOIN("、",TRUE,_xlfn._xlws.FILTER($B$4:$B$17,ISNUMBER(SEARCH($B23,INDIRECT(ADDRESS(4, MATCH(K$19,$3:$3)) &amp; ":" &amp; ADDRESS(15, MATCH(K$19,$3:$3))))))), "")</f>
        <v/>
      </c>
      <c r="L23" s="15" t="str" cm="1">
        <f t="array" aca="1" ref="L23" ca="1">IFERROR(_xlfn.TEXTJOIN("、",TRUE,_xlfn._xlws.FILTER($B$4:$B$17,ISNUMBER(SEARCH($B23,INDIRECT(ADDRESS(4, MATCH(L$19,$3:$3)) &amp; ":" &amp; ADDRESS(15, MATCH(L$19,$3:$3))))))), "")</f>
        <v/>
      </c>
      <c r="M23" s="15" t="str" cm="1">
        <f t="array" aca="1" ref="M23" ca="1">IFERROR(_xlfn.TEXTJOIN("、",TRUE,_xlfn._xlws.FILTER($B$4:$B$17,ISNUMBER(SEARCH($B23,INDIRECT(ADDRESS(4, MATCH(M$19,$3:$3)) &amp; ":" &amp; ADDRESS(15, MATCH(M$19,$3:$3))))))), "")</f>
        <v/>
      </c>
      <c r="N23" s="15" t="str" cm="1">
        <f t="array" aca="1" ref="N23" ca="1">IFERROR(_xlfn.TEXTJOIN("、",TRUE,_xlfn._xlws.FILTER($B$4:$B$17,ISNUMBER(SEARCH($B23,INDIRECT(ADDRESS(4, MATCH(N$19,$3:$3)) &amp; ":" &amp; ADDRESS(15, MATCH(N$19,$3:$3))))))), "")</f>
        <v/>
      </c>
      <c r="O23" s="15" t="str" cm="1">
        <f t="array" aca="1" ref="O23" ca="1">IFERROR(_xlfn.TEXTJOIN("、",TRUE,_xlfn._xlws.FILTER($B$4:$B$17,ISNUMBER(SEARCH($B23,INDIRECT(ADDRESS(4, MATCH(O$19,$3:$3)) &amp; ":" &amp; ADDRESS(15, MATCH(O$19,$3:$3))))))), "")</f>
        <v/>
      </c>
      <c r="P23" s="15" t="str" cm="1">
        <f t="array" aca="1" ref="P23" ca="1">IFERROR(_xlfn.TEXTJOIN("、",TRUE,_xlfn._xlws.FILTER($B$4:$B$17,ISNUMBER(SEARCH($B23,INDIRECT(ADDRESS(4, MATCH(P$19,$3:$3)) &amp; ":" &amp; ADDRESS(15, MATCH(P$19,$3:$3))))))), "")</f>
        <v/>
      </c>
      <c r="Q23" s="15" t="str" cm="1">
        <f t="array" aca="1" ref="Q23" ca="1">IFERROR(_xlfn.TEXTJOIN("、",TRUE,_xlfn._xlws.FILTER($B$4:$B$17,ISNUMBER(SEARCH($B23,INDIRECT(ADDRESS(4, MATCH(Q$19,$3:$3)) &amp; ":" &amp; ADDRESS(15, MATCH(Q$19,$3:$3))))))), "")</f>
        <v/>
      </c>
      <c r="R23" s="15" t="str" cm="1">
        <f t="array" aca="1" ref="R23" ca="1">IFERROR(_xlfn.TEXTJOIN("、",TRUE,_xlfn._xlws.FILTER($B$4:$B$17,ISNUMBER(SEARCH($B23,INDIRECT(ADDRESS(4, MATCH(R$19,$3:$3)) &amp; ":" &amp; ADDRESS(15, MATCH(R$19,$3:$3))))))), "")</f>
        <v/>
      </c>
      <c r="S23" s="15" t="str" cm="1">
        <f t="array" aca="1" ref="S23" ca="1">IFERROR(_xlfn.TEXTJOIN("、",TRUE,_xlfn._xlws.FILTER($B$4:$B$17,ISNUMBER(SEARCH($B23,INDIRECT(ADDRESS(4, MATCH(S$19,$3:$3)) &amp; ":" &amp; ADDRESS(15, MATCH(S$19,$3:$3))))))), "")</f>
        <v/>
      </c>
      <c r="T23" s="15" t="str" cm="1">
        <f t="array" aca="1" ref="T23" ca="1">IFERROR(_xlfn.TEXTJOIN("、",TRUE,_xlfn._xlws.FILTER($B$4:$B$17,ISNUMBER(SEARCH($B23,INDIRECT(ADDRESS(4, MATCH(T$19,$3:$3)) &amp; ":" &amp; ADDRESS(15, MATCH(T$19,$3:$3))))))), "")</f>
        <v/>
      </c>
      <c r="U23" s="15" t="str" cm="1">
        <f t="array" aca="1" ref="U23" ca="1">IFERROR(_xlfn.TEXTJOIN("、",TRUE,_xlfn._xlws.FILTER($B$4:$B$17,ISNUMBER(SEARCH($B23,INDIRECT(ADDRESS(4, MATCH(U$19,$3:$3)) &amp; ":" &amp; ADDRESS(15, MATCH(U$19,$3:$3))))))), "")</f>
        <v/>
      </c>
      <c r="V23" s="15" t="str" cm="1">
        <f t="array" aca="1" ref="V23" ca="1">IFERROR(_xlfn.TEXTJOIN("、",TRUE,_xlfn._xlws.FILTER($B$4:$B$17,ISNUMBER(SEARCH($B23,INDIRECT(ADDRESS(4, MATCH(V$19,$3:$3)) &amp; ":" &amp; ADDRESS(15, MATCH(V$19,$3:$3))))))), "")</f>
        <v/>
      </c>
      <c r="W23" s="15" t="str" cm="1">
        <f t="array" aca="1" ref="W23" ca="1">IFERROR(_xlfn.TEXTJOIN("、",TRUE,_xlfn._xlws.FILTER($B$4:$B$17,ISNUMBER(SEARCH($B23,INDIRECT(ADDRESS(4, MATCH(W$19,$3:$3)) &amp; ":" &amp; ADDRESS(15, MATCH(W$19,$3:$3))))))), "")</f>
        <v/>
      </c>
      <c r="X23" s="15" t="str" cm="1">
        <f t="array" aca="1" ref="X23" ca="1">IFERROR(_xlfn.TEXTJOIN("、",TRUE,_xlfn._xlws.FILTER($B$4:$B$17,ISNUMBER(SEARCH($B23,INDIRECT(ADDRESS(4, MATCH(X$19,$3:$3)) &amp; ":" &amp; ADDRESS(15, MATCH(X$19,$3:$3))))))), "")</f>
        <v/>
      </c>
      <c r="Y23" s="15" t="str" cm="1">
        <f t="array" aca="1" ref="Y23" ca="1">IFERROR(_xlfn.TEXTJOIN("、",TRUE,_xlfn._xlws.FILTER($B$4:$B$17,ISNUMBER(SEARCH($B23,INDIRECT(ADDRESS(4, MATCH(Y$19,$3:$3)) &amp; ":" &amp; ADDRESS(15, MATCH(Y$19,$3:$3))))))), "")</f>
        <v/>
      </c>
      <c r="Z23" s="15" t="str" cm="1">
        <f t="array" aca="1" ref="Z23" ca="1">IFERROR(_xlfn.TEXTJOIN("、",TRUE,_xlfn._xlws.FILTER($B$4:$B$17,ISNUMBER(SEARCH($B23,INDIRECT(ADDRESS(4, MATCH(Z$19,$3:$3)) &amp; ":" &amp; ADDRESS(15, MATCH(Z$19,$3:$3))))))), "")</f>
        <v/>
      </c>
      <c r="AA23" s="15" t="str" cm="1">
        <f t="array" aca="1" ref="AA23" ca="1">IFERROR(_xlfn.TEXTJOIN("、",TRUE,_xlfn._xlws.FILTER($B$4:$B$17,ISNUMBER(SEARCH($B23,INDIRECT(ADDRESS(4, MATCH(AA$19,$3:$3)) &amp; ":" &amp; ADDRESS(15, MATCH(AA$19,$3:$3))))))), "")</f>
        <v/>
      </c>
      <c r="AB23" s="15" t="str" cm="1">
        <f t="array" aca="1" ref="AB23" ca="1">IFERROR(_xlfn.TEXTJOIN("、",TRUE,_xlfn._xlws.FILTER($B$4:$B$17,ISNUMBER(SEARCH($B23,INDIRECT(ADDRESS(4, MATCH(AB$19,$3:$3)) &amp; ":" &amp; ADDRESS(15, MATCH(AB$19,$3:$3))))))), "")</f>
        <v/>
      </c>
      <c r="AC23" s="15" t="str" cm="1">
        <f t="array" aca="1" ref="AC23" ca="1">IFERROR(_xlfn.TEXTJOIN("、",TRUE,_xlfn._xlws.FILTER($B$4:$B$17,ISNUMBER(SEARCH($B23,INDIRECT(ADDRESS(4, MATCH(AC$19,$3:$3)) &amp; ":" &amp; ADDRESS(15, MATCH(AC$19,$3:$3))))))), "")</f>
        <v/>
      </c>
      <c r="AD23" s="15" t="str" cm="1">
        <f t="array" aca="1" ref="AD23" ca="1">IFERROR(_xlfn.TEXTJOIN("、",TRUE,_xlfn._xlws.FILTER($B$4:$B$17,ISNUMBER(SEARCH($B23,INDIRECT(ADDRESS(4, MATCH(AD$19,$3:$3)) &amp; ":" &amp; ADDRESS(15, MATCH(AD$19,$3:$3))))))), "")</f>
        <v/>
      </c>
      <c r="AE23" s="15" t="str" cm="1">
        <f t="array" aca="1" ref="AE23" ca="1">IFERROR(_xlfn.TEXTJOIN("、",TRUE,_xlfn._xlws.FILTER($B$4:$B$17,ISNUMBER(SEARCH($B23,INDIRECT(ADDRESS(4, MATCH(AE$19,$3:$3)) &amp; ":" &amp; ADDRESS(15, MATCH(AE$19,$3:$3))))))), "")</f>
        <v/>
      </c>
      <c r="AF23" s="15" t="str" cm="1">
        <f t="array" aca="1" ref="AF23" ca="1">IFERROR(_xlfn.TEXTJOIN("、",TRUE,_xlfn._xlws.FILTER($B$4:$B$17,ISNUMBER(SEARCH($B23,INDIRECT(ADDRESS(4, MATCH(AF$19,$3:$3)) &amp; ":" &amp; ADDRESS(15, MATCH(AF$19,$3:$3))))))), "")</f>
        <v/>
      </c>
      <c r="AG23" s="15" t="str" cm="1">
        <f t="array" aca="1" ref="AG23" ca="1">IFERROR(_xlfn.TEXTJOIN("、",TRUE,_xlfn._xlws.FILTER($B$4:$B$17,ISNUMBER(SEARCH($B23,INDIRECT(ADDRESS(4, MATCH(AG$19,$3:$3)) &amp; ":" &amp; ADDRESS(15, MATCH(AG$19,$3:$3))))))), "")</f>
        <v/>
      </c>
      <c r="AH23" s="15" t="str" cm="1">
        <f t="array" aca="1" ref="AH23" ca="1">IFERROR(_xlfn.TEXTJOIN("、",TRUE,_xlfn._xlws.FILTER($B$4:$B$17,ISNUMBER(SEARCH($B23,INDIRECT(ADDRESS(4, MATCH(AH$19,$3:$3)) &amp; ":" &amp; ADDRESS(15, MATCH(AH$19,$3:$3))))))), "")</f>
        <v/>
      </c>
      <c r="AI23" s="15" t="str" cm="1">
        <f t="array" aca="1" ref="AI23" ca="1">IFERROR(_xlfn.TEXTJOIN("、",TRUE,_xlfn._xlws.FILTER($B$4:$B$17,ISNUMBER(SEARCH($B23,INDIRECT(ADDRESS(4, MATCH(AI$19,$3:$3)) &amp; ":" &amp; ADDRESS(15, MATCH(AI$19,$3:$3))))))), "")</f>
        <v/>
      </c>
      <c r="AJ23" s="15" t="str" cm="1">
        <f t="array" aca="1" ref="AJ23" ca="1">IFERROR(_xlfn.TEXTJOIN("、",TRUE,_xlfn._xlws.FILTER($B$4:$B$17,ISNUMBER(SEARCH($B23,INDIRECT(ADDRESS(4, MATCH(AJ$19,$3:$3)) &amp; ":" &amp; ADDRESS(15, MATCH(AJ$19,$3:$3))))))), "")</f>
        <v/>
      </c>
      <c r="AK23" s="15" t="str" cm="1">
        <f t="array" aca="1" ref="AK23" ca="1">IFERROR(_xlfn.TEXTJOIN("、",TRUE,_xlfn._xlws.FILTER($B$4:$B$17,ISNUMBER(SEARCH($B23,INDIRECT(ADDRESS(4, MATCH(AK$19,$3:$3)) &amp; ":" &amp; ADDRESS(15, MATCH(AK$19,$3:$3))))))), "")</f>
        <v/>
      </c>
      <c r="AL23" s="15" t="str" cm="1">
        <f t="array" aca="1" ref="AL23" ca="1">IFERROR(_xlfn.TEXTJOIN("、",TRUE,_xlfn._xlws.FILTER($B$4:$B$17,ISNUMBER(SEARCH($B23,INDIRECT(ADDRESS(4, MATCH(AL$19,$3:$3)) &amp; ":" &amp; ADDRESS(15, MATCH(AL$19,$3:$3))))))), "")</f>
        <v/>
      </c>
      <c r="AM23" s="15" t="str" cm="1">
        <f t="array" aca="1" ref="AM23" ca="1">IFERROR(_xlfn.TEXTJOIN("、",TRUE,_xlfn._xlws.FILTER($B$4:$B$17,ISNUMBER(SEARCH($B23,INDIRECT(ADDRESS(4, MATCH(AM$19,$3:$3)) &amp; ":" &amp; ADDRESS(15, MATCH(AM$19,$3:$3))))))), "")</f>
        <v/>
      </c>
      <c r="AN23" s="15" t="str" cm="1">
        <f t="array" aca="1" ref="AN23" ca="1">IFERROR(_xlfn.TEXTJOIN("、",TRUE,_xlfn._xlws.FILTER($B$4:$B$17,ISNUMBER(SEARCH($B23,INDIRECT(ADDRESS(4, MATCH(AN$19,$3:$3)) &amp; ":" &amp; ADDRESS(15, MATCH(AN$19,$3:$3))))))), "")</f>
        <v/>
      </c>
      <c r="AO23" s="15" t="str" cm="1">
        <f t="array" aca="1" ref="AO23" ca="1">IFERROR(_xlfn.TEXTJOIN("、",TRUE,_xlfn._xlws.FILTER($B$4:$B$17,ISNUMBER(SEARCH($B23,INDIRECT(ADDRESS(4, MATCH(AO$19,$3:$3)) &amp; ":" &amp; ADDRESS(15, MATCH(AO$19,$3:$3))))))), "")</f>
        <v/>
      </c>
      <c r="AP23" s="15" t="str" cm="1">
        <f t="array" aca="1" ref="AP23" ca="1">IFERROR(_xlfn.TEXTJOIN("、",TRUE,_xlfn._xlws.FILTER($B$4:$B$17,ISNUMBER(SEARCH($B23,INDIRECT(ADDRESS(4, MATCH(AP$19,$3:$3)) &amp; ":" &amp; ADDRESS(15, MATCH(AP$19,$3:$3))))))), "")</f>
        <v/>
      </c>
      <c r="AQ23" s="15" t="str" cm="1">
        <f t="array" aca="1" ref="AQ23" ca="1">IFERROR(_xlfn.TEXTJOIN("、",TRUE,_xlfn._xlws.FILTER($B$4:$B$17,ISNUMBER(SEARCH($B23,INDIRECT(ADDRESS(4, MATCH(AQ$19,$3:$3)) &amp; ":" &amp; ADDRESS(15, MATCH(AQ$19,$3:$3))))))), "")</f>
        <v/>
      </c>
      <c r="AR23" s="15" t="str" cm="1">
        <f t="array" aca="1" ref="AR23" ca="1">IFERROR(_xlfn.TEXTJOIN("、",TRUE,_xlfn._xlws.FILTER($B$4:$B$17,ISNUMBER(SEARCH($B23,INDIRECT(ADDRESS(4, MATCH(AR$19,$3:$3)) &amp; ":" &amp; ADDRESS(15, MATCH(AR$19,$3:$3))))))), "")</f>
        <v/>
      </c>
      <c r="AS23" s="15" t="str" cm="1">
        <f t="array" aca="1" ref="AS23" ca="1">IFERROR(_xlfn.TEXTJOIN("、",TRUE,_xlfn._xlws.FILTER($B$4:$B$17,ISNUMBER(SEARCH($B23,INDIRECT(ADDRESS(4, MATCH(AS$19,$3:$3)) &amp; ":" &amp; ADDRESS(15, MATCH(AS$19,$3:$3))))))), "")</f>
        <v/>
      </c>
      <c r="AT23" s="15" t="str" cm="1">
        <f t="array" aca="1" ref="AT23" ca="1">IFERROR(_xlfn.TEXTJOIN("、",TRUE,_xlfn._xlws.FILTER($B$4:$B$17,ISNUMBER(SEARCH($B23,INDIRECT(ADDRESS(4, MATCH(AT$19,$3:$3)) &amp; ":" &amp; ADDRESS(15, MATCH(AT$19,$3:$3))))))), "")</f>
        <v/>
      </c>
      <c r="AU23" s="15" t="str" cm="1">
        <f t="array" aca="1" ref="AU23" ca="1">IFERROR(_xlfn.TEXTJOIN("、",TRUE,_xlfn._xlws.FILTER($B$4:$B$17,ISNUMBER(SEARCH($B23,INDIRECT(ADDRESS(4, MATCH(AU$19,$3:$3)) &amp; ":" &amp; ADDRESS(15, MATCH(AU$19,$3:$3))))))), "")</f>
        <v/>
      </c>
      <c r="AV23" s="15" t="str" cm="1">
        <f t="array" aca="1" ref="AV23" ca="1">IFERROR(_xlfn.TEXTJOIN("、",TRUE,_xlfn._xlws.FILTER($B$4:$B$17,ISNUMBER(SEARCH($B23,INDIRECT(ADDRESS(4, MATCH(AV$19,$3:$3)) &amp; ":" &amp; ADDRESS(15, MATCH(AV$19,$3:$3))))))), "")</f>
        <v/>
      </c>
      <c r="AW23" s="15" t="str" cm="1">
        <f t="array" aca="1" ref="AW23" ca="1">IFERROR(_xlfn.TEXTJOIN("、",TRUE,_xlfn._xlws.FILTER($B$4:$B$17,ISNUMBER(SEARCH($B23,INDIRECT(ADDRESS(4, MATCH(AW$19,$3:$3)) &amp; ":" &amp; ADDRESS(15, MATCH(AW$19,$3:$3))))))), "")</f>
        <v/>
      </c>
      <c r="AX23" s="15" t="str" cm="1">
        <f t="array" aca="1" ref="AX23" ca="1">IFERROR(_xlfn.TEXTJOIN("、",TRUE,_xlfn._xlws.FILTER($B$4:$B$17,ISNUMBER(SEARCH($B23,INDIRECT(ADDRESS(4, MATCH(AX$19,$3:$3)) &amp; ":" &amp; ADDRESS(15, MATCH(AX$19,$3:$3))))))), "")</f>
        <v/>
      </c>
      <c r="AY23" s="15" t="str" cm="1">
        <f t="array" aca="1" ref="AY23" ca="1">IFERROR(_xlfn.TEXTJOIN("、",TRUE,_xlfn._xlws.FILTER($B$4:$B$17,ISNUMBER(SEARCH($B23,INDIRECT(ADDRESS(4, MATCH(AY$19,$3:$3)) &amp; ":" &amp; ADDRESS(15, MATCH(AY$19,$3:$3))))))), "")</f>
        <v/>
      </c>
      <c r="AZ23" s="15" t="str" cm="1">
        <f t="array" aca="1" ref="AZ23" ca="1">IFERROR(_xlfn.TEXTJOIN("、",TRUE,_xlfn._xlws.FILTER($B$4:$B$17,ISNUMBER(SEARCH($B23,INDIRECT(ADDRESS(4, MATCH(AZ$19,$3:$3)) &amp; ":" &amp; ADDRESS(15, MATCH(AZ$19,$3:$3))))))), "")</f>
        <v/>
      </c>
      <c r="BA23" s="15" t="str" cm="1">
        <f t="array" aca="1" ref="BA23" ca="1">IFERROR(_xlfn.TEXTJOIN("、",TRUE,_xlfn._xlws.FILTER($B$4:$B$17,ISNUMBER(SEARCH($B23,INDIRECT(ADDRESS(4, MATCH(BA$19,$3:$3)) &amp; ":" &amp; ADDRESS(15, MATCH(BA$19,$3:$3))))))), "")</f>
        <v/>
      </c>
      <c r="BB23" s="15" t="str" cm="1">
        <f t="array" aca="1" ref="BB23" ca="1">IFERROR(_xlfn.TEXTJOIN("、",TRUE,_xlfn._xlws.FILTER($B$4:$B$17,ISNUMBER(SEARCH($B23,INDIRECT(ADDRESS(4, MATCH(BB$19,$3:$3)) &amp; ":" &amp; ADDRESS(15, MATCH(BB$19,$3:$3))))))), "")</f>
        <v/>
      </c>
      <c r="BC23" s="15" t="str" cm="1">
        <f t="array" aca="1" ref="BC23" ca="1">IFERROR(_xlfn.TEXTJOIN("、",TRUE,_xlfn._xlws.FILTER($B$4:$B$17,ISNUMBER(SEARCH($B23,INDIRECT(ADDRESS(4, MATCH(BC$19,$3:$3)) &amp; ":" &amp; ADDRESS(15, MATCH(BC$19,$3:$3))))))), "")</f>
        <v/>
      </c>
      <c r="BD23" s="15" t="str" cm="1">
        <f t="array" aca="1" ref="BD23" ca="1">IFERROR(_xlfn.TEXTJOIN("、",TRUE,_xlfn._xlws.FILTER($B$4:$B$17,ISNUMBER(SEARCH($B23,INDIRECT(ADDRESS(4, MATCH(BD$19,$3:$3)) &amp; ":" &amp; ADDRESS(15, MATCH(BD$19,$3:$3))))))), "")</f>
        <v/>
      </c>
      <c r="BE23" s="15" t="str" cm="1">
        <f t="array" aca="1" ref="BE23" ca="1">IFERROR(_xlfn.TEXTJOIN("、",TRUE,_xlfn._xlws.FILTER($B$4:$B$17,ISNUMBER(SEARCH($B23,INDIRECT(ADDRESS(4, MATCH(BE$19,$3:$3)) &amp; ":" &amp; ADDRESS(15, MATCH(BE$19,$3:$3))))))), "")</f>
        <v/>
      </c>
      <c r="BF23" s="15" t="str" cm="1">
        <f t="array" aca="1" ref="BF23" ca="1">IFERROR(_xlfn.TEXTJOIN("、",TRUE,_xlfn._xlws.FILTER($B$4:$B$17,ISNUMBER(SEARCH($B23,INDIRECT(ADDRESS(4, MATCH(BF$19,$3:$3)) &amp; ":" &amp; ADDRESS(15, MATCH(BF$19,$3:$3))))))), "")</f>
        <v/>
      </c>
      <c r="BG23" s="15" t="str" cm="1">
        <f t="array" aca="1" ref="BG23" ca="1">IFERROR(_xlfn.TEXTJOIN("、",TRUE,_xlfn._xlws.FILTER($B$4:$B$17,ISNUMBER(SEARCH($B23,INDIRECT(ADDRESS(4, MATCH(BG$19,$3:$3)) &amp; ":" &amp; ADDRESS(15, MATCH(BG$19,$3:$3))))))), "")</f>
        <v/>
      </c>
      <c r="BH23" s="15" t="str" cm="1">
        <f t="array" aca="1" ref="BH23" ca="1">IFERROR(_xlfn.TEXTJOIN("、",TRUE,_xlfn._xlws.FILTER($B$4:$B$17,ISNUMBER(SEARCH($B23,INDIRECT(ADDRESS(4, MATCH(BH$19,$3:$3)) &amp; ":" &amp; ADDRESS(15, MATCH(BH$19,$3:$3))))))), "")</f>
        <v/>
      </c>
      <c r="BI23" s="15" t="str" cm="1">
        <f t="array" aca="1" ref="BI23" ca="1">IFERROR(_xlfn.TEXTJOIN("、",TRUE,_xlfn._xlws.FILTER($B$4:$B$17,ISNUMBER(SEARCH($B23,INDIRECT(ADDRESS(4, MATCH(BI$19,$3:$3)) &amp; ":" &amp; ADDRESS(15, MATCH(BI$19,$3:$3))))))), "")</f>
        <v/>
      </c>
      <c r="BJ23" s="15" t="str" cm="1">
        <f t="array" aca="1" ref="BJ23" ca="1">IFERROR(_xlfn.TEXTJOIN("、",TRUE,_xlfn._xlws.FILTER($B$4:$B$17,ISNUMBER(SEARCH($B23,INDIRECT(ADDRESS(4, MATCH(BJ$19,$3:$3)) &amp; ":" &amp; ADDRESS(15, MATCH(BJ$19,$3:$3))))))), "")</f>
        <v/>
      </c>
      <c r="BK23" s="15" t="str" cm="1">
        <f t="array" aca="1" ref="BK23" ca="1">IFERROR(_xlfn.TEXTJOIN("、",TRUE,_xlfn._xlws.FILTER($B$4:$B$17,ISNUMBER(SEARCH($B23,INDIRECT(ADDRESS(4, MATCH(BK$19,$3:$3)) &amp; ":" &amp; ADDRESS(15, MATCH(BK$19,$3:$3))))))), "")</f>
        <v/>
      </c>
      <c r="BL23" s="15" t="str" cm="1">
        <f t="array" aca="1" ref="BL23" ca="1">IFERROR(_xlfn.TEXTJOIN("、",TRUE,_xlfn._xlws.FILTER($B$4:$B$17,ISNUMBER(SEARCH($B23,INDIRECT(ADDRESS(4, MATCH(BL$19,$3:$3)) &amp; ":" &amp; ADDRESS(15, MATCH(BL$19,$3:$3))))))), "")</f>
        <v/>
      </c>
      <c r="BM23" s="15" t="str" cm="1">
        <f t="array" aca="1" ref="BM23" ca="1">IFERROR(_xlfn.TEXTJOIN("、",TRUE,_xlfn._xlws.FILTER($B$4:$B$17,ISNUMBER(SEARCH($B23,INDIRECT(ADDRESS(4, MATCH(BM$19,$3:$3)) &amp; ":" &amp; ADDRESS(15, MATCH(BM$19,$3:$3))))))), "")</f>
        <v/>
      </c>
      <c r="BN23" s="15" t="str" cm="1">
        <f t="array" aca="1" ref="BN23" ca="1">IFERROR(_xlfn.TEXTJOIN("、",TRUE,_xlfn._xlws.FILTER($B$4:$B$17,ISNUMBER(SEARCH($B23,INDIRECT(ADDRESS(4, MATCH(BN$19,$3:$3)) &amp; ":" &amp; ADDRESS(15, MATCH(BN$19,$3:$3))))))), "")</f>
        <v/>
      </c>
      <c r="BO23" s="15" t="str" cm="1">
        <f t="array" aca="1" ref="BO23" ca="1">IFERROR(_xlfn.TEXTJOIN("、",TRUE,_xlfn._xlws.FILTER($B$4:$B$17,ISNUMBER(SEARCH($B23,INDIRECT(ADDRESS(4, MATCH(BO$19,$3:$3)) &amp; ":" &amp; ADDRESS(15, MATCH(BO$19,$3:$3))))))), "")</f>
        <v/>
      </c>
      <c r="BP23" s="15" t="str" cm="1">
        <f t="array" aca="1" ref="BP23" ca="1">IFERROR(_xlfn.TEXTJOIN("、",TRUE,_xlfn._xlws.FILTER($B$4:$B$17,ISNUMBER(SEARCH($B23,INDIRECT(ADDRESS(4, MATCH(BP$19,$3:$3)) &amp; ":" &amp; ADDRESS(15, MATCH(BP$19,$3:$3))))))), "")</f>
        <v/>
      </c>
      <c r="BQ23" s="15" t="str" cm="1">
        <f t="array" aca="1" ref="BQ23" ca="1">IFERROR(_xlfn.TEXTJOIN("、",TRUE,_xlfn._xlws.FILTER($B$4:$B$17,ISNUMBER(SEARCH($B23,INDIRECT(ADDRESS(4, MATCH(BQ$19,$3:$3)) &amp; ":" &amp; ADDRESS(15, MATCH(BQ$19,$3:$3))))))), "")</f>
        <v/>
      </c>
      <c r="BR23" s="15" t="str" cm="1">
        <f t="array" aca="1" ref="BR23" ca="1">IFERROR(_xlfn.TEXTJOIN("、",TRUE,_xlfn._xlws.FILTER($B$4:$B$17,ISNUMBER(SEARCH($B23,INDIRECT(ADDRESS(4, MATCH(BR$19,$3:$3)) &amp; ":" &amp; ADDRESS(15, MATCH(BR$19,$3:$3))))))), "")</f>
        <v/>
      </c>
      <c r="BS23" s="15" t="str" cm="1">
        <f t="array" aca="1" ref="BS23" ca="1">IFERROR(_xlfn.TEXTJOIN("、",TRUE,_xlfn._xlws.FILTER($B$4:$B$17,ISNUMBER(SEARCH($B23,INDIRECT(ADDRESS(4, MATCH(BS$19,$3:$3)) &amp; ":" &amp; ADDRESS(15, MATCH(BS$19,$3:$3))))))), "")</f>
        <v/>
      </c>
      <c r="BT23" s="15" t="str" cm="1">
        <f t="array" aca="1" ref="BT23" ca="1">IFERROR(_xlfn.TEXTJOIN("、",TRUE,_xlfn._xlws.FILTER($B$4:$B$17,ISNUMBER(SEARCH($B23,INDIRECT(ADDRESS(4, MATCH(BT$19,$3:$3)) &amp; ":" &amp; ADDRESS(15, MATCH(BT$19,$3:$3))))))), "")</f>
        <v/>
      </c>
      <c r="BU23" s="15" t="str" cm="1">
        <f t="array" aca="1" ref="BU23" ca="1">IFERROR(_xlfn.TEXTJOIN("、",TRUE,_xlfn._xlws.FILTER($B$4:$B$17,ISNUMBER(SEARCH($B23,INDIRECT(ADDRESS(4, MATCH(BU$19,$3:$3)) &amp; ":" &amp; ADDRESS(15, MATCH(BU$19,$3:$3))))))), "")</f>
        <v/>
      </c>
      <c r="BV23" s="15" t="str" cm="1">
        <f t="array" aca="1" ref="BV23" ca="1">IFERROR(_xlfn.TEXTJOIN("、",TRUE,_xlfn._xlws.FILTER($B$4:$B$17,ISNUMBER(SEARCH($B23,INDIRECT(ADDRESS(4, MATCH(BV$19,$3:$3)) &amp; ":" &amp; ADDRESS(15, MATCH(BV$19,$3:$3))))))), "")</f>
        <v/>
      </c>
      <c r="BW23" s="15" t="str" cm="1">
        <f t="array" aca="1" ref="BW23" ca="1">IFERROR(_xlfn.TEXTJOIN("、",TRUE,_xlfn._xlws.FILTER($B$4:$B$17,ISNUMBER(SEARCH($B23,INDIRECT(ADDRESS(4, MATCH(BW$19,$3:$3)) &amp; ":" &amp; ADDRESS(15, MATCH(BW$19,$3:$3))))))), "")</f>
        <v/>
      </c>
      <c r="BX23" s="15" t="str" cm="1">
        <f t="array" aca="1" ref="BX23" ca="1">IFERROR(_xlfn.TEXTJOIN("、",TRUE,_xlfn._xlws.FILTER($B$4:$B$17,ISNUMBER(SEARCH($B23,INDIRECT(ADDRESS(4, MATCH(BX$19,$3:$3)) &amp; ":" &amp; ADDRESS(15, MATCH(BX$19,$3:$3))))))), "")</f>
        <v/>
      </c>
      <c r="BY23" s="15" t="str" cm="1">
        <f t="array" aca="1" ref="BY23" ca="1">IFERROR(_xlfn.TEXTJOIN("、",TRUE,_xlfn._xlws.FILTER($B$4:$B$17,ISNUMBER(SEARCH($B23,INDIRECT(ADDRESS(4, MATCH(BY$19,$3:$3)) &amp; ":" &amp; ADDRESS(15, MATCH(BY$19,$3:$3))))))), "")</f>
        <v/>
      </c>
      <c r="BZ23" s="15" t="str" cm="1">
        <f t="array" aca="1" ref="BZ23" ca="1">IFERROR(_xlfn.TEXTJOIN("、",TRUE,_xlfn._xlws.FILTER($B$4:$B$17,ISNUMBER(SEARCH($B23,INDIRECT(ADDRESS(4, MATCH(BZ$19,$3:$3)) &amp; ":" &amp; ADDRESS(15, MATCH(BZ$19,$3:$3))))))), "")</f>
        <v/>
      </c>
      <c r="CA23" s="15" t="str" cm="1">
        <f t="array" aca="1" ref="CA23" ca="1">IFERROR(_xlfn.TEXTJOIN("、",TRUE,_xlfn._xlws.FILTER($B$4:$B$17,ISNUMBER(SEARCH($B23,INDIRECT(ADDRESS(4, MATCH(CA$19,$3:$3)) &amp; ":" &amp; ADDRESS(15, MATCH(CA$19,$3:$3))))))), "")</f>
        <v/>
      </c>
      <c r="CB23" s="15" t="str" cm="1">
        <f t="array" aca="1" ref="CB23" ca="1">IFERROR(_xlfn.TEXTJOIN("、",TRUE,_xlfn._xlws.FILTER($B$4:$B$17,ISNUMBER(SEARCH($B23,INDIRECT(ADDRESS(4, MATCH(CB$19,$3:$3)) &amp; ":" &amp; ADDRESS(15, MATCH(CB$19,$3:$3))))))), "")</f>
        <v/>
      </c>
      <c r="CC23" s="15" t="str" cm="1">
        <f t="array" aca="1" ref="CC23" ca="1">IFERROR(_xlfn.TEXTJOIN("、",TRUE,_xlfn._xlws.FILTER($B$4:$B$17,ISNUMBER(SEARCH($B23,INDIRECT(ADDRESS(4, MATCH(CC$19,$3:$3)) &amp; ":" &amp; ADDRESS(15, MATCH(CC$19,$3:$3))))))), "")</f>
        <v/>
      </c>
      <c r="CD23" s="15" t="str" cm="1">
        <f t="array" aca="1" ref="CD23" ca="1">IFERROR(_xlfn.TEXTJOIN("、",TRUE,_xlfn._xlws.FILTER($B$4:$B$17,ISNUMBER(SEARCH($B23,INDIRECT(ADDRESS(4, MATCH(CD$19,$3:$3)) &amp; ":" &amp; ADDRESS(15, MATCH(CD$19,$3:$3))))))), "")</f>
        <v/>
      </c>
      <c r="CE23" s="15" t="str" cm="1">
        <f t="array" aca="1" ref="CE23" ca="1">IFERROR(_xlfn.TEXTJOIN("、",TRUE,_xlfn._xlws.FILTER($B$4:$B$17,ISNUMBER(SEARCH($B23,INDIRECT(ADDRESS(4, MATCH(CE$19,$3:$3)) &amp; ":" &amp; ADDRESS(15, MATCH(CE$19,$3:$3))))))), "")</f>
        <v/>
      </c>
      <c r="CF23" s="15" t="str" cm="1">
        <f t="array" aca="1" ref="CF23" ca="1">IFERROR(_xlfn.TEXTJOIN("、",TRUE,_xlfn._xlws.FILTER($B$4:$B$17,ISNUMBER(SEARCH($B23,INDIRECT(ADDRESS(4, MATCH(CF$19,$3:$3)) &amp; ":" &amp; ADDRESS(15, MATCH(CF$19,$3:$3))))))), "")</f>
        <v/>
      </c>
      <c r="CG23" s="15" t="str" cm="1">
        <f t="array" aca="1" ref="CG23" ca="1">IFERROR(_xlfn.TEXTJOIN("、",TRUE,_xlfn._xlws.FILTER($B$4:$B$17,ISNUMBER(SEARCH($B23,INDIRECT(ADDRESS(4, MATCH(CG$19,$3:$3)) &amp; ":" &amp; ADDRESS(15, MATCH(CG$19,$3:$3))))))), "")</f>
        <v/>
      </c>
      <c r="CH23" s="15" t="str" cm="1">
        <f t="array" aca="1" ref="CH23" ca="1">IFERROR(_xlfn.TEXTJOIN("、",TRUE,_xlfn._xlws.FILTER($B$4:$B$17,ISNUMBER(SEARCH($B23,INDIRECT(ADDRESS(4, MATCH(CH$19,$3:$3)) &amp; ":" &amp; ADDRESS(15, MATCH(CH$19,$3:$3))))))), "")</f>
        <v/>
      </c>
      <c r="CI23" s="15" t="str" cm="1">
        <f t="array" aca="1" ref="CI23" ca="1">IFERROR(_xlfn.TEXTJOIN("、",TRUE,_xlfn._xlws.FILTER($B$4:$B$17,ISNUMBER(SEARCH($B23,INDIRECT(ADDRESS(4, MATCH(CI$19,$3:$3)) &amp; ":" &amp; ADDRESS(15, MATCH(CI$19,$3:$3))))))), "")</f>
        <v/>
      </c>
      <c r="CJ23" s="15" t="str" cm="1">
        <f t="array" aca="1" ref="CJ23" ca="1">IFERROR(_xlfn.TEXTJOIN("、",TRUE,_xlfn._xlws.FILTER($B$4:$B$17,ISNUMBER(SEARCH($B23,INDIRECT(ADDRESS(4, MATCH(CJ$19,$3:$3)) &amp; ":" &amp; ADDRESS(15, MATCH(CJ$19,$3:$3))))))), "")</f>
        <v/>
      </c>
      <c r="CK23" s="15" t="str" cm="1">
        <f t="array" aca="1" ref="CK23" ca="1">IFERROR(_xlfn.TEXTJOIN("、",TRUE,_xlfn._xlws.FILTER($B$4:$B$17,ISNUMBER(SEARCH($B23,INDIRECT(ADDRESS(4, MATCH(CK$19,$3:$3)) &amp; ":" &amp; ADDRESS(15, MATCH(CK$19,$3:$3))))))), "")</f>
        <v/>
      </c>
      <c r="CL23" s="15" t="str" cm="1">
        <f t="array" aca="1" ref="CL23" ca="1">IFERROR(_xlfn.TEXTJOIN("、",TRUE,_xlfn._xlws.FILTER($B$4:$B$17,ISNUMBER(SEARCH($B23,INDIRECT(ADDRESS(4, MATCH(CL$19,$3:$3)) &amp; ":" &amp; ADDRESS(15, MATCH(CL$19,$3:$3))))))), "")</f>
        <v/>
      </c>
      <c r="CM23" s="15" t="str" cm="1">
        <f t="array" aca="1" ref="CM23" ca="1">IFERROR(_xlfn.TEXTJOIN("、",TRUE,_xlfn._xlws.FILTER($B$4:$B$17,ISNUMBER(SEARCH($B23,INDIRECT(ADDRESS(4, MATCH(CM$19,$3:$3)) &amp; ":" &amp; ADDRESS(15, MATCH(CM$19,$3:$3))))))), "")</f>
        <v/>
      </c>
      <c r="CN23" s="15" t="str" cm="1">
        <f t="array" aca="1" ref="CN23" ca="1">IFERROR(_xlfn.TEXTJOIN("、",TRUE,_xlfn._xlws.FILTER($B$4:$B$17,ISNUMBER(SEARCH($B23,INDIRECT(ADDRESS(4, MATCH(CN$19,$3:$3)) &amp; ":" &amp; ADDRESS(15, MATCH(CN$19,$3:$3))))))), "")</f>
        <v/>
      </c>
      <c r="CO23" s="15" t="str" cm="1">
        <f t="array" aca="1" ref="CO23" ca="1">IFERROR(_xlfn.TEXTJOIN("、",TRUE,_xlfn._xlws.FILTER($B$4:$B$17,ISNUMBER(SEARCH($B23,INDIRECT(ADDRESS(4, MATCH(CO$19,$3:$3)) &amp; ":" &amp; ADDRESS(15, MATCH(CO$19,$3:$3))))))), "")</f>
        <v/>
      </c>
      <c r="CP23" s="15" t="str" cm="1">
        <f t="array" aca="1" ref="CP23" ca="1">IFERROR(_xlfn.TEXTJOIN("、",TRUE,_xlfn._xlws.FILTER($B$4:$B$17,ISNUMBER(SEARCH($B23,INDIRECT(ADDRESS(4, MATCH(CP$19,$3:$3)) &amp; ":" &amp; ADDRESS(15, MATCH(CP$19,$3:$3))))))), "")</f>
        <v/>
      </c>
      <c r="CQ23" s="15" t="str" cm="1">
        <f t="array" aca="1" ref="CQ23" ca="1">IFERROR(_xlfn.TEXTJOIN("、",TRUE,_xlfn._xlws.FILTER($B$4:$B$17,INDIRECT(ADDRESS(4, MATCH(CQ$19,$3:$3)) &amp; ":" &amp; ADDRESS(15, MATCH(CQ$19,$3:$3)))=$B23)), "")</f>
        <v/>
      </c>
      <c r="CR23" s="15" t="str" cm="1">
        <f t="array" aca="1" ref="CR23" ca="1">IFERROR(_xlfn.TEXTJOIN("、",TRUE,_xlfn._xlws.FILTER($B$4:$B$17,INDIRECT(ADDRESS(4, MATCH(CR$19,$3:$3)) &amp; ":" &amp; ADDRESS(15, MATCH(CR$19,$3:$3)))=$B23)), "")</f>
        <v/>
      </c>
      <c r="CS23" s="15" t="str" cm="1">
        <f t="array" aca="1" ref="CS23" ca="1">IFERROR(_xlfn.TEXTJOIN("、",TRUE,_xlfn._xlws.FILTER($B$4:$B$17,INDIRECT(ADDRESS(4, MATCH(CS$19,$3:$3)) &amp; ":" &amp; ADDRESS(15, MATCH(CS$19,$3:$3)))=$B23)), "")</f>
        <v/>
      </c>
      <c r="CT23" s="15" t="str" cm="1">
        <f t="array" aca="1" ref="CT23" ca="1">IFERROR(_xlfn.TEXTJOIN("、",TRUE,_xlfn._xlws.FILTER($B$4:$B$17,INDIRECT(ADDRESS(4, MATCH(CT$19,$3:$3)) &amp; ":" &amp; ADDRESS(15, MATCH(CT$19,$3:$3)))=$B23)), "")</f>
        <v/>
      </c>
      <c r="CU23" s="138"/>
      <c r="CV23" s="143" t="s">
        <v>646</v>
      </c>
      <c r="CW23" s="140"/>
      <c r="CX23" s="139" t="s">
        <v>204</v>
      </c>
      <c r="CY23" s="139" t="s">
        <v>202</v>
      </c>
      <c r="CZ23" s="139" t="s">
        <v>322</v>
      </c>
      <c r="DA23" s="140"/>
      <c r="DB23" s="140"/>
    </row>
    <row r="24" spans="2:106" ht="19.5" thickBot="1">
      <c r="B24" s="35" t="s">
        <v>336</v>
      </c>
      <c r="C24" s="15" t="str" cm="1">
        <f t="array" aca="1" ref="C24" ca="1">IFERROR(_xlfn.TEXTJOIN("、",TRUE,_xlfn._xlws.FILTER($B$4:$B$17,ISNUMBER(SEARCH($B24,INDIRECT(ADDRESS(4, MATCH(C$19,$3:$3)) &amp; ":" &amp; ADDRESS(15, MATCH(C$19,$3:$3))))))), "")</f>
        <v/>
      </c>
      <c r="D24" s="15" t="str" cm="1">
        <f t="array" aca="1" ref="D24" ca="1">IFERROR(_xlfn.TEXTJOIN("、",TRUE,_xlfn._xlws.FILTER($B$4:$B$17,ISNUMBER(SEARCH($B24,INDIRECT(ADDRESS(4, MATCH(D$19,$3:$3)) &amp; ":" &amp; ADDRESS(15, MATCH(D$19,$3:$3))))))), "")</f>
        <v/>
      </c>
      <c r="E24" s="15" t="str" cm="1">
        <f t="array" aca="1" ref="E24" ca="1">IFERROR(_xlfn.TEXTJOIN("、",TRUE,_xlfn._xlws.FILTER($B$4:$B$17,ISNUMBER(SEARCH($B24,INDIRECT(ADDRESS(4, MATCH(E$19,$3:$3)) &amp; ":" &amp; ADDRESS(15, MATCH(E$19,$3:$3))))))), "")</f>
        <v/>
      </c>
      <c r="F24" s="15" t="str" cm="1">
        <f t="array" aca="1" ref="F24" ca="1">IFERROR(_xlfn.TEXTJOIN("、",TRUE,_xlfn._xlws.FILTER($B$4:$B$17,ISNUMBER(SEARCH($B24,INDIRECT(ADDRESS(4, MATCH(F$19,$3:$3)) &amp; ":" &amp; ADDRESS(15, MATCH(F$19,$3:$3))))))), "")</f>
        <v/>
      </c>
      <c r="G24" s="15" t="str" cm="1">
        <f t="array" aca="1" ref="G24" ca="1">IFERROR(_xlfn.TEXTJOIN("、",TRUE,_xlfn._xlws.FILTER($B$4:$B$17,ISNUMBER(SEARCH($B24,INDIRECT(ADDRESS(4, MATCH(G$19,$3:$3)) &amp; ":" &amp; ADDRESS(15, MATCH(G$19,$3:$3))))))), "")</f>
        <v/>
      </c>
      <c r="H24" s="15" t="str" cm="1">
        <f t="array" aca="1" ref="H24" ca="1">IFERROR(_xlfn.TEXTJOIN("、",TRUE,_xlfn._xlws.FILTER($B$4:$B$17,ISNUMBER(SEARCH($B24,INDIRECT(ADDRESS(4, MATCH(H$19,$3:$3)) &amp; ":" &amp; ADDRESS(15, MATCH(H$19,$3:$3))))))), "")</f>
        <v/>
      </c>
      <c r="I24" s="15" t="str" cm="1">
        <f t="array" aca="1" ref="I24" ca="1">IFERROR(_xlfn.TEXTJOIN("、",TRUE,_xlfn._xlws.FILTER($B$4:$B$17,ISNUMBER(SEARCH($B24,INDIRECT(ADDRESS(4, MATCH(I$19,$3:$3)) &amp; ":" &amp; ADDRESS(15, MATCH(I$19,$3:$3))))))), "")</f>
        <v/>
      </c>
      <c r="J24" s="15" t="str" cm="1">
        <f t="array" aca="1" ref="J24" ca="1">IFERROR(_xlfn.TEXTJOIN("、",TRUE,_xlfn._xlws.FILTER($B$4:$B$17,ISNUMBER(SEARCH($B24,INDIRECT(ADDRESS(4, MATCH(J$19,$3:$3)) &amp; ":" &amp; ADDRESS(15, MATCH(J$19,$3:$3))))))), "")</f>
        <v/>
      </c>
      <c r="K24" s="15" t="str" cm="1">
        <f t="array" aca="1" ref="K24" ca="1">IFERROR(_xlfn.TEXTJOIN("、",TRUE,_xlfn._xlws.FILTER($B$4:$B$17,ISNUMBER(SEARCH($B24,INDIRECT(ADDRESS(4, MATCH(K$19,$3:$3)) &amp; ":" &amp; ADDRESS(15, MATCH(K$19,$3:$3))))))), "")</f>
        <v/>
      </c>
      <c r="L24" s="15" t="str" cm="1">
        <f t="array" aca="1" ref="L24" ca="1">IFERROR(_xlfn.TEXTJOIN("、",TRUE,_xlfn._xlws.FILTER($B$4:$B$17,ISNUMBER(SEARCH($B24,INDIRECT(ADDRESS(4, MATCH(L$19,$3:$3)) &amp; ":" &amp; ADDRESS(15, MATCH(L$19,$3:$3))))))), "")</f>
        <v/>
      </c>
      <c r="M24" s="15" t="str" cm="1">
        <f t="array" aca="1" ref="M24" ca="1">IFERROR(_xlfn.TEXTJOIN("、",TRUE,_xlfn._xlws.FILTER($B$4:$B$17,ISNUMBER(SEARCH($B24,INDIRECT(ADDRESS(4, MATCH(M$19,$3:$3)) &amp; ":" &amp; ADDRESS(15, MATCH(M$19,$3:$3))))))), "")</f>
        <v/>
      </c>
      <c r="N24" s="15" t="str" cm="1">
        <f t="array" aca="1" ref="N24" ca="1">IFERROR(_xlfn.TEXTJOIN("、",TRUE,_xlfn._xlws.FILTER($B$4:$B$17,ISNUMBER(SEARCH($B24,INDIRECT(ADDRESS(4, MATCH(N$19,$3:$3)) &amp; ":" &amp; ADDRESS(15, MATCH(N$19,$3:$3))))))), "")</f>
        <v/>
      </c>
      <c r="O24" s="15" t="str" cm="1">
        <f t="array" aca="1" ref="O24" ca="1">IFERROR(_xlfn.TEXTJOIN("、",TRUE,_xlfn._xlws.FILTER($B$4:$B$17,ISNUMBER(SEARCH($B24,INDIRECT(ADDRESS(4, MATCH(O$19,$3:$3)) &amp; ":" &amp; ADDRESS(15, MATCH(O$19,$3:$3))))))), "")</f>
        <v/>
      </c>
      <c r="P24" s="15" t="str" cm="1">
        <f t="array" aca="1" ref="P24" ca="1">IFERROR(_xlfn.TEXTJOIN("、",TRUE,_xlfn._xlws.FILTER($B$4:$B$17,ISNUMBER(SEARCH($B24,INDIRECT(ADDRESS(4, MATCH(P$19,$3:$3)) &amp; ":" &amp; ADDRESS(15, MATCH(P$19,$3:$3))))))), "")</f>
        <v/>
      </c>
      <c r="Q24" s="15" t="str" cm="1">
        <f t="array" aca="1" ref="Q24" ca="1">IFERROR(_xlfn.TEXTJOIN("、",TRUE,_xlfn._xlws.FILTER($B$4:$B$17,ISNUMBER(SEARCH($B24,INDIRECT(ADDRESS(4, MATCH(Q$19,$3:$3)) &amp; ":" &amp; ADDRESS(15, MATCH(Q$19,$3:$3))))))), "")</f>
        <v/>
      </c>
      <c r="R24" s="15" t="str" cm="1">
        <f t="array" aca="1" ref="R24" ca="1">IFERROR(_xlfn.TEXTJOIN("、",TRUE,_xlfn._xlws.FILTER($B$4:$B$17,ISNUMBER(SEARCH($B24,INDIRECT(ADDRESS(4, MATCH(R$19,$3:$3)) &amp; ":" &amp; ADDRESS(15, MATCH(R$19,$3:$3))))))), "")</f>
        <v/>
      </c>
      <c r="S24" s="15" t="str" cm="1">
        <f t="array" aca="1" ref="S24" ca="1">IFERROR(_xlfn.TEXTJOIN("、",TRUE,_xlfn._xlws.FILTER($B$4:$B$17,ISNUMBER(SEARCH($B24,INDIRECT(ADDRESS(4, MATCH(S$19,$3:$3)) &amp; ":" &amp; ADDRESS(15, MATCH(S$19,$3:$3))))))), "")</f>
        <v/>
      </c>
      <c r="T24" s="15" t="str" cm="1">
        <f t="array" aca="1" ref="T24" ca="1">IFERROR(_xlfn.TEXTJOIN("、",TRUE,_xlfn._xlws.FILTER($B$4:$B$17,ISNUMBER(SEARCH($B24,INDIRECT(ADDRESS(4, MATCH(T$19,$3:$3)) &amp; ":" &amp; ADDRESS(15, MATCH(T$19,$3:$3))))))), "")</f>
        <v/>
      </c>
      <c r="U24" s="15" t="str" cm="1">
        <f t="array" aca="1" ref="U24" ca="1">IFERROR(_xlfn.TEXTJOIN("、",TRUE,_xlfn._xlws.FILTER($B$4:$B$17,ISNUMBER(SEARCH($B24,INDIRECT(ADDRESS(4, MATCH(U$19,$3:$3)) &amp; ":" &amp; ADDRESS(15, MATCH(U$19,$3:$3))))))), "")</f>
        <v/>
      </c>
      <c r="V24" s="15" t="str" cm="1">
        <f t="array" aca="1" ref="V24" ca="1">IFERROR(_xlfn.TEXTJOIN("、",TRUE,_xlfn._xlws.FILTER($B$4:$B$17,ISNUMBER(SEARCH($B24,INDIRECT(ADDRESS(4, MATCH(V$19,$3:$3)) &amp; ":" &amp; ADDRESS(15, MATCH(V$19,$3:$3))))))), "")</f>
        <v/>
      </c>
      <c r="W24" s="15" t="str" cm="1">
        <f t="array" aca="1" ref="W24" ca="1">IFERROR(_xlfn.TEXTJOIN("、",TRUE,_xlfn._xlws.FILTER($B$4:$B$17,ISNUMBER(SEARCH($B24,INDIRECT(ADDRESS(4, MATCH(W$19,$3:$3)) &amp; ":" &amp; ADDRESS(15, MATCH(W$19,$3:$3))))))), "")</f>
        <v/>
      </c>
      <c r="X24" s="15" t="str" cm="1">
        <f t="array" aca="1" ref="X24" ca="1">IFERROR(_xlfn.TEXTJOIN("、",TRUE,_xlfn._xlws.FILTER($B$4:$B$17,ISNUMBER(SEARCH($B24,INDIRECT(ADDRESS(4, MATCH(X$19,$3:$3)) &amp; ":" &amp; ADDRESS(15, MATCH(X$19,$3:$3))))))), "")</f>
        <v/>
      </c>
      <c r="Y24" s="15" t="str" cm="1">
        <f t="array" aca="1" ref="Y24" ca="1">IFERROR(_xlfn.TEXTJOIN("、",TRUE,_xlfn._xlws.FILTER($B$4:$B$17,ISNUMBER(SEARCH($B24,INDIRECT(ADDRESS(4, MATCH(Y$19,$3:$3)) &amp; ":" &amp; ADDRESS(15, MATCH(Y$19,$3:$3))))))), "")</f>
        <v/>
      </c>
      <c r="Z24" s="15" t="str" cm="1">
        <f t="array" aca="1" ref="Z24" ca="1">IFERROR(_xlfn.TEXTJOIN("、",TRUE,_xlfn._xlws.FILTER($B$4:$B$17,ISNUMBER(SEARCH($B24,INDIRECT(ADDRESS(4, MATCH(Z$19,$3:$3)) &amp; ":" &amp; ADDRESS(15, MATCH(Z$19,$3:$3))))))), "")</f>
        <v/>
      </c>
      <c r="AA24" s="15" t="str" cm="1">
        <f t="array" aca="1" ref="AA24" ca="1">IFERROR(_xlfn.TEXTJOIN("、",TRUE,_xlfn._xlws.FILTER($B$4:$B$17,ISNUMBER(SEARCH($B24,INDIRECT(ADDRESS(4, MATCH(AA$19,$3:$3)) &amp; ":" &amp; ADDRESS(15, MATCH(AA$19,$3:$3))))))), "")</f>
        <v/>
      </c>
      <c r="AB24" s="15" t="str" cm="1">
        <f t="array" aca="1" ref="AB24" ca="1">IFERROR(_xlfn.TEXTJOIN("、",TRUE,_xlfn._xlws.FILTER($B$4:$B$17,ISNUMBER(SEARCH($B24,INDIRECT(ADDRESS(4, MATCH(AB$19,$3:$3)) &amp; ":" &amp; ADDRESS(15, MATCH(AB$19,$3:$3))))))), "")</f>
        <v/>
      </c>
      <c r="AC24" s="15" t="str" cm="1">
        <f t="array" aca="1" ref="AC24" ca="1">IFERROR(_xlfn.TEXTJOIN("、",TRUE,_xlfn._xlws.FILTER($B$4:$B$17,ISNUMBER(SEARCH($B24,INDIRECT(ADDRESS(4, MATCH(AC$19,$3:$3)) &amp; ":" &amp; ADDRESS(15, MATCH(AC$19,$3:$3))))))), "")</f>
        <v/>
      </c>
      <c r="AD24" s="15" t="str" cm="1">
        <f t="array" aca="1" ref="AD24" ca="1">IFERROR(_xlfn.TEXTJOIN("、",TRUE,_xlfn._xlws.FILTER($B$4:$B$17,ISNUMBER(SEARCH($B24,INDIRECT(ADDRESS(4, MATCH(AD$19,$3:$3)) &amp; ":" &amp; ADDRESS(15, MATCH(AD$19,$3:$3))))))), "")</f>
        <v/>
      </c>
      <c r="AE24" s="15" t="str" cm="1">
        <f t="array" aca="1" ref="AE24" ca="1">IFERROR(_xlfn.TEXTJOIN("、",TRUE,_xlfn._xlws.FILTER($B$4:$B$17,ISNUMBER(SEARCH($B24,INDIRECT(ADDRESS(4, MATCH(AE$19,$3:$3)) &amp; ":" &amp; ADDRESS(15, MATCH(AE$19,$3:$3))))))), "")</f>
        <v/>
      </c>
      <c r="AF24" s="15" t="str" cm="1">
        <f t="array" aca="1" ref="AF24" ca="1">IFERROR(_xlfn.TEXTJOIN("、",TRUE,_xlfn._xlws.FILTER($B$4:$B$17,ISNUMBER(SEARCH($B24,INDIRECT(ADDRESS(4, MATCH(AF$19,$3:$3)) &amp; ":" &amp; ADDRESS(15, MATCH(AF$19,$3:$3))))))), "")</f>
        <v/>
      </c>
      <c r="AG24" s="15" t="str" cm="1">
        <f t="array" aca="1" ref="AG24" ca="1">IFERROR(_xlfn.TEXTJOIN("、",TRUE,_xlfn._xlws.FILTER($B$4:$B$17,ISNUMBER(SEARCH($B24,INDIRECT(ADDRESS(4, MATCH(AG$19,$3:$3)) &amp; ":" &amp; ADDRESS(15, MATCH(AG$19,$3:$3))))))), "")</f>
        <v/>
      </c>
      <c r="AH24" s="15" t="str" cm="1">
        <f t="array" aca="1" ref="AH24" ca="1">IFERROR(_xlfn.TEXTJOIN("、",TRUE,_xlfn._xlws.FILTER($B$4:$B$17,ISNUMBER(SEARCH($B24,INDIRECT(ADDRESS(4, MATCH(AH$19,$3:$3)) &amp; ":" &amp; ADDRESS(15, MATCH(AH$19,$3:$3))))))), "")</f>
        <v/>
      </c>
      <c r="AI24" s="15" t="str" cm="1">
        <f t="array" aca="1" ref="AI24" ca="1">IFERROR(_xlfn.TEXTJOIN("、",TRUE,_xlfn._xlws.FILTER($B$4:$B$17,ISNUMBER(SEARCH($B24,INDIRECT(ADDRESS(4, MATCH(AI$19,$3:$3)) &amp; ":" &amp; ADDRESS(15, MATCH(AI$19,$3:$3))))))), "")</f>
        <v/>
      </c>
      <c r="AJ24" s="15" t="str" cm="1">
        <f t="array" aca="1" ref="AJ24" ca="1">IFERROR(_xlfn.TEXTJOIN("、",TRUE,_xlfn._xlws.FILTER($B$4:$B$17,ISNUMBER(SEARCH($B24,INDIRECT(ADDRESS(4, MATCH(AJ$19,$3:$3)) &amp; ":" &amp; ADDRESS(15, MATCH(AJ$19,$3:$3))))))), "")</f>
        <v/>
      </c>
      <c r="AK24" s="15" t="str" cm="1">
        <f t="array" aca="1" ref="AK24" ca="1">IFERROR(_xlfn.TEXTJOIN("、",TRUE,_xlfn._xlws.FILTER($B$4:$B$17,ISNUMBER(SEARCH($B24,INDIRECT(ADDRESS(4, MATCH(AK$19,$3:$3)) &amp; ":" &amp; ADDRESS(15, MATCH(AK$19,$3:$3))))))), "")</f>
        <v/>
      </c>
      <c r="AL24" s="15" t="str" cm="1">
        <f t="array" aca="1" ref="AL24" ca="1">IFERROR(_xlfn.TEXTJOIN("、",TRUE,_xlfn._xlws.FILTER($B$4:$B$17,ISNUMBER(SEARCH($B24,INDIRECT(ADDRESS(4, MATCH(AL$19,$3:$3)) &amp; ":" &amp; ADDRESS(15, MATCH(AL$19,$3:$3))))))), "")</f>
        <v/>
      </c>
      <c r="AM24" s="15" t="str" cm="1">
        <f t="array" aca="1" ref="AM24" ca="1">IFERROR(_xlfn.TEXTJOIN("、",TRUE,_xlfn._xlws.FILTER($B$4:$B$17,ISNUMBER(SEARCH($B24,INDIRECT(ADDRESS(4, MATCH(AM$19,$3:$3)) &amp; ":" &amp; ADDRESS(15, MATCH(AM$19,$3:$3))))))), "")</f>
        <v/>
      </c>
      <c r="AN24" s="15" t="str" cm="1">
        <f t="array" aca="1" ref="AN24" ca="1">IFERROR(_xlfn.TEXTJOIN("、",TRUE,_xlfn._xlws.FILTER($B$4:$B$17,ISNUMBER(SEARCH($B24,INDIRECT(ADDRESS(4, MATCH(AN$19,$3:$3)) &amp; ":" &amp; ADDRESS(15, MATCH(AN$19,$3:$3))))))), "")</f>
        <v/>
      </c>
      <c r="AO24" s="15" t="str" cm="1">
        <f t="array" aca="1" ref="AO24" ca="1">IFERROR(_xlfn.TEXTJOIN("、",TRUE,_xlfn._xlws.FILTER($B$4:$B$17,ISNUMBER(SEARCH($B24,INDIRECT(ADDRESS(4, MATCH(AO$19,$3:$3)) &amp; ":" &amp; ADDRESS(15, MATCH(AO$19,$3:$3))))))), "")</f>
        <v/>
      </c>
      <c r="AP24" s="15" t="str" cm="1">
        <f t="array" aca="1" ref="AP24" ca="1">IFERROR(_xlfn.TEXTJOIN("、",TRUE,_xlfn._xlws.FILTER($B$4:$B$17,ISNUMBER(SEARCH($B24,INDIRECT(ADDRESS(4, MATCH(AP$19,$3:$3)) &amp; ":" &amp; ADDRESS(15, MATCH(AP$19,$3:$3))))))), "")</f>
        <v/>
      </c>
      <c r="AQ24" s="15" t="str" cm="1">
        <f t="array" aca="1" ref="AQ24" ca="1">IFERROR(_xlfn.TEXTJOIN("、",TRUE,_xlfn._xlws.FILTER($B$4:$B$17,ISNUMBER(SEARCH($B24,INDIRECT(ADDRESS(4, MATCH(AQ$19,$3:$3)) &amp; ":" &amp; ADDRESS(15, MATCH(AQ$19,$3:$3))))))), "")</f>
        <v/>
      </c>
      <c r="AR24" s="15" t="str" cm="1">
        <f t="array" aca="1" ref="AR24" ca="1">IFERROR(_xlfn.TEXTJOIN("、",TRUE,_xlfn._xlws.FILTER($B$4:$B$17,ISNUMBER(SEARCH($B24,INDIRECT(ADDRESS(4, MATCH(AR$19,$3:$3)) &amp; ":" &amp; ADDRESS(15, MATCH(AR$19,$3:$3))))))), "")</f>
        <v/>
      </c>
      <c r="AS24" s="15" t="str" cm="1">
        <f t="array" aca="1" ref="AS24" ca="1">IFERROR(_xlfn.TEXTJOIN("、",TRUE,_xlfn._xlws.FILTER($B$4:$B$17,ISNUMBER(SEARCH($B24,INDIRECT(ADDRESS(4, MATCH(AS$19,$3:$3)) &amp; ":" &amp; ADDRESS(15, MATCH(AS$19,$3:$3))))))), "")</f>
        <v/>
      </c>
      <c r="AT24" s="15" t="str" cm="1">
        <f t="array" aca="1" ref="AT24" ca="1">IFERROR(_xlfn.TEXTJOIN("、",TRUE,_xlfn._xlws.FILTER($B$4:$B$17,ISNUMBER(SEARCH($B24,INDIRECT(ADDRESS(4, MATCH(AT$19,$3:$3)) &amp; ":" &amp; ADDRESS(15, MATCH(AT$19,$3:$3))))))), "")</f>
        <v/>
      </c>
      <c r="AU24" s="15" t="str" cm="1">
        <f t="array" aca="1" ref="AU24" ca="1">IFERROR(_xlfn.TEXTJOIN("、",TRUE,_xlfn._xlws.FILTER($B$4:$B$17,ISNUMBER(SEARCH($B24,INDIRECT(ADDRESS(4, MATCH(AU$19,$3:$3)) &amp; ":" &amp; ADDRESS(15, MATCH(AU$19,$3:$3))))))), "")</f>
        <v/>
      </c>
      <c r="AV24" s="15" t="str" cm="1">
        <f t="array" aca="1" ref="AV24" ca="1">IFERROR(_xlfn.TEXTJOIN("、",TRUE,_xlfn._xlws.FILTER($B$4:$B$17,ISNUMBER(SEARCH($B24,INDIRECT(ADDRESS(4, MATCH(AV$19,$3:$3)) &amp; ":" &amp; ADDRESS(15, MATCH(AV$19,$3:$3))))))), "")</f>
        <v/>
      </c>
      <c r="AW24" s="15" t="str" cm="1">
        <f t="array" aca="1" ref="AW24" ca="1">IFERROR(_xlfn.TEXTJOIN("、",TRUE,_xlfn._xlws.FILTER($B$4:$B$17,ISNUMBER(SEARCH($B24,INDIRECT(ADDRESS(4, MATCH(AW$19,$3:$3)) &amp; ":" &amp; ADDRESS(15, MATCH(AW$19,$3:$3))))))), "")</f>
        <v/>
      </c>
      <c r="AX24" s="15" t="str" cm="1">
        <f t="array" aca="1" ref="AX24" ca="1">IFERROR(_xlfn.TEXTJOIN("、",TRUE,_xlfn._xlws.FILTER($B$4:$B$17,ISNUMBER(SEARCH($B24,INDIRECT(ADDRESS(4, MATCH(AX$19,$3:$3)) &amp; ":" &amp; ADDRESS(15, MATCH(AX$19,$3:$3))))))), "")</f>
        <v/>
      </c>
      <c r="AY24" s="15" t="str" cm="1">
        <f t="array" aca="1" ref="AY24" ca="1">IFERROR(_xlfn.TEXTJOIN("、",TRUE,_xlfn._xlws.FILTER($B$4:$B$17,ISNUMBER(SEARCH($B24,INDIRECT(ADDRESS(4, MATCH(AY$19,$3:$3)) &amp; ":" &amp; ADDRESS(15, MATCH(AY$19,$3:$3))))))), "")</f>
        <v/>
      </c>
      <c r="AZ24" s="15" t="str" cm="1">
        <f t="array" aca="1" ref="AZ24" ca="1">IFERROR(_xlfn.TEXTJOIN("、",TRUE,_xlfn._xlws.FILTER($B$4:$B$17,ISNUMBER(SEARCH($B24,INDIRECT(ADDRESS(4, MATCH(AZ$19,$3:$3)) &amp; ":" &amp; ADDRESS(15, MATCH(AZ$19,$3:$3))))))), "")</f>
        <v/>
      </c>
      <c r="BA24" s="15" t="str" cm="1">
        <f t="array" aca="1" ref="BA24" ca="1">IFERROR(_xlfn.TEXTJOIN("、",TRUE,_xlfn._xlws.FILTER($B$4:$B$17,ISNUMBER(SEARCH($B24,INDIRECT(ADDRESS(4, MATCH(BA$19,$3:$3)) &amp; ":" &amp; ADDRESS(15, MATCH(BA$19,$3:$3))))))), "")</f>
        <v/>
      </c>
      <c r="BB24" s="15" t="str" cm="1">
        <f t="array" aca="1" ref="BB24" ca="1">IFERROR(_xlfn.TEXTJOIN("、",TRUE,_xlfn._xlws.FILTER($B$4:$B$17,ISNUMBER(SEARCH($B24,INDIRECT(ADDRESS(4, MATCH(BB$19,$3:$3)) &amp; ":" &amp; ADDRESS(15, MATCH(BB$19,$3:$3))))))), "")</f>
        <v/>
      </c>
      <c r="BC24" s="15" t="str" cm="1">
        <f t="array" aca="1" ref="BC24" ca="1">IFERROR(_xlfn.TEXTJOIN("、",TRUE,_xlfn._xlws.FILTER($B$4:$B$17,ISNUMBER(SEARCH($B24,INDIRECT(ADDRESS(4, MATCH(BC$19,$3:$3)) &amp; ":" &amp; ADDRESS(15, MATCH(BC$19,$3:$3))))))), "")</f>
        <v/>
      </c>
      <c r="BD24" s="15" t="str" cm="1">
        <f t="array" aca="1" ref="BD24" ca="1">IFERROR(_xlfn.TEXTJOIN("、",TRUE,_xlfn._xlws.FILTER($B$4:$B$17,ISNUMBER(SEARCH($B24,INDIRECT(ADDRESS(4, MATCH(BD$19,$3:$3)) &amp; ":" &amp; ADDRESS(15, MATCH(BD$19,$3:$3))))))), "")</f>
        <v/>
      </c>
      <c r="BE24" s="15" t="str" cm="1">
        <f t="array" aca="1" ref="BE24" ca="1">IFERROR(_xlfn.TEXTJOIN("、",TRUE,_xlfn._xlws.FILTER($B$4:$B$17,ISNUMBER(SEARCH($B24,INDIRECT(ADDRESS(4, MATCH(BE$19,$3:$3)) &amp; ":" &amp; ADDRESS(15, MATCH(BE$19,$3:$3))))))), "")</f>
        <v/>
      </c>
      <c r="BF24" s="15" t="str" cm="1">
        <f t="array" aca="1" ref="BF24" ca="1">IFERROR(_xlfn.TEXTJOIN("、",TRUE,_xlfn._xlws.FILTER($B$4:$B$17,ISNUMBER(SEARCH($B24,INDIRECT(ADDRESS(4, MATCH(BF$19,$3:$3)) &amp; ":" &amp; ADDRESS(15, MATCH(BF$19,$3:$3))))))), "")</f>
        <v/>
      </c>
      <c r="BG24" s="15" t="str" cm="1">
        <f t="array" aca="1" ref="BG24" ca="1">IFERROR(_xlfn.TEXTJOIN("、",TRUE,_xlfn._xlws.FILTER($B$4:$B$17,ISNUMBER(SEARCH($B24,INDIRECT(ADDRESS(4, MATCH(BG$19,$3:$3)) &amp; ":" &amp; ADDRESS(15, MATCH(BG$19,$3:$3))))))), "")</f>
        <v/>
      </c>
      <c r="BH24" s="15" t="str" cm="1">
        <f t="array" aca="1" ref="BH24" ca="1">IFERROR(_xlfn.TEXTJOIN("、",TRUE,_xlfn._xlws.FILTER($B$4:$B$17,ISNUMBER(SEARCH($B24,INDIRECT(ADDRESS(4, MATCH(BH$19,$3:$3)) &amp; ":" &amp; ADDRESS(15, MATCH(BH$19,$3:$3))))))), "")</f>
        <v/>
      </c>
      <c r="BI24" s="15" t="str" cm="1">
        <f t="array" aca="1" ref="BI24" ca="1">IFERROR(_xlfn.TEXTJOIN("、",TRUE,_xlfn._xlws.FILTER($B$4:$B$17,ISNUMBER(SEARCH($B24,INDIRECT(ADDRESS(4, MATCH(BI$19,$3:$3)) &amp; ":" &amp; ADDRESS(15, MATCH(BI$19,$3:$3))))))), "")</f>
        <v/>
      </c>
      <c r="BJ24" s="15" t="str" cm="1">
        <f t="array" aca="1" ref="BJ24" ca="1">IFERROR(_xlfn.TEXTJOIN("、",TRUE,_xlfn._xlws.FILTER($B$4:$B$17,ISNUMBER(SEARCH($B24,INDIRECT(ADDRESS(4, MATCH(BJ$19,$3:$3)) &amp; ":" &amp; ADDRESS(15, MATCH(BJ$19,$3:$3))))))), "")</f>
        <v/>
      </c>
      <c r="BK24" s="15" t="str" cm="1">
        <f t="array" aca="1" ref="BK24" ca="1">IFERROR(_xlfn.TEXTJOIN("、",TRUE,_xlfn._xlws.FILTER($B$4:$B$17,ISNUMBER(SEARCH($B24,INDIRECT(ADDRESS(4, MATCH(BK$19,$3:$3)) &amp; ":" &amp; ADDRESS(15, MATCH(BK$19,$3:$3))))))), "")</f>
        <v/>
      </c>
      <c r="BL24" s="15" t="str" cm="1">
        <f t="array" aca="1" ref="BL24" ca="1">IFERROR(_xlfn.TEXTJOIN("、",TRUE,_xlfn._xlws.FILTER($B$4:$B$17,ISNUMBER(SEARCH($B24,INDIRECT(ADDRESS(4, MATCH(BL$19,$3:$3)) &amp; ":" &amp; ADDRESS(15, MATCH(BL$19,$3:$3))))))), "")</f>
        <v/>
      </c>
      <c r="BM24" s="15" t="str" cm="1">
        <f t="array" aca="1" ref="BM24" ca="1">IFERROR(_xlfn.TEXTJOIN("、",TRUE,_xlfn._xlws.FILTER($B$4:$B$17,ISNUMBER(SEARCH($B24,INDIRECT(ADDRESS(4, MATCH(BM$19,$3:$3)) &amp; ":" &amp; ADDRESS(15, MATCH(BM$19,$3:$3))))))), "")</f>
        <v/>
      </c>
      <c r="BN24" s="15" t="str" cm="1">
        <f t="array" aca="1" ref="BN24" ca="1">IFERROR(_xlfn.TEXTJOIN("、",TRUE,_xlfn._xlws.FILTER($B$4:$B$17,ISNUMBER(SEARCH($B24,INDIRECT(ADDRESS(4, MATCH(BN$19,$3:$3)) &amp; ":" &amp; ADDRESS(15, MATCH(BN$19,$3:$3))))))), "")</f>
        <v/>
      </c>
      <c r="BO24" s="15" t="str" cm="1">
        <f t="array" aca="1" ref="BO24" ca="1">IFERROR(_xlfn.TEXTJOIN("、",TRUE,_xlfn._xlws.FILTER($B$4:$B$17,ISNUMBER(SEARCH($B24,INDIRECT(ADDRESS(4, MATCH(BO$19,$3:$3)) &amp; ":" &amp; ADDRESS(15, MATCH(BO$19,$3:$3))))))), "")</f>
        <v/>
      </c>
      <c r="BP24" s="15" t="str" cm="1">
        <f t="array" aca="1" ref="BP24" ca="1">IFERROR(_xlfn.TEXTJOIN("、",TRUE,_xlfn._xlws.FILTER($B$4:$B$17,ISNUMBER(SEARCH($B24,INDIRECT(ADDRESS(4, MATCH(BP$19,$3:$3)) &amp; ":" &amp; ADDRESS(15, MATCH(BP$19,$3:$3))))))), "")</f>
        <v/>
      </c>
      <c r="BQ24" s="15" t="str" cm="1">
        <f t="array" aca="1" ref="BQ24" ca="1">IFERROR(_xlfn.TEXTJOIN("、",TRUE,_xlfn._xlws.FILTER($B$4:$B$17,ISNUMBER(SEARCH($B24,INDIRECT(ADDRESS(4, MATCH(BQ$19,$3:$3)) &amp; ":" &amp; ADDRESS(15, MATCH(BQ$19,$3:$3))))))), "")</f>
        <v/>
      </c>
      <c r="BR24" s="15" t="str" cm="1">
        <f t="array" aca="1" ref="BR24" ca="1">IFERROR(_xlfn.TEXTJOIN("、",TRUE,_xlfn._xlws.FILTER($B$4:$B$17,ISNUMBER(SEARCH($B24,INDIRECT(ADDRESS(4, MATCH(BR$19,$3:$3)) &amp; ":" &amp; ADDRESS(15, MATCH(BR$19,$3:$3))))))), "")</f>
        <v/>
      </c>
      <c r="BS24" s="15" t="str" cm="1">
        <f t="array" aca="1" ref="BS24" ca="1">IFERROR(_xlfn.TEXTJOIN("、",TRUE,_xlfn._xlws.FILTER($B$4:$B$17,ISNUMBER(SEARCH($B24,INDIRECT(ADDRESS(4, MATCH(BS$19,$3:$3)) &amp; ":" &amp; ADDRESS(15, MATCH(BS$19,$3:$3))))))), "")</f>
        <v/>
      </c>
      <c r="BT24" s="15" t="str" cm="1">
        <f t="array" aca="1" ref="BT24" ca="1">IFERROR(_xlfn.TEXTJOIN("、",TRUE,_xlfn._xlws.FILTER($B$4:$B$17,ISNUMBER(SEARCH($B24,INDIRECT(ADDRESS(4, MATCH(BT$19,$3:$3)) &amp; ":" &amp; ADDRESS(15, MATCH(BT$19,$3:$3))))))), "")</f>
        <v/>
      </c>
      <c r="BU24" s="15" t="str" cm="1">
        <f t="array" aca="1" ref="BU24" ca="1">IFERROR(_xlfn.TEXTJOIN("、",TRUE,_xlfn._xlws.FILTER($B$4:$B$17,ISNUMBER(SEARCH($B24,INDIRECT(ADDRESS(4, MATCH(BU$19,$3:$3)) &amp; ":" &amp; ADDRESS(15, MATCH(BU$19,$3:$3))))))), "")</f>
        <v/>
      </c>
      <c r="BV24" s="15" t="str" cm="1">
        <f t="array" aca="1" ref="BV24" ca="1">IFERROR(_xlfn.TEXTJOIN("、",TRUE,_xlfn._xlws.FILTER($B$4:$B$17,ISNUMBER(SEARCH($B24,INDIRECT(ADDRESS(4, MATCH(BV$19,$3:$3)) &amp; ":" &amp; ADDRESS(15, MATCH(BV$19,$3:$3))))))), "")</f>
        <v/>
      </c>
      <c r="BW24" s="15" t="str" cm="1">
        <f t="array" aca="1" ref="BW24" ca="1">IFERROR(_xlfn.TEXTJOIN("、",TRUE,_xlfn._xlws.FILTER($B$4:$B$17,ISNUMBER(SEARCH($B24,INDIRECT(ADDRESS(4, MATCH(BW$19,$3:$3)) &amp; ":" &amp; ADDRESS(15, MATCH(BW$19,$3:$3))))))), "")</f>
        <v/>
      </c>
      <c r="BX24" s="15" t="str" cm="1">
        <f t="array" aca="1" ref="BX24" ca="1">IFERROR(_xlfn.TEXTJOIN("、",TRUE,_xlfn._xlws.FILTER($B$4:$B$17,ISNUMBER(SEARCH($B24,INDIRECT(ADDRESS(4, MATCH(BX$19,$3:$3)) &amp; ":" &amp; ADDRESS(15, MATCH(BX$19,$3:$3))))))), "")</f>
        <v/>
      </c>
      <c r="BY24" s="15" t="str" cm="1">
        <f t="array" aca="1" ref="BY24" ca="1">IFERROR(_xlfn.TEXTJOIN("、",TRUE,_xlfn._xlws.FILTER($B$4:$B$17,ISNUMBER(SEARCH($B24,INDIRECT(ADDRESS(4, MATCH(BY$19,$3:$3)) &amp; ":" &amp; ADDRESS(15, MATCH(BY$19,$3:$3))))))), "")</f>
        <v/>
      </c>
      <c r="BZ24" s="15" t="str" cm="1">
        <f t="array" aca="1" ref="BZ24" ca="1">IFERROR(_xlfn.TEXTJOIN("、",TRUE,_xlfn._xlws.FILTER($B$4:$B$17,ISNUMBER(SEARCH($B24,INDIRECT(ADDRESS(4, MATCH(BZ$19,$3:$3)) &amp; ":" &amp; ADDRESS(15, MATCH(BZ$19,$3:$3))))))), "")</f>
        <v/>
      </c>
      <c r="CA24" s="15" t="str" cm="1">
        <f t="array" aca="1" ref="CA24" ca="1">IFERROR(_xlfn.TEXTJOIN("、",TRUE,_xlfn._xlws.FILTER($B$4:$B$17,ISNUMBER(SEARCH($B24,INDIRECT(ADDRESS(4, MATCH(CA$19,$3:$3)) &amp; ":" &amp; ADDRESS(15, MATCH(CA$19,$3:$3))))))), "")</f>
        <v/>
      </c>
      <c r="CB24" s="15" t="str" cm="1">
        <f t="array" aca="1" ref="CB24" ca="1">IFERROR(_xlfn.TEXTJOIN("、",TRUE,_xlfn._xlws.FILTER($B$4:$B$17,ISNUMBER(SEARCH($B24,INDIRECT(ADDRESS(4, MATCH(CB$19,$3:$3)) &amp; ":" &amp; ADDRESS(15, MATCH(CB$19,$3:$3))))))), "")</f>
        <v/>
      </c>
      <c r="CC24" s="15" t="str" cm="1">
        <f t="array" aca="1" ref="CC24" ca="1">IFERROR(_xlfn.TEXTJOIN("、",TRUE,_xlfn._xlws.FILTER($B$4:$B$17,ISNUMBER(SEARCH($B24,INDIRECT(ADDRESS(4, MATCH(CC$19,$3:$3)) &amp; ":" &amp; ADDRESS(15, MATCH(CC$19,$3:$3))))))), "")</f>
        <v/>
      </c>
      <c r="CD24" s="15" t="str" cm="1">
        <f t="array" aca="1" ref="CD24" ca="1">IFERROR(_xlfn.TEXTJOIN("、",TRUE,_xlfn._xlws.FILTER($B$4:$B$17,ISNUMBER(SEARCH($B24,INDIRECT(ADDRESS(4, MATCH(CD$19,$3:$3)) &amp; ":" &amp; ADDRESS(15, MATCH(CD$19,$3:$3))))))), "")</f>
        <v/>
      </c>
      <c r="CE24" s="15" t="str" cm="1">
        <f t="array" aca="1" ref="CE24" ca="1">IFERROR(_xlfn.TEXTJOIN("、",TRUE,_xlfn._xlws.FILTER($B$4:$B$17,ISNUMBER(SEARCH($B24,INDIRECT(ADDRESS(4, MATCH(CE$19,$3:$3)) &amp; ":" &amp; ADDRESS(15, MATCH(CE$19,$3:$3))))))), "")</f>
        <v/>
      </c>
      <c r="CF24" s="15" t="str" cm="1">
        <f t="array" aca="1" ref="CF24" ca="1">IFERROR(_xlfn.TEXTJOIN("、",TRUE,_xlfn._xlws.FILTER($B$4:$B$17,ISNUMBER(SEARCH($B24,INDIRECT(ADDRESS(4, MATCH(CF$19,$3:$3)) &amp; ":" &amp; ADDRESS(15, MATCH(CF$19,$3:$3))))))), "")</f>
        <v/>
      </c>
      <c r="CG24" s="15" t="str" cm="1">
        <f t="array" aca="1" ref="CG24" ca="1">IFERROR(_xlfn.TEXTJOIN("、",TRUE,_xlfn._xlws.FILTER($B$4:$B$17,ISNUMBER(SEARCH($B24,INDIRECT(ADDRESS(4, MATCH(CG$19,$3:$3)) &amp; ":" &amp; ADDRESS(15, MATCH(CG$19,$3:$3))))))), "")</f>
        <v/>
      </c>
      <c r="CH24" s="15" t="str" cm="1">
        <f t="array" aca="1" ref="CH24" ca="1">IFERROR(_xlfn.TEXTJOIN("、",TRUE,_xlfn._xlws.FILTER($B$4:$B$17,ISNUMBER(SEARCH($B24,INDIRECT(ADDRESS(4, MATCH(CH$19,$3:$3)) &amp; ":" &amp; ADDRESS(15, MATCH(CH$19,$3:$3))))))), "")</f>
        <v/>
      </c>
      <c r="CI24" s="15" t="str" cm="1">
        <f t="array" aca="1" ref="CI24" ca="1">IFERROR(_xlfn.TEXTJOIN("、",TRUE,_xlfn._xlws.FILTER($B$4:$B$17,ISNUMBER(SEARCH($B24,INDIRECT(ADDRESS(4, MATCH(CI$19,$3:$3)) &amp; ":" &amp; ADDRESS(15, MATCH(CI$19,$3:$3))))))), "")</f>
        <v/>
      </c>
      <c r="CJ24" s="15" t="str" cm="1">
        <f t="array" aca="1" ref="CJ24" ca="1">IFERROR(_xlfn.TEXTJOIN("、",TRUE,_xlfn._xlws.FILTER($B$4:$B$17,ISNUMBER(SEARCH($B24,INDIRECT(ADDRESS(4, MATCH(CJ$19,$3:$3)) &amp; ":" &amp; ADDRESS(15, MATCH(CJ$19,$3:$3))))))), "")</f>
        <v/>
      </c>
      <c r="CK24" s="15" t="str" cm="1">
        <f t="array" aca="1" ref="CK24" ca="1">IFERROR(_xlfn.TEXTJOIN("、",TRUE,_xlfn._xlws.FILTER($B$4:$B$17,ISNUMBER(SEARCH($B24,INDIRECT(ADDRESS(4, MATCH(CK$19,$3:$3)) &amp; ":" &amp; ADDRESS(15, MATCH(CK$19,$3:$3))))))), "")</f>
        <v/>
      </c>
      <c r="CL24" s="15" t="str" cm="1">
        <f t="array" aca="1" ref="CL24" ca="1">IFERROR(_xlfn.TEXTJOIN("、",TRUE,_xlfn._xlws.FILTER($B$4:$B$17,ISNUMBER(SEARCH($B24,INDIRECT(ADDRESS(4, MATCH(CL$19,$3:$3)) &amp; ":" &amp; ADDRESS(15, MATCH(CL$19,$3:$3))))))), "")</f>
        <v/>
      </c>
      <c r="CM24" s="15" t="str" cm="1">
        <f t="array" aca="1" ref="CM24" ca="1">IFERROR(_xlfn.TEXTJOIN("、",TRUE,_xlfn._xlws.FILTER($B$4:$B$17,ISNUMBER(SEARCH($B24,INDIRECT(ADDRESS(4, MATCH(CM$19,$3:$3)) &amp; ":" &amp; ADDRESS(15, MATCH(CM$19,$3:$3))))))), "")</f>
        <v/>
      </c>
      <c r="CN24" s="15" t="str" cm="1">
        <f t="array" aca="1" ref="CN24" ca="1">IFERROR(_xlfn.TEXTJOIN("、",TRUE,_xlfn._xlws.FILTER($B$4:$B$17,ISNUMBER(SEARCH($B24,INDIRECT(ADDRESS(4, MATCH(CN$19,$3:$3)) &amp; ":" &amp; ADDRESS(15, MATCH(CN$19,$3:$3))))))), "")</f>
        <v/>
      </c>
      <c r="CO24" s="15" t="str" cm="1">
        <f t="array" aca="1" ref="CO24" ca="1">IFERROR(_xlfn.TEXTJOIN("、",TRUE,_xlfn._xlws.FILTER($B$4:$B$17,ISNUMBER(SEARCH($B24,INDIRECT(ADDRESS(4, MATCH(CO$19,$3:$3)) &amp; ":" &amp; ADDRESS(15, MATCH(CO$19,$3:$3))))))), "")</f>
        <v/>
      </c>
      <c r="CP24" s="15" t="str" cm="1">
        <f t="array" aca="1" ref="CP24" ca="1">IFERROR(_xlfn.TEXTJOIN("、",TRUE,_xlfn._xlws.FILTER($B$4:$B$17,ISNUMBER(SEARCH($B24,INDIRECT(ADDRESS(4, MATCH(CP$19,$3:$3)) &amp; ":" &amp; ADDRESS(15, MATCH(CP$19,$3:$3))))))), "")</f>
        <v/>
      </c>
      <c r="CQ24" s="15" t="str" cm="1">
        <f t="array" aca="1" ref="CQ24" ca="1">IFERROR(_xlfn.TEXTJOIN("、",TRUE,_xlfn._xlws.FILTER($B$4:$B$17,INDIRECT(ADDRESS(4, MATCH(CQ$19,$3:$3)) &amp; ":" &amp; ADDRESS(15, MATCH(CQ$19,$3:$3)))=$B24)), "")</f>
        <v/>
      </c>
      <c r="CR24" s="15" t="str" cm="1">
        <f t="array" aca="1" ref="CR24" ca="1">IFERROR(_xlfn.TEXTJOIN("、",TRUE,_xlfn._xlws.FILTER($B$4:$B$17,INDIRECT(ADDRESS(4, MATCH(CR$19,$3:$3)) &amp; ":" &amp; ADDRESS(15, MATCH(CR$19,$3:$3)))=$B24)), "")</f>
        <v/>
      </c>
      <c r="CS24" s="15" t="str" cm="1">
        <f t="array" aca="1" ref="CS24" ca="1">IFERROR(_xlfn.TEXTJOIN("、",TRUE,_xlfn._xlws.FILTER($B$4:$B$17,INDIRECT(ADDRESS(4, MATCH(CS$19,$3:$3)) &amp; ":" &amp; ADDRESS(15, MATCH(CS$19,$3:$3)))=$B24)), "")</f>
        <v/>
      </c>
      <c r="CT24" s="15" t="str" cm="1">
        <f t="array" aca="1" ref="CT24" ca="1">IFERROR(_xlfn.TEXTJOIN("、",TRUE,_xlfn._xlws.FILTER($B$4:$B$17,INDIRECT(ADDRESS(4, MATCH(CT$19,$3:$3)) &amp; ":" &amp; ADDRESS(15, MATCH(CT$19,$3:$3)))=$B24)), "")</f>
        <v/>
      </c>
      <c r="CU24" s="138"/>
      <c r="CV24" s="141"/>
      <c r="CW24" s="139" t="s">
        <v>322</v>
      </c>
      <c r="CX24" s="141"/>
      <c r="CY24" s="140"/>
      <c r="CZ24" s="141"/>
      <c r="DA24" s="140"/>
      <c r="DB24" s="141"/>
    </row>
    <row r="25" spans="2:106" ht="19.5" thickBot="1">
      <c r="B25" s="35" t="s">
        <v>325</v>
      </c>
      <c r="C25" s="15" t="str" cm="1">
        <f t="array" aca="1" ref="C25" ca="1">IFERROR(_xlfn.TEXTJOIN("、",TRUE,_xlfn._xlws.FILTER($B$4:$B$17,ISNUMBER(SEARCH($B25,INDIRECT(ADDRESS(4, MATCH(C$19,$3:$3)) &amp; ":" &amp; ADDRESS(15, MATCH(C$19,$3:$3))))))), "")</f>
        <v/>
      </c>
      <c r="D25" s="15" t="str" cm="1">
        <f t="array" aca="1" ref="D25" ca="1">IFERROR(_xlfn.TEXTJOIN("、",TRUE,_xlfn._xlws.FILTER($B$4:$B$17,ISNUMBER(SEARCH($B25,INDIRECT(ADDRESS(4, MATCH(D$19,$3:$3)) &amp; ":" &amp; ADDRESS(15, MATCH(D$19,$3:$3))))))), "")</f>
        <v/>
      </c>
      <c r="E25" s="15" t="str" cm="1">
        <f t="array" aca="1" ref="E25" ca="1">IFERROR(_xlfn.TEXTJOIN("、",TRUE,_xlfn._xlws.FILTER($B$4:$B$17,ISNUMBER(SEARCH($B25,INDIRECT(ADDRESS(4, MATCH(E$19,$3:$3)) &amp; ":" &amp; ADDRESS(15, MATCH(E$19,$3:$3))))))), "")</f>
        <v/>
      </c>
      <c r="F25" s="15" t="str" cm="1">
        <f t="array" aca="1" ref="F25" ca="1">IFERROR(_xlfn.TEXTJOIN("、",TRUE,_xlfn._xlws.FILTER($B$4:$B$17,ISNUMBER(SEARCH($B25,INDIRECT(ADDRESS(4, MATCH(F$19,$3:$3)) &amp; ":" &amp; ADDRESS(15, MATCH(F$19,$3:$3))))))), "")</f>
        <v/>
      </c>
      <c r="G25" s="15" t="str" cm="1">
        <f t="array" aca="1" ref="G25" ca="1">IFERROR(_xlfn.TEXTJOIN("、",TRUE,_xlfn._xlws.FILTER($B$4:$B$17,ISNUMBER(SEARCH($B25,INDIRECT(ADDRESS(4, MATCH(G$19,$3:$3)) &amp; ":" &amp; ADDRESS(15, MATCH(G$19,$3:$3))))))), "")</f>
        <v/>
      </c>
      <c r="H25" s="15" t="str" cm="1">
        <f t="array" aca="1" ref="H25" ca="1">IFERROR(_xlfn.TEXTJOIN("、",TRUE,_xlfn._xlws.FILTER($B$4:$B$17,ISNUMBER(SEARCH($B25,INDIRECT(ADDRESS(4, MATCH(H$19,$3:$3)) &amp; ":" &amp; ADDRESS(15, MATCH(H$19,$3:$3))))))), "")</f>
        <v/>
      </c>
      <c r="I25" s="15" t="str" cm="1">
        <f t="array" aca="1" ref="I25" ca="1">IFERROR(_xlfn.TEXTJOIN("、",TRUE,_xlfn._xlws.FILTER($B$4:$B$17,ISNUMBER(SEARCH($B25,INDIRECT(ADDRESS(4, MATCH(I$19,$3:$3)) &amp; ":" &amp; ADDRESS(15, MATCH(I$19,$3:$3))))))), "")</f>
        <v/>
      </c>
      <c r="J25" s="15" t="str" cm="1">
        <f t="array" aca="1" ref="J25" ca="1">IFERROR(_xlfn.TEXTJOIN("、",TRUE,_xlfn._xlws.FILTER($B$4:$B$17,ISNUMBER(SEARCH($B25,INDIRECT(ADDRESS(4, MATCH(J$19,$3:$3)) &amp; ":" &amp; ADDRESS(15, MATCH(J$19,$3:$3))))))), "")</f>
        <v/>
      </c>
      <c r="K25" s="15" t="str" cm="1">
        <f t="array" aca="1" ref="K25" ca="1">IFERROR(_xlfn.TEXTJOIN("、",TRUE,_xlfn._xlws.FILTER($B$4:$B$17,ISNUMBER(SEARCH($B25,INDIRECT(ADDRESS(4, MATCH(K$19,$3:$3)) &amp; ":" &amp; ADDRESS(15, MATCH(K$19,$3:$3))))))), "")</f>
        <v/>
      </c>
      <c r="L25" s="15" t="str" cm="1">
        <f t="array" aca="1" ref="L25" ca="1">IFERROR(_xlfn.TEXTJOIN("、",TRUE,_xlfn._xlws.FILTER($B$4:$B$17,ISNUMBER(SEARCH($B25,INDIRECT(ADDRESS(4, MATCH(L$19,$3:$3)) &amp; ":" &amp; ADDRESS(15, MATCH(L$19,$3:$3))))))), "")</f>
        <v/>
      </c>
      <c r="M25" s="15" t="str" cm="1">
        <f t="array" aca="1" ref="M25" ca="1">IFERROR(_xlfn.TEXTJOIN("、",TRUE,_xlfn._xlws.FILTER($B$4:$B$17,ISNUMBER(SEARCH($B25,INDIRECT(ADDRESS(4, MATCH(M$19,$3:$3)) &amp; ":" &amp; ADDRESS(15, MATCH(M$19,$3:$3))))))), "")</f>
        <v/>
      </c>
      <c r="N25" s="15" t="str" cm="1">
        <f t="array" aca="1" ref="N25" ca="1">IFERROR(_xlfn.TEXTJOIN("、",TRUE,_xlfn._xlws.FILTER($B$4:$B$17,ISNUMBER(SEARCH($B25,INDIRECT(ADDRESS(4, MATCH(N$19,$3:$3)) &amp; ":" &amp; ADDRESS(15, MATCH(N$19,$3:$3))))))), "")</f>
        <v/>
      </c>
      <c r="O25" s="15" t="str" cm="1">
        <f t="array" aca="1" ref="O25" ca="1">IFERROR(_xlfn.TEXTJOIN("、",TRUE,_xlfn._xlws.FILTER($B$4:$B$17,ISNUMBER(SEARCH($B25,INDIRECT(ADDRESS(4, MATCH(O$19,$3:$3)) &amp; ":" &amp; ADDRESS(15, MATCH(O$19,$3:$3))))))), "")</f>
        <v/>
      </c>
      <c r="P25" s="15" t="str" cm="1">
        <f t="array" aca="1" ref="P25" ca="1">IFERROR(_xlfn.TEXTJOIN("、",TRUE,_xlfn._xlws.FILTER($B$4:$B$17,ISNUMBER(SEARCH($B25,INDIRECT(ADDRESS(4, MATCH(P$19,$3:$3)) &amp; ":" &amp; ADDRESS(15, MATCH(P$19,$3:$3))))))), "")</f>
        <v/>
      </c>
      <c r="Q25" s="15" t="str" cm="1">
        <f t="array" aca="1" ref="Q25" ca="1">IFERROR(_xlfn.TEXTJOIN("、",TRUE,_xlfn._xlws.FILTER($B$4:$B$17,ISNUMBER(SEARCH($B25,INDIRECT(ADDRESS(4, MATCH(Q$19,$3:$3)) &amp; ":" &amp; ADDRESS(15, MATCH(Q$19,$3:$3))))))), "")</f>
        <v/>
      </c>
      <c r="R25" s="15" t="str" cm="1">
        <f t="array" aca="1" ref="R25" ca="1">IFERROR(_xlfn.TEXTJOIN("、",TRUE,_xlfn._xlws.FILTER($B$4:$B$17,ISNUMBER(SEARCH($B25,INDIRECT(ADDRESS(4, MATCH(R$19,$3:$3)) &amp; ":" &amp; ADDRESS(15, MATCH(R$19,$3:$3))))))), "")</f>
        <v/>
      </c>
      <c r="S25" s="15" t="str" cm="1">
        <f t="array" aca="1" ref="S25" ca="1">IFERROR(_xlfn.TEXTJOIN("、",TRUE,_xlfn._xlws.FILTER($B$4:$B$17,ISNUMBER(SEARCH($B25,INDIRECT(ADDRESS(4, MATCH(S$19,$3:$3)) &amp; ":" &amp; ADDRESS(15, MATCH(S$19,$3:$3))))))), "")</f>
        <v/>
      </c>
      <c r="T25" s="15" t="str" cm="1">
        <f t="array" aca="1" ref="T25" ca="1">IFERROR(_xlfn.TEXTJOIN("、",TRUE,_xlfn._xlws.FILTER($B$4:$B$17,ISNUMBER(SEARCH($B25,INDIRECT(ADDRESS(4, MATCH(T$19,$3:$3)) &amp; ":" &amp; ADDRESS(15, MATCH(T$19,$3:$3))))))), "")</f>
        <v/>
      </c>
      <c r="U25" s="15" t="str" cm="1">
        <f t="array" aca="1" ref="U25" ca="1">IFERROR(_xlfn.TEXTJOIN("、",TRUE,_xlfn._xlws.FILTER($B$4:$B$17,ISNUMBER(SEARCH($B25,INDIRECT(ADDRESS(4, MATCH(U$19,$3:$3)) &amp; ":" &amp; ADDRESS(15, MATCH(U$19,$3:$3))))))), "")</f>
        <v/>
      </c>
      <c r="V25" s="15" t="str" cm="1">
        <f t="array" aca="1" ref="V25" ca="1">IFERROR(_xlfn.TEXTJOIN("、",TRUE,_xlfn._xlws.FILTER($B$4:$B$17,ISNUMBER(SEARCH($B25,INDIRECT(ADDRESS(4, MATCH(V$19,$3:$3)) &amp; ":" &amp; ADDRESS(15, MATCH(V$19,$3:$3))))))), "")</f>
        <v/>
      </c>
      <c r="W25" s="15" t="str" cm="1">
        <f t="array" aca="1" ref="W25" ca="1">IFERROR(_xlfn.TEXTJOIN("、",TRUE,_xlfn._xlws.FILTER($B$4:$B$17,ISNUMBER(SEARCH($B25,INDIRECT(ADDRESS(4, MATCH(W$19,$3:$3)) &amp; ":" &amp; ADDRESS(15, MATCH(W$19,$3:$3))))))), "")</f>
        <v/>
      </c>
      <c r="X25" s="15" t="str" cm="1">
        <f t="array" aca="1" ref="X25" ca="1">IFERROR(_xlfn.TEXTJOIN("、",TRUE,_xlfn._xlws.FILTER($B$4:$B$17,ISNUMBER(SEARCH($B25,INDIRECT(ADDRESS(4, MATCH(X$19,$3:$3)) &amp; ":" &amp; ADDRESS(15, MATCH(X$19,$3:$3))))))), "")</f>
        <v/>
      </c>
      <c r="Y25" s="15" t="str" cm="1">
        <f t="array" aca="1" ref="Y25" ca="1">IFERROR(_xlfn.TEXTJOIN("、",TRUE,_xlfn._xlws.FILTER($B$4:$B$17,ISNUMBER(SEARCH($B25,INDIRECT(ADDRESS(4, MATCH(Y$19,$3:$3)) &amp; ":" &amp; ADDRESS(15, MATCH(Y$19,$3:$3))))))), "")</f>
        <v/>
      </c>
      <c r="Z25" s="15" t="str" cm="1">
        <f t="array" aca="1" ref="Z25" ca="1">IFERROR(_xlfn.TEXTJOIN("、",TRUE,_xlfn._xlws.FILTER($B$4:$B$17,ISNUMBER(SEARCH($B25,INDIRECT(ADDRESS(4, MATCH(Z$19,$3:$3)) &amp; ":" &amp; ADDRESS(15, MATCH(Z$19,$3:$3))))))), "")</f>
        <v/>
      </c>
      <c r="AA25" s="15" t="str" cm="1">
        <f t="array" aca="1" ref="AA25" ca="1">IFERROR(_xlfn.TEXTJOIN("、",TRUE,_xlfn._xlws.FILTER($B$4:$B$17,ISNUMBER(SEARCH($B25,INDIRECT(ADDRESS(4, MATCH(AA$19,$3:$3)) &amp; ":" &amp; ADDRESS(15, MATCH(AA$19,$3:$3))))))), "")</f>
        <v/>
      </c>
      <c r="AB25" s="15" t="str" cm="1">
        <f t="array" aca="1" ref="AB25" ca="1">IFERROR(_xlfn.TEXTJOIN("、",TRUE,_xlfn._xlws.FILTER($B$4:$B$17,ISNUMBER(SEARCH($B25,INDIRECT(ADDRESS(4, MATCH(AB$19,$3:$3)) &amp; ":" &amp; ADDRESS(15, MATCH(AB$19,$3:$3))))))), "")</f>
        <v/>
      </c>
      <c r="AC25" s="15" t="str" cm="1">
        <f t="array" aca="1" ref="AC25" ca="1">IFERROR(_xlfn.TEXTJOIN("、",TRUE,_xlfn._xlws.FILTER($B$4:$B$17,ISNUMBER(SEARCH($B25,INDIRECT(ADDRESS(4, MATCH(AC$19,$3:$3)) &amp; ":" &amp; ADDRESS(15, MATCH(AC$19,$3:$3))))))), "")</f>
        <v/>
      </c>
      <c r="AD25" s="15" t="str" cm="1">
        <f t="array" aca="1" ref="AD25" ca="1">IFERROR(_xlfn.TEXTJOIN("、",TRUE,_xlfn._xlws.FILTER($B$4:$B$17,ISNUMBER(SEARCH($B25,INDIRECT(ADDRESS(4, MATCH(AD$19,$3:$3)) &amp; ":" &amp; ADDRESS(15, MATCH(AD$19,$3:$3))))))), "")</f>
        <v/>
      </c>
      <c r="AE25" s="15" t="str" cm="1">
        <f t="array" aca="1" ref="AE25" ca="1">IFERROR(_xlfn.TEXTJOIN("、",TRUE,_xlfn._xlws.FILTER($B$4:$B$17,ISNUMBER(SEARCH($B25,INDIRECT(ADDRESS(4, MATCH(AE$19,$3:$3)) &amp; ":" &amp; ADDRESS(15, MATCH(AE$19,$3:$3))))))), "")</f>
        <v/>
      </c>
      <c r="AF25" s="15" t="str" cm="1">
        <f t="array" aca="1" ref="AF25" ca="1">IFERROR(_xlfn.TEXTJOIN("、",TRUE,_xlfn._xlws.FILTER($B$4:$B$17,ISNUMBER(SEARCH($B25,INDIRECT(ADDRESS(4, MATCH(AF$19,$3:$3)) &amp; ":" &amp; ADDRESS(15, MATCH(AF$19,$3:$3))))))), "")</f>
        <v/>
      </c>
      <c r="AG25" s="15" t="str" cm="1">
        <f t="array" aca="1" ref="AG25" ca="1">IFERROR(_xlfn.TEXTJOIN("、",TRUE,_xlfn._xlws.FILTER($B$4:$B$17,ISNUMBER(SEARCH($B25,INDIRECT(ADDRESS(4, MATCH(AG$19,$3:$3)) &amp; ":" &amp; ADDRESS(15, MATCH(AG$19,$3:$3))))))), "")</f>
        <v/>
      </c>
      <c r="AH25" s="15" t="str" cm="1">
        <f t="array" aca="1" ref="AH25" ca="1">IFERROR(_xlfn.TEXTJOIN("、",TRUE,_xlfn._xlws.FILTER($B$4:$B$17,ISNUMBER(SEARCH($B25,INDIRECT(ADDRESS(4, MATCH(AH$19,$3:$3)) &amp; ":" &amp; ADDRESS(15, MATCH(AH$19,$3:$3))))))), "")</f>
        <v/>
      </c>
      <c r="AI25" s="15" t="str" cm="1">
        <f t="array" aca="1" ref="AI25" ca="1">IFERROR(_xlfn.TEXTJOIN("、",TRUE,_xlfn._xlws.FILTER($B$4:$B$17,ISNUMBER(SEARCH($B25,INDIRECT(ADDRESS(4, MATCH(AI$19,$3:$3)) &amp; ":" &amp; ADDRESS(15, MATCH(AI$19,$3:$3))))))), "")</f>
        <v/>
      </c>
      <c r="AJ25" s="15" t="str" cm="1">
        <f t="array" aca="1" ref="AJ25" ca="1">IFERROR(_xlfn.TEXTJOIN("、",TRUE,_xlfn._xlws.FILTER($B$4:$B$17,ISNUMBER(SEARCH($B25,INDIRECT(ADDRESS(4, MATCH(AJ$19,$3:$3)) &amp; ":" &amp; ADDRESS(15, MATCH(AJ$19,$3:$3))))))), "")</f>
        <v/>
      </c>
      <c r="AK25" s="15" t="str" cm="1">
        <f t="array" aca="1" ref="AK25" ca="1">IFERROR(_xlfn.TEXTJOIN("、",TRUE,_xlfn._xlws.FILTER($B$4:$B$17,ISNUMBER(SEARCH($B25,INDIRECT(ADDRESS(4, MATCH(AK$19,$3:$3)) &amp; ":" &amp; ADDRESS(15, MATCH(AK$19,$3:$3))))))), "")</f>
        <v/>
      </c>
      <c r="AL25" s="15" t="str" cm="1">
        <f t="array" aca="1" ref="AL25" ca="1">IFERROR(_xlfn.TEXTJOIN("、",TRUE,_xlfn._xlws.FILTER($B$4:$B$17,ISNUMBER(SEARCH($B25,INDIRECT(ADDRESS(4, MATCH(AL$19,$3:$3)) &amp; ":" &amp; ADDRESS(15, MATCH(AL$19,$3:$3))))))), "")</f>
        <v/>
      </c>
      <c r="AM25" s="15" t="str" cm="1">
        <f t="array" aca="1" ref="AM25" ca="1">IFERROR(_xlfn.TEXTJOIN("、",TRUE,_xlfn._xlws.FILTER($B$4:$B$17,ISNUMBER(SEARCH($B25,INDIRECT(ADDRESS(4, MATCH(AM$19,$3:$3)) &amp; ":" &amp; ADDRESS(15, MATCH(AM$19,$3:$3))))))), "")</f>
        <v/>
      </c>
      <c r="AN25" s="15" t="str" cm="1">
        <f t="array" aca="1" ref="AN25" ca="1">IFERROR(_xlfn.TEXTJOIN("、",TRUE,_xlfn._xlws.FILTER($B$4:$B$17,ISNUMBER(SEARCH($B25,INDIRECT(ADDRESS(4, MATCH(AN$19,$3:$3)) &amp; ":" &amp; ADDRESS(15, MATCH(AN$19,$3:$3))))))), "")</f>
        <v/>
      </c>
      <c r="AO25" s="15" t="str" cm="1">
        <f t="array" aca="1" ref="AO25" ca="1">IFERROR(_xlfn.TEXTJOIN("、",TRUE,_xlfn._xlws.FILTER($B$4:$B$17,ISNUMBER(SEARCH($B25,INDIRECT(ADDRESS(4, MATCH(AO$19,$3:$3)) &amp; ":" &amp; ADDRESS(15, MATCH(AO$19,$3:$3))))))), "")</f>
        <v/>
      </c>
      <c r="AP25" s="15" t="str" cm="1">
        <f t="array" aca="1" ref="AP25" ca="1">IFERROR(_xlfn.TEXTJOIN("、",TRUE,_xlfn._xlws.FILTER($B$4:$B$17,ISNUMBER(SEARCH($B25,INDIRECT(ADDRESS(4, MATCH(AP$19,$3:$3)) &amp; ":" &amp; ADDRESS(15, MATCH(AP$19,$3:$3))))))), "")</f>
        <v/>
      </c>
      <c r="AQ25" s="15" t="str" cm="1">
        <f t="array" aca="1" ref="AQ25" ca="1">IFERROR(_xlfn.TEXTJOIN("、",TRUE,_xlfn._xlws.FILTER($B$4:$B$17,ISNUMBER(SEARCH($B25,INDIRECT(ADDRESS(4, MATCH(AQ$19,$3:$3)) &amp; ":" &amp; ADDRESS(15, MATCH(AQ$19,$3:$3))))))), "")</f>
        <v/>
      </c>
      <c r="AR25" s="15" t="str" cm="1">
        <f t="array" aca="1" ref="AR25" ca="1">IFERROR(_xlfn.TEXTJOIN("、",TRUE,_xlfn._xlws.FILTER($B$4:$B$17,ISNUMBER(SEARCH($B25,INDIRECT(ADDRESS(4, MATCH(AR$19,$3:$3)) &amp; ":" &amp; ADDRESS(15, MATCH(AR$19,$3:$3))))))), "")</f>
        <v/>
      </c>
      <c r="AS25" s="15" t="str" cm="1">
        <f t="array" aca="1" ref="AS25" ca="1">IFERROR(_xlfn.TEXTJOIN("、",TRUE,_xlfn._xlws.FILTER($B$4:$B$17,ISNUMBER(SEARCH($B25,INDIRECT(ADDRESS(4, MATCH(AS$19,$3:$3)) &amp; ":" &amp; ADDRESS(15, MATCH(AS$19,$3:$3))))))), "")</f>
        <v/>
      </c>
      <c r="AT25" s="15" t="str" cm="1">
        <f t="array" aca="1" ref="AT25" ca="1">IFERROR(_xlfn.TEXTJOIN("、",TRUE,_xlfn._xlws.FILTER($B$4:$B$17,ISNUMBER(SEARCH($B25,INDIRECT(ADDRESS(4, MATCH(AT$19,$3:$3)) &amp; ":" &amp; ADDRESS(15, MATCH(AT$19,$3:$3))))))), "")</f>
        <v/>
      </c>
      <c r="AU25" s="15" t="str" cm="1">
        <f t="array" aca="1" ref="AU25" ca="1">IFERROR(_xlfn.TEXTJOIN("、",TRUE,_xlfn._xlws.FILTER($B$4:$B$17,ISNUMBER(SEARCH($B25,INDIRECT(ADDRESS(4, MATCH(AU$19,$3:$3)) &amp; ":" &amp; ADDRESS(15, MATCH(AU$19,$3:$3))))))), "")</f>
        <v/>
      </c>
      <c r="AV25" s="15" t="str" cm="1">
        <f t="array" aca="1" ref="AV25" ca="1">IFERROR(_xlfn.TEXTJOIN("、",TRUE,_xlfn._xlws.FILTER($B$4:$B$17,ISNUMBER(SEARCH($B25,INDIRECT(ADDRESS(4, MATCH(AV$19,$3:$3)) &amp; ":" &amp; ADDRESS(15, MATCH(AV$19,$3:$3))))))), "")</f>
        <v/>
      </c>
      <c r="AW25" s="15" t="str" cm="1">
        <f t="array" aca="1" ref="AW25" ca="1">IFERROR(_xlfn.TEXTJOIN("、",TRUE,_xlfn._xlws.FILTER($B$4:$B$17,ISNUMBER(SEARCH($B25,INDIRECT(ADDRESS(4, MATCH(AW$19,$3:$3)) &amp; ":" &amp; ADDRESS(15, MATCH(AW$19,$3:$3))))))), "")</f>
        <v/>
      </c>
      <c r="AX25" s="15" t="str" cm="1">
        <f t="array" aca="1" ref="AX25" ca="1">IFERROR(_xlfn.TEXTJOIN("、",TRUE,_xlfn._xlws.FILTER($B$4:$B$17,ISNUMBER(SEARCH($B25,INDIRECT(ADDRESS(4, MATCH(AX$19,$3:$3)) &amp; ":" &amp; ADDRESS(15, MATCH(AX$19,$3:$3))))))), "")</f>
        <v/>
      </c>
      <c r="AY25" s="15" t="str" cm="1">
        <f t="array" aca="1" ref="AY25" ca="1">IFERROR(_xlfn.TEXTJOIN("、",TRUE,_xlfn._xlws.FILTER($B$4:$B$17,ISNUMBER(SEARCH($B25,INDIRECT(ADDRESS(4, MATCH(AY$19,$3:$3)) &amp; ":" &amp; ADDRESS(15, MATCH(AY$19,$3:$3))))))), "")</f>
        <v/>
      </c>
      <c r="AZ25" s="15" t="str" cm="1">
        <f t="array" aca="1" ref="AZ25" ca="1">IFERROR(_xlfn.TEXTJOIN("、",TRUE,_xlfn._xlws.FILTER($B$4:$B$17,ISNUMBER(SEARCH($B25,INDIRECT(ADDRESS(4, MATCH(AZ$19,$3:$3)) &amp; ":" &amp; ADDRESS(15, MATCH(AZ$19,$3:$3))))))), "")</f>
        <v/>
      </c>
      <c r="BA25" s="15" t="str" cm="1">
        <f t="array" aca="1" ref="BA25" ca="1">IFERROR(_xlfn.TEXTJOIN("、",TRUE,_xlfn._xlws.FILTER($B$4:$B$17,ISNUMBER(SEARCH($B25,INDIRECT(ADDRESS(4, MATCH(BA$19,$3:$3)) &amp; ":" &amp; ADDRESS(15, MATCH(BA$19,$3:$3))))))), "")</f>
        <v/>
      </c>
      <c r="BB25" s="15" t="str" cm="1">
        <f t="array" aca="1" ref="BB25" ca="1">IFERROR(_xlfn.TEXTJOIN("、",TRUE,_xlfn._xlws.FILTER($B$4:$B$17,ISNUMBER(SEARCH($B25,INDIRECT(ADDRESS(4, MATCH(BB$19,$3:$3)) &amp; ":" &amp; ADDRESS(15, MATCH(BB$19,$3:$3))))))), "")</f>
        <v/>
      </c>
      <c r="BC25" s="15" t="str" cm="1">
        <f t="array" aca="1" ref="BC25" ca="1">IFERROR(_xlfn.TEXTJOIN("、",TRUE,_xlfn._xlws.FILTER($B$4:$B$17,ISNUMBER(SEARCH($B25,INDIRECT(ADDRESS(4, MATCH(BC$19,$3:$3)) &amp; ":" &amp; ADDRESS(15, MATCH(BC$19,$3:$3))))))), "")</f>
        <v/>
      </c>
      <c r="BD25" s="15" t="str" cm="1">
        <f t="array" aca="1" ref="BD25" ca="1">IFERROR(_xlfn.TEXTJOIN("、",TRUE,_xlfn._xlws.FILTER($B$4:$B$17,ISNUMBER(SEARCH($B25,INDIRECT(ADDRESS(4, MATCH(BD$19,$3:$3)) &amp; ":" &amp; ADDRESS(15, MATCH(BD$19,$3:$3))))))), "")</f>
        <v/>
      </c>
      <c r="BE25" s="15" t="str" cm="1">
        <f t="array" aca="1" ref="BE25" ca="1">IFERROR(_xlfn.TEXTJOIN("、",TRUE,_xlfn._xlws.FILTER($B$4:$B$17,ISNUMBER(SEARCH($B25,INDIRECT(ADDRESS(4, MATCH(BE$19,$3:$3)) &amp; ":" &amp; ADDRESS(15, MATCH(BE$19,$3:$3))))))), "")</f>
        <v/>
      </c>
      <c r="BF25" s="15" t="str" cm="1">
        <f t="array" aca="1" ref="BF25" ca="1">IFERROR(_xlfn.TEXTJOIN("、",TRUE,_xlfn._xlws.FILTER($B$4:$B$17,ISNUMBER(SEARCH($B25,INDIRECT(ADDRESS(4, MATCH(BF$19,$3:$3)) &amp; ":" &amp; ADDRESS(15, MATCH(BF$19,$3:$3))))))), "")</f>
        <v/>
      </c>
      <c r="BG25" s="15" t="str" cm="1">
        <f t="array" aca="1" ref="BG25" ca="1">IFERROR(_xlfn.TEXTJOIN("、",TRUE,_xlfn._xlws.FILTER($B$4:$B$17,ISNUMBER(SEARCH($B25,INDIRECT(ADDRESS(4, MATCH(BG$19,$3:$3)) &amp; ":" &amp; ADDRESS(15, MATCH(BG$19,$3:$3))))))), "")</f>
        <v/>
      </c>
      <c r="BH25" s="15" t="str" cm="1">
        <f t="array" aca="1" ref="BH25" ca="1">IFERROR(_xlfn.TEXTJOIN("、",TRUE,_xlfn._xlws.FILTER($B$4:$B$17,ISNUMBER(SEARCH($B25,INDIRECT(ADDRESS(4, MATCH(BH$19,$3:$3)) &amp; ":" &amp; ADDRESS(15, MATCH(BH$19,$3:$3))))))), "")</f>
        <v/>
      </c>
      <c r="BI25" s="15" t="str" cm="1">
        <f t="array" aca="1" ref="BI25" ca="1">IFERROR(_xlfn.TEXTJOIN("、",TRUE,_xlfn._xlws.FILTER($B$4:$B$17,ISNUMBER(SEARCH($B25,INDIRECT(ADDRESS(4, MATCH(BI$19,$3:$3)) &amp; ":" &amp; ADDRESS(15, MATCH(BI$19,$3:$3))))))), "")</f>
        <v/>
      </c>
      <c r="BJ25" s="15" t="str" cm="1">
        <f t="array" aca="1" ref="BJ25" ca="1">IFERROR(_xlfn.TEXTJOIN("、",TRUE,_xlfn._xlws.FILTER($B$4:$B$17,ISNUMBER(SEARCH($B25,INDIRECT(ADDRESS(4, MATCH(BJ$19,$3:$3)) &amp; ":" &amp; ADDRESS(15, MATCH(BJ$19,$3:$3))))))), "")</f>
        <v/>
      </c>
      <c r="BK25" s="15" t="str" cm="1">
        <f t="array" aca="1" ref="BK25" ca="1">IFERROR(_xlfn.TEXTJOIN("、",TRUE,_xlfn._xlws.FILTER($B$4:$B$17,ISNUMBER(SEARCH($B25,INDIRECT(ADDRESS(4, MATCH(BK$19,$3:$3)) &amp; ":" &amp; ADDRESS(15, MATCH(BK$19,$3:$3))))))), "")</f>
        <v/>
      </c>
      <c r="BL25" s="15" t="str" cm="1">
        <f t="array" aca="1" ref="BL25" ca="1">IFERROR(_xlfn.TEXTJOIN("、",TRUE,_xlfn._xlws.FILTER($B$4:$B$17,ISNUMBER(SEARCH($B25,INDIRECT(ADDRESS(4, MATCH(BL$19,$3:$3)) &amp; ":" &amp; ADDRESS(15, MATCH(BL$19,$3:$3))))))), "")</f>
        <v/>
      </c>
      <c r="BM25" s="15" t="str" cm="1">
        <f t="array" aca="1" ref="BM25" ca="1">IFERROR(_xlfn.TEXTJOIN("、",TRUE,_xlfn._xlws.FILTER($B$4:$B$17,ISNUMBER(SEARCH($B25,INDIRECT(ADDRESS(4, MATCH(BM$19,$3:$3)) &amp; ":" &amp; ADDRESS(15, MATCH(BM$19,$3:$3))))))), "")</f>
        <v/>
      </c>
      <c r="BN25" s="15" t="str" cm="1">
        <f t="array" aca="1" ref="BN25" ca="1">IFERROR(_xlfn.TEXTJOIN("、",TRUE,_xlfn._xlws.FILTER($B$4:$B$17,ISNUMBER(SEARCH($B25,INDIRECT(ADDRESS(4, MATCH(BN$19,$3:$3)) &amp; ":" &amp; ADDRESS(15, MATCH(BN$19,$3:$3))))))), "")</f>
        <v/>
      </c>
      <c r="BO25" s="15" t="str" cm="1">
        <f t="array" aca="1" ref="BO25" ca="1">IFERROR(_xlfn.TEXTJOIN("、",TRUE,_xlfn._xlws.FILTER($B$4:$B$17,ISNUMBER(SEARCH($B25,INDIRECT(ADDRESS(4, MATCH(BO$19,$3:$3)) &amp; ":" &amp; ADDRESS(15, MATCH(BO$19,$3:$3))))))), "")</f>
        <v/>
      </c>
      <c r="BP25" s="15" t="str" cm="1">
        <f t="array" aca="1" ref="BP25" ca="1">IFERROR(_xlfn.TEXTJOIN("、",TRUE,_xlfn._xlws.FILTER($B$4:$B$17,ISNUMBER(SEARCH($B25,INDIRECT(ADDRESS(4, MATCH(BP$19,$3:$3)) &amp; ":" &amp; ADDRESS(15, MATCH(BP$19,$3:$3))))))), "")</f>
        <v/>
      </c>
      <c r="BQ25" s="15" t="str" cm="1">
        <f t="array" aca="1" ref="BQ25" ca="1">IFERROR(_xlfn.TEXTJOIN("、",TRUE,_xlfn._xlws.FILTER($B$4:$B$17,ISNUMBER(SEARCH($B25,INDIRECT(ADDRESS(4, MATCH(BQ$19,$3:$3)) &amp; ":" &amp; ADDRESS(15, MATCH(BQ$19,$3:$3))))))), "")</f>
        <v/>
      </c>
      <c r="BR25" s="15" t="str" cm="1">
        <f t="array" aca="1" ref="BR25" ca="1">IFERROR(_xlfn.TEXTJOIN("、",TRUE,_xlfn._xlws.FILTER($B$4:$B$17,ISNUMBER(SEARCH($B25,INDIRECT(ADDRESS(4, MATCH(BR$19,$3:$3)) &amp; ":" &amp; ADDRESS(15, MATCH(BR$19,$3:$3))))))), "")</f>
        <v/>
      </c>
      <c r="BS25" s="15" t="str" cm="1">
        <f t="array" aca="1" ref="BS25" ca="1">IFERROR(_xlfn.TEXTJOIN("、",TRUE,_xlfn._xlws.FILTER($B$4:$B$17,ISNUMBER(SEARCH($B25,INDIRECT(ADDRESS(4, MATCH(BS$19,$3:$3)) &amp; ":" &amp; ADDRESS(15, MATCH(BS$19,$3:$3))))))), "")</f>
        <v/>
      </c>
      <c r="BT25" s="15" t="str" cm="1">
        <f t="array" aca="1" ref="BT25" ca="1">IFERROR(_xlfn.TEXTJOIN("、",TRUE,_xlfn._xlws.FILTER($B$4:$B$17,ISNUMBER(SEARCH($B25,INDIRECT(ADDRESS(4, MATCH(BT$19,$3:$3)) &amp; ":" &amp; ADDRESS(15, MATCH(BT$19,$3:$3))))))), "")</f>
        <v/>
      </c>
      <c r="BU25" s="15" t="str" cm="1">
        <f t="array" aca="1" ref="BU25" ca="1">IFERROR(_xlfn.TEXTJOIN("、",TRUE,_xlfn._xlws.FILTER($B$4:$B$17,ISNUMBER(SEARCH($B25,INDIRECT(ADDRESS(4, MATCH(BU$19,$3:$3)) &amp; ":" &amp; ADDRESS(15, MATCH(BU$19,$3:$3))))))), "")</f>
        <v/>
      </c>
      <c r="BV25" s="15" t="str" cm="1">
        <f t="array" aca="1" ref="BV25" ca="1">IFERROR(_xlfn.TEXTJOIN("、",TRUE,_xlfn._xlws.FILTER($B$4:$B$17,ISNUMBER(SEARCH($B25,INDIRECT(ADDRESS(4, MATCH(BV$19,$3:$3)) &amp; ":" &amp; ADDRESS(15, MATCH(BV$19,$3:$3))))))), "")</f>
        <v/>
      </c>
      <c r="BW25" s="15" t="str" cm="1">
        <f t="array" aca="1" ref="BW25" ca="1">IFERROR(_xlfn.TEXTJOIN("、",TRUE,_xlfn._xlws.FILTER($B$4:$B$17,ISNUMBER(SEARCH($B25,INDIRECT(ADDRESS(4, MATCH(BW$19,$3:$3)) &amp; ":" &amp; ADDRESS(15, MATCH(BW$19,$3:$3))))))), "")</f>
        <v/>
      </c>
      <c r="BX25" s="15" t="str" cm="1">
        <f t="array" aca="1" ref="BX25" ca="1">IFERROR(_xlfn.TEXTJOIN("、",TRUE,_xlfn._xlws.FILTER($B$4:$B$17,ISNUMBER(SEARCH($B25,INDIRECT(ADDRESS(4, MATCH(BX$19,$3:$3)) &amp; ":" &amp; ADDRESS(15, MATCH(BX$19,$3:$3))))))), "")</f>
        <v/>
      </c>
      <c r="BY25" s="15" t="str" cm="1">
        <f t="array" aca="1" ref="BY25" ca="1">IFERROR(_xlfn.TEXTJOIN("、",TRUE,_xlfn._xlws.FILTER($B$4:$B$17,ISNUMBER(SEARCH($B25,INDIRECT(ADDRESS(4, MATCH(BY$19,$3:$3)) &amp; ":" &amp; ADDRESS(15, MATCH(BY$19,$3:$3))))))), "")</f>
        <v/>
      </c>
      <c r="BZ25" s="15" t="str" cm="1">
        <f t="array" aca="1" ref="BZ25" ca="1">IFERROR(_xlfn.TEXTJOIN("、",TRUE,_xlfn._xlws.FILTER($B$4:$B$17,ISNUMBER(SEARCH($B25,INDIRECT(ADDRESS(4, MATCH(BZ$19,$3:$3)) &amp; ":" &amp; ADDRESS(15, MATCH(BZ$19,$3:$3))))))), "")</f>
        <v/>
      </c>
      <c r="CA25" s="15" t="str" cm="1">
        <f t="array" aca="1" ref="CA25" ca="1">IFERROR(_xlfn.TEXTJOIN("、",TRUE,_xlfn._xlws.FILTER($B$4:$B$17,ISNUMBER(SEARCH($B25,INDIRECT(ADDRESS(4, MATCH(CA$19,$3:$3)) &amp; ":" &amp; ADDRESS(15, MATCH(CA$19,$3:$3))))))), "")</f>
        <v/>
      </c>
      <c r="CB25" s="15" t="str" cm="1">
        <f t="array" aca="1" ref="CB25" ca="1">IFERROR(_xlfn.TEXTJOIN("、",TRUE,_xlfn._xlws.FILTER($B$4:$B$17,ISNUMBER(SEARCH($B25,INDIRECT(ADDRESS(4, MATCH(CB$19,$3:$3)) &amp; ":" &amp; ADDRESS(15, MATCH(CB$19,$3:$3))))))), "")</f>
        <v/>
      </c>
      <c r="CC25" s="15" t="str" cm="1">
        <f t="array" aca="1" ref="CC25" ca="1">IFERROR(_xlfn.TEXTJOIN("、",TRUE,_xlfn._xlws.FILTER($B$4:$B$17,ISNUMBER(SEARCH($B25,INDIRECT(ADDRESS(4, MATCH(CC$19,$3:$3)) &amp; ":" &amp; ADDRESS(15, MATCH(CC$19,$3:$3))))))), "")</f>
        <v/>
      </c>
      <c r="CD25" s="15" t="str" cm="1">
        <f t="array" aca="1" ref="CD25" ca="1">IFERROR(_xlfn.TEXTJOIN("、",TRUE,_xlfn._xlws.FILTER($B$4:$B$17,ISNUMBER(SEARCH($B25,INDIRECT(ADDRESS(4, MATCH(CD$19,$3:$3)) &amp; ":" &amp; ADDRESS(15, MATCH(CD$19,$3:$3))))))), "")</f>
        <v/>
      </c>
      <c r="CE25" s="15" t="str" cm="1">
        <f t="array" aca="1" ref="CE25" ca="1">IFERROR(_xlfn.TEXTJOIN("、",TRUE,_xlfn._xlws.FILTER($B$4:$B$17,ISNUMBER(SEARCH($B25,INDIRECT(ADDRESS(4, MATCH(CE$19,$3:$3)) &amp; ":" &amp; ADDRESS(15, MATCH(CE$19,$3:$3))))))), "")</f>
        <v/>
      </c>
      <c r="CF25" s="15" t="str" cm="1">
        <f t="array" aca="1" ref="CF25" ca="1">IFERROR(_xlfn.TEXTJOIN("、",TRUE,_xlfn._xlws.FILTER($B$4:$B$17,ISNUMBER(SEARCH($B25,INDIRECT(ADDRESS(4, MATCH(CF$19,$3:$3)) &amp; ":" &amp; ADDRESS(15, MATCH(CF$19,$3:$3))))))), "")</f>
        <v/>
      </c>
      <c r="CG25" s="15" t="str" cm="1">
        <f t="array" aca="1" ref="CG25" ca="1">IFERROR(_xlfn.TEXTJOIN("、",TRUE,_xlfn._xlws.FILTER($B$4:$B$17,ISNUMBER(SEARCH($B25,INDIRECT(ADDRESS(4, MATCH(CG$19,$3:$3)) &amp; ":" &amp; ADDRESS(15, MATCH(CG$19,$3:$3))))))), "")</f>
        <v/>
      </c>
      <c r="CH25" s="15" t="str" cm="1">
        <f t="array" aca="1" ref="CH25" ca="1">IFERROR(_xlfn.TEXTJOIN("、",TRUE,_xlfn._xlws.FILTER($B$4:$B$17,ISNUMBER(SEARCH($B25,INDIRECT(ADDRESS(4, MATCH(CH$19,$3:$3)) &amp; ":" &amp; ADDRESS(15, MATCH(CH$19,$3:$3))))))), "")</f>
        <v/>
      </c>
      <c r="CI25" s="15" t="str" cm="1">
        <f t="array" aca="1" ref="CI25" ca="1">IFERROR(_xlfn.TEXTJOIN("、",TRUE,_xlfn._xlws.FILTER($B$4:$B$17,ISNUMBER(SEARCH($B25,INDIRECT(ADDRESS(4, MATCH(CI$19,$3:$3)) &amp; ":" &amp; ADDRESS(15, MATCH(CI$19,$3:$3))))))), "")</f>
        <v/>
      </c>
      <c r="CJ25" s="15" t="str" cm="1">
        <f t="array" aca="1" ref="CJ25" ca="1">IFERROR(_xlfn.TEXTJOIN("、",TRUE,_xlfn._xlws.FILTER($B$4:$B$17,ISNUMBER(SEARCH($B25,INDIRECT(ADDRESS(4, MATCH(CJ$19,$3:$3)) &amp; ":" &amp; ADDRESS(15, MATCH(CJ$19,$3:$3))))))), "")</f>
        <v/>
      </c>
      <c r="CK25" s="15" t="str" cm="1">
        <f t="array" aca="1" ref="CK25" ca="1">IFERROR(_xlfn.TEXTJOIN("、",TRUE,_xlfn._xlws.FILTER($B$4:$B$17,ISNUMBER(SEARCH($B25,INDIRECT(ADDRESS(4, MATCH(CK$19,$3:$3)) &amp; ":" &amp; ADDRESS(15, MATCH(CK$19,$3:$3))))))), "")</f>
        <v/>
      </c>
      <c r="CL25" s="15" t="str" cm="1">
        <f t="array" aca="1" ref="CL25" ca="1">IFERROR(_xlfn.TEXTJOIN("、",TRUE,_xlfn._xlws.FILTER($B$4:$B$17,ISNUMBER(SEARCH($B25,INDIRECT(ADDRESS(4, MATCH(CL$19,$3:$3)) &amp; ":" &amp; ADDRESS(15, MATCH(CL$19,$3:$3))))))), "")</f>
        <v/>
      </c>
      <c r="CM25" s="15" t="str" cm="1">
        <f t="array" aca="1" ref="CM25" ca="1">IFERROR(_xlfn.TEXTJOIN("、",TRUE,_xlfn._xlws.FILTER($B$4:$B$17,ISNUMBER(SEARCH($B25,INDIRECT(ADDRESS(4, MATCH(CM$19,$3:$3)) &amp; ":" &amp; ADDRESS(15, MATCH(CM$19,$3:$3))))))), "")</f>
        <v/>
      </c>
      <c r="CN25" s="15" t="str" cm="1">
        <f t="array" aca="1" ref="CN25" ca="1">IFERROR(_xlfn.TEXTJOIN("、",TRUE,_xlfn._xlws.FILTER($B$4:$B$17,ISNUMBER(SEARCH($B25,INDIRECT(ADDRESS(4, MATCH(CN$19,$3:$3)) &amp; ":" &amp; ADDRESS(15, MATCH(CN$19,$3:$3))))))), "")</f>
        <v/>
      </c>
      <c r="CO25" s="15" t="str" cm="1">
        <f t="array" aca="1" ref="CO25" ca="1">IFERROR(_xlfn.TEXTJOIN("、",TRUE,_xlfn._xlws.FILTER($B$4:$B$17,ISNUMBER(SEARCH($B25,INDIRECT(ADDRESS(4, MATCH(CO$19,$3:$3)) &amp; ":" &amp; ADDRESS(15, MATCH(CO$19,$3:$3))))))), "")</f>
        <v/>
      </c>
      <c r="CP25" s="15" t="str" cm="1">
        <f t="array" aca="1" ref="CP25" ca="1">IFERROR(_xlfn.TEXTJOIN("、",TRUE,_xlfn._xlws.FILTER($B$4:$B$17,ISNUMBER(SEARCH($B25,INDIRECT(ADDRESS(4, MATCH(CP$19,$3:$3)) &amp; ":" &amp; ADDRESS(15, MATCH(CP$19,$3:$3))))))), "")</f>
        <v/>
      </c>
      <c r="CQ25" s="15" t="str" cm="1">
        <f t="array" aca="1" ref="CQ25" ca="1">IFERROR(_xlfn.TEXTJOIN("、",TRUE,_xlfn._xlws.FILTER($B$4:$B$17,INDIRECT(ADDRESS(4, MATCH(CQ$19,$3:$3)) &amp; ":" &amp; ADDRESS(15, MATCH(CQ$19,$3:$3)))=$B25)), "")</f>
        <v/>
      </c>
      <c r="CR25" s="15" t="str" cm="1">
        <f t="array" aca="1" ref="CR25" ca="1">IFERROR(_xlfn.TEXTJOIN("、",TRUE,_xlfn._xlws.FILTER($B$4:$B$17,INDIRECT(ADDRESS(4, MATCH(CR$19,$3:$3)) &amp; ":" &amp; ADDRESS(15, MATCH(CR$19,$3:$3)))=$B25)), "")</f>
        <v/>
      </c>
      <c r="CS25" s="15" t="str" cm="1">
        <f t="array" aca="1" ref="CS25" ca="1">IFERROR(_xlfn.TEXTJOIN("、",TRUE,_xlfn._xlws.FILTER($B$4:$B$17,INDIRECT(ADDRESS(4, MATCH(CS$19,$3:$3)) &amp; ":" &amp; ADDRESS(15, MATCH(CS$19,$3:$3)))=$B25)), "")</f>
        <v/>
      </c>
      <c r="CT25" s="15" t="str" cm="1">
        <f t="array" aca="1" ref="CT25" ca="1">IFERROR(_xlfn.TEXTJOIN("、",TRUE,_xlfn._xlws.FILTER($B$4:$B$17,INDIRECT(ADDRESS(4, MATCH(CT$19,$3:$3)) &amp; ":" &amp; ADDRESS(15, MATCH(CT$19,$3:$3)))=$B25)), "")</f>
        <v/>
      </c>
      <c r="CU25" s="144"/>
      <c r="CV25" s="141"/>
      <c r="CW25" s="141"/>
      <c r="CX25" s="141"/>
      <c r="CY25" s="141"/>
      <c r="CZ25" s="141"/>
      <c r="DA25" s="140"/>
      <c r="DB25" s="141"/>
    </row>
    <row r="26" spans="2:106" ht="19.5" thickBot="1">
      <c r="B26" s="35" t="s">
        <v>337</v>
      </c>
      <c r="C26" s="15" t="str" cm="1">
        <f t="array" aca="1" ref="C26" ca="1">IFERROR(_xlfn.TEXTJOIN("、",TRUE,_xlfn._xlws.FILTER($B$4:$B$17,ISNUMBER(SEARCH($B26,INDIRECT(ADDRESS(4, MATCH(C$19,$3:$3)) &amp; ":" &amp; ADDRESS(15, MATCH(C$19,$3:$3))))))), "")</f>
        <v/>
      </c>
      <c r="D26" s="15" t="str" cm="1">
        <f t="array" aca="1" ref="D26" ca="1">IFERROR(_xlfn.TEXTJOIN("、",TRUE,_xlfn._xlws.FILTER($B$4:$B$17,ISNUMBER(SEARCH($B26,INDIRECT(ADDRESS(4, MATCH(D$19,$3:$3)) &amp; ":" &amp; ADDRESS(15, MATCH(D$19,$3:$3))))))), "")</f>
        <v/>
      </c>
      <c r="E26" s="15" t="str" cm="1">
        <f t="array" aca="1" ref="E26" ca="1">IFERROR(_xlfn.TEXTJOIN("、",TRUE,_xlfn._xlws.FILTER($B$4:$B$17,ISNUMBER(SEARCH($B26,INDIRECT(ADDRESS(4, MATCH(E$19,$3:$3)) &amp; ":" &amp; ADDRESS(15, MATCH(E$19,$3:$3))))))), "")</f>
        <v/>
      </c>
      <c r="F26" s="15" t="str" cm="1">
        <f t="array" aca="1" ref="F26" ca="1">IFERROR(_xlfn.TEXTJOIN("、",TRUE,_xlfn._xlws.FILTER($B$4:$B$17,ISNUMBER(SEARCH($B26,INDIRECT(ADDRESS(4, MATCH(F$19,$3:$3)) &amp; ":" &amp; ADDRESS(15, MATCH(F$19,$3:$3))))))), "")</f>
        <v/>
      </c>
      <c r="G26" s="15" t="str" cm="1">
        <f t="array" aca="1" ref="G26" ca="1">IFERROR(_xlfn.TEXTJOIN("、",TRUE,_xlfn._xlws.FILTER($B$4:$B$17,ISNUMBER(SEARCH($B26,INDIRECT(ADDRESS(4, MATCH(G$19,$3:$3)) &amp; ":" &amp; ADDRESS(15, MATCH(G$19,$3:$3))))))), "")</f>
        <v/>
      </c>
      <c r="H26" s="15" t="str" cm="1">
        <f t="array" aca="1" ref="H26" ca="1">IFERROR(_xlfn.TEXTJOIN("、",TRUE,_xlfn._xlws.FILTER($B$4:$B$17,ISNUMBER(SEARCH($B26,INDIRECT(ADDRESS(4, MATCH(H$19,$3:$3)) &amp; ":" &amp; ADDRESS(15, MATCH(H$19,$3:$3))))))), "")</f>
        <v/>
      </c>
      <c r="I26" s="15" t="str" cm="1">
        <f t="array" aca="1" ref="I26" ca="1">IFERROR(_xlfn.TEXTJOIN("、",TRUE,_xlfn._xlws.FILTER($B$4:$B$17,ISNUMBER(SEARCH($B26,INDIRECT(ADDRESS(4, MATCH(I$19,$3:$3)) &amp; ":" &amp; ADDRESS(15, MATCH(I$19,$3:$3))))))), "")</f>
        <v/>
      </c>
      <c r="J26" s="15" t="str" cm="1">
        <f t="array" aca="1" ref="J26" ca="1">IFERROR(_xlfn.TEXTJOIN("、",TRUE,_xlfn._xlws.FILTER($B$4:$B$17,ISNUMBER(SEARCH($B26,INDIRECT(ADDRESS(4, MATCH(J$19,$3:$3)) &amp; ":" &amp; ADDRESS(15, MATCH(J$19,$3:$3))))))), "")</f>
        <v/>
      </c>
      <c r="K26" s="15" t="str" cm="1">
        <f t="array" aca="1" ref="K26" ca="1">IFERROR(_xlfn.TEXTJOIN("、",TRUE,_xlfn._xlws.FILTER($B$4:$B$17,ISNUMBER(SEARCH($B26,INDIRECT(ADDRESS(4, MATCH(K$19,$3:$3)) &amp; ":" &amp; ADDRESS(15, MATCH(K$19,$3:$3))))))), "")</f>
        <v/>
      </c>
      <c r="L26" s="15" t="str" cm="1">
        <f t="array" aca="1" ref="L26" ca="1">IFERROR(_xlfn.TEXTJOIN("、",TRUE,_xlfn._xlws.FILTER($B$4:$B$17,ISNUMBER(SEARCH($B26,INDIRECT(ADDRESS(4, MATCH(L$19,$3:$3)) &amp; ":" &amp; ADDRESS(15, MATCH(L$19,$3:$3))))))), "")</f>
        <v/>
      </c>
      <c r="M26" s="15" t="str" cm="1">
        <f t="array" aca="1" ref="M26" ca="1">IFERROR(_xlfn.TEXTJOIN("、",TRUE,_xlfn._xlws.FILTER($B$4:$B$17,ISNUMBER(SEARCH($B26,INDIRECT(ADDRESS(4, MATCH(M$19,$3:$3)) &amp; ":" &amp; ADDRESS(15, MATCH(M$19,$3:$3))))))), "")</f>
        <v/>
      </c>
      <c r="N26" s="15" t="str" cm="1">
        <f t="array" aca="1" ref="N26" ca="1">IFERROR(_xlfn.TEXTJOIN("、",TRUE,_xlfn._xlws.FILTER($B$4:$B$17,ISNUMBER(SEARCH($B26,INDIRECT(ADDRESS(4, MATCH(N$19,$3:$3)) &amp; ":" &amp; ADDRESS(15, MATCH(N$19,$3:$3))))))), "")</f>
        <v/>
      </c>
      <c r="O26" s="15" t="str" cm="1">
        <f t="array" aca="1" ref="O26" ca="1">IFERROR(_xlfn.TEXTJOIN("、",TRUE,_xlfn._xlws.FILTER($B$4:$B$17,ISNUMBER(SEARCH($B26,INDIRECT(ADDRESS(4, MATCH(O$19,$3:$3)) &amp; ":" &amp; ADDRESS(15, MATCH(O$19,$3:$3))))))), "")</f>
        <v/>
      </c>
      <c r="P26" s="15" t="str" cm="1">
        <f t="array" aca="1" ref="P26" ca="1">IFERROR(_xlfn.TEXTJOIN("、",TRUE,_xlfn._xlws.FILTER($B$4:$B$17,ISNUMBER(SEARCH($B26,INDIRECT(ADDRESS(4, MATCH(P$19,$3:$3)) &amp; ":" &amp; ADDRESS(15, MATCH(P$19,$3:$3))))))), "")</f>
        <v/>
      </c>
      <c r="Q26" s="15" t="str" cm="1">
        <f t="array" aca="1" ref="Q26" ca="1">IFERROR(_xlfn.TEXTJOIN("、",TRUE,_xlfn._xlws.FILTER($B$4:$B$17,ISNUMBER(SEARCH($B26,INDIRECT(ADDRESS(4, MATCH(Q$19,$3:$3)) &amp; ":" &amp; ADDRESS(15, MATCH(Q$19,$3:$3))))))), "")</f>
        <v/>
      </c>
      <c r="R26" s="15" t="str" cm="1">
        <f t="array" aca="1" ref="R26" ca="1">IFERROR(_xlfn.TEXTJOIN("、",TRUE,_xlfn._xlws.FILTER($B$4:$B$17,ISNUMBER(SEARCH($B26,INDIRECT(ADDRESS(4, MATCH(R$19,$3:$3)) &amp; ":" &amp; ADDRESS(15, MATCH(R$19,$3:$3))))))), "")</f>
        <v/>
      </c>
      <c r="S26" s="15" t="str" cm="1">
        <f t="array" aca="1" ref="S26" ca="1">IFERROR(_xlfn.TEXTJOIN("、",TRUE,_xlfn._xlws.FILTER($B$4:$B$17,ISNUMBER(SEARCH($B26,INDIRECT(ADDRESS(4, MATCH(S$19,$3:$3)) &amp; ":" &amp; ADDRESS(15, MATCH(S$19,$3:$3))))))), "")</f>
        <v/>
      </c>
      <c r="T26" s="15" t="str" cm="1">
        <f t="array" aca="1" ref="T26" ca="1">IFERROR(_xlfn.TEXTJOIN("、",TRUE,_xlfn._xlws.FILTER($B$4:$B$17,ISNUMBER(SEARCH($B26,INDIRECT(ADDRESS(4, MATCH(T$19,$3:$3)) &amp; ":" &amp; ADDRESS(15, MATCH(T$19,$3:$3))))))), "")</f>
        <v/>
      </c>
      <c r="U26" s="15" t="str" cm="1">
        <f t="array" aca="1" ref="U26" ca="1">IFERROR(_xlfn.TEXTJOIN("、",TRUE,_xlfn._xlws.FILTER($B$4:$B$17,ISNUMBER(SEARCH($B26,INDIRECT(ADDRESS(4, MATCH(U$19,$3:$3)) &amp; ":" &amp; ADDRESS(15, MATCH(U$19,$3:$3))))))), "")</f>
        <v/>
      </c>
      <c r="V26" s="15" t="str" cm="1">
        <f t="array" aca="1" ref="V26" ca="1">IFERROR(_xlfn.TEXTJOIN("、",TRUE,_xlfn._xlws.FILTER($B$4:$B$17,ISNUMBER(SEARCH($B26,INDIRECT(ADDRESS(4, MATCH(V$19,$3:$3)) &amp; ":" &amp; ADDRESS(15, MATCH(V$19,$3:$3))))))), "")</f>
        <v/>
      </c>
      <c r="W26" s="15" t="str" cm="1">
        <f t="array" aca="1" ref="W26" ca="1">IFERROR(_xlfn.TEXTJOIN("、",TRUE,_xlfn._xlws.FILTER($B$4:$B$17,ISNUMBER(SEARCH($B26,INDIRECT(ADDRESS(4, MATCH(W$19,$3:$3)) &amp; ":" &amp; ADDRESS(15, MATCH(W$19,$3:$3))))))), "")</f>
        <v/>
      </c>
      <c r="X26" s="15" t="str" cm="1">
        <f t="array" aca="1" ref="X26" ca="1">IFERROR(_xlfn.TEXTJOIN("、",TRUE,_xlfn._xlws.FILTER($B$4:$B$17,ISNUMBER(SEARCH($B26,INDIRECT(ADDRESS(4, MATCH(X$19,$3:$3)) &amp; ":" &amp; ADDRESS(15, MATCH(X$19,$3:$3))))))), "")</f>
        <v/>
      </c>
      <c r="Y26" s="15" t="str" cm="1">
        <f t="array" aca="1" ref="Y26" ca="1">IFERROR(_xlfn.TEXTJOIN("、",TRUE,_xlfn._xlws.FILTER($B$4:$B$17,ISNUMBER(SEARCH($B26,INDIRECT(ADDRESS(4, MATCH(Y$19,$3:$3)) &amp; ":" &amp; ADDRESS(15, MATCH(Y$19,$3:$3))))))), "")</f>
        <v/>
      </c>
      <c r="Z26" s="15" t="str" cm="1">
        <f t="array" aca="1" ref="Z26" ca="1">IFERROR(_xlfn.TEXTJOIN("、",TRUE,_xlfn._xlws.FILTER($B$4:$B$17,ISNUMBER(SEARCH($B26,INDIRECT(ADDRESS(4, MATCH(Z$19,$3:$3)) &amp; ":" &amp; ADDRESS(15, MATCH(Z$19,$3:$3))))))), "")</f>
        <v/>
      </c>
      <c r="AA26" s="15" t="str" cm="1">
        <f t="array" aca="1" ref="AA26" ca="1">IFERROR(_xlfn.TEXTJOIN("、",TRUE,_xlfn._xlws.FILTER($B$4:$B$17,ISNUMBER(SEARCH($B26,INDIRECT(ADDRESS(4, MATCH(AA$19,$3:$3)) &amp; ":" &amp; ADDRESS(15, MATCH(AA$19,$3:$3))))))), "")</f>
        <v/>
      </c>
      <c r="AB26" s="15" t="str" cm="1">
        <f t="array" aca="1" ref="AB26" ca="1">IFERROR(_xlfn.TEXTJOIN("、",TRUE,_xlfn._xlws.FILTER($B$4:$B$17,ISNUMBER(SEARCH($B26,INDIRECT(ADDRESS(4, MATCH(AB$19,$3:$3)) &amp; ":" &amp; ADDRESS(15, MATCH(AB$19,$3:$3))))))), "")</f>
        <v/>
      </c>
      <c r="AC26" s="15" t="str" cm="1">
        <f t="array" aca="1" ref="AC26" ca="1">IFERROR(_xlfn.TEXTJOIN("、",TRUE,_xlfn._xlws.FILTER($B$4:$B$17,ISNUMBER(SEARCH($B26,INDIRECT(ADDRESS(4, MATCH(AC$19,$3:$3)) &amp; ":" &amp; ADDRESS(15, MATCH(AC$19,$3:$3))))))), "")</f>
        <v/>
      </c>
      <c r="AD26" s="15" t="str" cm="1">
        <f t="array" aca="1" ref="AD26" ca="1">IFERROR(_xlfn.TEXTJOIN("、",TRUE,_xlfn._xlws.FILTER($B$4:$B$17,ISNUMBER(SEARCH($B26,INDIRECT(ADDRESS(4, MATCH(AD$19,$3:$3)) &amp; ":" &amp; ADDRESS(15, MATCH(AD$19,$3:$3))))))), "")</f>
        <v/>
      </c>
      <c r="AE26" s="15" t="str" cm="1">
        <f t="array" aca="1" ref="AE26" ca="1">IFERROR(_xlfn.TEXTJOIN("、",TRUE,_xlfn._xlws.FILTER($B$4:$B$17,ISNUMBER(SEARCH($B26,INDIRECT(ADDRESS(4, MATCH(AE$19,$3:$3)) &amp; ":" &amp; ADDRESS(15, MATCH(AE$19,$3:$3))))))), "")</f>
        <v/>
      </c>
      <c r="AF26" s="15" t="str" cm="1">
        <f t="array" aca="1" ref="AF26" ca="1">IFERROR(_xlfn.TEXTJOIN("、",TRUE,_xlfn._xlws.FILTER($B$4:$B$17,ISNUMBER(SEARCH($B26,INDIRECT(ADDRESS(4, MATCH(AF$19,$3:$3)) &amp; ":" &amp; ADDRESS(15, MATCH(AF$19,$3:$3))))))), "")</f>
        <v/>
      </c>
      <c r="AG26" s="15" t="str" cm="1">
        <f t="array" aca="1" ref="AG26" ca="1">IFERROR(_xlfn.TEXTJOIN("、",TRUE,_xlfn._xlws.FILTER($B$4:$B$17,ISNUMBER(SEARCH($B26,INDIRECT(ADDRESS(4, MATCH(AG$19,$3:$3)) &amp; ":" &amp; ADDRESS(15, MATCH(AG$19,$3:$3))))))), "")</f>
        <v/>
      </c>
      <c r="AH26" s="15" t="str" cm="1">
        <f t="array" aca="1" ref="AH26" ca="1">IFERROR(_xlfn.TEXTJOIN("、",TRUE,_xlfn._xlws.FILTER($B$4:$B$17,ISNUMBER(SEARCH($B26,INDIRECT(ADDRESS(4, MATCH(AH$19,$3:$3)) &amp; ":" &amp; ADDRESS(15, MATCH(AH$19,$3:$3))))))), "")</f>
        <v/>
      </c>
      <c r="AI26" s="15" t="str" cm="1">
        <f t="array" aca="1" ref="AI26" ca="1">IFERROR(_xlfn.TEXTJOIN("、",TRUE,_xlfn._xlws.FILTER($B$4:$B$17,ISNUMBER(SEARCH($B26,INDIRECT(ADDRESS(4, MATCH(AI$19,$3:$3)) &amp; ":" &amp; ADDRESS(15, MATCH(AI$19,$3:$3))))))), "")</f>
        <v/>
      </c>
      <c r="AJ26" s="15" t="str" cm="1">
        <f t="array" aca="1" ref="AJ26" ca="1">IFERROR(_xlfn.TEXTJOIN("、",TRUE,_xlfn._xlws.FILTER($B$4:$B$17,ISNUMBER(SEARCH($B26,INDIRECT(ADDRESS(4, MATCH(AJ$19,$3:$3)) &amp; ":" &amp; ADDRESS(15, MATCH(AJ$19,$3:$3))))))), "")</f>
        <v/>
      </c>
      <c r="AK26" s="15" t="str" cm="1">
        <f t="array" aca="1" ref="AK26" ca="1">IFERROR(_xlfn.TEXTJOIN("、",TRUE,_xlfn._xlws.FILTER($B$4:$B$17,ISNUMBER(SEARCH($B26,INDIRECT(ADDRESS(4, MATCH(AK$19,$3:$3)) &amp; ":" &amp; ADDRESS(15, MATCH(AK$19,$3:$3))))))), "")</f>
        <v/>
      </c>
      <c r="AL26" s="15" t="str" cm="1">
        <f t="array" aca="1" ref="AL26" ca="1">IFERROR(_xlfn.TEXTJOIN("、",TRUE,_xlfn._xlws.FILTER($B$4:$B$17,ISNUMBER(SEARCH($B26,INDIRECT(ADDRESS(4, MATCH(AL$19,$3:$3)) &amp; ":" &amp; ADDRESS(15, MATCH(AL$19,$3:$3))))))), "")</f>
        <v/>
      </c>
      <c r="AM26" s="15" t="str" cm="1">
        <f t="array" aca="1" ref="AM26" ca="1">IFERROR(_xlfn.TEXTJOIN("、",TRUE,_xlfn._xlws.FILTER($B$4:$B$17,ISNUMBER(SEARCH($B26,INDIRECT(ADDRESS(4, MATCH(AM$19,$3:$3)) &amp; ":" &amp; ADDRESS(15, MATCH(AM$19,$3:$3))))))), "")</f>
        <v/>
      </c>
      <c r="AN26" s="15" t="str" cm="1">
        <f t="array" aca="1" ref="AN26" ca="1">IFERROR(_xlfn.TEXTJOIN("、",TRUE,_xlfn._xlws.FILTER($B$4:$B$17,ISNUMBER(SEARCH($B26,INDIRECT(ADDRESS(4, MATCH(AN$19,$3:$3)) &amp; ":" &amp; ADDRESS(15, MATCH(AN$19,$3:$3))))))), "")</f>
        <v/>
      </c>
      <c r="AO26" s="15" t="str" cm="1">
        <f t="array" aca="1" ref="AO26" ca="1">IFERROR(_xlfn.TEXTJOIN("、",TRUE,_xlfn._xlws.FILTER($B$4:$B$17,ISNUMBER(SEARCH($B26,INDIRECT(ADDRESS(4, MATCH(AO$19,$3:$3)) &amp; ":" &amp; ADDRESS(15, MATCH(AO$19,$3:$3))))))), "")</f>
        <v/>
      </c>
      <c r="AP26" s="15" t="str" cm="1">
        <f t="array" aca="1" ref="AP26" ca="1">IFERROR(_xlfn.TEXTJOIN("、",TRUE,_xlfn._xlws.FILTER($B$4:$B$17,ISNUMBER(SEARCH($B26,INDIRECT(ADDRESS(4, MATCH(AP$19,$3:$3)) &amp; ":" &amp; ADDRESS(15, MATCH(AP$19,$3:$3))))))), "")</f>
        <v/>
      </c>
      <c r="AQ26" s="15" t="str" cm="1">
        <f t="array" aca="1" ref="AQ26" ca="1">IFERROR(_xlfn.TEXTJOIN("、",TRUE,_xlfn._xlws.FILTER($B$4:$B$17,ISNUMBER(SEARCH($B26,INDIRECT(ADDRESS(4, MATCH(AQ$19,$3:$3)) &amp; ":" &amp; ADDRESS(15, MATCH(AQ$19,$3:$3))))))), "")</f>
        <v/>
      </c>
      <c r="AR26" s="15" t="str" cm="1">
        <f t="array" aca="1" ref="AR26" ca="1">IFERROR(_xlfn.TEXTJOIN("、",TRUE,_xlfn._xlws.FILTER($B$4:$B$17,ISNUMBER(SEARCH($B26,INDIRECT(ADDRESS(4, MATCH(AR$19,$3:$3)) &amp; ":" &amp; ADDRESS(15, MATCH(AR$19,$3:$3))))))), "")</f>
        <v/>
      </c>
      <c r="AS26" s="15" t="str" cm="1">
        <f t="array" aca="1" ref="AS26" ca="1">IFERROR(_xlfn.TEXTJOIN("、",TRUE,_xlfn._xlws.FILTER($B$4:$B$17,ISNUMBER(SEARCH($B26,INDIRECT(ADDRESS(4, MATCH(AS$19,$3:$3)) &amp; ":" &amp; ADDRESS(15, MATCH(AS$19,$3:$3))))))), "")</f>
        <v/>
      </c>
      <c r="AT26" s="15" t="str" cm="1">
        <f t="array" aca="1" ref="AT26" ca="1">IFERROR(_xlfn.TEXTJOIN("、",TRUE,_xlfn._xlws.FILTER($B$4:$B$17,ISNUMBER(SEARCH($B26,INDIRECT(ADDRESS(4, MATCH(AT$19,$3:$3)) &amp; ":" &amp; ADDRESS(15, MATCH(AT$19,$3:$3))))))), "")</f>
        <v/>
      </c>
      <c r="AU26" s="15" t="str" cm="1">
        <f t="array" aca="1" ref="AU26" ca="1">IFERROR(_xlfn.TEXTJOIN("、",TRUE,_xlfn._xlws.FILTER($B$4:$B$17,ISNUMBER(SEARCH($B26,INDIRECT(ADDRESS(4, MATCH(AU$19,$3:$3)) &amp; ":" &amp; ADDRESS(15, MATCH(AU$19,$3:$3))))))), "")</f>
        <v/>
      </c>
      <c r="AV26" s="15" t="str" cm="1">
        <f t="array" aca="1" ref="AV26" ca="1">IFERROR(_xlfn.TEXTJOIN("、",TRUE,_xlfn._xlws.FILTER($B$4:$B$17,ISNUMBER(SEARCH($B26,INDIRECT(ADDRESS(4, MATCH(AV$19,$3:$3)) &amp; ":" &amp; ADDRESS(15, MATCH(AV$19,$3:$3))))))), "")</f>
        <v/>
      </c>
      <c r="AW26" s="15" t="str" cm="1">
        <f t="array" aca="1" ref="AW26" ca="1">IFERROR(_xlfn.TEXTJOIN("、",TRUE,_xlfn._xlws.FILTER($B$4:$B$17,ISNUMBER(SEARCH($B26,INDIRECT(ADDRESS(4, MATCH(AW$19,$3:$3)) &amp; ":" &amp; ADDRESS(15, MATCH(AW$19,$3:$3))))))), "")</f>
        <v/>
      </c>
      <c r="AX26" s="15" t="str" cm="1">
        <f t="array" aca="1" ref="AX26" ca="1">IFERROR(_xlfn.TEXTJOIN("、",TRUE,_xlfn._xlws.FILTER($B$4:$B$17,ISNUMBER(SEARCH($B26,INDIRECT(ADDRESS(4, MATCH(AX$19,$3:$3)) &amp; ":" &amp; ADDRESS(15, MATCH(AX$19,$3:$3))))))), "")</f>
        <v/>
      </c>
      <c r="AY26" s="15" t="str" cm="1">
        <f t="array" aca="1" ref="AY26" ca="1">IFERROR(_xlfn.TEXTJOIN("、",TRUE,_xlfn._xlws.FILTER($B$4:$B$17,ISNUMBER(SEARCH($B26,INDIRECT(ADDRESS(4, MATCH(AY$19,$3:$3)) &amp; ":" &amp; ADDRESS(15, MATCH(AY$19,$3:$3))))))), "")</f>
        <v/>
      </c>
      <c r="AZ26" s="15" t="str" cm="1">
        <f t="array" aca="1" ref="AZ26" ca="1">IFERROR(_xlfn.TEXTJOIN("、",TRUE,_xlfn._xlws.FILTER($B$4:$B$17,ISNUMBER(SEARCH($B26,INDIRECT(ADDRESS(4, MATCH(AZ$19,$3:$3)) &amp; ":" &amp; ADDRESS(15, MATCH(AZ$19,$3:$3))))))), "")</f>
        <v/>
      </c>
      <c r="BA26" s="15" t="str" cm="1">
        <f t="array" aca="1" ref="BA26" ca="1">IFERROR(_xlfn.TEXTJOIN("、",TRUE,_xlfn._xlws.FILTER($B$4:$B$17,ISNUMBER(SEARCH($B26,INDIRECT(ADDRESS(4, MATCH(BA$19,$3:$3)) &amp; ":" &amp; ADDRESS(15, MATCH(BA$19,$3:$3))))))), "")</f>
        <v/>
      </c>
      <c r="BB26" s="15" t="str" cm="1">
        <f t="array" aca="1" ref="BB26" ca="1">IFERROR(_xlfn.TEXTJOIN("、",TRUE,_xlfn._xlws.FILTER($B$4:$B$17,ISNUMBER(SEARCH($B26,INDIRECT(ADDRESS(4, MATCH(BB$19,$3:$3)) &amp; ":" &amp; ADDRESS(15, MATCH(BB$19,$3:$3))))))), "")</f>
        <v/>
      </c>
      <c r="BC26" s="15" t="str" cm="1">
        <f t="array" aca="1" ref="BC26" ca="1">IFERROR(_xlfn.TEXTJOIN("、",TRUE,_xlfn._xlws.FILTER($B$4:$B$17,ISNUMBER(SEARCH($B26,INDIRECT(ADDRESS(4, MATCH(BC$19,$3:$3)) &amp; ":" &amp; ADDRESS(15, MATCH(BC$19,$3:$3))))))), "")</f>
        <v/>
      </c>
      <c r="BD26" s="15" t="str" cm="1">
        <f t="array" aca="1" ref="BD26" ca="1">IFERROR(_xlfn.TEXTJOIN("、",TRUE,_xlfn._xlws.FILTER($B$4:$B$17,ISNUMBER(SEARCH($B26,INDIRECT(ADDRESS(4, MATCH(BD$19,$3:$3)) &amp; ":" &amp; ADDRESS(15, MATCH(BD$19,$3:$3))))))), "")</f>
        <v/>
      </c>
      <c r="BE26" s="15" t="str" cm="1">
        <f t="array" aca="1" ref="BE26" ca="1">IFERROR(_xlfn.TEXTJOIN("、",TRUE,_xlfn._xlws.FILTER($B$4:$B$17,ISNUMBER(SEARCH($B26,INDIRECT(ADDRESS(4, MATCH(BE$19,$3:$3)) &amp; ":" &amp; ADDRESS(15, MATCH(BE$19,$3:$3))))))), "")</f>
        <v/>
      </c>
      <c r="BF26" s="15" t="str" cm="1">
        <f t="array" aca="1" ref="BF26" ca="1">IFERROR(_xlfn.TEXTJOIN("、",TRUE,_xlfn._xlws.FILTER($B$4:$B$17,ISNUMBER(SEARCH($B26,INDIRECT(ADDRESS(4, MATCH(BF$19,$3:$3)) &amp; ":" &amp; ADDRESS(15, MATCH(BF$19,$3:$3))))))), "")</f>
        <v/>
      </c>
      <c r="BG26" s="15" t="str" cm="1">
        <f t="array" aca="1" ref="BG26" ca="1">IFERROR(_xlfn.TEXTJOIN("、",TRUE,_xlfn._xlws.FILTER($B$4:$B$17,ISNUMBER(SEARCH($B26,INDIRECT(ADDRESS(4, MATCH(BG$19,$3:$3)) &amp; ":" &amp; ADDRESS(15, MATCH(BG$19,$3:$3))))))), "")</f>
        <v/>
      </c>
      <c r="BH26" s="15" t="str" cm="1">
        <f t="array" aca="1" ref="BH26" ca="1">IFERROR(_xlfn.TEXTJOIN("、",TRUE,_xlfn._xlws.FILTER($B$4:$B$17,ISNUMBER(SEARCH($B26,INDIRECT(ADDRESS(4, MATCH(BH$19,$3:$3)) &amp; ":" &amp; ADDRESS(15, MATCH(BH$19,$3:$3))))))), "")</f>
        <v/>
      </c>
      <c r="BI26" s="15" t="str" cm="1">
        <f t="array" aca="1" ref="BI26" ca="1">IFERROR(_xlfn.TEXTJOIN("、",TRUE,_xlfn._xlws.FILTER($B$4:$B$17,ISNUMBER(SEARCH($B26,INDIRECT(ADDRESS(4, MATCH(BI$19,$3:$3)) &amp; ":" &amp; ADDRESS(15, MATCH(BI$19,$3:$3))))))), "")</f>
        <v/>
      </c>
      <c r="BJ26" s="15" t="str" cm="1">
        <f t="array" aca="1" ref="BJ26" ca="1">IFERROR(_xlfn.TEXTJOIN("、",TRUE,_xlfn._xlws.FILTER($B$4:$B$17,ISNUMBER(SEARCH($B26,INDIRECT(ADDRESS(4, MATCH(BJ$19,$3:$3)) &amp; ":" &amp; ADDRESS(15, MATCH(BJ$19,$3:$3))))))), "")</f>
        <v/>
      </c>
      <c r="BK26" s="15" t="str" cm="1">
        <f t="array" aca="1" ref="BK26" ca="1">IFERROR(_xlfn.TEXTJOIN("、",TRUE,_xlfn._xlws.FILTER($B$4:$B$17,ISNUMBER(SEARCH($B26,INDIRECT(ADDRESS(4, MATCH(BK$19,$3:$3)) &amp; ":" &amp; ADDRESS(15, MATCH(BK$19,$3:$3))))))), "")</f>
        <v/>
      </c>
      <c r="BL26" s="15" t="str" cm="1">
        <f t="array" aca="1" ref="BL26" ca="1">IFERROR(_xlfn.TEXTJOIN("、",TRUE,_xlfn._xlws.FILTER($B$4:$B$17,ISNUMBER(SEARCH($B26,INDIRECT(ADDRESS(4, MATCH(BL$19,$3:$3)) &amp; ":" &amp; ADDRESS(15, MATCH(BL$19,$3:$3))))))), "")</f>
        <v/>
      </c>
      <c r="BM26" s="15" t="str" cm="1">
        <f t="array" aca="1" ref="BM26" ca="1">IFERROR(_xlfn.TEXTJOIN("、",TRUE,_xlfn._xlws.FILTER($B$4:$B$17,ISNUMBER(SEARCH($B26,INDIRECT(ADDRESS(4, MATCH(BM$19,$3:$3)) &amp; ":" &amp; ADDRESS(15, MATCH(BM$19,$3:$3))))))), "")</f>
        <v/>
      </c>
      <c r="BN26" s="15" t="str" cm="1">
        <f t="array" aca="1" ref="BN26" ca="1">IFERROR(_xlfn.TEXTJOIN("、",TRUE,_xlfn._xlws.FILTER($B$4:$B$17,ISNUMBER(SEARCH($B26,INDIRECT(ADDRESS(4, MATCH(BN$19,$3:$3)) &amp; ":" &amp; ADDRESS(15, MATCH(BN$19,$3:$3))))))), "")</f>
        <v/>
      </c>
      <c r="BO26" s="15" t="str" cm="1">
        <f t="array" aca="1" ref="BO26" ca="1">IFERROR(_xlfn.TEXTJOIN("、",TRUE,_xlfn._xlws.FILTER($B$4:$B$17,ISNUMBER(SEARCH($B26,INDIRECT(ADDRESS(4, MATCH(BO$19,$3:$3)) &amp; ":" &amp; ADDRESS(15, MATCH(BO$19,$3:$3))))))), "")</f>
        <v/>
      </c>
      <c r="BP26" s="15" t="str" cm="1">
        <f t="array" aca="1" ref="BP26" ca="1">IFERROR(_xlfn.TEXTJOIN("、",TRUE,_xlfn._xlws.FILTER($B$4:$B$17,ISNUMBER(SEARCH($B26,INDIRECT(ADDRESS(4, MATCH(BP$19,$3:$3)) &amp; ":" &amp; ADDRESS(15, MATCH(BP$19,$3:$3))))))), "")</f>
        <v/>
      </c>
      <c r="BQ26" s="15" t="str" cm="1">
        <f t="array" aca="1" ref="BQ26" ca="1">IFERROR(_xlfn.TEXTJOIN("、",TRUE,_xlfn._xlws.FILTER($B$4:$B$17,ISNUMBER(SEARCH($B26,INDIRECT(ADDRESS(4, MATCH(BQ$19,$3:$3)) &amp; ":" &amp; ADDRESS(15, MATCH(BQ$19,$3:$3))))))), "")</f>
        <v/>
      </c>
      <c r="BR26" s="15" t="str" cm="1">
        <f t="array" aca="1" ref="BR26" ca="1">IFERROR(_xlfn.TEXTJOIN("、",TRUE,_xlfn._xlws.FILTER($B$4:$B$17,ISNUMBER(SEARCH($B26,INDIRECT(ADDRESS(4, MATCH(BR$19,$3:$3)) &amp; ":" &amp; ADDRESS(15, MATCH(BR$19,$3:$3))))))), "")</f>
        <v/>
      </c>
      <c r="BS26" s="15" t="str" cm="1">
        <f t="array" aca="1" ref="BS26" ca="1">IFERROR(_xlfn.TEXTJOIN("、",TRUE,_xlfn._xlws.FILTER($B$4:$B$17,ISNUMBER(SEARCH($B26,INDIRECT(ADDRESS(4, MATCH(BS$19,$3:$3)) &amp; ":" &amp; ADDRESS(15, MATCH(BS$19,$3:$3))))))), "")</f>
        <v/>
      </c>
      <c r="BT26" s="15" t="str" cm="1">
        <f t="array" aca="1" ref="BT26" ca="1">IFERROR(_xlfn.TEXTJOIN("、",TRUE,_xlfn._xlws.FILTER($B$4:$B$17,ISNUMBER(SEARCH($B26,INDIRECT(ADDRESS(4, MATCH(BT$19,$3:$3)) &amp; ":" &amp; ADDRESS(15, MATCH(BT$19,$3:$3))))))), "")</f>
        <v/>
      </c>
      <c r="BU26" s="15" t="str" cm="1">
        <f t="array" aca="1" ref="BU26" ca="1">IFERROR(_xlfn.TEXTJOIN("、",TRUE,_xlfn._xlws.FILTER($B$4:$B$17,ISNUMBER(SEARCH($B26,INDIRECT(ADDRESS(4, MATCH(BU$19,$3:$3)) &amp; ":" &amp; ADDRESS(15, MATCH(BU$19,$3:$3))))))), "")</f>
        <v/>
      </c>
      <c r="BV26" s="15" t="str" cm="1">
        <f t="array" aca="1" ref="BV26" ca="1">IFERROR(_xlfn.TEXTJOIN("、",TRUE,_xlfn._xlws.FILTER($B$4:$B$17,ISNUMBER(SEARCH($B26,INDIRECT(ADDRESS(4, MATCH(BV$19,$3:$3)) &amp; ":" &amp; ADDRESS(15, MATCH(BV$19,$3:$3))))))), "")</f>
        <v/>
      </c>
      <c r="BW26" s="15" t="str" cm="1">
        <f t="array" aca="1" ref="BW26" ca="1">IFERROR(_xlfn.TEXTJOIN("、",TRUE,_xlfn._xlws.FILTER($B$4:$B$17,ISNUMBER(SEARCH($B26,INDIRECT(ADDRESS(4, MATCH(BW$19,$3:$3)) &amp; ":" &amp; ADDRESS(15, MATCH(BW$19,$3:$3))))))), "")</f>
        <v/>
      </c>
      <c r="BX26" s="15" t="str" cm="1">
        <f t="array" aca="1" ref="BX26" ca="1">IFERROR(_xlfn.TEXTJOIN("、",TRUE,_xlfn._xlws.FILTER($B$4:$B$17,ISNUMBER(SEARCH($B26,INDIRECT(ADDRESS(4, MATCH(BX$19,$3:$3)) &amp; ":" &amp; ADDRESS(15, MATCH(BX$19,$3:$3))))))), "")</f>
        <v/>
      </c>
      <c r="BY26" s="15" t="str" cm="1">
        <f t="array" aca="1" ref="BY26" ca="1">IFERROR(_xlfn.TEXTJOIN("、",TRUE,_xlfn._xlws.FILTER($B$4:$B$17,ISNUMBER(SEARCH($B26,INDIRECT(ADDRESS(4, MATCH(BY$19,$3:$3)) &amp; ":" &amp; ADDRESS(15, MATCH(BY$19,$3:$3))))))), "")</f>
        <v/>
      </c>
      <c r="BZ26" s="15" t="str" cm="1">
        <f t="array" aca="1" ref="BZ26" ca="1">IFERROR(_xlfn.TEXTJOIN("、",TRUE,_xlfn._xlws.FILTER($B$4:$B$17,ISNUMBER(SEARCH($B26,INDIRECT(ADDRESS(4, MATCH(BZ$19,$3:$3)) &amp; ":" &amp; ADDRESS(15, MATCH(BZ$19,$3:$3))))))), "")</f>
        <v/>
      </c>
      <c r="CA26" s="15" t="str" cm="1">
        <f t="array" aca="1" ref="CA26" ca="1">IFERROR(_xlfn.TEXTJOIN("、",TRUE,_xlfn._xlws.FILTER($B$4:$B$17,ISNUMBER(SEARCH($B26,INDIRECT(ADDRESS(4, MATCH(CA$19,$3:$3)) &amp; ":" &amp; ADDRESS(15, MATCH(CA$19,$3:$3))))))), "")</f>
        <v/>
      </c>
      <c r="CB26" s="15" t="str" cm="1">
        <f t="array" aca="1" ref="CB26" ca="1">IFERROR(_xlfn.TEXTJOIN("、",TRUE,_xlfn._xlws.FILTER($B$4:$B$17,ISNUMBER(SEARCH($B26,INDIRECT(ADDRESS(4, MATCH(CB$19,$3:$3)) &amp; ":" &amp; ADDRESS(15, MATCH(CB$19,$3:$3))))))), "")</f>
        <v/>
      </c>
      <c r="CC26" s="15" t="str" cm="1">
        <f t="array" aca="1" ref="CC26" ca="1">IFERROR(_xlfn.TEXTJOIN("、",TRUE,_xlfn._xlws.FILTER($B$4:$B$17,ISNUMBER(SEARCH($B26,INDIRECT(ADDRESS(4, MATCH(CC$19,$3:$3)) &amp; ":" &amp; ADDRESS(15, MATCH(CC$19,$3:$3))))))), "")</f>
        <v/>
      </c>
      <c r="CD26" s="15" t="str" cm="1">
        <f t="array" aca="1" ref="CD26" ca="1">IFERROR(_xlfn.TEXTJOIN("、",TRUE,_xlfn._xlws.FILTER($B$4:$B$17,ISNUMBER(SEARCH($B26,INDIRECT(ADDRESS(4, MATCH(CD$19,$3:$3)) &amp; ":" &amp; ADDRESS(15, MATCH(CD$19,$3:$3))))))), "")</f>
        <v/>
      </c>
      <c r="CE26" s="15" t="str" cm="1">
        <f t="array" aca="1" ref="CE26" ca="1">IFERROR(_xlfn.TEXTJOIN("、",TRUE,_xlfn._xlws.FILTER($B$4:$B$17,ISNUMBER(SEARCH($B26,INDIRECT(ADDRESS(4, MATCH(CE$19,$3:$3)) &amp; ":" &amp; ADDRESS(15, MATCH(CE$19,$3:$3))))))), "")</f>
        <v/>
      </c>
      <c r="CF26" s="15" t="str" cm="1">
        <f t="array" aca="1" ref="CF26" ca="1">IFERROR(_xlfn.TEXTJOIN("、",TRUE,_xlfn._xlws.FILTER($B$4:$B$17,ISNUMBER(SEARCH($B26,INDIRECT(ADDRESS(4, MATCH(CF$19,$3:$3)) &amp; ":" &amp; ADDRESS(15, MATCH(CF$19,$3:$3))))))), "")</f>
        <v/>
      </c>
      <c r="CG26" s="15" t="str" cm="1">
        <f t="array" aca="1" ref="CG26" ca="1">IFERROR(_xlfn.TEXTJOIN("、",TRUE,_xlfn._xlws.FILTER($B$4:$B$17,ISNUMBER(SEARCH($B26,INDIRECT(ADDRESS(4, MATCH(CG$19,$3:$3)) &amp; ":" &amp; ADDRESS(15, MATCH(CG$19,$3:$3))))))), "")</f>
        <v/>
      </c>
      <c r="CH26" s="15" t="str" cm="1">
        <f t="array" aca="1" ref="CH26" ca="1">IFERROR(_xlfn.TEXTJOIN("、",TRUE,_xlfn._xlws.FILTER($B$4:$B$17,ISNUMBER(SEARCH($B26,INDIRECT(ADDRESS(4, MATCH(CH$19,$3:$3)) &amp; ":" &amp; ADDRESS(15, MATCH(CH$19,$3:$3))))))), "")</f>
        <v/>
      </c>
      <c r="CI26" s="15" t="str" cm="1">
        <f t="array" aca="1" ref="CI26" ca="1">IFERROR(_xlfn.TEXTJOIN("、",TRUE,_xlfn._xlws.FILTER($B$4:$B$17,ISNUMBER(SEARCH($B26,INDIRECT(ADDRESS(4, MATCH(CI$19,$3:$3)) &amp; ":" &amp; ADDRESS(15, MATCH(CI$19,$3:$3))))))), "")</f>
        <v/>
      </c>
      <c r="CJ26" s="15" t="str" cm="1">
        <f t="array" aca="1" ref="CJ26" ca="1">IFERROR(_xlfn.TEXTJOIN("、",TRUE,_xlfn._xlws.FILTER($B$4:$B$17,ISNUMBER(SEARCH($B26,INDIRECT(ADDRESS(4, MATCH(CJ$19,$3:$3)) &amp; ":" &amp; ADDRESS(15, MATCH(CJ$19,$3:$3))))))), "")</f>
        <v/>
      </c>
      <c r="CK26" s="15" t="str" cm="1">
        <f t="array" aca="1" ref="CK26" ca="1">IFERROR(_xlfn.TEXTJOIN("、",TRUE,_xlfn._xlws.FILTER($B$4:$B$17,ISNUMBER(SEARCH($B26,INDIRECT(ADDRESS(4, MATCH(CK$19,$3:$3)) &amp; ":" &amp; ADDRESS(15, MATCH(CK$19,$3:$3))))))), "")</f>
        <v/>
      </c>
      <c r="CL26" s="15" t="str" cm="1">
        <f t="array" aca="1" ref="CL26" ca="1">IFERROR(_xlfn.TEXTJOIN("、",TRUE,_xlfn._xlws.FILTER($B$4:$B$17,ISNUMBER(SEARCH($B26,INDIRECT(ADDRESS(4, MATCH(CL$19,$3:$3)) &amp; ":" &amp; ADDRESS(15, MATCH(CL$19,$3:$3))))))), "")</f>
        <v/>
      </c>
      <c r="CM26" s="15" t="str" cm="1">
        <f t="array" aca="1" ref="CM26" ca="1">IFERROR(_xlfn.TEXTJOIN("、",TRUE,_xlfn._xlws.FILTER($B$4:$B$17,ISNUMBER(SEARCH($B26,INDIRECT(ADDRESS(4, MATCH(CM$19,$3:$3)) &amp; ":" &amp; ADDRESS(15, MATCH(CM$19,$3:$3))))))), "")</f>
        <v/>
      </c>
      <c r="CN26" s="15" t="str" cm="1">
        <f t="array" aca="1" ref="CN26" ca="1">IFERROR(_xlfn.TEXTJOIN("、",TRUE,_xlfn._xlws.FILTER($B$4:$B$17,ISNUMBER(SEARCH($B26,INDIRECT(ADDRESS(4, MATCH(CN$19,$3:$3)) &amp; ":" &amp; ADDRESS(15, MATCH(CN$19,$3:$3))))))), "")</f>
        <v/>
      </c>
      <c r="CO26" s="15" t="str" cm="1">
        <f t="array" aca="1" ref="CO26" ca="1">IFERROR(_xlfn.TEXTJOIN("、",TRUE,_xlfn._xlws.FILTER($B$4:$B$17,ISNUMBER(SEARCH($B26,INDIRECT(ADDRESS(4, MATCH(CO$19,$3:$3)) &amp; ":" &amp; ADDRESS(15, MATCH(CO$19,$3:$3))))))), "")</f>
        <v/>
      </c>
      <c r="CP26" s="15" t="str" cm="1">
        <f t="array" aca="1" ref="CP26" ca="1">IFERROR(_xlfn.TEXTJOIN("、",TRUE,_xlfn._xlws.FILTER($B$4:$B$17,ISNUMBER(SEARCH($B26,INDIRECT(ADDRESS(4, MATCH(CP$19,$3:$3)) &amp; ":" &amp; ADDRESS(15, MATCH(CP$19,$3:$3))))))), "")</f>
        <v/>
      </c>
      <c r="CQ26" s="15" t="str" cm="1">
        <f t="array" aca="1" ref="CQ26" ca="1">IFERROR(_xlfn.TEXTJOIN("、",TRUE,_xlfn._xlws.FILTER($B$4:$B$17,INDIRECT(ADDRESS(4, MATCH(CQ$19,$3:$3)) &amp; ":" &amp; ADDRESS(15, MATCH(CQ$19,$3:$3)))=$B26)), "")</f>
        <v/>
      </c>
      <c r="CR26" s="15" t="str" cm="1">
        <f t="array" aca="1" ref="CR26" ca="1">IFERROR(_xlfn.TEXTJOIN("、",TRUE,_xlfn._xlws.FILTER($B$4:$B$17,INDIRECT(ADDRESS(4, MATCH(CR$19,$3:$3)) &amp; ":" &amp; ADDRESS(15, MATCH(CR$19,$3:$3)))=$B26)), "")</f>
        <v/>
      </c>
      <c r="CS26" s="15" t="str" cm="1">
        <f t="array" aca="1" ref="CS26" ca="1">IFERROR(_xlfn.TEXTJOIN("、",TRUE,_xlfn._xlws.FILTER($B$4:$B$17,INDIRECT(ADDRESS(4, MATCH(CS$19,$3:$3)) &amp; ":" &amp; ADDRESS(15, MATCH(CS$19,$3:$3)))=$B26)), "")</f>
        <v/>
      </c>
      <c r="CT26" s="15" t="str" cm="1">
        <f t="array" aca="1" ref="CT26" ca="1">IFERROR(_xlfn.TEXTJOIN("、",TRUE,_xlfn._xlws.FILTER($B$4:$B$17,INDIRECT(ADDRESS(4, MATCH(CT$19,$3:$3)) &amp; ":" &amp; ADDRESS(15, MATCH(CT$19,$3:$3)))=$B26)), "")</f>
        <v/>
      </c>
      <c r="CU26" s="148" t="s">
        <v>204</v>
      </c>
      <c r="CV26" s="139" t="s">
        <v>201</v>
      </c>
      <c r="CW26" s="140"/>
      <c r="CX26" s="147" t="s">
        <v>346</v>
      </c>
      <c r="CY26" s="139" t="s">
        <v>202</v>
      </c>
      <c r="CZ26" s="139" t="s">
        <v>322</v>
      </c>
      <c r="DA26" s="140"/>
      <c r="DB26" s="140"/>
    </row>
    <row r="27" spans="2:106" ht="19.5" thickBot="1">
      <c r="B27" s="36" t="s">
        <v>324</v>
      </c>
      <c r="C27" s="15" t="str" cm="1">
        <f t="array" aca="1" ref="C27" ca="1">IFERROR(_xlfn.TEXTJOIN("、",TRUE,_xlfn._xlws.FILTER($B$4:$B$17,ISNUMBER(SEARCH($B27,INDIRECT(ADDRESS(4, MATCH(C$19,$3:$3)) &amp; ":" &amp; ADDRESS(15, MATCH(C$19,$3:$3))))))), "")</f>
        <v/>
      </c>
      <c r="D27" s="15" t="str" cm="1">
        <f t="array" aca="1" ref="D27" ca="1">IFERROR(_xlfn.TEXTJOIN("、",TRUE,_xlfn._xlws.FILTER($B$4:$B$17,ISNUMBER(SEARCH($B27,INDIRECT(ADDRESS(4, MATCH(D$19,$3:$3)) &amp; ":" &amp; ADDRESS(15, MATCH(D$19,$3:$3))))))), "")</f>
        <v/>
      </c>
      <c r="E27" s="15" t="str" cm="1">
        <f t="array" aca="1" ref="E27" ca="1">IFERROR(_xlfn.TEXTJOIN("、",TRUE,_xlfn._xlws.FILTER($B$4:$B$17,ISNUMBER(SEARCH($B27,INDIRECT(ADDRESS(4, MATCH(E$19,$3:$3)) &amp; ":" &amp; ADDRESS(15, MATCH(E$19,$3:$3))))))), "")</f>
        <v/>
      </c>
      <c r="F27" s="15" t="str" cm="1">
        <f t="array" aca="1" ref="F27" ca="1">IFERROR(_xlfn.TEXTJOIN("、",TRUE,_xlfn._xlws.FILTER($B$4:$B$17,ISNUMBER(SEARCH($B27,INDIRECT(ADDRESS(4, MATCH(F$19,$3:$3)) &amp; ":" &amp; ADDRESS(15, MATCH(F$19,$3:$3))))))), "")</f>
        <v/>
      </c>
      <c r="G27" s="15" t="str" cm="1">
        <f t="array" aca="1" ref="G27" ca="1">IFERROR(_xlfn.TEXTJOIN("、",TRUE,_xlfn._xlws.FILTER($B$4:$B$17,ISNUMBER(SEARCH($B27,INDIRECT(ADDRESS(4, MATCH(G$19,$3:$3)) &amp; ":" &amp; ADDRESS(15, MATCH(G$19,$3:$3))))))), "")</f>
        <v/>
      </c>
      <c r="H27" s="15" t="str" cm="1">
        <f t="array" aca="1" ref="H27" ca="1">IFERROR(_xlfn.TEXTJOIN("、",TRUE,_xlfn._xlws.FILTER($B$4:$B$17,ISNUMBER(SEARCH($B27,INDIRECT(ADDRESS(4, MATCH(H$19,$3:$3)) &amp; ":" &amp; ADDRESS(15, MATCH(H$19,$3:$3))))))), "")</f>
        <v/>
      </c>
      <c r="I27" s="15" t="str" cm="1">
        <f t="array" aca="1" ref="I27" ca="1">IFERROR(_xlfn.TEXTJOIN("、",TRUE,_xlfn._xlws.FILTER($B$4:$B$17,ISNUMBER(SEARCH($B27,INDIRECT(ADDRESS(4, MATCH(I$19,$3:$3)) &amp; ":" &amp; ADDRESS(15, MATCH(I$19,$3:$3))))))), "")</f>
        <v/>
      </c>
      <c r="J27" s="15" t="str" cm="1">
        <f t="array" aca="1" ref="J27" ca="1">IFERROR(_xlfn.TEXTJOIN("、",TRUE,_xlfn._xlws.FILTER($B$4:$B$17,ISNUMBER(SEARCH($B27,INDIRECT(ADDRESS(4, MATCH(J$19,$3:$3)) &amp; ":" &amp; ADDRESS(15, MATCH(J$19,$3:$3))))))), "")</f>
        <v/>
      </c>
      <c r="K27" s="15" t="str" cm="1">
        <f t="array" aca="1" ref="K27" ca="1">IFERROR(_xlfn.TEXTJOIN("、",TRUE,_xlfn._xlws.FILTER($B$4:$B$17,ISNUMBER(SEARCH($B27,INDIRECT(ADDRESS(4, MATCH(K$19,$3:$3)) &amp; ":" &amp; ADDRESS(15, MATCH(K$19,$3:$3))))))), "")</f>
        <v/>
      </c>
      <c r="L27" s="15" t="str" cm="1">
        <f t="array" aca="1" ref="L27" ca="1">IFERROR(_xlfn.TEXTJOIN("、",TRUE,_xlfn._xlws.FILTER($B$4:$B$17,ISNUMBER(SEARCH($B27,INDIRECT(ADDRESS(4, MATCH(L$19,$3:$3)) &amp; ":" &amp; ADDRESS(15, MATCH(L$19,$3:$3))))))), "")</f>
        <v/>
      </c>
      <c r="M27" s="15" t="str" cm="1">
        <f t="array" aca="1" ref="M27" ca="1">IFERROR(_xlfn.TEXTJOIN("、",TRUE,_xlfn._xlws.FILTER($B$4:$B$17,ISNUMBER(SEARCH($B27,INDIRECT(ADDRESS(4, MATCH(M$19,$3:$3)) &amp; ":" &amp; ADDRESS(15, MATCH(M$19,$3:$3))))))), "")</f>
        <v/>
      </c>
      <c r="N27" s="15" t="str" cm="1">
        <f t="array" aca="1" ref="N27" ca="1">IFERROR(_xlfn.TEXTJOIN("、",TRUE,_xlfn._xlws.FILTER($B$4:$B$17,ISNUMBER(SEARCH($B27,INDIRECT(ADDRESS(4, MATCH(N$19,$3:$3)) &amp; ":" &amp; ADDRESS(15, MATCH(N$19,$3:$3))))))), "")</f>
        <v/>
      </c>
      <c r="O27" s="15" t="str" cm="1">
        <f t="array" aca="1" ref="O27" ca="1">IFERROR(_xlfn.TEXTJOIN("、",TRUE,_xlfn._xlws.FILTER($B$4:$B$17,ISNUMBER(SEARCH($B27,INDIRECT(ADDRESS(4, MATCH(O$19,$3:$3)) &amp; ":" &amp; ADDRESS(15, MATCH(O$19,$3:$3))))))), "")</f>
        <v/>
      </c>
      <c r="P27" s="15" t="str" cm="1">
        <f t="array" aca="1" ref="P27" ca="1">IFERROR(_xlfn.TEXTJOIN("、",TRUE,_xlfn._xlws.FILTER($B$4:$B$17,ISNUMBER(SEARCH($B27,INDIRECT(ADDRESS(4, MATCH(P$19,$3:$3)) &amp; ":" &amp; ADDRESS(15, MATCH(P$19,$3:$3))))))), "")</f>
        <v/>
      </c>
      <c r="Q27" s="15" t="str" cm="1">
        <f t="array" aca="1" ref="Q27" ca="1">IFERROR(_xlfn.TEXTJOIN("、",TRUE,_xlfn._xlws.FILTER($B$4:$B$17,ISNUMBER(SEARCH($B27,INDIRECT(ADDRESS(4, MATCH(Q$19,$3:$3)) &amp; ":" &amp; ADDRESS(15, MATCH(Q$19,$3:$3))))))), "")</f>
        <v/>
      </c>
      <c r="R27" s="15" t="str" cm="1">
        <f t="array" aca="1" ref="R27" ca="1">IFERROR(_xlfn.TEXTJOIN("、",TRUE,_xlfn._xlws.FILTER($B$4:$B$17,ISNUMBER(SEARCH($B27,INDIRECT(ADDRESS(4, MATCH(R$19,$3:$3)) &amp; ":" &amp; ADDRESS(15, MATCH(R$19,$3:$3))))))), "")</f>
        <v/>
      </c>
      <c r="S27" s="15" t="str" cm="1">
        <f t="array" aca="1" ref="S27" ca="1">IFERROR(_xlfn.TEXTJOIN("、",TRUE,_xlfn._xlws.FILTER($B$4:$B$17,ISNUMBER(SEARCH($B27,INDIRECT(ADDRESS(4, MATCH(S$19,$3:$3)) &amp; ":" &amp; ADDRESS(15, MATCH(S$19,$3:$3))))))), "")</f>
        <v/>
      </c>
      <c r="T27" s="15" t="str" cm="1">
        <f t="array" aca="1" ref="T27" ca="1">IFERROR(_xlfn.TEXTJOIN("、",TRUE,_xlfn._xlws.FILTER($B$4:$B$17,ISNUMBER(SEARCH($B27,INDIRECT(ADDRESS(4, MATCH(T$19,$3:$3)) &amp; ":" &amp; ADDRESS(15, MATCH(T$19,$3:$3))))))), "")</f>
        <v/>
      </c>
      <c r="U27" s="15" t="str" cm="1">
        <f t="array" aca="1" ref="U27" ca="1">IFERROR(_xlfn.TEXTJOIN("、",TRUE,_xlfn._xlws.FILTER($B$4:$B$17,ISNUMBER(SEARCH($B27,INDIRECT(ADDRESS(4, MATCH(U$19,$3:$3)) &amp; ":" &amp; ADDRESS(15, MATCH(U$19,$3:$3))))))), "")</f>
        <v/>
      </c>
      <c r="V27" s="15" t="str" cm="1">
        <f t="array" aca="1" ref="V27" ca="1">IFERROR(_xlfn.TEXTJOIN("、",TRUE,_xlfn._xlws.FILTER($B$4:$B$17,ISNUMBER(SEARCH($B27,INDIRECT(ADDRESS(4, MATCH(V$19,$3:$3)) &amp; ":" &amp; ADDRESS(15, MATCH(V$19,$3:$3))))))), "")</f>
        <v/>
      </c>
      <c r="W27" s="15" t="str" cm="1">
        <f t="array" aca="1" ref="W27" ca="1">IFERROR(_xlfn.TEXTJOIN("、",TRUE,_xlfn._xlws.FILTER($B$4:$B$17,ISNUMBER(SEARCH($B27,INDIRECT(ADDRESS(4, MATCH(W$19,$3:$3)) &amp; ":" &amp; ADDRESS(15, MATCH(W$19,$3:$3))))))), "")</f>
        <v/>
      </c>
      <c r="X27" s="15" t="str" cm="1">
        <f t="array" aca="1" ref="X27" ca="1">IFERROR(_xlfn.TEXTJOIN("、",TRUE,_xlfn._xlws.FILTER($B$4:$B$17,ISNUMBER(SEARCH($B27,INDIRECT(ADDRESS(4, MATCH(X$19,$3:$3)) &amp; ":" &amp; ADDRESS(15, MATCH(X$19,$3:$3))))))), "")</f>
        <v/>
      </c>
      <c r="Y27" s="15" t="str" cm="1">
        <f t="array" aca="1" ref="Y27" ca="1">IFERROR(_xlfn.TEXTJOIN("、",TRUE,_xlfn._xlws.FILTER($B$4:$B$17,ISNUMBER(SEARCH($B27,INDIRECT(ADDRESS(4, MATCH(Y$19,$3:$3)) &amp; ":" &amp; ADDRESS(15, MATCH(Y$19,$3:$3))))))), "")</f>
        <v/>
      </c>
      <c r="Z27" s="15" t="str" cm="1">
        <f t="array" aca="1" ref="Z27" ca="1">IFERROR(_xlfn.TEXTJOIN("、",TRUE,_xlfn._xlws.FILTER($B$4:$B$17,ISNUMBER(SEARCH($B27,INDIRECT(ADDRESS(4, MATCH(Z$19,$3:$3)) &amp; ":" &amp; ADDRESS(15, MATCH(Z$19,$3:$3))))))), "")</f>
        <v/>
      </c>
      <c r="AA27" s="15" t="str" cm="1">
        <f t="array" aca="1" ref="AA27" ca="1">IFERROR(_xlfn.TEXTJOIN("、",TRUE,_xlfn._xlws.FILTER($B$4:$B$17,ISNUMBER(SEARCH($B27,INDIRECT(ADDRESS(4, MATCH(AA$19,$3:$3)) &amp; ":" &amp; ADDRESS(15, MATCH(AA$19,$3:$3))))))), "")</f>
        <v/>
      </c>
      <c r="AB27" s="15" t="str" cm="1">
        <f t="array" aca="1" ref="AB27" ca="1">IFERROR(_xlfn.TEXTJOIN("、",TRUE,_xlfn._xlws.FILTER($B$4:$B$17,ISNUMBER(SEARCH($B27,INDIRECT(ADDRESS(4, MATCH(AB$19,$3:$3)) &amp; ":" &amp; ADDRESS(15, MATCH(AB$19,$3:$3))))))), "")</f>
        <v/>
      </c>
      <c r="AC27" s="15" t="str" cm="1">
        <f t="array" aca="1" ref="AC27" ca="1">IFERROR(_xlfn.TEXTJOIN("、",TRUE,_xlfn._xlws.FILTER($B$4:$B$17,ISNUMBER(SEARCH($B27,INDIRECT(ADDRESS(4, MATCH(AC$19,$3:$3)) &amp; ":" &amp; ADDRESS(15, MATCH(AC$19,$3:$3))))))), "")</f>
        <v/>
      </c>
      <c r="AD27" s="15" t="str" cm="1">
        <f t="array" aca="1" ref="AD27" ca="1">IFERROR(_xlfn.TEXTJOIN("、",TRUE,_xlfn._xlws.FILTER($B$4:$B$17,ISNUMBER(SEARCH($B27,INDIRECT(ADDRESS(4, MATCH(AD$19,$3:$3)) &amp; ":" &amp; ADDRESS(15, MATCH(AD$19,$3:$3))))))), "")</f>
        <v/>
      </c>
      <c r="AE27" s="15" t="str" cm="1">
        <f t="array" aca="1" ref="AE27" ca="1">IFERROR(_xlfn.TEXTJOIN("、",TRUE,_xlfn._xlws.FILTER($B$4:$B$17,ISNUMBER(SEARCH($B27,INDIRECT(ADDRESS(4, MATCH(AE$19,$3:$3)) &amp; ":" &amp; ADDRESS(15, MATCH(AE$19,$3:$3))))))), "")</f>
        <v/>
      </c>
      <c r="AF27" s="15" t="str" cm="1">
        <f t="array" aca="1" ref="AF27" ca="1">IFERROR(_xlfn.TEXTJOIN("、",TRUE,_xlfn._xlws.FILTER($B$4:$B$17,ISNUMBER(SEARCH($B27,INDIRECT(ADDRESS(4, MATCH(AF$19,$3:$3)) &amp; ":" &amp; ADDRESS(15, MATCH(AF$19,$3:$3))))))), "")</f>
        <v/>
      </c>
      <c r="AG27" s="15" t="str" cm="1">
        <f t="array" aca="1" ref="AG27" ca="1">IFERROR(_xlfn.TEXTJOIN("、",TRUE,_xlfn._xlws.FILTER($B$4:$B$17,ISNUMBER(SEARCH($B27,INDIRECT(ADDRESS(4, MATCH(AG$19,$3:$3)) &amp; ":" &amp; ADDRESS(15, MATCH(AG$19,$3:$3))))))), "")</f>
        <v/>
      </c>
      <c r="AH27" s="15" t="str" cm="1">
        <f t="array" aca="1" ref="AH27" ca="1">IFERROR(_xlfn.TEXTJOIN("、",TRUE,_xlfn._xlws.FILTER($B$4:$B$17,ISNUMBER(SEARCH($B27,INDIRECT(ADDRESS(4, MATCH(AH$19,$3:$3)) &amp; ":" &amp; ADDRESS(15, MATCH(AH$19,$3:$3))))))), "")</f>
        <v/>
      </c>
      <c r="AI27" s="15" t="str" cm="1">
        <f t="array" aca="1" ref="AI27" ca="1">IFERROR(_xlfn.TEXTJOIN("、",TRUE,_xlfn._xlws.FILTER($B$4:$B$17,ISNUMBER(SEARCH($B27,INDIRECT(ADDRESS(4, MATCH(AI$19,$3:$3)) &amp; ":" &amp; ADDRESS(15, MATCH(AI$19,$3:$3))))))), "")</f>
        <v/>
      </c>
      <c r="AJ27" s="15" t="str" cm="1">
        <f t="array" aca="1" ref="AJ27" ca="1">IFERROR(_xlfn.TEXTJOIN("、",TRUE,_xlfn._xlws.FILTER($B$4:$B$17,ISNUMBER(SEARCH($B27,INDIRECT(ADDRESS(4, MATCH(AJ$19,$3:$3)) &amp; ":" &amp; ADDRESS(15, MATCH(AJ$19,$3:$3))))))), "")</f>
        <v/>
      </c>
      <c r="AK27" s="15" t="str" cm="1">
        <f t="array" aca="1" ref="AK27" ca="1">IFERROR(_xlfn.TEXTJOIN("、",TRUE,_xlfn._xlws.FILTER($B$4:$B$17,ISNUMBER(SEARCH($B27,INDIRECT(ADDRESS(4, MATCH(AK$19,$3:$3)) &amp; ":" &amp; ADDRESS(15, MATCH(AK$19,$3:$3))))))), "")</f>
        <v/>
      </c>
      <c r="AL27" s="15" t="str" cm="1">
        <f t="array" aca="1" ref="AL27" ca="1">IFERROR(_xlfn.TEXTJOIN("、",TRUE,_xlfn._xlws.FILTER($B$4:$B$17,ISNUMBER(SEARCH($B27,INDIRECT(ADDRESS(4, MATCH(AL$19,$3:$3)) &amp; ":" &amp; ADDRESS(15, MATCH(AL$19,$3:$3))))))), "")</f>
        <v/>
      </c>
      <c r="AM27" s="15" t="str" cm="1">
        <f t="array" aca="1" ref="AM27" ca="1">IFERROR(_xlfn.TEXTJOIN("、",TRUE,_xlfn._xlws.FILTER($B$4:$B$17,ISNUMBER(SEARCH($B27,INDIRECT(ADDRESS(4, MATCH(AM$19,$3:$3)) &amp; ":" &amp; ADDRESS(15, MATCH(AM$19,$3:$3))))))), "")</f>
        <v/>
      </c>
      <c r="AN27" s="15" t="str" cm="1">
        <f t="array" aca="1" ref="AN27" ca="1">IFERROR(_xlfn.TEXTJOIN("、",TRUE,_xlfn._xlws.FILTER($B$4:$B$17,ISNUMBER(SEARCH($B27,INDIRECT(ADDRESS(4, MATCH(AN$19,$3:$3)) &amp; ":" &amp; ADDRESS(15, MATCH(AN$19,$3:$3))))))), "")</f>
        <v/>
      </c>
      <c r="AO27" s="15" t="str" cm="1">
        <f t="array" aca="1" ref="AO27" ca="1">IFERROR(_xlfn.TEXTJOIN("、",TRUE,_xlfn._xlws.FILTER($B$4:$B$17,ISNUMBER(SEARCH($B27,INDIRECT(ADDRESS(4, MATCH(AO$19,$3:$3)) &amp; ":" &amp; ADDRESS(15, MATCH(AO$19,$3:$3))))))), "")</f>
        <v/>
      </c>
      <c r="AP27" s="15" t="str" cm="1">
        <f t="array" aca="1" ref="AP27" ca="1">IFERROR(_xlfn.TEXTJOIN("、",TRUE,_xlfn._xlws.FILTER($B$4:$B$17,ISNUMBER(SEARCH($B27,INDIRECT(ADDRESS(4, MATCH(AP$19,$3:$3)) &amp; ":" &amp; ADDRESS(15, MATCH(AP$19,$3:$3))))))), "")</f>
        <v/>
      </c>
      <c r="AQ27" s="15" t="str" cm="1">
        <f t="array" aca="1" ref="AQ27" ca="1">IFERROR(_xlfn.TEXTJOIN("、",TRUE,_xlfn._xlws.FILTER($B$4:$B$17,ISNUMBER(SEARCH($B27,INDIRECT(ADDRESS(4, MATCH(AQ$19,$3:$3)) &amp; ":" &amp; ADDRESS(15, MATCH(AQ$19,$3:$3))))))), "")</f>
        <v/>
      </c>
      <c r="AR27" s="15" t="str" cm="1">
        <f t="array" aca="1" ref="AR27" ca="1">IFERROR(_xlfn.TEXTJOIN("、",TRUE,_xlfn._xlws.FILTER($B$4:$B$17,ISNUMBER(SEARCH($B27,INDIRECT(ADDRESS(4, MATCH(AR$19,$3:$3)) &amp; ":" &amp; ADDRESS(15, MATCH(AR$19,$3:$3))))))), "")</f>
        <v/>
      </c>
      <c r="AS27" s="15" t="str" cm="1">
        <f t="array" aca="1" ref="AS27" ca="1">IFERROR(_xlfn.TEXTJOIN("、",TRUE,_xlfn._xlws.FILTER($B$4:$B$17,ISNUMBER(SEARCH($B27,INDIRECT(ADDRESS(4, MATCH(AS$19,$3:$3)) &amp; ":" &amp; ADDRESS(15, MATCH(AS$19,$3:$3))))))), "")</f>
        <v/>
      </c>
      <c r="AT27" s="15" t="str" cm="1">
        <f t="array" aca="1" ref="AT27" ca="1">IFERROR(_xlfn.TEXTJOIN("、",TRUE,_xlfn._xlws.FILTER($B$4:$B$17,ISNUMBER(SEARCH($B27,INDIRECT(ADDRESS(4, MATCH(AT$19,$3:$3)) &amp; ":" &amp; ADDRESS(15, MATCH(AT$19,$3:$3))))))), "")</f>
        <v/>
      </c>
      <c r="AU27" s="15" t="str" cm="1">
        <f t="array" aca="1" ref="AU27" ca="1">IFERROR(_xlfn.TEXTJOIN("、",TRUE,_xlfn._xlws.FILTER($B$4:$B$17,ISNUMBER(SEARCH($B27,INDIRECT(ADDRESS(4, MATCH(AU$19,$3:$3)) &amp; ":" &amp; ADDRESS(15, MATCH(AU$19,$3:$3))))))), "")</f>
        <v/>
      </c>
      <c r="AV27" s="15" t="str" cm="1">
        <f t="array" aca="1" ref="AV27" ca="1">IFERROR(_xlfn.TEXTJOIN("、",TRUE,_xlfn._xlws.FILTER($B$4:$B$17,ISNUMBER(SEARCH($B27,INDIRECT(ADDRESS(4, MATCH(AV$19,$3:$3)) &amp; ":" &amp; ADDRESS(15, MATCH(AV$19,$3:$3))))))), "")</f>
        <v/>
      </c>
      <c r="AW27" s="15" t="str" cm="1">
        <f t="array" aca="1" ref="AW27" ca="1">IFERROR(_xlfn.TEXTJOIN("、",TRUE,_xlfn._xlws.FILTER($B$4:$B$17,ISNUMBER(SEARCH($B27,INDIRECT(ADDRESS(4, MATCH(AW$19,$3:$3)) &amp; ":" &amp; ADDRESS(15, MATCH(AW$19,$3:$3))))))), "")</f>
        <v/>
      </c>
      <c r="AX27" s="15" t="str" cm="1">
        <f t="array" aca="1" ref="AX27" ca="1">IFERROR(_xlfn.TEXTJOIN("、",TRUE,_xlfn._xlws.FILTER($B$4:$B$17,ISNUMBER(SEARCH($B27,INDIRECT(ADDRESS(4, MATCH(AX$19,$3:$3)) &amp; ":" &amp; ADDRESS(15, MATCH(AX$19,$3:$3))))))), "")</f>
        <v/>
      </c>
      <c r="AY27" s="15" t="str" cm="1">
        <f t="array" aca="1" ref="AY27" ca="1">IFERROR(_xlfn.TEXTJOIN("、",TRUE,_xlfn._xlws.FILTER($B$4:$B$17,ISNUMBER(SEARCH($B27,INDIRECT(ADDRESS(4, MATCH(AY$19,$3:$3)) &amp; ":" &amp; ADDRESS(15, MATCH(AY$19,$3:$3))))))), "")</f>
        <v/>
      </c>
      <c r="AZ27" s="15" t="str" cm="1">
        <f t="array" aca="1" ref="AZ27" ca="1">IFERROR(_xlfn.TEXTJOIN("、",TRUE,_xlfn._xlws.FILTER($B$4:$B$17,ISNUMBER(SEARCH($B27,INDIRECT(ADDRESS(4, MATCH(AZ$19,$3:$3)) &amp; ":" &amp; ADDRESS(15, MATCH(AZ$19,$3:$3))))))), "")</f>
        <v/>
      </c>
      <c r="BA27" s="15" t="str" cm="1">
        <f t="array" aca="1" ref="BA27" ca="1">IFERROR(_xlfn.TEXTJOIN("、",TRUE,_xlfn._xlws.FILTER($B$4:$B$17,ISNUMBER(SEARCH($B27,INDIRECT(ADDRESS(4, MATCH(BA$19,$3:$3)) &amp; ":" &amp; ADDRESS(15, MATCH(BA$19,$3:$3))))))), "")</f>
        <v/>
      </c>
      <c r="BB27" s="15" t="str" cm="1">
        <f t="array" aca="1" ref="BB27" ca="1">IFERROR(_xlfn.TEXTJOIN("、",TRUE,_xlfn._xlws.FILTER($B$4:$B$17,ISNUMBER(SEARCH($B27,INDIRECT(ADDRESS(4, MATCH(BB$19,$3:$3)) &amp; ":" &amp; ADDRESS(15, MATCH(BB$19,$3:$3))))))), "")</f>
        <v/>
      </c>
      <c r="BC27" s="15" t="str" cm="1">
        <f t="array" aca="1" ref="BC27" ca="1">IFERROR(_xlfn.TEXTJOIN("、",TRUE,_xlfn._xlws.FILTER($B$4:$B$17,ISNUMBER(SEARCH($B27,INDIRECT(ADDRESS(4, MATCH(BC$19,$3:$3)) &amp; ":" &amp; ADDRESS(15, MATCH(BC$19,$3:$3))))))), "")</f>
        <v/>
      </c>
      <c r="BD27" s="15" t="str" cm="1">
        <f t="array" aca="1" ref="BD27" ca="1">IFERROR(_xlfn.TEXTJOIN("、",TRUE,_xlfn._xlws.FILTER($B$4:$B$17,ISNUMBER(SEARCH($B27,INDIRECT(ADDRESS(4, MATCH(BD$19,$3:$3)) &amp; ":" &amp; ADDRESS(15, MATCH(BD$19,$3:$3))))))), "")</f>
        <v/>
      </c>
      <c r="BE27" s="15" t="str" cm="1">
        <f t="array" aca="1" ref="BE27" ca="1">IFERROR(_xlfn.TEXTJOIN("、",TRUE,_xlfn._xlws.FILTER($B$4:$B$17,ISNUMBER(SEARCH($B27,INDIRECT(ADDRESS(4, MATCH(BE$19,$3:$3)) &amp; ":" &amp; ADDRESS(15, MATCH(BE$19,$3:$3))))))), "")</f>
        <v/>
      </c>
      <c r="BF27" s="15" t="str" cm="1">
        <f t="array" aca="1" ref="BF27" ca="1">IFERROR(_xlfn.TEXTJOIN("、",TRUE,_xlfn._xlws.FILTER($B$4:$B$17,ISNUMBER(SEARCH($B27,INDIRECT(ADDRESS(4, MATCH(BF$19,$3:$3)) &amp; ":" &amp; ADDRESS(15, MATCH(BF$19,$3:$3))))))), "")</f>
        <v/>
      </c>
      <c r="BG27" s="15" t="str" cm="1">
        <f t="array" aca="1" ref="BG27" ca="1">IFERROR(_xlfn.TEXTJOIN("、",TRUE,_xlfn._xlws.FILTER($B$4:$B$17,ISNUMBER(SEARCH($B27,INDIRECT(ADDRESS(4, MATCH(BG$19,$3:$3)) &amp; ":" &amp; ADDRESS(15, MATCH(BG$19,$3:$3))))))), "")</f>
        <v/>
      </c>
      <c r="BH27" s="15" t="str" cm="1">
        <f t="array" aca="1" ref="BH27" ca="1">IFERROR(_xlfn.TEXTJOIN("、",TRUE,_xlfn._xlws.FILTER($B$4:$B$17,ISNUMBER(SEARCH($B27,INDIRECT(ADDRESS(4, MATCH(BH$19,$3:$3)) &amp; ":" &amp; ADDRESS(15, MATCH(BH$19,$3:$3))))))), "")</f>
        <v/>
      </c>
      <c r="BI27" s="15" t="str" cm="1">
        <f t="array" aca="1" ref="BI27" ca="1">IFERROR(_xlfn.TEXTJOIN("、",TRUE,_xlfn._xlws.FILTER($B$4:$B$17,ISNUMBER(SEARCH($B27,INDIRECT(ADDRESS(4, MATCH(BI$19,$3:$3)) &amp; ":" &amp; ADDRESS(15, MATCH(BI$19,$3:$3))))))), "")</f>
        <v/>
      </c>
      <c r="BJ27" s="15" t="str" cm="1">
        <f t="array" aca="1" ref="BJ27" ca="1">IFERROR(_xlfn.TEXTJOIN("、",TRUE,_xlfn._xlws.FILTER($B$4:$B$17,ISNUMBER(SEARCH($B27,INDIRECT(ADDRESS(4, MATCH(BJ$19,$3:$3)) &amp; ":" &amp; ADDRESS(15, MATCH(BJ$19,$3:$3))))))), "")</f>
        <v/>
      </c>
      <c r="BK27" s="15" t="str" cm="1">
        <f t="array" aca="1" ref="BK27" ca="1">IFERROR(_xlfn.TEXTJOIN("、",TRUE,_xlfn._xlws.FILTER($B$4:$B$17,ISNUMBER(SEARCH($B27,INDIRECT(ADDRESS(4, MATCH(BK$19,$3:$3)) &amp; ":" &amp; ADDRESS(15, MATCH(BK$19,$3:$3))))))), "")</f>
        <v/>
      </c>
      <c r="BL27" s="15" t="str" cm="1">
        <f t="array" aca="1" ref="BL27" ca="1">IFERROR(_xlfn.TEXTJOIN("、",TRUE,_xlfn._xlws.FILTER($B$4:$B$17,ISNUMBER(SEARCH($B27,INDIRECT(ADDRESS(4, MATCH(BL$19,$3:$3)) &amp; ":" &amp; ADDRESS(15, MATCH(BL$19,$3:$3))))))), "")</f>
        <v/>
      </c>
      <c r="BM27" s="15" t="str" cm="1">
        <f t="array" aca="1" ref="BM27" ca="1">IFERROR(_xlfn.TEXTJOIN("、",TRUE,_xlfn._xlws.FILTER($B$4:$B$17,ISNUMBER(SEARCH($B27,INDIRECT(ADDRESS(4, MATCH(BM$19,$3:$3)) &amp; ":" &amp; ADDRESS(15, MATCH(BM$19,$3:$3))))))), "")</f>
        <v/>
      </c>
      <c r="BN27" s="15" t="str" cm="1">
        <f t="array" aca="1" ref="BN27" ca="1">IFERROR(_xlfn.TEXTJOIN("、",TRUE,_xlfn._xlws.FILTER($B$4:$B$17,ISNUMBER(SEARCH($B27,INDIRECT(ADDRESS(4, MATCH(BN$19,$3:$3)) &amp; ":" &amp; ADDRESS(15, MATCH(BN$19,$3:$3))))))), "")</f>
        <v/>
      </c>
      <c r="BO27" s="15" t="str" cm="1">
        <f t="array" aca="1" ref="BO27" ca="1">IFERROR(_xlfn.TEXTJOIN("、",TRUE,_xlfn._xlws.FILTER($B$4:$B$17,ISNUMBER(SEARCH($B27,INDIRECT(ADDRESS(4, MATCH(BO$19,$3:$3)) &amp; ":" &amp; ADDRESS(15, MATCH(BO$19,$3:$3))))))), "")</f>
        <v/>
      </c>
      <c r="BP27" s="15" t="str" cm="1">
        <f t="array" aca="1" ref="BP27" ca="1">IFERROR(_xlfn.TEXTJOIN("、",TRUE,_xlfn._xlws.FILTER($B$4:$B$17,ISNUMBER(SEARCH($B27,INDIRECT(ADDRESS(4, MATCH(BP$19,$3:$3)) &amp; ":" &amp; ADDRESS(15, MATCH(BP$19,$3:$3))))))), "")</f>
        <v/>
      </c>
      <c r="BQ27" s="15" t="str" cm="1">
        <f t="array" aca="1" ref="BQ27" ca="1">IFERROR(_xlfn.TEXTJOIN("、",TRUE,_xlfn._xlws.FILTER($B$4:$B$17,ISNUMBER(SEARCH($B27,INDIRECT(ADDRESS(4, MATCH(BQ$19,$3:$3)) &amp; ":" &amp; ADDRESS(15, MATCH(BQ$19,$3:$3))))))), "")</f>
        <v/>
      </c>
      <c r="BR27" s="15" t="str" cm="1">
        <f t="array" aca="1" ref="BR27" ca="1">IFERROR(_xlfn.TEXTJOIN("、",TRUE,_xlfn._xlws.FILTER($B$4:$B$17,ISNUMBER(SEARCH($B27,INDIRECT(ADDRESS(4, MATCH(BR$19,$3:$3)) &amp; ":" &amp; ADDRESS(15, MATCH(BR$19,$3:$3))))))), "")</f>
        <v/>
      </c>
      <c r="BS27" s="15" t="str" cm="1">
        <f t="array" aca="1" ref="BS27" ca="1">IFERROR(_xlfn.TEXTJOIN("、",TRUE,_xlfn._xlws.FILTER($B$4:$B$17,ISNUMBER(SEARCH($B27,INDIRECT(ADDRESS(4, MATCH(BS$19,$3:$3)) &amp; ":" &amp; ADDRESS(15, MATCH(BS$19,$3:$3))))))), "")</f>
        <v/>
      </c>
      <c r="BT27" s="15" t="str" cm="1">
        <f t="array" aca="1" ref="BT27" ca="1">IFERROR(_xlfn.TEXTJOIN("、",TRUE,_xlfn._xlws.FILTER($B$4:$B$17,ISNUMBER(SEARCH($B27,INDIRECT(ADDRESS(4, MATCH(BT$19,$3:$3)) &amp; ":" &amp; ADDRESS(15, MATCH(BT$19,$3:$3))))))), "")</f>
        <v/>
      </c>
      <c r="BU27" s="15" t="str" cm="1">
        <f t="array" aca="1" ref="BU27" ca="1">IFERROR(_xlfn.TEXTJOIN("、",TRUE,_xlfn._xlws.FILTER($B$4:$B$17,ISNUMBER(SEARCH($B27,INDIRECT(ADDRESS(4, MATCH(BU$19,$3:$3)) &amp; ":" &amp; ADDRESS(15, MATCH(BU$19,$3:$3))))))), "")</f>
        <v/>
      </c>
      <c r="BV27" s="15" t="str" cm="1">
        <f t="array" aca="1" ref="BV27" ca="1">IFERROR(_xlfn.TEXTJOIN("、",TRUE,_xlfn._xlws.FILTER($B$4:$B$17,ISNUMBER(SEARCH($B27,INDIRECT(ADDRESS(4, MATCH(BV$19,$3:$3)) &amp; ":" &amp; ADDRESS(15, MATCH(BV$19,$3:$3))))))), "")</f>
        <v/>
      </c>
      <c r="BW27" s="15" t="str" cm="1">
        <f t="array" aca="1" ref="BW27" ca="1">IFERROR(_xlfn.TEXTJOIN("、",TRUE,_xlfn._xlws.FILTER($B$4:$B$17,ISNUMBER(SEARCH($B27,INDIRECT(ADDRESS(4, MATCH(BW$19,$3:$3)) &amp; ":" &amp; ADDRESS(15, MATCH(BW$19,$3:$3))))))), "")</f>
        <v/>
      </c>
      <c r="BX27" s="15" t="str" cm="1">
        <f t="array" aca="1" ref="BX27" ca="1">IFERROR(_xlfn.TEXTJOIN("、",TRUE,_xlfn._xlws.FILTER($B$4:$B$17,ISNUMBER(SEARCH($B27,INDIRECT(ADDRESS(4, MATCH(BX$19,$3:$3)) &amp; ":" &amp; ADDRESS(15, MATCH(BX$19,$3:$3))))))), "")</f>
        <v/>
      </c>
      <c r="BY27" s="15" t="str" cm="1">
        <f t="array" aca="1" ref="BY27" ca="1">IFERROR(_xlfn.TEXTJOIN("、",TRUE,_xlfn._xlws.FILTER($B$4:$B$17,ISNUMBER(SEARCH($B27,INDIRECT(ADDRESS(4, MATCH(BY$19,$3:$3)) &amp; ":" &amp; ADDRESS(15, MATCH(BY$19,$3:$3))))))), "")</f>
        <v/>
      </c>
      <c r="BZ27" s="15" t="str" cm="1">
        <f t="array" aca="1" ref="BZ27" ca="1">IFERROR(_xlfn.TEXTJOIN("、",TRUE,_xlfn._xlws.FILTER($B$4:$B$17,ISNUMBER(SEARCH($B27,INDIRECT(ADDRESS(4, MATCH(BZ$19,$3:$3)) &amp; ":" &amp; ADDRESS(15, MATCH(BZ$19,$3:$3))))))), "")</f>
        <v/>
      </c>
      <c r="CA27" s="15" t="str" cm="1">
        <f t="array" aca="1" ref="CA27" ca="1">IFERROR(_xlfn.TEXTJOIN("、",TRUE,_xlfn._xlws.FILTER($B$4:$B$17,ISNUMBER(SEARCH($B27,INDIRECT(ADDRESS(4, MATCH(CA$19,$3:$3)) &amp; ":" &amp; ADDRESS(15, MATCH(CA$19,$3:$3))))))), "")</f>
        <v/>
      </c>
      <c r="CB27" s="15" t="str" cm="1">
        <f t="array" aca="1" ref="CB27" ca="1">IFERROR(_xlfn.TEXTJOIN("、",TRUE,_xlfn._xlws.FILTER($B$4:$B$17,ISNUMBER(SEARCH($B27,INDIRECT(ADDRESS(4, MATCH(CB$19,$3:$3)) &amp; ":" &amp; ADDRESS(15, MATCH(CB$19,$3:$3))))))), "")</f>
        <v/>
      </c>
      <c r="CC27" s="15" t="str" cm="1">
        <f t="array" aca="1" ref="CC27" ca="1">IFERROR(_xlfn.TEXTJOIN("、",TRUE,_xlfn._xlws.FILTER($B$4:$B$17,ISNUMBER(SEARCH($B27,INDIRECT(ADDRESS(4, MATCH(CC$19,$3:$3)) &amp; ":" &amp; ADDRESS(15, MATCH(CC$19,$3:$3))))))), "")</f>
        <v/>
      </c>
      <c r="CD27" s="15" t="str" cm="1">
        <f t="array" aca="1" ref="CD27" ca="1">IFERROR(_xlfn.TEXTJOIN("、",TRUE,_xlfn._xlws.FILTER($B$4:$B$17,ISNUMBER(SEARCH($B27,INDIRECT(ADDRESS(4, MATCH(CD$19,$3:$3)) &amp; ":" &amp; ADDRESS(15, MATCH(CD$19,$3:$3))))))), "")</f>
        <v/>
      </c>
      <c r="CE27" s="15" t="str" cm="1">
        <f t="array" aca="1" ref="CE27" ca="1">IFERROR(_xlfn.TEXTJOIN("、",TRUE,_xlfn._xlws.FILTER($B$4:$B$17,ISNUMBER(SEARCH($B27,INDIRECT(ADDRESS(4, MATCH(CE$19,$3:$3)) &amp; ":" &amp; ADDRESS(15, MATCH(CE$19,$3:$3))))))), "")</f>
        <v/>
      </c>
      <c r="CF27" s="15" t="str" cm="1">
        <f t="array" aca="1" ref="CF27" ca="1">IFERROR(_xlfn.TEXTJOIN("、",TRUE,_xlfn._xlws.FILTER($B$4:$B$17,ISNUMBER(SEARCH($B27,INDIRECT(ADDRESS(4, MATCH(CF$19,$3:$3)) &amp; ":" &amp; ADDRESS(15, MATCH(CF$19,$3:$3))))))), "")</f>
        <v/>
      </c>
      <c r="CG27" s="15" t="str" cm="1">
        <f t="array" aca="1" ref="CG27" ca="1">IFERROR(_xlfn.TEXTJOIN("、",TRUE,_xlfn._xlws.FILTER($B$4:$B$17,ISNUMBER(SEARCH($B27,INDIRECT(ADDRESS(4, MATCH(CG$19,$3:$3)) &amp; ":" &amp; ADDRESS(15, MATCH(CG$19,$3:$3))))))), "")</f>
        <v/>
      </c>
      <c r="CH27" s="15" t="str" cm="1">
        <f t="array" aca="1" ref="CH27" ca="1">IFERROR(_xlfn.TEXTJOIN("、",TRUE,_xlfn._xlws.FILTER($B$4:$B$17,ISNUMBER(SEARCH($B27,INDIRECT(ADDRESS(4, MATCH(CH$19,$3:$3)) &amp; ":" &amp; ADDRESS(15, MATCH(CH$19,$3:$3))))))), "")</f>
        <v/>
      </c>
      <c r="CI27" s="15" t="str" cm="1">
        <f t="array" aca="1" ref="CI27" ca="1">IFERROR(_xlfn.TEXTJOIN("、",TRUE,_xlfn._xlws.FILTER($B$4:$B$17,ISNUMBER(SEARCH($B27,INDIRECT(ADDRESS(4, MATCH(CI$19,$3:$3)) &amp; ":" &amp; ADDRESS(15, MATCH(CI$19,$3:$3))))))), "")</f>
        <v/>
      </c>
      <c r="CJ27" s="15" t="str" cm="1">
        <f t="array" aca="1" ref="CJ27" ca="1">IFERROR(_xlfn.TEXTJOIN("、",TRUE,_xlfn._xlws.FILTER($B$4:$B$17,ISNUMBER(SEARCH($B27,INDIRECT(ADDRESS(4, MATCH(CJ$19,$3:$3)) &amp; ":" &amp; ADDRESS(15, MATCH(CJ$19,$3:$3))))))), "")</f>
        <v/>
      </c>
      <c r="CK27" s="15" t="str" cm="1">
        <f t="array" aca="1" ref="CK27" ca="1">IFERROR(_xlfn.TEXTJOIN("、",TRUE,_xlfn._xlws.FILTER($B$4:$B$17,ISNUMBER(SEARCH($B27,INDIRECT(ADDRESS(4, MATCH(CK$19,$3:$3)) &amp; ":" &amp; ADDRESS(15, MATCH(CK$19,$3:$3))))))), "")</f>
        <v/>
      </c>
      <c r="CL27" s="15" t="str" cm="1">
        <f t="array" aca="1" ref="CL27" ca="1">IFERROR(_xlfn.TEXTJOIN("、",TRUE,_xlfn._xlws.FILTER($B$4:$B$17,ISNUMBER(SEARCH($B27,INDIRECT(ADDRESS(4, MATCH(CL$19,$3:$3)) &amp; ":" &amp; ADDRESS(15, MATCH(CL$19,$3:$3))))))), "")</f>
        <v/>
      </c>
      <c r="CM27" s="15" t="str" cm="1">
        <f t="array" aca="1" ref="CM27" ca="1">IFERROR(_xlfn.TEXTJOIN("、",TRUE,_xlfn._xlws.FILTER($B$4:$B$17,ISNUMBER(SEARCH($B27,INDIRECT(ADDRESS(4, MATCH(CM$19,$3:$3)) &amp; ":" &amp; ADDRESS(15, MATCH(CM$19,$3:$3))))))), "")</f>
        <v/>
      </c>
      <c r="CN27" s="15" t="str" cm="1">
        <f t="array" aca="1" ref="CN27" ca="1">IFERROR(_xlfn.TEXTJOIN("、",TRUE,_xlfn._xlws.FILTER($B$4:$B$17,ISNUMBER(SEARCH($B27,INDIRECT(ADDRESS(4, MATCH(CN$19,$3:$3)) &amp; ":" &amp; ADDRESS(15, MATCH(CN$19,$3:$3))))))), "")</f>
        <v/>
      </c>
      <c r="CO27" s="15" t="str" cm="1">
        <f t="array" aca="1" ref="CO27" ca="1">IFERROR(_xlfn.TEXTJOIN("、",TRUE,_xlfn._xlws.FILTER($B$4:$B$17,ISNUMBER(SEARCH($B27,INDIRECT(ADDRESS(4, MATCH(CO$19,$3:$3)) &amp; ":" &amp; ADDRESS(15, MATCH(CO$19,$3:$3))))))), "")</f>
        <v/>
      </c>
      <c r="CP27" s="15" t="str" cm="1">
        <f t="array" aca="1" ref="CP27" ca="1">IFERROR(_xlfn.TEXTJOIN("、",TRUE,_xlfn._xlws.FILTER($B$4:$B$17,ISNUMBER(SEARCH($B27,INDIRECT(ADDRESS(4, MATCH(CP$19,$3:$3)) &amp; ":" &amp; ADDRESS(15, MATCH(CP$19,$3:$3))))))), "")</f>
        <v/>
      </c>
      <c r="CQ27" s="15" t="str" cm="1">
        <f t="array" aca="1" ref="CQ27" ca="1">IFERROR(_xlfn.TEXTJOIN("、",TRUE,_xlfn._xlws.FILTER($B$4:$B$17,INDIRECT(ADDRESS(4, MATCH(CQ$19,$3:$3)) &amp; ":" &amp; ADDRESS(15, MATCH(CQ$19,$3:$3)))=$B27)), "")</f>
        <v/>
      </c>
      <c r="CR27" s="15" t="str" cm="1">
        <f t="array" aca="1" ref="CR27" ca="1">IFERROR(_xlfn.TEXTJOIN("、",TRUE,_xlfn._xlws.FILTER($B$4:$B$17,INDIRECT(ADDRESS(4, MATCH(CR$19,$3:$3)) &amp; ":" &amp; ADDRESS(15, MATCH(CR$19,$3:$3)))=$B27)), "")</f>
        <v/>
      </c>
      <c r="CS27" s="15" t="str" cm="1">
        <f t="array" aca="1" ref="CS27" ca="1">IFERROR(_xlfn.TEXTJOIN("、",TRUE,_xlfn._xlws.FILTER($B$4:$B$17,INDIRECT(ADDRESS(4, MATCH(CS$19,$3:$3)) &amp; ":" &amp; ADDRESS(15, MATCH(CS$19,$3:$3)))=$B27)), "")</f>
        <v/>
      </c>
      <c r="CT27" s="15" t="str" cm="1">
        <f t="array" aca="1" ref="CT27" ca="1">IFERROR(_xlfn.TEXTJOIN("、",TRUE,_xlfn._xlws.FILTER($B$4:$B$17,INDIRECT(ADDRESS(4, MATCH(CT$19,$3:$3)) &amp; ":" &amp; ADDRESS(15, MATCH(CT$19,$3:$3)))=$B27)), "")</f>
        <v/>
      </c>
      <c r="CU27" s="138"/>
      <c r="CV27" s="139" t="s">
        <v>204</v>
      </c>
      <c r="CW27" s="140"/>
      <c r="CX27" s="140"/>
      <c r="CY27" s="139" t="s">
        <v>202</v>
      </c>
      <c r="CZ27" s="139" t="s">
        <v>322</v>
      </c>
      <c r="DA27" s="140"/>
      <c r="DB27" s="140"/>
    </row>
    <row r="28" spans="2:106" ht="19.5" thickBot="1">
      <c r="B28" s="37" t="s">
        <v>338</v>
      </c>
      <c r="C28" s="15" t="str" cm="1">
        <f t="array" aca="1" ref="C28" ca="1">IFERROR(_xlfn.TEXTJOIN("、",TRUE,_xlfn._xlws.FILTER($B$4:$B$17,ISNUMBER(SEARCH($B28,INDIRECT(ADDRESS(4, MATCH(C$19,$3:$3)) &amp; ":" &amp; ADDRESS(15, MATCH(C$19,$3:$3))))))), "")</f>
        <v/>
      </c>
      <c r="D28" s="15" t="str" cm="1">
        <f t="array" aca="1" ref="D28" ca="1">IFERROR(_xlfn.TEXTJOIN("、",TRUE,_xlfn._xlws.FILTER($B$4:$B$17,ISNUMBER(SEARCH($B28,INDIRECT(ADDRESS(4, MATCH(D$19,$3:$3)) &amp; ":" &amp; ADDRESS(15, MATCH(D$19,$3:$3))))))), "")</f>
        <v/>
      </c>
      <c r="E28" s="15" t="str" cm="1">
        <f t="array" aca="1" ref="E28" ca="1">IFERROR(_xlfn.TEXTJOIN("、",TRUE,_xlfn._xlws.FILTER($B$4:$B$17,ISNUMBER(SEARCH($B28,INDIRECT(ADDRESS(4, MATCH(E$19,$3:$3)) &amp; ":" &amp; ADDRESS(15, MATCH(E$19,$3:$3))))))), "")</f>
        <v/>
      </c>
      <c r="F28" s="15" t="str" cm="1">
        <f t="array" aca="1" ref="F28" ca="1">IFERROR(_xlfn.TEXTJOIN("、",TRUE,_xlfn._xlws.FILTER($B$4:$B$17,ISNUMBER(SEARCH($B28,INDIRECT(ADDRESS(4, MATCH(F$19,$3:$3)) &amp; ":" &amp; ADDRESS(15, MATCH(F$19,$3:$3))))))), "")</f>
        <v/>
      </c>
      <c r="G28" s="15" t="str" cm="1">
        <f t="array" aca="1" ref="G28" ca="1">IFERROR(_xlfn.TEXTJOIN("、",TRUE,_xlfn._xlws.FILTER($B$4:$B$17,ISNUMBER(SEARCH($B28,INDIRECT(ADDRESS(4, MATCH(G$19,$3:$3)) &amp; ":" &amp; ADDRESS(15, MATCH(G$19,$3:$3))))))), "")</f>
        <v/>
      </c>
      <c r="H28" s="15" t="str" cm="1">
        <f t="array" aca="1" ref="H28" ca="1">IFERROR(_xlfn.TEXTJOIN("、",TRUE,_xlfn._xlws.FILTER($B$4:$B$17,ISNUMBER(SEARCH($B28,INDIRECT(ADDRESS(4, MATCH(H$19,$3:$3)) &amp; ":" &amp; ADDRESS(15, MATCH(H$19,$3:$3))))))), "")</f>
        <v/>
      </c>
      <c r="I28" s="15" t="str" cm="1">
        <f t="array" aca="1" ref="I28" ca="1">IFERROR(_xlfn.TEXTJOIN("、",TRUE,_xlfn._xlws.FILTER($B$4:$B$17,ISNUMBER(SEARCH($B28,INDIRECT(ADDRESS(4, MATCH(I$19,$3:$3)) &amp; ":" &amp; ADDRESS(15, MATCH(I$19,$3:$3))))))), "")</f>
        <v/>
      </c>
      <c r="J28" s="15" t="str" cm="1">
        <f t="array" aca="1" ref="J28" ca="1">IFERROR(_xlfn.TEXTJOIN("、",TRUE,_xlfn._xlws.FILTER($B$4:$B$17,ISNUMBER(SEARCH($B28,INDIRECT(ADDRESS(4, MATCH(J$19,$3:$3)) &amp; ":" &amp; ADDRESS(15, MATCH(J$19,$3:$3))))))), "")</f>
        <v/>
      </c>
      <c r="K28" s="15" t="str" cm="1">
        <f t="array" aca="1" ref="K28" ca="1">IFERROR(_xlfn.TEXTJOIN("、",TRUE,_xlfn._xlws.FILTER($B$4:$B$17,ISNUMBER(SEARCH($B28,INDIRECT(ADDRESS(4, MATCH(K$19,$3:$3)) &amp; ":" &amp; ADDRESS(15, MATCH(K$19,$3:$3))))))), "")</f>
        <v/>
      </c>
      <c r="L28" s="15" t="str" cm="1">
        <f t="array" aca="1" ref="L28" ca="1">IFERROR(_xlfn.TEXTJOIN("、",TRUE,_xlfn._xlws.FILTER($B$4:$B$17,ISNUMBER(SEARCH($B28,INDIRECT(ADDRESS(4, MATCH(L$19,$3:$3)) &amp; ":" &amp; ADDRESS(15, MATCH(L$19,$3:$3))))))), "")</f>
        <v/>
      </c>
      <c r="M28" s="15" t="str" cm="1">
        <f t="array" aca="1" ref="M28" ca="1">IFERROR(_xlfn.TEXTJOIN("、",TRUE,_xlfn._xlws.FILTER($B$4:$B$17,ISNUMBER(SEARCH($B28,INDIRECT(ADDRESS(4, MATCH(M$19,$3:$3)) &amp; ":" &amp; ADDRESS(15, MATCH(M$19,$3:$3))))))), "")</f>
        <v/>
      </c>
      <c r="N28" s="15" t="str" cm="1">
        <f t="array" aca="1" ref="N28" ca="1">IFERROR(_xlfn.TEXTJOIN("、",TRUE,_xlfn._xlws.FILTER($B$4:$B$17,ISNUMBER(SEARCH($B28,INDIRECT(ADDRESS(4, MATCH(N$19,$3:$3)) &amp; ":" &amp; ADDRESS(15, MATCH(N$19,$3:$3))))))), "")</f>
        <v/>
      </c>
      <c r="O28" s="15" t="str" cm="1">
        <f t="array" aca="1" ref="O28" ca="1">IFERROR(_xlfn.TEXTJOIN("、",TRUE,_xlfn._xlws.FILTER($B$4:$B$17,ISNUMBER(SEARCH($B28,INDIRECT(ADDRESS(4, MATCH(O$19,$3:$3)) &amp; ":" &amp; ADDRESS(15, MATCH(O$19,$3:$3))))))), "")</f>
        <v/>
      </c>
      <c r="P28" s="15" t="str" cm="1">
        <f t="array" aca="1" ref="P28" ca="1">IFERROR(_xlfn.TEXTJOIN("、",TRUE,_xlfn._xlws.FILTER($B$4:$B$17,ISNUMBER(SEARCH($B28,INDIRECT(ADDRESS(4, MATCH(P$19,$3:$3)) &amp; ":" &amp; ADDRESS(15, MATCH(P$19,$3:$3))))))), "")</f>
        <v/>
      </c>
      <c r="Q28" s="15" t="str" cm="1">
        <f t="array" aca="1" ref="Q28" ca="1">IFERROR(_xlfn.TEXTJOIN("、",TRUE,_xlfn._xlws.FILTER($B$4:$B$17,ISNUMBER(SEARCH($B28,INDIRECT(ADDRESS(4, MATCH(Q$19,$3:$3)) &amp; ":" &amp; ADDRESS(15, MATCH(Q$19,$3:$3))))))), "")</f>
        <v/>
      </c>
      <c r="R28" s="15" t="str" cm="1">
        <f t="array" aca="1" ref="R28" ca="1">IFERROR(_xlfn.TEXTJOIN("、",TRUE,_xlfn._xlws.FILTER($B$4:$B$17,ISNUMBER(SEARCH($B28,INDIRECT(ADDRESS(4, MATCH(R$19,$3:$3)) &amp; ":" &amp; ADDRESS(15, MATCH(R$19,$3:$3))))))), "")</f>
        <v/>
      </c>
      <c r="S28" s="15" t="str" cm="1">
        <f t="array" aca="1" ref="S28" ca="1">IFERROR(_xlfn.TEXTJOIN("、",TRUE,_xlfn._xlws.FILTER($B$4:$B$17,ISNUMBER(SEARCH($B28,INDIRECT(ADDRESS(4, MATCH(S$19,$3:$3)) &amp; ":" &amp; ADDRESS(15, MATCH(S$19,$3:$3))))))), "")</f>
        <v/>
      </c>
      <c r="T28" s="15" t="str" cm="1">
        <f t="array" aca="1" ref="T28" ca="1">IFERROR(_xlfn.TEXTJOIN("、",TRUE,_xlfn._xlws.FILTER($B$4:$B$17,ISNUMBER(SEARCH($B28,INDIRECT(ADDRESS(4, MATCH(T$19,$3:$3)) &amp; ":" &amp; ADDRESS(15, MATCH(T$19,$3:$3))))))), "")</f>
        <v/>
      </c>
      <c r="U28" s="15" t="str" cm="1">
        <f t="array" aca="1" ref="U28" ca="1">IFERROR(_xlfn.TEXTJOIN("、",TRUE,_xlfn._xlws.FILTER($B$4:$B$17,ISNUMBER(SEARCH($B28,INDIRECT(ADDRESS(4, MATCH(U$19,$3:$3)) &amp; ":" &amp; ADDRESS(15, MATCH(U$19,$3:$3))))))), "")</f>
        <v/>
      </c>
      <c r="V28" s="15" t="str" cm="1">
        <f t="array" aca="1" ref="V28" ca="1">IFERROR(_xlfn.TEXTJOIN("、",TRUE,_xlfn._xlws.FILTER($B$4:$B$17,ISNUMBER(SEARCH($B28,INDIRECT(ADDRESS(4, MATCH(V$19,$3:$3)) &amp; ":" &amp; ADDRESS(15, MATCH(V$19,$3:$3))))))), "")</f>
        <v/>
      </c>
      <c r="W28" s="15" t="str" cm="1">
        <f t="array" aca="1" ref="W28" ca="1">IFERROR(_xlfn.TEXTJOIN("、",TRUE,_xlfn._xlws.FILTER($B$4:$B$17,ISNUMBER(SEARCH($B28,INDIRECT(ADDRESS(4, MATCH(W$19,$3:$3)) &amp; ":" &amp; ADDRESS(15, MATCH(W$19,$3:$3))))))), "")</f>
        <v/>
      </c>
      <c r="X28" s="15" t="str" cm="1">
        <f t="array" aca="1" ref="X28" ca="1">IFERROR(_xlfn.TEXTJOIN("、",TRUE,_xlfn._xlws.FILTER($B$4:$B$17,ISNUMBER(SEARCH($B28,INDIRECT(ADDRESS(4, MATCH(X$19,$3:$3)) &amp; ":" &amp; ADDRESS(15, MATCH(X$19,$3:$3))))))), "")</f>
        <v/>
      </c>
      <c r="Y28" s="15" t="str" cm="1">
        <f t="array" aca="1" ref="Y28" ca="1">IFERROR(_xlfn.TEXTJOIN("、",TRUE,_xlfn._xlws.FILTER($B$4:$B$17,ISNUMBER(SEARCH($B28,INDIRECT(ADDRESS(4, MATCH(Y$19,$3:$3)) &amp; ":" &amp; ADDRESS(15, MATCH(Y$19,$3:$3))))))), "")</f>
        <v/>
      </c>
      <c r="Z28" s="15" t="str" cm="1">
        <f t="array" aca="1" ref="Z28" ca="1">IFERROR(_xlfn.TEXTJOIN("、",TRUE,_xlfn._xlws.FILTER($B$4:$B$17,ISNUMBER(SEARCH($B28,INDIRECT(ADDRESS(4, MATCH(Z$19,$3:$3)) &amp; ":" &amp; ADDRESS(15, MATCH(Z$19,$3:$3))))))), "")</f>
        <v/>
      </c>
      <c r="AA28" s="15" t="str" cm="1">
        <f t="array" aca="1" ref="AA28" ca="1">IFERROR(_xlfn.TEXTJOIN("、",TRUE,_xlfn._xlws.FILTER($B$4:$B$17,ISNUMBER(SEARCH($B28,INDIRECT(ADDRESS(4, MATCH(AA$19,$3:$3)) &amp; ":" &amp; ADDRESS(15, MATCH(AA$19,$3:$3))))))), "")</f>
        <v/>
      </c>
      <c r="AB28" s="15" t="str" cm="1">
        <f t="array" aca="1" ref="AB28" ca="1">IFERROR(_xlfn.TEXTJOIN("、",TRUE,_xlfn._xlws.FILTER($B$4:$B$17,ISNUMBER(SEARCH($B28,INDIRECT(ADDRESS(4, MATCH(AB$19,$3:$3)) &amp; ":" &amp; ADDRESS(15, MATCH(AB$19,$3:$3))))))), "")</f>
        <v/>
      </c>
      <c r="AC28" s="15" t="str" cm="1">
        <f t="array" aca="1" ref="AC28" ca="1">IFERROR(_xlfn.TEXTJOIN("、",TRUE,_xlfn._xlws.FILTER($B$4:$B$17,ISNUMBER(SEARCH($B28,INDIRECT(ADDRESS(4, MATCH(AC$19,$3:$3)) &amp; ":" &amp; ADDRESS(15, MATCH(AC$19,$3:$3))))))), "")</f>
        <v/>
      </c>
      <c r="AD28" s="15" t="str" cm="1">
        <f t="array" aca="1" ref="AD28" ca="1">IFERROR(_xlfn.TEXTJOIN("、",TRUE,_xlfn._xlws.FILTER($B$4:$B$17,ISNUMBER(SEARCH($B28,INDIRECT(ADDRESS(4, MATCH(AD$19,$3:$3)) &amp; ":" &amp; ADDRESS(15, MATCH(AD$19,$3:$3))))))), "")</f>
        <v/>
      </c>
      <c r="AE28" s="15" t="str" cm="1">
        <f t="array" aca="1" ref="AE28" ca="1">IFERROR(_xlfn.TEXTJOIN("、",TRUE,_xlfn._xlws.FILTER($B$4:$B$17,ISNUMBER(SEARCH($B28,INDIRECT(ADDRESS(4, MATCH(AE$19,$3:$3)) &amp; ":" &amp; ADDRESS(15, MATCH(AE$19,$3:$3))))))), "")</f>
        <v/>
      </c>
      <c r="AF28" s="15" t="str" cm="1">
        <f t="array" aca="1" ref="AF28" ca="1">IFERROR(_xlfn.TEXTJOIN("、",TRUE,_xlfn._xlws.FILTER($B$4:$B$17,ISNUMBER(SEARCH($B28,INDIRECT(ADDRESS(4, MATCH(AF$19,$3:$3)) &amp; ":" &amp; ADDRESS(15, MATCH(AF$19,$3:$3))))))), "")</f>
        <v/>
      </c>
      <c r="AG28" s="15" t="str" cm="1">
        <f t="array" aca="1" ref="AG28" ca="1">IFERROR(_xlfn.TEXTJOIN("、",TRUE,_xlfn._xlws.FILTER($B$4:$B$17,ISNUMBER(SEARCH($B28,INDIRECT(ADDRESS(4, MATCH(AG$19,$3:$3)) &amp; ":" &amp; ADDRESS(15, MATCH(AG$19,$3:$3))))))), "")</f>
        <v/>
      </c>
      <c r="AH28" s="15" t="str" cm="1">
        <f t="array" aca="1" ref="AH28" ca="1">IFERROR(_xlfn.TEXTJOIN("、",TRUE,_xlfn._xlws.FILTER($B$4:$B$17,ISNUMBER(SEARCH($B28,INDIRECT(ADDRESS(4, MATCH(AH$19,$3:$3)) &amp; ":" &amp; ADDRESS(15, MATCH(AH$19,$3:$3))))))), "")</f>
        <v/>
      </c>
      <c r="AI28" s="15" t="str" cm="1">
        <f t="array" aca="1" ref="AI28" ca="1">IFERROR(_xlfn.TEXTJOIN("、",TRUE,_xlfn._xlws.FILTER($B$4:$B$17,ISNUMBER(SEARCH($B28,INDIRECT(ADDRESS(4, MATCH(AI$19,$3:$3)) &amp; ":" &amp; ADDRESS(15, MATCH(AI$19,$3:$3))))))), "")</f>
        <v/>
      </c>
      <c r="AJ28" s="15" t="str" cm="1">
        <f t="array" aca="1" ref="AJ28" ca="1">IFERROR(_xlfn.TEXTJOIN("、",TRUE,_xlfn._xlws.FILTER($B$4:$B$17,ISNUMBER(SEARCH($B28,INDIRECT(ADDRESS(4, MATCH(AJ$19,$3:$3)) &amp; ":" &amp; ADDRESS(15, MATCH(AJ$19,$3:$3))))))), "")</f>
        <v/>
      </c>
      <c r="AK28" s="15" t="str" cm="1">
        <f t="array" aca="1" ref="AK28" ca="1">IFERROR(_xlfn.TEXTJOIN("、",TRUE,_xlfn._xlws.FILTER($B$4:$B$17,ISNUMBER(SEARCH($B28,INDIRECT(ADDRESS(4, MATCH(AK$19,$3:$3)) &amp; ":" &amp; ADDRESS(15, MATCH(AK$19,$3:$3))))))), "")</f>
        <v/>
      </c>
      <c r="AL28" s="15" t="str" cm="1">
        <f t="array" aca="1" ref="AL28" ca="1">IFERROR(_xlfn.TEXTJOIN("、",TRUE,_xlfn._xlws.FILTER($B$4:$B$17,ISNUMBER(SEARCH($B28,INDIRECT(ADDRESS(4, MATCH(AL$19,$3:$3)) &amp; ":" &amp; ADDRESS(15, MATCH(AL$19,$3:$3))))))), "")</f>
        <v/>
      </c>
      <c r="AM28" s="15" t="str" cm="1">
        <f t="array" aca="1" ref="AM28" ca="1">IFERROR(_xlfn.TEXTJOIN("、",TRUE,_xlfn._xlws.FILTER($B$4:$B$17,ISNUMBER(SEARCH($B28,INDIRECT(ADDRESS(4, MATCH(AM$19,$3:$3)) &amp; ":" &amp; ADDRESS(15, MATCH(AM$19,$3:$3))))))), "")</f>
        <v/>
      </c>
      <c r="AN28" s="15" t="str" cm="1">
        <f t="array" aca="1" ref="AN28" ca="1">IFERROR(_xlfn.TEXTJOIN("、",TRUE,_xlfn._xlws.FILTER($B$4:$B$17,ISNUMBER(SEARCH($B28,INDIRECT(ADDRESS(4, MATCH(AN$19,$3:$3)) &amp; ":" &amp; ADDRESS(15, MATCH(AN$19,$3:$3))))))), "")</f>
        <v/>
      </c>
      <c r="AO28" s="15" t="str" cm="1">
        <f t="array" aca="1" ref="AO28" ca="1">IFERROR(_xlfn.TEXTJOIN("、",TRUE,_xlfn._xlws.FILTER($B$4:$B$17,ISNUMBER(SEARCH($B28,INDIRECT(ADDRESS(4, MATCH(AO$19,$3:$3)) &amp; ":" &amp; ADDRESS(15, MATCH(AO$19,$3:$3))))))), "")</f>
        <v/>
      </c>
      <c r="AP28" s="15" t="str" cm="1">
        <f t="array" aca="1" ref="AP28" ca="1">IFERROR(_xlfn.TEXTJOIN("、",TRUE,_xlfn._xlws.FILTER($B$4:$B$17,ISNUMBER(SEARCH($B28,INDIRECT(ADDRESS(4, MATCH(AP$19,$3:$3)) &amp; ":" &amp; ADDRESS(15, MATCH(AP$19,$3:$3))))))), "")</f>
        <v/>
      </c>
      <c r="AQ28" s="15" t="str" cm="1">
        <f t="array" aca="1" ref="AQ28" ca="1">IFERROR(_xlfn.TEXTJOIN("、",TRUE,_xlfn._xlws.FILTER($B$4:$B$17,ISNUMBER(SEARCH($B28,INDIRECT(ADDRESS(4, MATCH(AQ$19,$3:$3)) &amp; ":" &amp; ADDRESS(15, MATCH(AQ$19,$3:$3))))))), "")</f>
        <v/>
      </c>
      <c r="AR28" s="15" t="str" cm="1">
        <f t="array" aca="1" ref="AR28" ca="1">IFERROR(_xlfn.TEXTJOIN("、",TRUE,_xlfn._xlws.FILTER($B$4:$B$17,ISNUMBER(SEARCH($B28,INDIRECT(ADDRESS(4, MATCH(AR$19,$3:$3)) &amp; ":" &amp; ADDRESS(15, MATCH(AR$19,$3:$3))))))), "")</f>
        <v/>
      </c>
      <c r="AS28" s="15" t="str" cm="1">
        <f t="array" aca="1" ref="AS28" ca="1">IFERROR(_xlfn.TEXTJOIN("、",TRUE,_xlfn._xlws.FILTER($B$4:$B$17,ISNUMBER(SEARCH($B28,INDIRECT(ADDRESS(4, MATCH(AS$19,$3:$3)) &amp; ":" &amp; ADDRESS(15, MATCH(AS$19,$3:$3))))))), "")</f>
        <v/>
      </c>
      <c r="AT28" s="15" t="str" cm="1">
        <f t="array" aca="1" ref="AT28" ca="1">IFERROR(_xlfn.TEXTJOIN("、",TRUE,_xlfn._xlws.FILTER($B$4:$B$17,ISNUMBER(SEARCH($B28,INDIRECT(ADDRESS(4, MATCH(AT$19,$3:$3)) &amp; ":" &amp; ADDRESS(15, MATCH(AT$19,$3:$3))))))), "")</f>
        <v/>
      </c>
      <c r="AU28" s="15" t="str" cm="1">
        <f t="array" aca="1" ref="AU28" ca="1">IFERROR(_xlfn.TEXTJOIN("、",TRUE,_xlfn._xlws.FILTER($B$4:$B$17,ISNUMBER(SEARCH($B28,INDIRECT(ADDRESS(4, MATCH(AU$19,$3:$3)) &amp; ":" &amp; ADDRESS(15, MATCH(AU$19,$3:$3))))))), "")</f>
        <v/>
      </c>
      <c r="AV28" s="15" t="str" cm="1">
        <f t="array" aca="1" ref="AV28" ca="1">IFERROR(_xlfn.TEXTJOIN("、",TRUE,_xlfn._xlws.FILTER($B$4:$B$17,ISNUMBER(SEARCH($B28,INDIRECT(ADDRESS(4, MATCH(AV$19,$3:$3)) &amp; ":" &amp; ADDRESS(15, MATCH(AV$19,$3:$3))))))), "")</f>
        <v/>
      </c>
      <c r="AW28" s="15" t="str" cm="1">
        <f t="array" aca="1" ref="AW28" ca="1">IFERROR(_xlfn.TEXTJOIN("、",TRUE,_xlfn._xlws.FILTER($B$4:$B$17,ISNUMBER(SEARCH($B28,INDIRECT(ADDRESS(4, MATCH(AW$19,$3:$3)) &amp; ":" &amp; ADDRESS(15, MATCH(AW$19,$3:$3))))))), "")</f>
        <v/>
      </c>
      <c r="AX28" s="15" t="str" cm="1">
        <f t="array" aca="1" ref="AX28" ca="1">IFERROR(_xlfn.TEXTJOIN("、",TRUE,_xlfn._xlws.FILTER($B$4:$B$17,ISNUMBER(SEARCH($B28,INDIRECT(ADDRESS(4, MATCH(AX$19,$3:$3)) &amp; ":" &amp; ADDRESS(15, MATCH(AX$19,$3:$3))))))), "")</f>
        <v/>
      </c>
      <c r="AY28" s="15" t="str" cm="1">
        <f t="array" aca="1" ref="AY28" ca="1">IFERROR(_xlfn.TEXTJOIN("、",TRUE,_xlfn._xlws.FILTER($B$4:$B$17,ISNUMBER(SEARCH($B28,INDIRECT(ADDRESS(4, MATCH(AY$19,$3:$3)) &amp; ":" &amp; ADDRESS(15, MATCH(AY$19,$3:$3))))))), "")</f>
        <v/>
      </c>
      <c r="AZ28" s="15" t="str" cm="1">
        <f t="array" aca="1" ref="AZ28" ca="1">IFERROR(_xlfn.TEXTJOIN("、",TRUE,_xlfn._xlws.FILTER($B$4:$B$17,ISNUMBER(SEARCH($B28,INDIRECT(ADDRESS(4, MATCH(AZ$19,$3:$3)) &amp; ":" &amp; ADDRESS(15, MATCH(AZ$19,$3:$3))))))), "")</f>
        <v/>
      </c>
      <c r="BA28" s="15" t="str" cm="1">
        <f t="array" aca="1" ref="BA28" ca="1">IFERROR(_xlfn.TEXTJOIN("、",TRUE,_xlfn._xlws.FILTER($B$4:$B$17,ISNUMBER(SEARCH($B28,INDIRECT(ADDRESS(4, MATCH(BA$19,$3:$3)) &amp; ":" &amp; ADDRESS(15, MATCH(BA$19,$3:$3))))))), "")</f>
        <v/>
      </c>
      <c r="BB28" s="15" t="str" cm="1">
        <f t="array" aca="1" ref="BB28" ca="1">IFERROR(_xlfn.TEXTJOIN("、",TRUE,_xlfn._xlws.FILTER($B$4:$B$17,ISNUMBER(SEARCH($B28,INDIRECT(ADDRESS(4, MATCH(BB$19,$3:$3)) &amp; ":" &amp; ADDRESS(15, MATCH(BB$19,$3:$3))))))), "")</f>
        <v/>
      </c>
      <c r="BC28" s="15" t="str" cm="1">
        <f t="array" aca="1" ref="BC28" ca="1">IFERROR(_xlfn.TEXTJOIN("、",TRUE,_xlfn._xlws.FILTER($B$4:$B$17,ISNUMBER(SEARCH($B28,INDIRECT(ADDRESS(4, MATCH(BC$19,$3:$3)) &amp; ":" &amp; ADDRESS(15, MATCH(BC$19,$3:$3))))))), "")</f>
        <v/>
      </c>
      <c r="BD28" s="15" t="str" cm="1">
        <f t="array" aca="1" ref="BD28" ca="1">IFERROR(_xlfn.TEXTJOIN("、",TRUE,_xlfn._xlws.FILTER($B$4:$B$17,ISNUMBER(SEARCH($B28,INDIRECT(ADDRESS(4, MATCH(BD$19,$3:$3)) &amp; ":" &amp; ADDRESS(15, MATCH(BD$19,$3:$3))))))), "")</f>
        <v/>
      </c>
      <c r="BE28" s="15" t="str" cm="1">
        <f t="array" aca="1" ref="BE28" ca="1">IFERROR(_xlfn.TEXTJOIN("、",TRUE,_xlfn._xlws.FILTER($B$4:$B$17,ISNUMBER(SEARCH($B28,INDIRECT(ADDRESS(4, MATCH(BE$19,$3:$3)) &amp; ":" &amp; ADDRESS(15, MATCH(BE$19,$3:$3))))))), "")</f>
        <v/>
      </c>
      <c r="BF28" s="15" t="str" cm="1">
        <f t="array" aca="1" ref="BF28" ca="1">IFERROR(_xlfn.TEXTJOIN("、",TRUE,_xlfn._xlws.FILTER($B$4:$B$17,ISNUMBER(SEARCH($B28,INDIRECT(ADDRESS(4, MATCH(BF$19,$3:$3)) &amp; ":" &amp; ADDRESS(15, MATCH(BF$19,$3:$3))))))), "")</f>
        <v/>
      </c>
      <c r="BG28" s="15" t="str" cm="1">
        <f t="array" aca="1" ref="BG28" ca="1">IFERROR(_xlfn.TEXTJOIN("、",TRUE,_xlfn._xlws.FILTER($B$4:$B$17,ISNUMBER(SEARCH($B28,INDIRECT(ADDRESS(4, MATCH(BG$19,$3:$3)) &amp; ":" &amp; ADDRESS(15, MATCH(BG$19,$3:$3))))))), "")</f>
        <v/>
      </c>
      <c r="BH28" s="15" t="str" cm="1">
        <f t="array" aca="1" ref="BH28" ca="1">IFERROR(_xlfn.TEXTJOIN("、",TRUE,_xlfn._xlws.FILTER($B$4:$B$17,ISNUMBER(SEARCH($B28,INDIRECT(ADDRESS(4, MATCH(BH$19,$3:$3)) &amp; ":" &amp; ADDRESS(15, MATCH(BH$19,$3:$3))))))), "")</f>
        <v/>
      </c>
      <c r="BI28" s="15" t="str" cm="1">
        <f t="array" aca="1" ref="BI28" ca="1">IFERROR(_xlfn.TEXTJOIN("、",TRUE,_xlfn._xlws.FILTER($B$4:$B$17,ISNUMBER(SEARCH($B28,INDIRECT(ADDRESS(4, MATCH(BI$19,$3:$3)) &amp; ":" &amp; ADDRESS(15, MATCH(BI$19,$3:$3))))))), "")</f>
        <v/>
      </c>
      <c r="BJ28" s="15" t="str" cm="1">
        <f t="array" aca="1" ref="BJ28" ca="1">IFERROR(_xlfn.TEXTJOIN("、",TRUE,_xlfn._xlws.FILTER($B$4:$B$17,ISNUMBER(SEARCH($B28,INDIRECT(ADDRESS(4, MATCH(BJ$19,$3:$3)) &amp; ":" &amp; ADDRESS(15, MATCH(BJ$19,$3:$3))))))), "")</f>
        <v/>
      </c>
      <c r="BK28" s="15" t="str" cm="1">
        <f t="array" aca="1" ref="BK28" ca="1">IFERROR(_xlfn.TEXTJOIN("、",TRUE,_xlfn._xlws.FILTER($B$4:$B$17,ISNUMBER(SEARCH($B28,INDIRECT(ADDRESS(4, MATCH(BK$19,$3:$3)) &amp; ":" &amp; ADDRESS(15, MATCH(BK$19,$3:$3))))))), "")</f>
        <v/>
      </c>
      <c r="BL28" s="15" t="str" cm="1">
        <f t="array" aca="1" ref="BL28" ca="1">IFERROR(_xlfn.TEXTJOIN("、",TRUE,_xlfn._xlws.FILTER($B$4:$B$17,ISNUMBER(SEARCH($B28,INDIRECT(ADDRESS(4, MATCH(BL$19,$3:$3)) &amp; ":" &amp; ADDRESS(15, MATCH(BL$19,$3:$3))))))), "")</f>
        <v/>
      </c>
      <c r="BM28" s="15" t="str" cm="1">
        <f t="array" aca="1" ref="BM28" ca="1">IFERROR(_xlfn.TEXTJOIN("、",TRUE,_xlfn._xlws.FILTER($B$4:$B$17,ISNUMBER(SEARCH($B28,INDIRECT(ADDRESS(4, MATCH(BM$19,$3:$3)) &amp; ":" &amp; ADDRESS(15, MATCH(BM$19,$3:$3))))))), "")</f>
        <v/>
      </c>
      <c r="BN28" s="15" t="str" cm="1">
        <f t="array" aca="1" ref="BN28" ca="1">IFERROR(_xlfn.TEXTJOIN("、",TRUE,_xlfn._xlws.FILTER($B$4:$B$17,ISNUMBER(SEARCH($B28,INDIRECT(ADDRESS(4, MATCH(BN$19,$3:$3)) &amp; ":" &amp; ADDRESS(15, MATCH(BN$19,$3:$3))))))), "")</f>
        <v/>
      </c>
      <c r="BO28" s="15" t="str" cm="1">
        <f t="array" aca="1" ref="BO28" ca="1">IFERROR(_xlfn.TEXTJOIN("、",TRUE,_xlfn._xlws.FILTER($B$4:$B$17,ISNUMBER(SEARCH($B28,INDIRECT(ADDRESS(4, MATCH(BO$19,$3:$3)) &amp; ":" &amp; ADDRESS(15, MATCH(BO$19,$3:$3))))))), "")</f>
        <v/>
      </c>
      <c r="BP28" s="15" t="str" cm="1">
        <f t="array" aca="1" ref="BP28" ca="1">IFERROR(_xlfn.TEXTJOIN("、",TRUE,_xlfn._xlws.FILTER($B$4:$B$17,ISNUMBER(SEARCH($B28,INDIRECT(ADDRESS(4, MATCH(BP$19,$3:$3)) &amp; ":" &amp; ADDRESS(15, MATCH(BP$19,$3:$3))))))), "")</f>
        <v/>
      </c>
      <c r="BQ28" s="15" t="str" cm="1">
        <f t="array" aca="1" ref="BQ28" ca="1">IFERROR(_xlfn.TEXTJOIN("、",TRUE,_xlfn._xlws.FILTER($B$4:$B$17,ISNUMBER(SEARCH($B28,INDIRECT(ADDRESS(4, MATCH(BQ$19,$3:$3)) &amp; ":" &amp; ADDRESS(15, MATCH(BQ$19,$3:$3))))))), "")</f>
        <v/>
      </c>
      <c r="BR28" s="15" t="str" cm="1">
        <f t="array" aca="1" ref="BR28" ca="1">IFERROR(_xlfn.TEXTJOIN("、",TRUE,_xlfn._xlws.FILTER($B$4:$B$17,ISNUMBER(SEARCH($B28,INDIRECT(ADDRESS(4, MATCH(BR$19,$3:$3)) &amp; ":" &amp; ADDRESS(15, MATCH(BR$19,$3:$3))))))), "")</f>
        <v/>
      </c>
      <c r="BS28" s="15" t="str" cm="1">
        <f t="array" aca="1" ref="BS28" ca="1">IFERROR(_xlfn.TEXTJOIN("、",TRUE,_xlfn._xlws.FILTER($B$4:$B$17,ISNUMBER(SEARCH($B28,INDIRECT(ADDRESS(4, MATCH(BS$19,$3:$3)) &amp; ":" &amp; ADDRESS(15, MATCH(BS$19,$3:$3))))))), "")</f>
        <v/>
      </c>
      <c r="BT28" s="15" t="str" cm="1">
        <f t="array" aca="1" ref="BT28" ca="1">IFERROR(_xlfn.TEXTJOIN("、",TRUE,_xlfn._xlws.FILTER($B$4:$B$17,ISNUMBER(SEARCH($B28,INDIRECT(ADDRESS(4, MATCH(BT$19,$3:$3)) &amp; ":" &amp; ADDRESS(15, MATCH(BT$19,$3:$3))))))), "")</f>
        <v/>
      </c>
      <c r="BU28" s="15" t="str" cm="1">
        <f t="array" aca="1" ref="BU28" ca="1">IFERROR(_xlfn.TEXTJOIN("、",TRUE,_xlfn._xlws.FILTER($B$4:$B$17,ISNUMBER(SEARCH($B28,INDIRECT(ADDRESS(4, MATCH(BU$19,$3:$3)) &amp; ":" &amp; ADDRESS(15, MATCH(BU$19,$3:$3))))))), "")</f>
        <v/>
      </c>
      <c r="BV28" s="15" t="str" cm="1">
        <f t="array" aca="1" ref="BV28" ca="1">IFERROR(_xlfn.TEXTJOIN("、",TRUE,_xlfn._xlws.FILTER($B$4:$B$17,ISNUMBER(SEARCH($B28,INDIRECT(ADDRESS(4, MATCH(BV$19,$3:$3)) &amp; ":" &amp; ADDRESS(15, MATCH(BV$19,$3:$3))))))), "")</f>
        <v/>
      </c>
      <c r="BW28" s="15" t="str" cm="1">
        <f t="array" aca="1" ref="BW28" ca="1">IFERROR(_xlfn.TEXTJOIN("、",TRUE,_xlfn._xlws.FILTER($B$4:$B$17,ISNUMBER(SEARCH($B28,INDIRECT(ADDRESS(4, MATCH(BW$19,$3:$3)) &amp; ":" &amp; ADDRESS(15, MATCH(BW$19,$3:$3))))))), "")</f>
        <v/>
      </c>
      <c r="BX28" s="15" t="str" cm="1">
        <f t="array" aca="1" ref="BX28" ca="1">IFERROR(_xlfn.TEXTJOIN("、",TRUE,_xlfn._xlws.FILTER($B$4:$B$17,ISNUMBER(SEARCH($B28,INDIRECT(ADDRESS(4, MATCH(BX$19,$3:$3)) &amp; ":" &amp; ADDRESS(15, MATCH(BX$19,$3:$3))))))), "")</f>
        <v/>
      </c>
      <c r="BY28" s="15" t="str" cm="1">
        <f t="array" aca="1" ref="BY28" ca="1">IFERROR(_xlfn.TEXTJOIN("、",TRUE,_xlfn._xlws.FILTER($B$4:$B$17,ISNUMBER(SEARCH($B28,INDIRECT(ADDRESS(4, MATCH(BY$19,$3:$3)) &amp; ":" &amp; ADDRESS(15, MATCH(BY$19,$3:$3))))))), "")</f>
        <v/>
      </c>
      <c r="BZ28" s="15" t="str" cm="1">
        <f t="array" aca="1" ref="BZ28" ca="1">IFERROR(_xlfn.TEXTJOIN("、",TRUE,_xlfn._xlws.FILTER($B$4:$B$17,ISNUMBER(SEARCH($B28,INDIRECT(ADDRESS(4, MATCH(BZ$19,$3:$3)) &amp; ":" &amp; ADDRESS(15, MATCH(BZ$19,$3:$3))))))), "")</f>
        <v/>
      </c>
      <c r="CA28" s="15" t="str" cm="1">
        <f t="array" aca="1" ref="CA28" ca="1">IFERROR(_xlfn.TEXTJOIN("、",TRUE,_xlfn._xlws.FILTER($B$4:$B$17,ISNUMBER(SEARCH($B28,INDIRECT(ADDRESS(4, MATCH(CA$19,$3:$3)) &amp; ":" &amp; ADDRESS(15, MATCH(CA$19,$3:$3))))))), "")</f>
        <v/>
      </c>
      <c r="CB28" s="15" t="str" cm="1">
        <f t="array" aca="1" ref="CB28" ca="1">IFERROR(_xlfn.TEXTJOIN("、",TRUE,_xlfn._xlws.FILTER($B$4:$B$17,ISNUMBER(SEARCH($B28,INDIRECT(ADDRESS(4, MATCH(CB$19,$3:$3)) &amp; ":" &amp; ADDRESS(15, MATCH(CB$19,$3:$3))))))), "")</f>
        <v/>
      </c>
      <c r="CC28" s="15" t="str" cm="1">
        <f t="array" aca="1" ref="CC28" ca="1">IFERROR(_xlfn.TEXTJOIN("、",TRUE,_xlfn._xlws.FILTER($B$4:$B$17,ISNUMBER(SEARCH($B28,INDIRECT(ADDRESS(4, MATCH(CC$19,$3:$3)) &amp; ":" &amp; ADDRESS(15, MATCH(CC$19,$3:$3))))))), "")</f>
        <v/>
      </c>
      <c r="CD28" s="15" t="str" cm="1">
        <f t="array" aca="1" ref="CD28" ca="1">IFERROR(_xlfn.TEXTJOIN("、",TRUE,_xlfn._xlws.FILTER($B$4:$B$17,ISNUMBER(SEARCH($B28,INDIRECT(ADDRESS(4, MATCH(CD$19,$3:$3)) &amp; ":" &amp; ADDRESS(15, MATCH(CD$19,$3:$3))))))), "")</f>
        <v/>
      </c>
      <c r="CE28" s="15" t="str" cm="1">
        <f t="array" aca="1" ref="CE28" ca="1">IFERROR(_xlfn.TEXTJOIN("、",TRUE,_xlfn._xlws.FILTER($B$4:$B$17,ISNUMBER(SEARCH($B28,INDIRECT(ADDRESS(4, MATCH(CE$19,$3:$3)) &amp; ":" &amp; ADDRESS(15, MATCH(CE$19,$3:$3))))))), "")</f>
        <v/>
      </c>
      <c r="CF28" s="15" t="str" cm="1">
        <f t="array" aca="1" ref="CF28" ca="1">IFERROR(_xlfn.TEXTJOIN("、",TRUE,_xlfn._xlws.FILTER($B$4:$B$17,ISNUMBER(SEARCH($B28,INDIRECT(ADDRESS(4, MATCH(CF$19,$3:$3)) &amp; ":" &amp; ADDRESS(15, MATCH(CF$19,$3:$3))))))), "")</f>
        <v/>
      </c>
      <c r="CG28" s="15" t="str" cm="1">
        <f t="array" aca="1" ref="CG28" ca="1">IFERROR(_xlfn.TEXTJOIN("、",TRUE,_xlfn._xlws.FILTER($B$4:$B$17,ISNUMBER(SEARCH($B28,INDIRECT(ADDRESS(4, MATCH(CG$19,$3:$3)) &amp; ":" &amp; ADDRESS(15, MATCH(CG$19,$3:$3))))))), "")</f>
        <v/>
      </c>
      <c r="CH28" s="15" t="str" cm="1">
        <f t="array" aca="1" ref="CH28" ca="1">IFERROR(_xlfn.TEXTJOIN("、",TRUE,_xlfn._xlws.FILTER($B$4:$B$17,ISNUMBER(SEARCH($B28,INDIRECT(ADDRESS(4, MATCH(CH$19,$3:$3)) &amp; ":" &amp; ADDRESS(15, MATCH(CH$19,$3:$3))))))), "")</f>
        <v/>
      </c>
      <c r="CI28" s="15" t="str" cm="1">
        <f t="array" aca="1" ref="CI28" ca="1">IFERROR(_xlfn.TEXTJOIN("、",TRUE,_xlfn._xlws.FILTER($B$4:$B$17,ISNUMBER(SEARCH($B28,INDIRECT(ADDRESS(4, MATCH(CI$19,$3:$3)) &amp; ":" &amp; ADDRESS(15, MATCH(CI$19,$3:$3))))))), "")</f>
        <v/>
      </c>
      <c r="CJ28" s="15" t="str" cm="1">
        <f t="array" aca="1" ref="CJ28" ca="1">IFERROR(_xlfn.TEXTJOIN("、",TRUE,_xlfn._xlws.FILTER($B$4:$B$17,ISNUMBER(SEARCH($B28,INDIRECT(ADDRESS(4, MATCH(CJ$19,$3:$3)) &amp; ":" &amp; ADDRESS(15, MATCH(CJ$19,$3:$3))))))), "")</f>
        <v/>
      </c>
      <c r="CK28" s="15" t="str" cm="1">
        <f t="array" aca="1" ref="CK28" ca="1">IFERROR(_xlfn.TEXTJOIN("、",TRUE,_xlfn._xlws.FILTER($B$4:$B$17,ISNUMBER(SEARCH($B28,INDIRECT(ADDRESS(4, MATCH(CK$19,$3:$3)) &amp; ":" &amp; ADDRESS(15, MATCH(CK$19,$3:$3))))))), "")</f>
        <v/>
      </c>
      <c r="CL28" s="15" t="str" cm="1">
        <f t="array" aca="1" ref="CL28" ca="1">IFERROR(_xlfn.TEXTJOIN("、",TRUE,_xlfn._xlws.FILTER($B$4:$B$17,ISNUMBER(SEARCH($B28,INDIRECT(ADDRESS(4, MATCH(CL$19,$3:$3)) &amp; ":" &amp; ADDRESS(15, MATCH(CL$19,$3:$3))))))), "")</f>
        <v/>
      </c>
      <c r="CM28" s="15" t="str" cm="1">
        <f t="array" aca="1" ref="CM28" ca="1">IFERROR(_xlfn.TEXTJOIN("、",TRUE,_xlfn._xlws.FILTER($B$4:$B$17,ISNUMBER(SEARCH($B28,INDIRECT(ADDRESS(4, MATCH(CM$19,$3:$3)) &amp; ":" &amp; ADDRESS(15, MATCH(CM$19,$3:$3))))))), "")</f>
        <v/>
      </c>
      <c r="CN28" s="15" t="str" cm="1">
        <f t="array" aca="1" ref="CN28" ca="1">IFERROR(_xlfn.TEXTJOIN("、",TRUE,_xlfn._xlws.FILTER($B$4:$B$17,ISNUMBER(SEARCH($B28,INDIRECT(ADDRESS(4, MATCH(CN$19,$3:$3)) &amp; ":" &amp; ADDRESS(15, MATCH(CN$19,$3:$3))))))), "")</f>
        <v/>
      </c>
      <c r="CO28" s="15" t="str" cm="1">
        <f t="array" aca="1" ref="CO28" ca="1">IFERROR(_xlfn.TEXTJOIN("、",TRUE,_xlfn._xlws.FILTER($B$4:$B$17,ISNUMBER(SEARCH($B28,INDIRECT(ADDRESS(4, MATCH(CO$19,$3:$3)) &amp; ":" &amp; ADDRESS(15, MATCH(CO$19,$3:$3))))))), "")</f>
        <v/>
      </c>
      <c r="CP28" s="15" t="str" cm="1">
        <f t="array" aca="1" ref="CP28" ca="1">IFERROR(_xlfn.TEXTJOIN("、",TRUE,_xlfn._xlws.FILTER($B$4:$B$17,ISNUMBER(SEARCH($B28,INDIRECT(ADDRESS(4, MATCH(CP$19,$3:$3)) &amp; ":" &amp; ADDRESS(15, MATCH(CP$19,$3:$3))))))), "")</f>
        <v/>
      </c>
      <c r="CU28" s="138"/>
      <c r="CV28" s="139" t="s">
        <v>201</v>
      </c>
      <c r="CW28" s="140"/>
      <c r="CX28" s="146" t="s">
        <v>645</v>
      </c>
      <c r="CY28" s="139" t="s">
        <v>204</v>
      </c>
      <c r="CZ28" s="139" t="s">
        <v>322</v>
      </c>
      <c r="DA28" s="140"/>
      <c r="DB28" s="140"/>
    </row>
    <row r="29" spans="2:106" ht="19.5" thickBot="1">
      <c r="B29" s="37" t="s">
        <v>326</v>
      </c>
      <c r="C29" s="15" t="str" cm="1">
        <f t="array" aca="1" ref="C29" ca="1">IFERROR(_xlfn.TEXTJOIN("、",TRUE,_xlfn._xlws.FILTER($B$4:$B$17,ISNUMBER(SEARCH($B29,INDIRECT(ADDRESS(4, MATCH(C$19,$3:$3)) &amp; ":" &amp; ADDRESS(15, MATCH(C$19,$3:$3))))))), "")</f>
        <v/>
      </c>
      <c r="D29" s="15" t="str" cm="1">
        <f t="array" aca="1" ref="D29" ca="1">IFERROR(_xlfn.TEXTJOIN("、",TRUE,_xlfn._xlws.FILTER($B$4:$B$17,ISNUMBER(SEARCH($B29,INDIRECT(ADDRESS(4, MATCH(D$19,$3:$3)) &amp; ":" &amp; ADDRESS(15, MATCH(D$19,$3:$3))))))), "")</f>
        <v/>
      </c>
      <c r="E29" s="15" t="str" cm="1">
        <f t="array" aca="1" ref="E29" ca="1">IFERROR(_xlfn.TEXTJOIN("、",TRUE,_xlfn._xlws.FILTER($B$4:$B$17,ISNUMBER(SEARCH($B29,INDIRECT(ADDRESS(4, MATCH(E$19,$3:$3)) &amp; ":" &amp; ADDRESS(15, MATCH(E$19,$3:$3))))))), "")</f>
        <v/>
      </c>
      <c r="F29" s="15" t="str" cm="1">
        <f t="array" aca="1" ref="F29" ca="1">IFERROR(_xlfn.TEXTJOIN("、",TRUE,_xlfn._xlws.FILTER($B$4:$B$17,ISNUMBER(SEARCH($B29,INDIRECT(ADDRESS(4, MATCH(F$19,$3:$3)) &amp; ":" &amp; ADDRESS(15, MATCH(F$19,$3:$3))))))), "")</f>
        <v/>
      </c>
      <c r="G29" s="15" t="str" cm="1">
        <f t="array" aca="1" ref="G29" ca="1">IFERROR(_xlfn.TEXTJOIN("、",TRUE,_xlfn._xlws.FILTER($B$4:$B$17,ISNUMBER(SEARCH($B29,INDIRECT(ADDRESS(4, MATCH(G$19,$3:$3)) &amp; ":" &amp; ADDRESS(15, MATCH(G$19,$3:$3))))))), "")</f>
        <v/>
      </c>
      <c r="H29" s="15" t="str" cm="1">
        <f t="array" aca="1" ref="H29" ca="1">IFERROR(_xlfn.TEXTJOIN("、",TRUE,_xlfn._xlws.FILTER($B$4:$B$17,ISNUMBER(SEARCH($B29,INDIRECT(ADDRESS(4, MATCH(H$19,$3:$3)) &amp; ":" &amp; ADDRESS(15, MATCH(H$19,$3:$3))))))), "")</f>
        <v/>
      </c>
      <c r="I29" s="15" t="str" cm="1">
        <f t="array" aca="1" ref="I29" ca="1">IFERROR(_xlfn.TEXTJOIN("、",TRUE,_xlfn._xlws.FILTER($B$4:$B$17,ISNUMBER(SEARCH($B29,INDIRECT(ADDRESS(4, MATCH(I$19,$3:$3)) &amp; ":" &amp; ADDRESS(15, MATCH(I$19,$3:$3))))))), "")</f>
        <v/>
      </c>
      <c r="J29" s="15" t="str" cm="1">
        <f t="array" aca="1" ref="J29" ca="1">IFERROR(_xlfn.TEXTJOIN("、",TRUE,_xlfn._xlws.FILTER($B$4:$B$17,ISNUMBER(SEARCH($B29,INDIRECT(ADDRESS(4, MATCH(J$19,$3:$3)) &amp; ":" &amp; ADDRESS(15, MATCH(J$19,$3:$3))))))), "")</f>
        <v/>
      </c>
      <c r="K29" s="15" t="str" cm="1">
        <f t="array" aca="1" ref="K29" ca="1">IFERROR(_xlfn.TEXTJOIN("、",TRUE,_xlfn._xlws.FILTER($B$4:$B$17,ISNUMBER(SEARCH($B29,INDIRECT(ADDRESS(4, MATCH(K$19,$3:$3)) &amp; ":" &amp; ADDRESS(15, MATCH(K$19,$3:$3))))))), "")</f>
        <v/>
      </c>
      <c r="L29" s="15" t="str" cm="1">
        <f t="array" aca="1" ref="L29" ca="1">IFERROR(_xlfn.TEXTJOIN("、",TRUE,_xlfn._xlws.FILTER($B$4:$B$17,ISNUMBER(SEARCH($B29,INDIRECT(ADDRESS(4, MATCH(L$19,$3:$3)) &amp; ":" &amp; ADDRESS(15, MATCH(L$19,$3:$3))))))), "")</f>
        <v/>
      </c>
      <c r="M29" s="15" t="str" cm="1">
        <f t="array" aca="1" ref="M29" ca="1">IFERROR(_xlfn.TEXTJOIN("、",TRUE,_xlfn._xlws.FILTER($B$4:$B$17,ISNUMBER(SEARCH($B29,INDIRECT(ADDRESS(4, MATCH(M$19,$3:$3)) &amp; ":" &amp; ADDRESS(15, MATCH(M$19,$3:$3))))))), "")</f>
        <v/>
      </c>
      <c r="N29" s="15" t="str" cm="1">
        <f t="array" aca="1" ref="N29" ca="1">IFERROR(_xlfn.TEXTJOIN("、",TRUE,_xlfn._xlws.FILTER($B$4:$B$17,ISNUMBER(SEARCH($B29,INDIRECT(ADDRESS(4, MATCH(N$19,$3:$3)) &amp; ":" &amp; ADDRESS(15, MATCH(N$19,$3:$3))))))), "")</f>
        <v/>
      </c>
      <c r="O29" s="15" t="str" cm="1">
        <f t="array" aca="1" ref="O29" ca="1">IFERROR(_xlfn.TEXTJOIN("、",TRUE,_xlfn._xlws.FILTER($B$4:$B$17,ISNUMBER(SEARCH($B29,INDIRECT(ADDRESS(4, MATCH(O$19,$3:$3)) &amp; ":" &amp; ADDRESS(15, MATCH(O$19,$3:$3))))))), "")</f>
        <v/>
      </c>
      <c r="P29" s="15" t="str" cm="1">
        <f t="array" aca="1" ref="P29" ca="1">IFERROR(_xlfn.TEXTJOIN("、",TRUE,_xlfn._xlws.FILTER($B$4:$B$17,ISNUMBER(SEARCH($B29,INDIRECT(ADDRESS(4, MATCH(P$19,$3:$3)) &amp; ":" &amp; ADDRESS(15, MATCH(P$19,$3:$3))))))), "")</f>
        <v/>
      </c>
      <c r="Q29" s="15" t="str" cm="1">
        <f t="array" aca="1" ref="Q29" ca="1">IFERROR(_xlfn.TEXTJOIN("、",TRUE,_xlfn._xlws.FILTER($B$4:$B$17,ISNUMBER(SEARCH($B29,INDIRECT(ADDRESS(4, MATCH(Q$19,$3:$3)) &amp; ":" &amp; ADDRESS(15, MATCH(Q$19,$3:$3))))))), "")</f>
        <v/>
      </c>
      <c r="R29" s="15" t="str" cm="1">
        <f t="array" aca="1" ref="R29" ca="1">IFERROR(_xlfn.TEXTJOIN("、",TRUE,_xlfn._xlws.FILTER($B$4:$B$17,ISNUMBER(SEARCH($B29,INDIRECT(ADDRESS(4, MATCH(R$19,$3:$3)) &amp; ":" &amp; ADDRESS(15, MATCH(R$19,$3:$3))))))), "")</f>
        <v/>
      </c>
      <c r="S29" s="15" t="str" cm="1">
        <f t="array" aca="1" ref="S29" ca="1">IFERROR(_xlfn.TEXTJOIN("、",TRUE,_xlfn._xlws.FILTER($B$4:$B$17,ISNUMBER(SEARCH($B29,INDIRECT(ADDRESS(4, MATCH(S$19,$3:$3)) &amp; ":" &amp; ADDRESS(15, MATCH(S$19,$3:$3))))))), "")</f>
        <v/>
      </c>
      <c r="T29" s="15" t="str" cm="1">
        <f t="array" aca="1" ref="T29" ca="1">IFERROR(_xlfn.TEXTJOIN("、",TRUE,_xlfn._xlws.FILTER($B$4:$B$17,ISNUMBER(SEARCH($B29,INDIRECT(ADDRESS(4, MATCH(T$19,$3:$3)) &amp; ":" &amp; ADDRESS(15, MATCH(T$19,$3:$3))))))), "")</f>
        <v/>
      </c>
      <c r="U29" s="15" t="str" cm="1">
        <f t="array" aca="1" ref="U29" ca="1">IFERROR(_xlfn.TEXTJOIN("、",TRUE,_xlfn._xlws.FILTER($B$4:$B$17,ISNUMBER(SEARCH($B29,INDIRECT(ADDRESS(4, MATCH(U$19,$3:$3)) &amp; ":" &amp; ADDRESS(15, MATCH(U$19,$3:$3))))))), "")</f>
        <v/>
      </c>
      <c r="V29" s="15" t="str" cm="1">
        <f t="array" aca="1" ref="V29" ca="1">IFERROR(_xlfn.TEXTJOIN("、",TRUE,_xlfn._xlws.FILTER($B$4:$B$17,ISNUMBER(SEARCH($B29,INDIRECT(ADDRESS(4, MATCH(V$19,$3:$3)) &amp; ":" &amp; ADDRESS(15, MATCH(V$19,$3:$3))))))), "")</f>
        <v/>
      </c>
      <c r="W29" s="15" t="str" cm="1">
        <f t="array" aca="1" ref="W29" ca="1">IFERROR(_xlfn.TEXTJOIN("、",TRUE,_xlfn._xlws.FILTER($B$4:$B$17,ISNUMBER(SEARCH($B29,INDIRECT(ADDRESS(4, MATCH(W$19,$3:$3)) &amp; ":" &amp; ADDRESS(15, MATCH(W$19,$3:$3))))))), "")</f>
        <v/>
      </c>
      <c r="X29" s="15" t="str" cm="1">
        <f t="array" aca="1" ref="X29" ca="1">IFERROR(_xlfn.TEXTJOIN("、",TRUE,_xlfn._xlws.FILTER($B$4:$B$17,ISNUMBER(SEARCH($B29,INDIRECT(ADDRESS(4, MATCH(X$19,$3:$3)) &amp; ":" &amp; ADDRESS(15, MATCH(X$19,$3:$3))))))), "")</f>
        <v/>
      </c>
      <c r="Y29" s="15" t="str" cm="1">
        <f t="array" aca="1" ref="Y29" ca="1">IFERROR(_xlfn.TEXTJOIN("、",TRUE,_xlfn._xlws.FILTER($B$4:$B$17,ISNUMBER(SEARCH($B29,INDIRECT(ADDRESS(4, MATCH(Y$19,$3:$3)) &amp; ":" &amp; ADDRESS(15, MATCH(Y$19,$3:$3))))))), "")</f>
        <v/>
      </c>
      <c r="Z29" s="15" t="str" cm="1">
        <f t="array" aca="1" ref="Z29" ca="1">IFERROR(_xlfn.TEXTJOIN("、",TRUE,_xlfn._xlws.FILTER($B$4:$B$17,ISNUMBER(SEARCH($B29,INDIRECT(ADDRESS(4, MATCH(Z$19,$3:$3)) &amp; ":" &amp; ADDRESS(15, MATCH(Z$19,$3:$3))))))), "")</f>
        <v/>
      </c>
      <c r="AA29" s="15" t="str" cm="1">
        <f t="array" aca="1" ref="AA29" ca="1">IFERROR(_xlfn.TEXTJOIN("、",TRUE,_xlfn._xlws.FILTER($B$4:$B$17,ISNUMBER(SEARCH($B29,INDIRECT(ADDRESS(4, MATCH(AA$19,$3:$3)) &amp; ":" &amp; ADDRESS(15, MATCH(AA$19,$3:$3))))))), "")</f>
        <v/>
      </c>
      <c r="AB29" s="15" t="str" cm="1">
        <f t="array" aca="1" ref="AB29" ca="1">IFERROR(_xlfn.TEXTJOIN("、",TRUE,_xlfn._xlws.FILTER($B$4:$B$17,ISNUMBER(SEARCH($B29,INDIRECT(ADDRESS(4, MATCH(AB$19,$3:$3)) &amp; ":" &amp; ADDRESS(15, MATCH(AB$19,$3:$3))))))), "")</f>
        <v/>
      </c>
      <c r="AC29" s="15" t="str" cm="1">
        <f t="array" aca="1" ref="AC29" ca="1">IFERROR(_xlfn.TEXTJOIN("、",TRUE,_xlfn._xlws.FILTER($B$4:$B$17,ISNUMBER(SEARCH($B29,INDIRECT(ADDRESS(4, MATCH(AC$19,$3:$3)) &amp; ":" &amp; ADDRESS(15, MATCH(AC$19,$3:$3))))))), "")</f>
        <v/>
      </c>
      <c r="AD29" s="15" t="str" cm="1">
        <f t="array" aca="1" ref="AD29" ca="1">IFERROR(_xlfn.TEXTJOIN("、",TRUE,_xlfn._xlws.FILTER($B$4:$B$17,ISNUMBER(SEARCH($B29,INDIRECT(ADDRESS(4, MATCH(AD$19,$3:$3)) &amp; ":" &amp; ADDRESS(15, MATCH(AD$19,$3:$3))))))), "")</f>
        <v/>
      </c>
      <c r="AE29" s="15" t="str" cm="1">
        <f t="array" aca="1" ref="AE29" ca="1">IFERROR(_xlfn.TEXTJOIN("、",TRUE,_xlfn._xlws.FILTER($B$4:$B$17,ISNUMBER(SEARCH($B29,INDIRECT(ADDRESS(4, MATCH(AE$19,$3:$3)) &amp; ":" &amp; ADDRESS(15, MATCH(AE$19,$3:$3))))))), "")</f>
        <v/>
      </c>
      <c r="AF29" s="15" t="str" cm="1">
        <f t="array" aca="1" ref="AF29" ca="1">IFERROR(_xlfn.TEXTJOIN("、",TRUE,_xlfn._xlws.FILTER($B$4:$B$17,ISNUMBER(SEARCH($B29,INDIRECT(ADDRESS(4, MATCH(AF$19,$3:$3)) &amp; ":" &amp; ADDRESS(15, MATCH(AF$19,$3:$3))))))), "")</f>
        <v/>
      </c>
      <c r="AG29" s="15" t="str" cm="1">
        <f t="array" aca="1" ref="AG29" ca="1">IFERROR(_xlfn.TEXTJOIN("、",TRUE,_xlfn._xlws.FILTER($B$4:$B$17,ISNUMBER(SEARCH($B29,INDIRECT(ADDRESS(4, MATCH(AG$19,$3:$3)) &amp; ":" &amp; ADDRESS(15, MATCH(AG$19,$3:$3))))))), "")</f>
        <v/>
      </c>
      <c r="AH29" s="15" t="str" cm="1">
        <f t="array" aca="1" ref="AH29" ca="1">IFERROR(_xlfn.TEXTJOIN("、",TRUE,_xlfn._xlws.FILTER($B$4:$B$17,ISNUMBER(SEARCH($B29,INDIRECT(ADDRESS(4, MATCH(AH$19,$3:$3)) &amp; ":" &amp; ADDRESS(15, MATCH(AH$19,$3:$3))))))), "")</f>
        <v/>
      </c>
      <c r="AI29" s="15" t="str" cm="1">
        <f t="array" aca="1" ref="AI29" ca="1">IFERROR(_xlfn.TEXTJOIN("、",TRUE,_xlfn._xlws.FILTER($B$4:$B$17,ISNUMBER(SEARCH($B29,INDIRECT(ADDRESS(4, MATCH(AI$19,$3:$3)) &amp; ":" &amp; ADDRESS(15, MATCH(AI$19,$3:$3))))))), "")</f>
        <v/>
      </c>
      <c r="AJ29" s="15" t="str" cm="1">
        <f t="array" aca="1" ref="AJ29" ca="1">IFERROR(_xlfn.TEXTJOIN("、",TRUE,_xlfn._xlws.FILTER($B$4:$B$17,ISNUMBER(SEARCH($B29,INDIRECT(ADDRESS(4, MATCH(AJ$19,$3:$3)) &amp; ":" &amp; ADDRESS(15, MATCH(AJ$19,$3:$3))))))), "")</f>
        <v/>
      </c>
      <c r="AK29" s="15" t="str" cm="1">
        <f t="array" aca="1" ref="AK29" ca="1">IFERROR(_xlfn.TEXTJOIN("、",TRUE,_xlfn._xlws.FILTER($B$4:$B$17,ISNUMBER(SEARCH($B29,INDIRECT(ADDRESS(4, MATCH(AK$19,$3:$3)) &amp; ":" &amp; ADDRESS(15, MATCH(AK$19,$3:$3))))))), "")</f>
        <v/>
      </c>
      <c r="AL29" s="15" t="str" cm="1">
        <f t="array" aca="1" ref="AL29" ca="1">IFERROR(_xlfn.TEXTJOIN("、",TRUE,_xlfn._xlws.FILTER($B$4:$B$17,ISNUMBER(SEARCH($B29,INDIRECT(ADDRESS(4, MATCH(AL$19,$3:$3)) &amp; ":" &amp; ADDRESS(15, MATCH(AL$19,$3:$3))))))), "")</f>
        <v/>
      </c>
      <c r="AM29" s="15" t="str" cm="1">
        <f t="array" aca="1" ref="AM29" ca="1">IFERROR(_xlfn.TEXTJOIN("、",TRUE,_xlfn._xlws.FILTER($B$4:$B$17,ISNUMBER(SEARCH($B29,INDIRECT(ADDRESS(4, MATCH(AM$19,$3:$3)) &amp; ":" &amp; ADDRESS(15, MATCH(AM$19,$3:$3))))))), "")</f>
        <v/>
      </c>
      <c r="AN29" s="15" t="str" cm="1">
        <f t="array" aca="1" ref="AN29" ca="1">IFERROR(_xlfn.TEXTJOIN("、",TRUE,_xlfn._xlws.FILTER($B$4:$B$17,ISNUMBER(SEARCH($B29,INDIRECT(ADDRESS(4, MATCH(AN$19,$3:$3)) &amp; ":" &amp; ADDRESS(15, MATCH(AN$19,$3:$3))))))), "")</f>
        <v/>
      </c>
      <c r="AO29" s="15" t="str" cm="1">
        <f t="array" aca="1" ref="AO29" ca="1">IFERROR(_xlfn.TEXTJOIN("、",TRUE,_xlfn._xlws.FILTER($B$4:$B$17,ISNUMBER(SEARCH($B29,INDIRECT(ADDRESS(4, MATCH(AO$19,$3:$3)) &amp; ":" &amp; ADDRESS(15, MATCH(AO$19,$3:$3))))))), "")</f>
        <v/>
      </c>
      <c r="AP29" s="15" t="str" cm="1">
        <f t="array" aca="1" ref="AP29" ca="1">IFERROR(_xlfn.TEXTJOIN("、",TRUE,_xlfn._xlws.FILTER($B$4:$B$17,ISNUMBER(SEARCH($B29,INDIRECT(ADDRESS(4, MATCH(AP$19,$3:$3)) &amp; ":" &amp; ADDRESS(15, MATCH(AP$19,$3:$3))))))), "")</f>
        <v/>
      </c>
      <c r="AQ29" s="15" t="str" cm="1">
        <f t="array" aca="1" ref="AQ29" ca="1">IFERROR(_xlfn.TEXTJOIN("、",TRUE,_xlfn._xlws.FILTER($B$4:$B$17,ISNUMBER(SEARCH($B29,INDIRECT(ADDRESS(4, MATCH(AQ$19,$3:$3)) &amp; ":" &amp; ADDRESS(15, MATCH(AQ$19,$3:$3))))))), "")</f>
        <v/>
      </c>
      <c r="AR29" s="15" t="str" cm="1">
        <f t="array" aca="1" ref="AR29" ca="1">IFERROR(_xlfn.TEXTJOIN("、",TRUE,_xlfn._xlws.FILTER($B$4:$B$17,ISNUMBER(SEARCH($B29,INDIRECT(ADDRESS(4, MATCH(AR$19,$3:$3)) &amp; ":" &amp; ADDRESS(15, MATCH(AR$19,$3:$3))))))), "")</f>
        <v/>
      </c>
      <c r="AS29" s="15" t="str" cm="1">
        <f t="array" aca="1" ref="AS29" ca="1">IFERROR(_xlfn.TEXTJOIN("、",TRUE,_xlfn._xlws.FILTER($B$4:$B$17,ISNUMBER(SEARCH($B29,INDIRECT(ADDRESS(4, MATCH(AS$19,$3:$3)) &amp; ":" &amp; ADDRESS(15, MATCH(AS$19,$3:$3))))))), "")</f>
        <v/>
      </c>
      <c r="AT29" s="15" t="str" cm="1">
        <f t="array" aca="1" ref="AT29" ca="1">IFERROR(_xlfn.TEXTJOIN("、",TRUE,_xlfn._xlws.FILTER($B$4:$B$17,ISNUMBER(SEARCH($B29,INDIRECT(ADDRESS(4, MATCH(AT$19,$3:$3)) &amp; ":" &amp; ADDRESS(15, MATCH(AT$19,$3:$3))))))), "")</f>
        <v/>
      </c>
      <c r="AU29" s="15" t="str" cm="1">
        <f t="array" aca="1" ref="AU29" ca="1">IFERROR(_xlfn.TEXTJOIN("、",TRUE,_xlfn._xlws.FILTER($B$4:$B$17,ISNUMBER(SEARCH($B29,INDIRECT(ADDRESS(4, MATCH(AU$19,$3:$3)) &amp; ":" &amp; ADDRESS(15, MATCH(AU$19,$3:$3))))))), "")</f>
        <v/>
      </c>
      <c r="AV29" s="15" t="str" cm="1">
        <f t="array" aca="1" ref="AV29" ca="1">IFERROR(_xlfn.TEXTJOIN("、",TRUE,_xlfn._xlws.FILTER($B$4:$B$17,ISNUMBER(SEARCH($B29,INDIRECT(ADDRESS(4, MATCH(AV$19,$3:$3)) &amp; ":" &amp; ADDRESS(15, MATCH(AV$19,$3:$3))))))), "")</f>
        <v/>
      </c>
      <c r="AW29" s="15" t="str" cm="1">
        <f t="array" aca="1" ref="AW29" ca="1">IFERROR(_xlfn.TEXTJOIN("、",TRUE,_xlfn._xlws.FILTER($B$4:$B$17,ISNUMBER(SEARCH($B29,INDIRECT(ADDRESS(4, MATCH(AW$19,$3:$3)) &amp; ":" &amp; ADDRESS(15, MATCH(AW$19,$3:$3))))))), "")</f>
        <v/>
      </c>
      <c r="AX29" s="15" t="str" cm="1">
        <f t="array" aca="1" ref="AX29" ca="1">IFERROR(_xlfn.TEXTJOIN("、",TRUE,_xlfn._xlws.FILTER($B$4:$B$17,ISNUMBER(SEARCH($B29,INDIRECT(ADDRESS(4, MATCH(AX$19,$3:$3)) &amp; ":" &amp; ADDRESS(15, MATCH(AX$19,$3:$3))))))), "")</f>
        <v/>
      </c>
      <c r="AY29" s="15" t="str" cm="1">
        <f t="array" aca="1" ref="AY29" ca="1">IFERROR(_xlfn.TEXTJOIN("、",TRUE,_xlfn._xlws.FILTER($B$4:$B$17,ISNUMBER(SEARCH($B29,INDIRECT(ADDRESS(4, MATCH(AY$19,$3:$3)) &amp; ":" &amp; ADDRESS(15, MATCH(AY$19,$3:$3))))))), "")</f>
        <v/>
      </c>
      <c r="AZ29" s="15" t="str" cm="1">
        <f t="array" aca="1" ref="AZ29" ca="1">IFERROR(_xlfn.TEXTJOIN("、",TRUE,_xlfn._xlws.FILTER($B$4:$B$17,ISNUMBER(SEARCH($B29,INDIRECT(ADDRESS(4, MATCH(AZ$19,$3:$3)) &amp; ":" &amp; ADDRESS(15, MATCH(AZ$19,$3:$3))))))), "")</f>
        <v/>
      </c>
      <c r="BA29" s="15" t="str" cm="1">
        <f t="array" aca="1" ref="BA29" ca="1">IFERROR(_xlfn.TEXTJOIN("、",TRUE,_xlfn._xlws.FILTER($B$4:$B$17,ISNUMBER(SEARCH($B29,INDIRECT(ADDRESS(4, MATCH(BA$19,$3:$3)) &amp; ":" &amp; ADDRESS(15, MATCH(BA$19,$3:$3))))))), "")</f>
        <v/>
      </c>
      <c r="BB29" s="15" t="str" cm="1">
        <f t="array" aca="1" ref="BB29" ca="1">IFERROR(_xlfn.TEXTJOIN("、",TRUE,_xlfn._xlws.FILTER($B$4:$B$17,ISNUMBER(SEARCH($B29,INDIRECT(ADDRESS(4, MATCH(BB$19,$3:$3)) &amp; ":" &amp; ADDRESS(15, MATCH(BB$19,$3:$3))))))), "")</f>
        <v/>
      </c>
      <c r="BC29" s="15" t="str" cm="1">
        <f t="array" aca="1" ref="BC29" ca="1">IFERROR(_xlfn.TEXTJOIN("、",TRUE,_xlfn._xlws.FILTER($B$4:$B$17,ISNUMBER(SEARCH($B29,INDIRECT(ADDRESS(4, MATCH(BC$19,$3:$3)) &amp; ":" &amp; ADDRESS(15, MATCH(BC$19,$3:$3))))))), "")</f>
        <v/>
      </c>
      <c r="BD29" s="15" t="str" cm="1">
        <f t="array" aca="1" ref="BD29" ca="1">IFERROR(_xlfn.TEXTJOIN("、",TRUE,_xlfn._xlws.FILTER($B$4:$B$17,ISNUMBER(SEARCH($B29,INDIRECT(ADDRESS(4, MATCH(BD$19,$3:$3)) &amp; ":" &amp; ADDRESS(15, MATCH(BD$19,$3:$3))))))), "")</f>
        <v/>
      </c>
      <c r="BE29" s="15" t="str" cm="1">
        <f t="array" aca="1" ref="BE29" ca="1">IFERROR(_xlfn.TEXTJOIN("、",TRUE,_xlfn._xlws.FILTER($B$4:$B$17,ISNUMBER(SEARCH($B29,INDIRECT(ADDRESS(4, MATCH(BE$19,$3:$3)) &amp; ":" &amp; ADDRESS(15, MATCH(BE$19,$3:$3))))))), "")</f>
        <v/>
      </c>
      <c r="BF29" s="15" t="str" cm="1">
        <f t="array" aca="1" ref="BF29" ca="1">IFERROR(_xlfn.TEXTJOIN("、",TRUE,_xlfn._xlws.FILTER($B$4:$B$17,ISNUMBER(SEARCH($B29,INDIRECT(ADDRESS(4, MATCH(BF$19,$3:$3)) &amp; ":" &amp; ADDRESS(15, MATCH(BF$19,$3:$3))))))), "")</f>
        <v/>
      </c>
      <c r="BG29" s="15" t="str" cm="1">
        <f t="array" aca="1" ref="BG29" ca="1">IFERROR(_xlfn.TEXTJOIN("、",TRUE,_xlfn._xlws.FILTER($B$4:$B$17,ISNUMBER(SEARCH($B29,INDIRECT(ADDRESS(4, MATCH(BG$19,$3:$3)) &amp; ":" &amp; ADDRESS(15, MATCH(BG$19,$3:$3))))))), "")</f>
        <v/>
      </c>
      <c r="BH29" s="15" t="str" cm="1">
        <f t="array" aca="1" ref="BH29" ca="1">IFERROR(_xlfn.TEXTJOIN("、",TRUE,_xlfn._xlws.FILTER($B$4:$B$17,ISNUMBER(SEARCH($B29,INDIRECT(ADDRESS(4, MATCH(BH$19,$3:$3)) &amp; ":" &amp; ADDRESS(15, MATCH(BH$19,$3:$3))))))), "")</f>
        <v/>
      </c>
      <c r="BI29" s="15" t="str" cm="1">
        <f t="array" aca="1" ref="BI29" ca="1">IFERROR(_xlfn.TEXTJOIN("、",TRUE,_xlfn._xlws.FILTER($B$4:$B$17,ISNUMBER(SEARCH($B29,INDIRECT(ADDRESS(4, MATCH(BI$19,$3:$3)) &amp; ":" &amp; ADDRESS(15, MATCH(BI$19,$3:$3))))))), "")</f>
        <v/>
      </c>
      <c r="BJ29" s="15" t="str" cm="1">
        <f t="array" aca="1" ref="BJ29" ca="1">IFERROR(_xlfn.TEXTJOIN("、",TRUE,_xlfn._xlws.FILTER($B$4:$B$17,ISNUMBER(SEARCH($B29,INDIRECT(ADDRESS(4, MATCH(BJ$19,$3:$3)) &amp; ":" &amp; ADDRESS(15, MATCH(BJ$19,$3:$3))))))), "")</f>
        <v/>
      </c>
      <c r="BK29" s="15" t="str" cm="1">
        <f t="array" aca="1" ref="BK29" ca="1">IFERROR(_xlfn.TEXTJOIN("、",TRUE,_xlfn._xlws.FILTER($B$4:$B$17,ISNUMBER(SEARCH($B29,INDIRECT(ADDRESS(4, MATCH(BK$19,$3:$3)) &amp; ":" &amp; ADDRESS(15, MATCH(BK$19,$3:$3))))))), "")</f>
        <v/>
      </c>
      <c r="BL29" s="15" t="str" cm="1">
        <f t="array" aca="1" ref="BL29" ca="1">IFERROR(_xlfn.TEXTJOIN("、",TRUE,_xlfn._xlws.FILTER($B$4:$B$17,ISNUMBER(SEARCH($B29,INDIRECT(ADDRESS(4, MATCH(BL$19,$3:$3)) &amp; ":" &amp; ADDRESS(15, MATCH(BL$19,$3:$3))))))), "")</f>
        <v/>
      </c>
      <c r="BM29" s="15" t="str" cm="1">
        <f t="array" aca="1" ref="BM29" ca="1">IFERROR(_xlfn.TEXTJOIN("、",TRUE,_xlfn._xlws.FILTER($B$4:$B$17,ISNUMBER(SEARCH($B29,INDIRECT(ADDRESS(4, MATCH(BM$19,$3:$3)) &amp; ":" &amp; ADDRESS(15, MATCH(BM$19,$3:$3))))))), "")</f>
        <v/>
      </c>
      <c r="BN29" s="15" t="str" cm="1">
        <f t="array" aca="1" ref="BN29" ca="1">IFERROR(_xlfn.TEXTJOIN("、",TRUE,_xlfn._xlws.FILTER($B$4:$B$17,ISNUMBER(SEARCH($B29,INDIRECT(ADDRESS(4, MATCH(BN$19,$3:$3)) &amp; ":" &amp; ADDRESS(15, MATCH(BN$19,$3:$3))))))), "")</f>
        <v/>
      </c>
      <c r="BO29" s="15" t="str" cm="1">
        <f t="array" aca="1" ref="BO29" ca="1">IFERROR(_xlfn.TEXTJOIN("、",TRUE,_xlfn._xlws.FILTER($B$4:$B$17,ISNUMBER(SEARCH($B29,INDIRECT(ADDRESS(4, MATCH(BO$19,$3:$3)) &amp; ":" &amp; ADDRESS(15, MATCH(BO$19,$3:$3))))))), "")</f>
        <v/>
      </c>
      <c r="BP29" s="15" t="str" cm="1">
        <f t="array" aca="1" ref="BP29" ca="1">IFERROR(_xlfn.TEXTJOIN("、",TRUE,_xlfn._xlws.FILTER($B$4:$B$17,ISNUMBER(SEARCH($B29,INDIRECT(ADDRESS(4, MATCH(BP$19,$3:$3)) &amp; ":" &amp; ADDRESS(15, MATCH(BP$19,$3:$3))))))), "")</f>
        <v/>
      </c>
      <c r="BQ29" s="15" t="str" cm="1">
        <f t="array" aca="1" ref="BQ29" ca="1">IFERROR(_xlfn.TEXTJOIN("、",TRUE,_xlfn._xlws.FILTER($B$4:$B$17,ISNUMBER(SEARCH($B29,INDIRECT(ADDRESS(4, MATCH(BQ$19,$3:$3)) &amp; ":" &amp; ADDRESS(15, MATCH(BQ$19,$3:$3))))))), "")</f>
        <v/>
      </c>
      <c r="BR29" s="15" t="str" cm="1">
        <f t="array" aca="1" ref="BR29" ca="1">IFERROR(_xlfn.TEXTJOIN("、",TRUE,_xlfn._xlws.FILTER($B$4:$B$17,ISNUMBER(SEARCH($B29,INDIRECT(ADDRESS(4, MATCH(BR$19,$3:$3)) &amp; ":" &amp; ADDRESS(15, MATCH(BR$19,$3:$3))))))), "")</f>
        <v/>
      </c>
      <c r="BS29" s="15" t="str" cm="1">
        <f t="array" aca="1" ref="BS29" ca="1">IFERROR(_xlfn.TEXTJOIN("、",TRUE,_xlfn._xlws.FILTER($B$4:$B$17,ISNUMBER(SEARCH($B29,INDIRECT(ADDRESS(4, MATCH(BS$19,$3:$3)) &amp; ":" &amp; ADDRESS(15, MATCH(BS$19,$3:$3))))))), "")</f>
        <v/>
      </c>
      <c r="BT29" s="15" t="str" cm="1">
        <f t="array" aca="1" ref="BT29" ca="1">IFERROR(_xlfn.TEXTJOIN("、",TRUE,_xlfn._xlws.FILTER($B$4:$B$17,ISNUMBER(SEARCH($B29,INDIRECT(ADDRESS(4, MATCH(BT$19,$3:$3)) &amp; ":" &amp; ADDRESS(15, MATCH(BT$19,$3:$3))))))), "")</f>
        <v/>
      </c>
      <c r="BU29" s="15" t="str" cm="1">
        <f t="array" aca="1" ref="BU29" ca="1">IFERROR(_xlfn.TEXTJOIN("、",TRUE,_xlfn._xlws.FILTER($B$4:$B$17,ISNUMBER(SEARCH($B29,INDIRECT(ADDRESS(4, MATCH(BU$19,$3:$3)) &amp; ":" &amp; ADDRESS(15, MATCH(BU$19,$3:$3))))))), "")</f>
        <v/>
      </c>
      <c r="BV29" s="15" t="str" cm="1">
        <f t="array" aca="1" ref="BV29" ca="1">IFERROR(_xlfn.TEXTJOIN("、",TRUE,_xlfn._xlws.FILTER($B$4:$B$17,ISNUMBER(SEARCH($B29,INDIRECT(ADDRESS(4, MATCH(BV$19,$3:$3)) &amp; ":" &amp; ADDRESS(15, MATCH(BV$19,$3:$3))))))), "")</f>
        <v/>
      </c>
      <c r="BW29" s="15" t="str" cm="1">
        <f t="array" aca="1" ref="BW29" ca="1">IFERROR(_xlfn.TEXTJOIN("、",TRUE,_xlfn._xlws.FILTER($B$4:$B$17,ISNUMBER(SEARCH($B29,INDIRECT(ADDRESS(4, MATCH(BW$19,$3:$3)) &amp; ":" &amp; ADDRESS(15, MATCH(BW$19,$3:$3))))))), "")</f>
        <v/>
      </c>
      <c r="BX29" s="15" t="str" cm="1">
        <f t="array" aca="1" ref="BX29" ca="1">IFERROR(_xlfn.TEXTJOIN("、",TRUE,_xlfn._xlws.FILTER($B$4:$B$17,ISNUMBER(SEARCH($B29,INDIRECT(ADDRESS(4, MATCH(BX$19,$3:$3)) &amp; ":" &amp; ADDRESS(15, MATCH(BX$19,$3:$3))))))), "")</f>
        <v/>
      </c>
      <c r="BY29" s="15" t="str" cm="1">
        <f t="array" aca="1" ref="BY29" ca="1">IFERROR(_xlfn.TEXTJOIN("、",TRUE,_xlfn._xlws.FILTER($B$4:$B$17,ISNUMBER(SEARCH($B29,INDIRECT(ADDRESS(4, MATCH(BY$19,$3:$3)) &amp; ":" &amp; ADDRESS(15, MATCH(BY$19,$3:$3))))))), "")</f>
        <v/>
      </c>
      <c r="BZ29" s="15" t="str" cm="1">
        <f t="array" aca="1" ref="BZ29" ca="1">IFERROR(_xlfn.TEXTJOIN("、",TRUE,_xlfn._xlws.FILTER($B$4:$B$17,ISNUMBER(SEARCH($B29,INDIRECT(ADDRESS(4, MATCH(BZ$19,$3:$3)) &amp; ":" &amp; ADDRESS(15, MATCH(BZ$19,$3:$3))))))), "")</f>
        <v/>
      </c>
      <c r="CA29" s="15" t="str" cm="1">
        <f t="array" aca="1" ref="CA29" ca="1">IFERROR(_xlfn.TEXTJOIN("、",TRUE,_xlfn._xlws.FILTER($B$4:$B$17,ISNUMBER(SEARCH($B29,INDIRECT(ADDRESS(4, MATCH(CA$19,$3:$3)) &amp; ":" &amp; ADDRESS(15, MATCH(CA$19,$3:$3))))))), "")</f>
        <v/>
      </c>
      <c r="CB29" s="15" t="str" cm="1">
        <f t="array" aca="1" ref="CB29" ca="1">IFERROR(_xlfn.TEXTJOIN("、",TRUE,_xlfn._xlws.FILTER($B$4:$B$17,ISNUMBER(SEARCH($B29,INDIRECT(ADDRESS(4, MATCH(CB$19,$3:$3)) &amp; ":" &amp; ADDRESS(15, MATCH(CB$19,$3:$3))))))), "")</f>
        <v/>
      </c>
      <c r="CC29" s="15" t="str" cm="1">
        <f t="array" aca="1" ref="CC29" ca="1">IFERROR(_xlfn.TEXTJOIN("、",TRUE,_xlfn._xlws.FILTER($B$4:$B$17,ISNUMBER(SEARCH($B29,INDIRECT(ADDRESS(4, MATCH(CC$19,$3:$3)) &amp; ":" &amp; ADDRESS(15, MATCH(CC$19,$3:$3))))))), "")</f>
        <v/>
      </c>
      <c r="CD29" s="15" t="str" cm="1">
        <f t="array" aca="1" ref="CD29" ca="1">IFERROR(_xlfn.TEXTJOIN("、",TRUE,_xlfn._xlws.FILTER($B$4:$B$17,ISNUMBER(SEARCH($B29,INDIRECT(ADDRESS(4, MATCH(CD$19,$3:$3)) &amp; ":" &amp; ADDRESS(15, MATCH(CD$19,$3:$3))))))), "")</f>
        <v/>
      </c>
      <c r="CE29" s="15" t="str" cm="1">
        <f t="array" aca="1" ref="CE29" ca="1">IFERROR(_xlfn.TEXTJOIN("、",TRUE,_xlfn._xlws.FILTER($B$4:$B$17,ISNUMBER(SEARCH($B29,INDIRECT(ADDRESS(4, MATCH(CE$19,$3:$3)) &amp; ":" &amp; ADDRESS(15, MATCH(CE$19,$3:$3))))))), "")</f>
        <v/>
      </c>
      <c r="CF29" s="15" t="str" cm="1">
        <f t="array" aca="1" ref="CF29" ca="1">IFERROR(_xlfn.TEXTJOIN("、",TRUE,_xlfn._xlws.FILTER($B$4:$B$17,ISNUMBER(SEARCH($B29,INDIRECT(ADDRESS(4, MATCH(CF$19,$3:$3)) &amp; ":" &amp; ADDRESS(15, MATCH(CF$19,$3:$3))))))), "")</f>
        <v/>
      </c>
      <c r="CG29" s="15" t="str" cm="1">
        <f t="array" aca="1" ref="CG29" ca="1">IFERROR(_xlfn.TEXTJOIN("、",TRUE,_xlfn._xlws.FILTER($B$4:$B$17,ISNUMBER(SEARCH($B29,INDIRECT(ADDRESS(4, MATCH(CG$19,$3:$3)) &amp; ":" &amp; ADDRESS(15, MATCH(CG$19,$3:$3))))))), "")</f>
        <v/>
      </c>
      <c r="CH29" s="15" t="str" cm="1">
        <f t="array" aca="1" ref="CH29" ca="1">IFERROR(_xlfn.TEXTJOIN("、",TRUE,_xlfn._xlws.FILTER($B$4:$B$17,ISNUMBER(SEARCH($B29,INDIRECT(ADDRESS(4, MATCH(CH$19,$3:$3)) &amp; ":" &amp; ADDRESS(15, MATCH(CH$19,$3:$3))))))), "")</f>
        <v/>
      </c>
      <c r="CI29" s="15" t="str" cm="1">
        <f t="array" aca="1" ref="CI29" ca="1">IFERROR(_xlfn.TEXTJOIN("、",TRUE,_xlfn._xlws.FILTER($B$4:$B$17,ISNUMBER(SEARCH($B29,INDIRECT(ADDRESS(4, MATCH(CI$19,$3:$3)) &amp; ":" &amp; ADDRESS(15, MATCH(CI$19,$3:$3))))))), "")</f>
        <v/>
      </c>
      <c r="CJ29" s="15" t="str" cm="1">
        <f t="array" aca="1" ref="CJ29" ca="1">IFERROR(_xlfn.TEXTJOIN("、",TRUE,_xlfn._xlws.FILTER($B$4:$B$17,ISNUMBER(SEARCH($B29,INDIRECT(ADDRESS(4, MATCH(CJ$19,$3:$3)) &amp; ":" &amp; ADDRESS(15, MATCH(CJ$19,$3:$3))))))), "")</f>
        <v/>
      </c>
      <c r="CK29" s="15" t="str" cm="1">
        <f t="array" aca="1" ref="CK29" ca="1">IFERROR(_xlfn.TEXTJOIN("、",TRUE,_xlfn._xlws.FILTER($B$4:$B$17,ISNUMBER(SEARCH($B29,INDIRECT(ADDRESS(4, MATCH(CK$19,$3:$3)) &amp; ":" &amp; ADDRESS(15, MATCH(CK$19,$3:$3))))))), "")</f>
        <v/>
      </c>
      <c r="CL29" s="15" t="str" cm="1">
        <f t="array" aca="1" ref="CL29" ca="1">IFERROR(_xlfn.TEXTJOIN("、",TRUE,_xlfn._xlws.FILTER($B$4:$B$17,ISNUMBER(SEARCH($B29,INDIRECT(ADDRESS(4, MATCH(CL$19,$3:$3)) &amp; ":" &amp; ADDRESS(15, MATCH(CL$19,$3:$3))))))), "")</f>
        <v/>
      </c>
      <c r="CM29" s="15" t="str" cm="1">
        <f t="array" aca="1" ref="CM29" ca="1">IFERROR(_xlfn.TEXTJOIN("、",TRUE,_xlfn._xlws.FILTER($B$4:$B$17,ISNUMBER(SEARCH($B29,INDIRECT(ADDRESS(4, MATCH(CM$19,$3:$3)) &amp; ":" &amp; ADDRESS(15, MATCH(CM$19,$3:$3))))))), "")</f>
        <v/>
      </c>
      <c r="CN29" s="15" t="str" cm="1">
        <f t="array" aca="1" ref="CN29" ca="1">IFERROR(_xlfn.TEXTJOIN("、",TRUE,_xlfn._xlws.FILTER($B$4:$B$17,ISNUMBER(SEARCH($B29,INDIRECT(ADDRESS(4, MATCH(CN$19,$3:$3)) &amp; ":" &amp; ADDRESS(15, MATCH(CN$19,$3:$3))))))), "")</f>
        <v/>
      </c>
      <c r="CO29" s="15" t="str" cm="1">
        <f t="array" aca="1" ref="CO29" ca="1">IFERROR(_xlfn.TEXTJOIN("、",TRUE,_xlfn._xlws.FILTER($B$4:$B$17,ISNUMBER(SEARCH($B29,INDIRECT(ADDRESS(4, MATCH(CO$19,$3:$3)) &amp; ":" &amp; ADDRESS(15, MATCH(CO$19,$3:$3))))))), "")</f>
        <v/>
      </c>
      <c r="CP29" s="15" t="str" cm="1">
        <f t="array" aca="1" ref="CP29" ca="1">IFERROR(_xlfn.TEXTJOIN("、",TRUE,_xlfn._xlws.FILTER($B$4:$B$17,ISNUMBER(SEARCH($B29,INDIRECT(ADDRESS(4, MATCH(CP$19,$3:$3)) &amp; ":" &amp; ADDRESS(15, MATCH(CP$19,$3:$3))))))), "")</f>
        <v/>
      </c>
      <c r="CU29" s="148" t="s">
        <v>355</v>
      </c>
      <c r="CV29" s="139" t="s">
        <v>201</v>
      </c>
      <c r="CW29" s="140"/>
      <c r="CX29" s="139" t="s">
        <v>204</v>
      </c>
      <c r="CY29" s="139" t="s">
        <v>202</v>
      </c>
      <c r="CZ29" s="139" t="s">
        <v>322</v>
      </c>
      <c r="DA29" s="140"/>
      <c r="DB29" s="140"/>
    </row>
    <row r="30" spans="2:106" ht="19.5" thickBot="1">
      <c r="B30" s="15" t="s">
        <v>330</v>
      </c>
      <c r="C30" s="15" t="str" cm="1">
        <f t="array" aca="1" ref="C30" ca="1">IFERROR(_xlfn.TEXTJOIN("、",TRUE,_xlfn._xlws.FILTER($B$4:$B$17,ISNUMBER(SEARCH($B30,INDIRECT(ADDRESS(4, MATCH(C$19,$3:$3)) &amp; ":" &amp; ADDRESS(15, MATCH(C$19,$3:$3))))))), "")</f>
        <v/>
      </c>
      <c r="D30" s="15" t="str" cm="1">
        <f t="array" aca="1" ref="D30" ca="1">IFERROR(_xlfn.TEXTJOIN("、",TRUE,_xlfn._xlws.FILTER($B$4:$B$17,ISNUMBER(SEARCH($B30,INDIRECT(ADDRESS(4, MATCH(D$19,$3:$3)) &amp; ":" &amp; ADDRESS(15, MATCH(D$19,$3:$3))))))), "")</f>
        <v/>
      </c>
      <c r="E30" s="15" t="str" cm="1">
        <f t="array" aca="1" ref="E30" ca="1">IFERROR(_xlfn.TEXTJOIN("、",TRUE,_xlfn._xlws.FILTER($B$4:$B$17,ISNUMBER(SEARCH($B30,INDIRECT(ADDRESS(4, MATCH(E$19,$3:$3)) &amp; ":" &amp; ADDRESS(15, MATCH(E$19,$3:$3))))))), "")</f>
        <v/>
      </c>
      <c r="F30" s="15" t="str" cm="1">
        <f t="array" aca="1" ref="F30" ca="1">IFERROR(_xlfn.TEXTJOIN("、",TRUE,_xlfn._xlws.FILTER($B$4:$B$17,ISNUMBER(SEARCH($B30,INDIRECT(ADDRESS(4, MATCH(F$19,$3:$3)) &amp; ":" &amp; ADDRESS(15, MATCH(F$19,$3:$3))))))), "")</f>
        <v/>
      </c>
      <c r="G30" s="15" t="str" cm="1">
        <f t="array" aca="1" ref="G30" ca="1">IFERROR(_xlfn.TEXTJOIN("、",TRUE,_xlfn._xlws.FILTER($B$4:$B$17,ISNUMBER(SEARCH($B30,INDIRECT(ADDRESS(4, MATCH(G$19,$3:$3)) &amp; ":" &amp; ADDRESS(15, MATCH(G$19,$3:$3))))))), "")</f>
        <v/>
      </c>
      <c r="H30" s="15" t="str" cm="1">
        <f t="array" aca="1" ref="H30" ca="1">IFERROR(_xlfn.TEXTJOIN("、",TRUE,_xlfn._xlws.FILTER($B$4:$B$17,ISNUMBER(SEARCH($B30,INDIRECT(ADDRESS(4, MATCH(H$19,$3:$3)) &amp; ":" &amp; ADDRESS(15, MATCH(H$19,$3:$3))))))), "")</f>
        <v/>
      </c>
      <c r="I30" s="15" t="str" cm="1">
        <f t="array" aca="1" ref="I30" ca="1">IFERROR(_xlfn.TEXTJOIN("、",TRUE,_xlfn._xlws.FILTER($B$4:$B$17,ISNUMBER(SEARCH($B30,INDIRECT(ADDRESS(4, MATCH(I$19,$3:$3)) &amp; ":" &amp; ADDRESS(15, MATCH(I$19,$3:$3))))))), "")</f>
        <v/>
      </c>
      <c r="J30" s="15" t="str" cm="1">
        <f t="array" aca="1" ref="J30" ca="1">IFERROR(_xlfn.TEXTJOIN("、",TRUE,_xlfn._xlws.FILTER($B$4:$B$17,ISNUMBER(SEARCH($B30,INDIRECT(ADDRESS(4, MATCH(J$19,$3:$3)) &amp; ":" &amp; ADDRESS(15, MATCH(J$19,$3:$3))))))), "")</f>
        <v/>
      </c>
      <c r="K30" s="15" t="str" cm="1">
        <f t="array" aca="1" ref="K30" ca="1">IFERROR(_xlfn.TEXTJOIN("、",TRUE,_xlfn._xlws.FILTER($B$4:$B$17,ISNUMBER(SEARCH($B30,INDIRECT(ADDRESS(4, MATCH(K$19,$3:$3)) &amp; ":" &amp; ADDRESS(15, MATCH(K$19,$3:$3))))))), "")</f>
        <v/>
      </c>
      <c r="L30" s="15" t="str" cm="1">
        <f t="array" aca="1" ref="L30" ca="1">IFERROR(_xlfn.TEXTJOIN("、",TRUE,_xlfn._xlws.FILTER($B$4:$B$17,ISNUMBER(SEARCH($B30,INDIRECT(ADDRESS(4, MATCH(L$19,$3:$3)) &amp; ":" &amp; ADDRESS(15, MATCH(L$19,$3:$3))))))), "")</f>
        <v/>
      </c>
      <c r="M30" s="15" t="str" cm="1">
        <f t="array" aca="1" ref="M30" ca="1">IFERROR(_xlfn.TEXTJOIN("、",TRUE,_xlfn._xlws.FILTER($B$4:$B$17,ISNUMBER(SEARCH($B30,INDIRECT(ADDRESS(4, MATCH(M$19,$3:$3)) &amp; ":" &amp; ADDRESS(15, MATCH(M$19,$3:$3))))))), "")</f>
        <v/>
      </c>
      <c r="N30" s="15" t="str" cm="1">
        <f t="array" aca="1" ref="N30" ca="1">IFERROR(_xlfn.TEXTJOIN("、",TRUE,_xlfn._xlws.FILTER($B$4:$B$17,ISNUMBER(SEARCH($B30,INDIRECT(ADDRESS(4, MATCH(N$19,$3:$3)) &amp; ":" &amp; ADDRESS(15, MATCH(N$19,$3:$3))))))), "")</f>
        <v/>
      </c>
      <c r="O30" s="15" t="str" cm="1">
        <f t="array" aca="1" ref="O30" ca="1">IFERROR(_xlfn.TEXTJOIN("、",TRUE,_xlfn._xlws.FILTER($B$4:$B$17,ISNUMBER(SEARCH($B30,INDIRECT(ADDRESS(4, MATCH(O$19,$3:$3)) &amp; ":" &amp; ADDRESS(15, MATCH(O$19,$3:$3))))))), "")</f>
        <v/>
      </c>
      <c r="P30" s="15" t="str" cm="1">
        <f t="array" aca="1" ref="P30" ca="1">IFERROR(_xlfn.TEXTJOIN("、",TRUE,_xlfn._xlws.FILTER($B$4:$B$17,ISNUMBER(SEARCH($B30,INDIRECT(ADDRESS(4, MATCH(P$19,$3:$3)) &amp; ":" &amp; ADDRESS(15, MATCH(P$19,$3:$3))))))), "")</f>
        <v/>
      </c>
      <c r="Q30" s="15" t="str" cm="1">
        <f t="array" aca="1" ref="Q30" ca="1">IFERROR(_xlfn.TEXTJOIN("、",TRUE,_xlfn._xlws.FILTER($B$4:$B$17,ISNUMBER(SEARCH($B30,INDIRECT(ADDRESS(4, MATCH(Q$19,$3:$3)) &amp; ":" &amp; ADDRESS(15, MATCH(Q$19,$3:$3))))))), "")</f>
        <v/>
      </c>
      <c r="R30" s="15" t="str" cm="1">
        <f t="array" aca="1" ref="R30" ca="1">IFERROR(_xlfn.TEXTJOIN("、",TRUE,_xlfn._xlws.FILTER($B$4:$B$17,ISNUMBER(SEARCH($B30,INDIRECT(ADDRESS(4, MATCH(R$19,$3:$3)) &amp; ":" &amp; ADDRESS(15, MATCH(R$19,$3:$3))))))), "")</f>
        <v/>
      </c>
      <c r="S30" s="15" t="str" cm="1">
        <f t="array" aca="1" ref="S30" ca="1">IFERROR(_xlfn.TEXTJOIN("、",TRUE,_xlfn._xlws.FILTER($B$4:$B$17,ISNUMBER(SEARCH($B30,INDIRECT(ADDRESS(4, MATCH(S$19,$3:$3)) &amp; ":" &amp; ADDRESS(15, MATCH(S$19,$3:$3))))))), "")</f>
        <v/>
      </c>
      <c r="T30" s="15" t="str" cm="1">
        <f t="array" aca="1" ref="T30" ca="1">IFERROR(_xlfn.TEXTJOIN("、",TRUE,_xlfn._xlws.FILTER($B$4:$B$17,ISNUMBER(SEARCH($B30,INDIRECT(ADDRESS(4, MATCH(T$19,$3:$3)) &amp; ":" &amp; ADDRESS(15, MATCH(T$19,$3:$3))))))), "")</f>
        <v/>
      </c>
      <c r="U30" s="15" t="str" cm="1">
        <f t="array" aca="1" ref="U30" ca="1">IFERROR(_xlfn.TEXTJOIN("、",TRUE,_xlfn._xlws.FILTER($B$4:$B$17,ISNUMBER(SEARCH($B30,INDIRECT(ADDRESS(4, MATCH(U$19,$3:$3)) &amp; ":" &amp; ADDRESS(15, MATCH(U$19,$3:$3))))))), "")</f>
        <v/>
      </c>
      <c r="V30" s="15" t="str" cm="1">
        <f t="array" aca="1" ref="V30" ca="1">IFERROR(_xlfn.TEXTJOIN("、",TRUE,_xlfn._xlws.FILTER($B$4:$B$17,ISNUMBER(SEARCH($B30,INDIRECT(ADDRESS(4, MATCH(V$19,$3:$3)) &amp; ":" &amp; ADDRESS(15, MATCH(V$19,$3:$3))))))), "")</f>
        <v/>
      </c>
      <c r="W30" s="15" t="str" cm="1">
        <f t="array" aca="1" ref="W30" ca="1">IFERROR(_xlfn.TEXTJOIN("、",TRUE,_xlfn._xlws.FILTER($B$4:$B$17,ISNUMBER(SEARCH($B30,INDIRECT(ADDRESS(4, MATCH(W$19,$3:$3)) &amp; ":" &amp; ADDRESS(15, MATCH(W$19,$3:$3))))))), "")</f>
        <v/>
      </c>
      <c r="X30" s="15" t="str" cm="1">
        <f t="array" aca="1" ref="X30" ca="1">IFERROR(_xlfn.TEXTJOIN("、",TRUE,_xlfn._xlws.FILTER($B$4:$B$17,ISNUMBER(SEARCH($B30,INDIRECT(ADDRESS(4, MATCH(X$19,$3:$3)) &amp; ":" &amp; ADDRESS(15, MATCH(X$19,$3:$3))))))), "")</f>
        <v/>
      </c>
      <c r="Y30" s="15" t="str" cm="1">
        <f t="array" aca="1" ref="Y30" ca="1">IFERROR(_xlfn.TEXTJOIN("、",TRUE,_xlfn._xlws.FILTER($B$4:$B$17,ISNUMBER(SEARCH($B30,INDIRECT(ADDRESS(4, MATCH(Y$19,$3:$3)) &amp; ":" &amp; ADDRESS(15, MATCH(Y$19,$3:$3))))))), "")</f>
        <v/>
      </c>
      <c r="Z30" s="15" t="str" cm="1">
        <f t="array" aca="1" ref="Z30" ca="1">IFERROR(_xlfn.TEXTJOIN("、",TRUE,_xlfn._xlws.FILTER($B$4:$B$17,ISNUMBER(SEARCH($B30,INDIRECT(ADDRESS(4, MATCH(Z$19,$3:$3)) &amp; ":" &amp; ADDRESS(15, MATCH(Z$19,$3:$3))))))), "")</f>
        <v/>
      </c>
      <c r="AA30" s="15" t="str" cm="1">
        <f t="array" aca="1" ref="AA30" ca="1">IFERROR(_xlfn.TEXTJOIN("、",TRUE,_xlfn._xlws.FILTER($B$4:$B$17,ISNUMBER(SEARCH($B30,INDIRECT(ADDRESS(4, MATCH(AA$19,$3:$3)) &amp; ":" &amp; ADDRESS(15, MATCH(AA$19,$3:$3))))))), "")</f>
        <v/>
      </c>
      <c r="AB30" s="15" t="str" cm="1">
        <f t="array" aca="1" ref="AB30" ca="1">IFERROR(_xlfn.TEXTJOIN("、",TRUE,_xlfn._xlws.FILTER($B$4:$B$17,ISNUMBER(SEARCH($B30,INDIRECT(ADDRESS(4, MATCH(AB$19,$3:$3)) &amp; ":" &amp; ADDRESS(15, MATCH(AB$19,$3:$3))))))), "")</f>
        <v/>
      </c>
      <c r="AC30" s="15" t="str" cm="1">
        <f t="array" aca="1" ref="AC30" ca="1">IFERROR(_xlfn.TEXTJOIN("、",TRUE,_xlfn._xlws.FILTER($B$4:$B$17,ISNUMBER(SEARCH($B30,INDIRECT(ADDRESS(4, MATCH(AC$19,$3:$3)) &amp; ":" &amp; ADDRESS(15, MATCH(AC$19,$3:$3))))))), "")</f>
        <v/>
      </c>
      <c r="AD30" s="15" t="str" cm="1">
        <f t="array" aca="1" ref="AD30" ca="1">IFERROR(_xlfn.TEXTJOIN("、",TRUE,_xlfn._xlws.FILTER($B$4:$B$17,ISNUMBER(SEARCH($B30,INDIRECT(ADDRESS(4, MATCH(AD$19,$3:$3)) &amp; ":" &amp; ADDRESS(15, MATCH(AD$19,$3:$3))))))), "")</f>
        <v/>
      </c>
      <c r="AE30" s="15" t="str" cm="1">
        <f t="array" aca="1" ref="AE30" ca="1">IFERROR(_xlfn.TEXTJOIN("、",TRUE,_xlfn._xlws.FILTER($B$4:$B$17,ISNUMBER(SEARCH($B30,INDIRECT(ADDRESS(4, MATCH(AE$19,$3:$3)) &amp; ":" &amp; ADDRESS(15, MATCH(AE$19,$3:$3))))))), "")</f>
        <v/>
      </c>
      <c r="AF30" s="15" t="str" cm="1">
        <f t="array" aca="1" ref="AF30" ca="1">IFERROR(_xlfn.TEXTJOIN("、",TRUE,_xlfn._xlws.FILTER($B$4:$B$17,ISNUMBER(SEARCH($B30,INDIRECT(ADDRESS(4, MATCH(AF$19,$3:$3)) &amp; ":" &amp; ADDRESS(15, MATCH(AF$19,$3:$3))))))), "")</f>
        <v/>
      </c>
      <c r="AG30" s="15" t="str" cm="1">
        <f t="array" aca="1" ref="AG30" ca="1">IFERROR(_xlfn.TEXTJOIN("、",TRUE,_xlfn._xlws.FILTER($B$4:$B$17,ISNUMBER(SEARCH($B30,INDIRECT(ADDRESS(4, MATCH(AG$19,$3:$3)) &amp; ":" &amp; ADDRESS(15, MATCH(AG$19,$3:$3))))))), "")</f>
        <v/>
      </c>
      <c r="AH30" s="15" t="str" cm="1">
        <f t="array" aca="1" ref="AH30" ca="1">IFERROR(_xlfn.TEXTJOIN("、",TRUE,_xlfn._xlws.FILTER($B$4:$B$17,ISNUMBER(SEARCH($B30,INDIRECT(ADDRESS(4, MATCH(AH$19,$3:$3)) &amp; ":" &amp; ADDRESS(15, MATCH(AH$19,$3:$3))))))), "")</f>
        <v/>
      </c>
      <c r="AI30" s="15" t="str" cm="1">
        <f t="array" aca="1" ref="AI30" ca="1">IFERROR(_xlfn.TEXTJOIN("、",TRUE,_xlfn._xlws.FILTER($B$4:$B$17,ISNUMBER(SEARCH($B30,INDIRECT(ADDRESS(4, MATCH(AI$19,$3:$3)) &amp; ":" &amp; ADDRESS(15, MATCH(AI$19,$3:$3))))))), "")</f>
        <v/>
      </c>
      <c r="AJ30" s="15" t="str" cm="1">
        <f t="array" aca="1" ref="AJ30" ca="1">IFERROR(_xlfn.TEXTJOIN("、",TRUE,_xlfn._xlws.FILTER($B$4:$B$17,ISNUMBER(SEARCH($B30,INDIRECT(ADDRESS(4, MATCH(AJ$19,$3:$3)) &amp; ":" &amp; ADDRESS(15, MATCH(AJ$19,$3:$3))))))), "")</f>
        <v/>
      </c>
      <c r="AK30" s="15" t="str" cm="1">
        <f t="array" aca="1" ref="AK30" ca="1">IFERROR(_xlfn.TEXTJOIN("、",TRUE,_xlfn._xlws.FILTER($B$4:$B$17,ISNUMBER(SEARCH($B30,INDIRECT(ADDRESS(4, MATCH(AK$19,$3:$3)) &amp; ":" &amp; ADDRESS(15, MATCH(AK$19,$3:$3))))))), "")</f>
        <v/>
      </c>
      <c r="AL30" s="15" t="str" cm="1">
        <f t="array" aca="1" ref="AL30" ca="1">IFERROR(_xlfn.TEXTJOIN("、",TRUE,_xlfn._xlws.FILTER($B$4:$B$17,ISNUMBER(SEARCH($B30,INDIRECT(ADDRESS(4, MATCH(AL$19,$3:$3)) &amp; ":" &amp; ADDRESS(15, MATCH(AL$19,$3:$3))))))), "")</f>
        <v/>
      </c>
      <c r="AM30" s="15" t="str" cm="1">
        <f t="array" aca="1" ref="AM30" ca="1">IFERROR(_xlfn.TEXTJOIN("、",TRUE,_xlfn._xlws.FILTER($B$4:$B$17,ISNUMBER(SEARCH($B30,INDIRECT(ADDRESS(4, MATCH(AM$19,$3:$3)) &amp; ":" &amp; ADDRESS(15, MATCH(AM$19,$3:$3))))))), "")</f>
        <v/>
      </c>
      <c r="AN30" s="15" t="str" cm="1">
        <f t="array" aca="1" ref="AN30" ca="1">IFERROR(_xlfn.TEXTJOIN("、",TRUE,_xlfn._xlws.FILTER($B$4:$B$17,ISNUMBER(SEARCH($B30,INDIRECT(ADDRESS(4, MATCH(AN$19,$3:$3)) &amp; ":" &amp; ADDRESS(15, MATCH(AN$19,$3:$3))))))), "")</f>
        <v/>
      </c>
      <c r="AO30" s="15" t="str" cm="1">
        <f t="array" aca="1" ref="AO30" ca="1">IFERROR(_xlfn.TEXTJOIN("、",TRUE,_xlfn._xlws.FILTER($B$4:$B$17,ISNUMBER(SEARCH($B30,INDIRECT(ADDRESS(4, MATCH(AO$19,$3:$3)) &amp; ":" &amp; ADDRESS(15, MATCH(AO$19,$3:$3))))))), "")</f>
        <v/>
      </c>
      <c r="AP30" s="15" t="str" cm="1">
        <f t="array" aca="1" ref="AP30" ca="1">IFERROR(_xlfn.TEXTJOIN("、",TRUE,_xlfn._xlws.FILTER($B$4:$B$17,ISNUMBER(SEARCH($B30,INDIRECT(ADDRESS(4, MATCH(AP$19,$3:$3)) &amp; ":" &amp; ADDRESS(15, MATCH(AP$19,$3:$3))))))), "")</f>
        <v/>
      </c>
      <c r="AQ30" s="15" t="str" cm="1">
        <f t="array" aca="1" ref="AQ30" ca="1">IFERROR(_xlfn.TEXTJOIN("、",TRUE,_xlfn._xlws.FILTER($B$4:$B$17,ISNUMBER(SEARCH($B30,INDIRECT(ADDRESS(4, MATCH(AQ$19,$3:$3)) &amp; ":" &amp; ADDRESS(15, MATCH(AQ$19,$3:$3))))))), "")</f>
        <v/>
      </c>
      <c r="AR30" s="15" t="str" cm="1">
        <f t="array" aca="1" ref="AR30" ca="1">IFERROR(_xlfn.TEXTJOIN("、",TRUE,_xlfn._xlws.FILTER($B$4:$B$17,ISNUMBER(SEARCH($B30,INDIRECT(ADDRESS(4, MATCH(AR$19,$3:$3)) &amp; ":" &amp; ADDRESS(15, MATCH(AR$19,$3:$3))))))), "")</f>
        <v/>
      </c>
      <c r="AS30" s="15" t="str" cm="1">
        <f t="array" aca="1" ref="AS30" ca="1">IFERROR(_xlfn.TEXTJOIN("、",TRUE,_xlfn._xlws.FILTER($B$4:$B$17,ISNUMBER(SEARCH($B30,INDIRECT(ADDRESS(4, MATCH(AS$19,$3:$3)) &amp; ":" &amp; ADDRESS(15, MATCH(AS$19,$3:$3))))))), "")</f>
        <v/>
      </c>
      <c r="AT30" s="15" t="str" cm="1">
        <f t="array" aca="1" ref="AT30" ca="1">IFERROR(_xlfn.TEXTJOIN("、",TRUE,_xlfn._xlws.FILTER($B$4:$B$17,ISNUMBER(SEARCH($B30,INDIRECT(ADDRESS(4, MATCH(AT$19,$3:$3)) &amp; ":" &amp; ADDRESS(15, MATCH(AT$19,$3:$3))))))), "")</f>
        <v/>
      </c>
      <c r="AU30" s="15" t="str" cm="1">
        <f t="array" aca="1" ref="AU30" ca="1">IFERROR(_xlfn.TEXTJOIN("、",TRUE,_xlfn._xlws.FILTER($B$4:$B$17,ISNUMBER(SEARCH($B30,INDIRECT(ADDRESS(4, MATCH(AU$19,$3:$3)) &amp; ":" &amp; ADDRESS(15, MATCH(AU$19,$3:$3))))))), "")</f>
        <v/>
      </c>
      <c r="AV30" s="15" t="str" cm="1">
        <f t="array" aca="1" ref="AV30" ca="1">IFERROR(_xlfn.TEXTJOIN("、",TRUE,_xlfn._xlws.FILTER($B$4:$B$17,ISNUMBER(SEARCH($B30,INDIRECT(ADDRESS(4, MATCH(AV$19,$3:$3)) &amp; ":" &amp; ADDRESS(15, MATCH(AV$19,$3:$3))))))), "")</f>
        <v/>
      </c>
      <c r="AW30" s="15" t="str" cm="1">
        <f t="array" aca="1" ref="AW30" ca="1">IFERROR(_xlfn.TEXTJOIN("、",TRUE,_xlfn._xlws.FILTER($B$4:$B$17,ISNUMBER(SEARCH($B30,INDIRECT(ADDRESS(4, MATCH(AW$19,$3:$3)) &amp; ":" &amp; ADDRESS(15, MATCH(AW$19,$3:$3))))))), "")</f>
        <v/>
      </c>
      <c r="AX30" s="15" t="str" cm="1">
        <f t="array" aca="1" ref="AX30" ca="1">IFERROR(_xlfn.TEXTJOIN("、",TRUE,_xlfn._xlws.FILTER($B$4:$B$17,ISNUMBER(SEARCH($B30,INDIRECT(ADDRESS(4, MATCH(AX$19,$3:$3)) &amp; ":" &amp; ADDRESS(15, MATCH(AX$19,$3:$3))))))), "")</f>
        <v/>
      </c>
      <c r="AY30" s="15" t="str" cm="1">
        <f t="array" aca="1" ref="AY30" ca="1">IFERROR(_xlfn.TEXTJOIN("、",TRUE,_xlfn._xlws.FILTER($B$4:$B$17,ISNUMBER(SEARCH($B30,INDIRECT(ADDRESS(4, MATCH(AY$19,$3:$3)) &amp; ":" &amp; ADDRESS(15, MATCH(AY$19,$3:$3))))))), "")</f>
        <v/>
      </c>
      <c r="AZ30" s="15" t="str" cm="1">
        <f t="array" aca="1" ref="AZ30" ca="1">IFERROR(_xlfn.TEXTJOIN("、",TRUE,_xlfn._xlws.FILTER($B$4:$B$17,ISNUMBER(SEARCH($B30,INDIRECT(ADDRESS(4, MATCH(AZ$19,$3:$3)) &amp; ":" &amp; ADDRESS(15, MATCH(AZ$19,$3:$3))))))), "")</f>
        <v/>
      </c>
      <c r="BA30" s="15" t="str" cm="1">
        <f t="array" aca="1" ref="BA30" ca="1">IFERROR(_xlfn.TEXTJOIN("、",TRUE,_xlfn._xlws.FILTER($B$4:$B$17,ISNUMBER(SEARCH($B30,INDIRECT(ADDRESS(4, MATCH(BA$19,$3:$3)) &amp; ":" &amp; ADDRESS(15, MATCH(BA$19,$3:$3))))))), "")</f>
        <v/>
      </c>
      <c r="BB30" s="15" t="str" cm="1">
        <f t="array" aca="1" ref="BB30" ca="1">IFERROR(_xlfn.TEXTJOIN("、",TRUE,_xlfn._xlws.FILTER($B$4:$B$17,ISNUMBER(SEARCH($B30,INDIRECT(ADDRESS(4, MATCH(BB$19,$3:$3)) &amp; ":" &amp; ADDRESS(15, MATCH(BB$19,$3:$3))))))), "")</f>
        <v/>
      </c>
      <c r="BC30" s="15" t="str" cm="1">
        <f t="array" aca="1" ref="BC30" ca="1">IFERROR(_xlfn.TEXTJOIN("、",TRUE,_xlfn._xlws.FILTER($B$4:$B$17,ISNUMBER(SEARCH($B30,INDIRECT(ADDRESS(4, MATCH(BC$19,$3:$3)) &amp; ":" &amp; ADDRESS(15, MATCH(BC$19,$3:$3))))))), "")</f>
        <v/>
      </c>
      <c r="BD30" s="15" t="str" cm="1">
        <f t="array" aca="1" ref="BD30" ca="1">IFERROR(_xlfn.TEXTJOIN("、",TRUE,_xlfn._xlws.FILTER($B$4:$B$17,ISNUMBER(SEARCH($B30,INDIRECT(ADDRESS(4, MATCH(BD$19,$3:$3)) &amp; ":" &amp; ADDRESS(15, MATCH(BD$19,$3:$3))))))), "")</f>
        <v/>
      </c>
      <c r="BE30" s="15" t="str" cm="1">
        <f t="array" aca="1" ref="BE30" ca="1">IFERROR(_xlfn.TEXTJOIN("、",TRUE,_xlfn._xlws.FILTER($B$4:$B$17,ISNUMBER(SEARCH($B30,INDIRECT(ADDRESS(4, MATCH(BE$19,$3:$3)) &amp; ":" &amp; ADDRESS(15, MATCH(BE$19,$3:$3))))))), "")</f>
        <v/>
      </c>
      <c r="BF30" s="15" t="str" cm="1">
        <f t="array" aca="1" ref="BF30" ca="1">IFERROR(_xlfn.TEXTJOIN("、",TRUE,_xlfn._xlws.FILTER($B$4:$B$17,ISNUMBER(SEARCH($B30,INDIRECT(ADDRESS(4, MATCH(BF$19,$3:$3)) &amp; ":" &amp; ADDRESS(15, MATCH(BF$19,$3:$3))))))), "")</f>
        <v/>
      </c>
      <c r="BG30" s="15" t="str" cm="1">
        <f t="array" aca="1" ref="BG30" ca="1">IFERROR(_xlfn.TEXTJOIN("、",TRUE,_xlfn._xlws.FILTER($B$4:$B$17,ISNUMBER(SEARCH($B30,INDIRECT(ADDRESS(4, MATCH(BG$19,$3:$3)) &amp; ":" &amp; ADDRESS(15, MATCH(BG$19,$3:$3))))))), "")</f>
        <v/>
      </c>
      <c r="BH30" s="15" t="str" cm="1">
        <f t="array" aca="1" ref="BH30" ca="1">IFERROR(_xlfn.TEXTJOIN("、",TRUE,_xlfn._xlws.FILTER($B$4:$B$17,ISNUMBER(SEARCH($B30,INDIRECT(ADDRESS(4, MATCH(BH$19,$3:$3)) &amp; ":" &amp; ADDRESS(15, MATCH(BH$19,$3:$3))))))), "")</f>
        <v/>
      </c>
      <c r="BI30" s="15" t="str" cm="1">
        <f t="array" aca="1" ref="BI30" ca="1">IFERROR(_xlfn.TEXTJOIN("、",TRUE,_xlfn._xlws.FILTER($B$4:$B$17,ISNUMBER(SEARCH($B30,INDIRECT(ADDRESS(4, MATCH(BI$19,$3:$3)) &amp; ":" &amp; ADDRESS(15, MATCH(BI$19,$3:$3))))))), "")</f>
        <v/>
      </c>
      <c r="BJ30" s="15" t="str" cm="1">
        <f t="array" aca="1" ref="BJ30" ca="1">IFERROR(_xlfn.TEXTJOIN("、",TRUE,_xlfn._xlws.FILTER($B$4:$B$17,ISNUMBER(SEARCH($B30,INDIRECT(ADDRESS(4, MATCH(BJ$19,$3:$3)) &amp; ":" &amp; ADDRESS(15, MATCH(BJ$19,$3:$3))))))), "")</f>
        <v/>
      </c>
      <c r="BK30" s="15" t="str" cm="1">
        <f t="array" aca="1" ref="BK30" ca="1">IFERROR(_xlfn.TEXTJOIN("、",TRUE,_xlfn._xlws.FILTER($B$4:$B$17,ISNUMBER(SEARCH($B30,INDIRECT(ADDRESS(4, MATCH(BK$19,$3:$3)) &amp; ":" &amp; ADDRESS(15, MATCH(BK$19,$3:$3))))))), "")</f>
        <v/>
      </c>
      <c r="BL30" s="15" t="str" cm="1">
        <f t="array" aca="1" ref="BL30" ca="1">IFERROR(_xlfn.TEXTJOIN("、",TRUE,_xlfn._xlws.FILTER($B$4:$B$17,ISNUMBER(SEARCH($B30,INDIRECT(ADDRESS(4, MATCH(BL$19,$3:$3)) &amp; ":" &amp; ADDRESS(15, MATCH(BL$19,$3:$3))))))), "")</f>
        <v/>
      </c>
      <c r="BM30" s="15" t="str" cm="1">
        <f t="array" aca="1" ref="BM30" ca="1">IFERROR(_xlfn.TEXTJOIN("、",TRUE,_xlfn._xlws.FILTER($B$4:$B$17,ISNUMBER(SEARCH($B30,INDIRECT(ADDRESS(4, MATCH(BM$19,$3:$3)) &amp; ":" &amp; ADDRESS(15, MATCH(BM$19,$3:$3))))))), "")</f>
        <v/>
      </c>
      <c r="BN30" s="15" t="str" cm="1">
        <f t="array" aca="1" ref="BN30" ca="1">IFERROR(_xlfn.TEXTJOIN("、",TRUE,_xlfn._xlws.FILTER($B$4:$B$17,ISNUMBER(SEARCH($B30,INDIRECT(ADDRESS(4, MATCH(BN$19,$3:$3)) &amp; ":" &amp; ADDRESS(15, MATCH(BN$19,$3:$3))))))), "")</f>
        <v/>
      </c>
      <c r="BO30" s="15" t="str" cm="1">
        <f t="array" aca="1" ref="BO30" ca="1">IFERROR(_xlfn.TEXTJOIN("、",TRUE,_xlfn._xlws.FILTER($B$4:$B$17,ISNUMBER(SEARCH($B30,INDIRECT(ADDRESS(4, MATCH(BO$19,$3:$3)) &amp; ":" &amp; ADDRESS(15, MATCH(BO$19,$3:$3))))))), "")</f>
        <v/>
      </c>
      <c r="BP30" s="15" t="str" cm="1">
        <f t="array" aca="1" ref="BP30" ca="1">IFERROR(_xlfn.TEXTJOIN("、",TRUE,_xlfn._xlws.FILTER($B$4:$B$17,ISNUMBER(SEARCH($B30,INDIRECT(ADDRESS(4, MATCH(BP$19,$3:$3)) &amp; ":" &amp; ADDRESS(15, MATCH(BP$19,$3:$3))))))), "")</f>
        <v/>
      </c>
      <c r="BQ30" s="15" t="str" cm="1">
        <f t="array" aca="1" ref="BQ30" ca="1">IFERROR(_xlfn.TEXTJOIN("、",TRUE,_xlfn._xlws.FILTER($B$4:$B$17,ISNUMBER(SEARCH($B30,INDIRECT(ADDRESS(4, MATCH(BQ$19,$3:$3)) &amp; ":" &amp; ADDRESS(15, MATCH(BQ$19,$3:$3))))))), "")</f>
        <v/>
      </c>
      <c r="BR30" s="15" t="str" cm="1">
        <f t="array" aca="1" ref="BR30" ca="1">IFERROR(_xlfn.TEXTJOIN("、",TRUE,_xlfn._xlws.FILTER($B$4:$B$17,ISNUMBER(SEARCH($B30,INDIRECT(ADDRESS(4, MATCH(BR$19,$3:$3)) &amp; ":" &amp; ADDRESS(15, MATCH(BR$19,$3:$3))))))), "")</f>
        <v/>
      </c>
      <c r="BS30" s="15" t="str" cm="1">
        <f t="array" aca="1" ref="BS30" ca="1">IFERROR(_xlfn.TEXTJOIN("、",TRUE,_xlfn._xlws.FILTER($B$4:$B$17,ISNUMBER(SEARCH($B30,INDIRECT(ADDRESS(4, MATCH(BS$19,$3:$3)) &amp; ":" &amp; ADDRESS(15, MATCH(BS$19,$3:$3))))))), "")</f>
        <v/>
      </c>
      <c r="BT30" s="15" t="str" cm="1">
        <f t="array" aca="1" ref="BT30" ca="1">IFERROR(_xlfn.TEXTJOIN("、",TRUE,_xlfn._xlws.FILTER($B$4:$B$17,ISNUMBER(SEARCH($B30,INDIRECT(ADDRESS(4, MATCH(BT$19,$3:$3)) &amp; ":" &amp; ADDRESS(15, MATCH(BT$19,$3:$3))))))), "")</f>
        <v/>
      </c>
      <c r="BU30" s="15" t="str" cm="1">
        <f t="array" aca="1" ref="BU30" ca="1">IFERROR(_xlfn.TEXTJOIN("、",TRUE,_xlfn._xlws.FILTER($B$4:$B$17,ISNUMBER(SEARCH($B30,INDIRECT(ADDRESS(4, MATCH(BU$19,$3:$3)) &amp; ":" &amp; ADDRESS(15, MATCH(BU$19,$3:$3))))))), "")</f>
        <v/>
      </c>
      <c r="BV30" s="15" t="str" cm="1">
        <f t="array" aca="1" ref="BV30" ca="1">IFERROR(_xlfn.TEXTJOIN("、",TRUE,_xlfn._xlws.FILTER($B$4:$B$17,ISNUMBER(SEARCH($B30,INDIRECT(ADDRESS(4, MATCH(BV$19,$3:$3)) &amp; ":" &amp; ADDRESS(15, MATCH(BV$19,$3:$3))))))), "")</f>
        <v/>
      </c>
      <c r="BW30" s="15" t="str" cm="1">
        <f t="array" aca="1" ref="BW30" ca="1">IFERROR(_xlfn.TEXTJOIN("、",TRUE,_xlfn._xlws.FILTER($B$4:$B$17,ISNUMBER(SEARCH($B30,INDIRECT(ADDRESS(4, MATCH(BW$19,$3:$3)) &amp; ":" &amp; ADDRESS(15, MATCH(BW$19,$3:$3))))))), "")</f>
        <v/>
      </c>
      <c r="BX30" s="15" t="str" cm="1">
        <f t="array" aca="1" ref="BX30" ca="1">IFERROR(_xlfn.TEXTJOIN("、",TRUE,_xlfn._xlws.FILTER($B$4:$B$17,ISNUMBER(SEARCH($B30,INDIRECT(ADDRESS(4, MATCH(BX$19,$3:$3)) &amp; ":" &amp; ADDRESS(15, MATCH(BX$19,$3:$3))))))), "")</f>
        <v/>
      </c>
      <c r="BY30" s="15" t="str" cm="1">
        <f t="array" aca="1" ref="BY30" ca="1">IFERROR(_xlfn.TEXTJOIN("、",TRUE,_xlfn._xlws.FILTER($B$4:$B$17,ISNUMBER(SEARCH($B30,INDIRECT(ADDRESS(4, MATCH(BY$19,$3:$3)) &amp; ":" &amp; ADDRESS(15, MATCH(BY$19,$3:$3))))))), "")</f>
        <v/>
      </c>
      <c r="BZ30" s="15" t="str" cm="1">
        <f t="array" aca="1" ref="BZ30" ca="1">IFERROR(_xlfn.TEXTJOIN("、",TRUE,_xlfn._xlws.FILTER($B$4:$B$17,ISNUMBER(SEARCH($B30,INDIRECT(ADDRESS(4, MATCH(BZ$19,$3:$3)) &amp; ":" &amp; ADDRESS(15, MATCH(BZ$19,$3:$3))))))), "")</f>
        <v/>
      </c>
      <c r="CA30" s="15" t="str" cm="1">
        <f t="array" aca="1" ref="CA30" ca="1">IFERROR(_xlfn.TEXTJOIN("、",TRUE,_xlfn._xlws.FILTER($B$4:$B$17,ISNUMBER(SEARCH($B30,INDIRECT(ADDRESS(4, MATCH(CA$19,$3:$3)) &amp; ":" &amp; ADDRESS(15, MATCH(CA$19,$3:$3))))))), "")</f>
        <v/>
      </c>
      <c r="CB30" s="15" t="str" cm="1">
        <f t="array" aca="1" ref="CB30" ca="1">IFERROR(_xlfn.TEXTJOIN("、",TRUE,_xlfn._xlws.FILTER($B$4:$B$17,ISNUMBER(SEARCH($B30,INDIRECT(ADDRESS(4, MATCH(CB$19,$3:$3)) &amp; ":" &amp; ADDRESS(15, MATCH(CB$19,$3:$3))))))), "")</f>
        <v/>
      </c>
      <c r="CC30" s="15" t="str" cm="1">
        <f t="array" aca="1" ref="CC30" ca="1">IFERROR(_xlfn.TEXTJOIN("、",TRUE,_xlfn._xlws.FILTER($B$4:$B$17,ISNUMBER(SEARCH($B30,INDIRECT(ADDRESS(4, MATCH(CC$19,$3:$3)) &amp; ":" &amp; ADDRESS(15, MATCH(CC$19,$3:$3))))))), "")</f>
        <v/>
      </c>
      <c r="CD30" s="15" t="str" cm="1">
        <f t="array" aca="1" ref="CD30" ca="1">IFERROR(_xlfn.TEXTJOIN("、",TRUE,_xlfn._xlws.FILTER($B$4:$B$17,ISNUMBER(SEARCH($B30,INDIRECT(ADDRESS(4, MATCH(CD$19,$3:$3)) &amp; ":" &amp; ADDRESS(15, MATCH(CD$19,$3:$3))))))), "")</f>
        <v/>
      </c>
      <c r="CE30" s="15" t="str" cm="1">
        <f t="array" aca="1" ref="CE30" ca="1">IFERROR(_xlfn.TEXTJOIN("、",TRUE,_xlfn._xlws.FILTER($B$4:$B$17,ISNUMBER(SEARCH($B30,INDIRECT(ADDRESS(4, MATCH(CE$19,$3:$3)) &amp; ":" &amp; ADDRESS(15, MATCH(CE$19,$3:$3))))))), "")</f>
        <v/>
      </c>
      <c r="CF30" s="15" t="str" cm="1">
        <f t="array" aca="1" ref="CF30" ca="1">IFERROR(_xlfn.TEXTJOIN("、",TRUE,_xlfn._xlws.FILTER($B$4:$B$17,ISNUMBER(SEARCH($B30,INDIRECT(ADDRESS(4, MATCH(CF$19,$3:$3)) &amp; ":" &amp; ADDRESS(15, MATCH(CF$19,$3:$3))))))), "")</f>
        <v/>
      </c>
      <c r="CG30" s="15" t="str" cm="1">
        <f t="array" aca="1" ref="CG30" ca="1">IFERROR(_xlfn.TEXTJOIN("、",TRUE,_xlfn._xlws.FILTER($B$4:$B$17,ISNUMBER(SEARCH($B30,INDIRECT(ADDRESS(4, MATCH(CG$19,$3:$3)) &amp; ":" &amp; ADDRESS(15, MATCH(CG$19,$3:$3))))))), "")</f>
        <v/>
      </c>
      <c r="CH30" s="15" t="str" cm="1">
        <f t="array" aca="1" ref="CH30" ca="1">IFERROR(_xlfn.TEXTJOIN("、",TRUE,_xlfn._xlws.FILTER($B$4:$B$17,ISNUMBER(SEARCH($B30,INDIRECT(ADDRESS(4, MATCH(CH$19,$3:$3)) &amp; ":" &amp; ADDRESS(15, MATCH(CH$19,$3:$3))))))), "")</f>
        <v/>
      </c>
      <c r="CI30" s="15" t="str" cm="1">
        <f t="array" aca="1" ref="CI30" ca="1">IFERROR(_xlfn.TEXTJOIN("、",TRUE,_xlfn._xlws.FILTER($B$4:$B$17,ISNUMBER(SEARCH($B30,INDIRECT(ADDRESS(4, MATCH(CI$19,$3:$3)) &amp; ":" &amp; ADDRESS(15, MATCH(CI$19,$3:$3))))))), "")</f>
        <v/>
      </c>
      <c r="CJ30" s="15" t="str" cm="1">
        <f t="array" aca="1" ref="CJ30" ca="1">IFERROR(_xlfn.TEXTJOIN("、",TRUE,_xlfn._xlws.FILTER($B$4:$B$17,ISNUMBER(SEARCH($B30,INDIRECT(ADDRESS(4, MATCH(CJ$19,$3:$3)) &amp; ":" &amp; ADDRESS(15, MATCH(CJ$19,$3:$3))))))), "")</f>
        <v/>
      </c>
      <c r="CK30" s="15" t="str" cm="1">
        <f t="array" aca="1" ref="CK30" ca="1">IFERROR(_xlfn.TEXTJOIN("、",TRUE,_xlfn._xlws.FILTER($B$4:$B$17,ISNUMBER(SEARCH($B30,INDIRECT(ADDRESS(4, MATCH(CK$19,$3:$3)) &amp; ":" &amp; ADDRESS(15, MATCH(CK$19,$3:$3))))))), "")</f>
        <v/>
      </c>
      <c r="CL30" s="15" t="str" cm="1">
        <f t="array" aca="1" ref="CL30" ca="1">IFERROR(_xlfn.TEXTJOIN("、",TRUE,_xlfn._xlws.FILTER($B$4:$B$17,ISNUMBER(SEARCH($B30,INDIRECT(ADDRESS(4, MATCH(CL$19,$3:$3)) &amp; ":" &amp; ADDRESS(15, MATCH(CL$19,$3:$3))))))), "")</f>
        <v/>
      </c>
      <c r="CM30" s="15" t="str" cm="1">
        <f t="array" aca="1" ref="CM30" ca="1">IFERROR(_xlfn.TEXTJOIN("、",TRUE,_xlfn._xlws.FILTER($B$4:$B$17,ISNUMBER(SEARCH($B30,INDIRECT(ADDRESS(4, MATCH(CM$19,$3:$3)) &amp; ":" &amp; ADDRESS(15, MATCH(CM$19,$3:$3))))))), "")</f>
        <v/>
      </c>
      <c r="CN30" s="15" t="str" cm="1">
        <f t="array" aca="1" ref="CN30" ca="1">IFERROR(_xlfn.TEXTJOIN("、",TRUE,_xlfn._xlws.FILTER($B$4:$B$17,ISNUMBER(SEARCH($B30,INDIRECT(ADDRESS(4, MATCH(CN$19,$3:$3)) &amp; ":" &amp; ADDRESS(15, MATCH(CN$19,$3:$3))))))), "")</f>
        <v/>
      </c>
      <c r="CO30" s="15" t="str" cm="1">
        <f t="array" aca="1" ref="CO30" ca="1">IFERROR(_xlfn.TEXTJOIN("、",TRUE,_xlfn._xlws.FILTER($B$4:$B$17,ISNUMBER(SEARCH($B30,INDIRECT(ADDRESS(4, MATCH(CO$19,$3:$3)) &amp; ":" &amp; ADDRESS(15, MATCH(CO$19,$3:$3))))))), "")</f>
        <v/>
      </c>
      <c r="CP30" s="15" t="str" cm="1">
        <f t="array" aca="1" ref="CP30" ca="1">IFERROR(_xlfn.TEXTJOIN("、",TRUE,_xlfn._xlws.FILTER($B$4:$B$17,ISNUMBER(SEARCH($B30,INDIRECT(ADDRESS(4, MATCH(CP$19,$3:$3)) &amp; ":" &amp; ADDRESS(15, MATCH(CP$19,$3:$3))))))), "")</f>
        <v/>
      </c>
      <c r="CU30" s="148" t="s">
        <v>204</v>
      </c>
      <c r="CV30" s="139" t="s">
        <v>202</v>
      </c>
      <c r="CW30" s="140"/>
      <c r="CX30" s="143" t="s">
        <v>646</v>
      </c>
      <c r="CY30" s="147" t="s">
        <v>346</v>
      </c>
      <c r="CZ30" s="139" t="s">
        <v>322</v>
      </c>
      <c r="DA30" s="140"/>
      <c r="DB30" s="140"/>
    </row>
    <row r="31" spans="2:106" ht="19.5" thickBot="1">
      <c r="CU31" s="144"/>
      <c r="CV31" s="140"/>
      <c r="CW31" s="141"/>
      <c r="CX31" s="140"/>
      <c r="CY31" s="149" t="s">
        <v>345</v>
      </c>
      <c r="CZ31" s="139" t="s">
        <v>322</v>
      </c>
      <c r="DA31" s="140"/>
      <c r="DB31" s="141"/>
    </row>
    <row r="32" spans="2:106" ht="19.5" thickBot="1">
      <c r="C32" s="15" t="s">
        <v>339</v>
      </c>
      <c r="CU32" s="144"/>
      <c r="CV32" s="141"/>
      <c r="CW32" s="141"/>
      <c r="CX32" s="141"/>
      <c r="CY32" s="141"/>
      <c r="CZ32" s="141"/>
      <c r="DA32" s="140"/>
      <c r="DB32" s="141"/>
    </row>
    <row r="33" spans="3:106" ht="19.5" thickBot="1">
      <c r="CU33" s="144"/>
      <c r="CV33" s="149" t="s">
        <v>635</v>
      </c>
      <c r="CW33" s="141"/>
      <c r="CX33" s="149" t="s">
        <v>345</v>
      </c>
      <c r="CY33" s="141"/>
      <c r="CZ33" s="149" t="s">
        <v>647</v>
      </c>
      <c r="DA33" s="140"/>
      <c r="DB33" s="149" t="s">
        <v>345</v>
      </c>
    </row>
    <row r="34" spans="3:106" ht="19.5" thickBot="1">
      <c r="C34" s="15" t="s">
        <v>340</v>
      </c>
      <c r="CU34" s="144"/>
      <c r="CV34" s="149" t="s">
        <v>345</v>
      </c>
      <c r="CW34" s="141"/>
      <c r="CX34" s="149" t="s">
        <v>635</v>
      </c>
      <c r="CY34" s="141"/>
      <c r="CZ34" s="149" t="s">
        <v>647</v>
      </c>
      <c r="DA34" s="140"/>
      <c r="DB34" s="141"/>
    </row>
    <row r="36" spans="3:106">
      <c r="C36" s="15" t="s">
        <v>624</v>
      </c>
    </row>
    <row r="39" spans="3:106">
      <c r="C39" s="15" t="s">
        <v>341</v>
      </c>
    </row>
    <row r="41" spans="3:106">
      <c r="C41" s="15" t="s">
        <v>342</v>
      </c>
    </row>
    <row r="43" spans="3:106">
      <c r="C43" s="15" t="s">
        <v>343</v>
      </c>
    </row>
    <row r="45" spans="3:106">
      <c r="C45" s="15" t="s">
        <v>344</v>
      </c>
    </row>
    <row r="50" spans="9:21" ht="19.5" thickBot="1"/>
    <row r="51" spans="9:21" ht="19.5" thickBot="1">
      <c r="I51" s="169" t="s">
        <v>649</v>
      </c>
      <c r="J51" s="170" t="s">
        <v>822</v>
      </c>
      <c r="K51" s="170" t="s">
        <v>354</v>
      </c>
      <c r="L51" s="171" t="s">
        <v>249</v>
      </c>
      <c r="M51" s="171" t="s">
        <v>650</v>
      </c>
      <c r="N51" s="170" t="s">
        <v>727</v>
      </c>
      <c r="O51" s="171" t="s">
        <v>651</v>
      </c>
      <c r="P51" s="171" t="s">
        <v>823</v>
      </c>
      <c r="Q51" s="137"/>
      <c r="R51" s="172" t="s">
        <v>654</v>
      </c>
      <c r="S51" s="172" t="s">
        <v>652</v>
      </c>
      <c r="T51" s="172" t="s">
        <v>653</v>
      </c>
      <c r="U51" s="172" t="s">
        <v>824</v>
      </c>
    </row>
    <row r="52" spans="9:21">
      <c r="J52" s="15" t="s">
        <v>202</v>
      </c>
      <c r="K52" s="15" t="s">
        <v>201</v>
      </c>
      <c r="L52" s="15" t="s">
        <v>204</v>
      </c>
      <c r="M52" s="15" t="s">
        <v>62</v>
      </c>
      <c r="N52" s="15" t="s">
        <v>202</v>
      </c>
      <c r="O52" s="15" t="s">
        <v>322</v>
      </c>
      <c r="R52" s="15" t="s">
        <v>634</v>
      </c>
      <c r="U52" s="15" t="s">
        <v>825</v>
      </c>
    </row>
    <row r="53" spans="9:21">
      <c r="J53" s="15" t="s">
        <v>202</v>
      </c>
      <c r="K53" s="15" t="s">
        <v>201</v>
      </c>
      <c r="L53" s="15" t="s">
        <v>204</v>
      </c>
      <c r="M53" s="15" t="s">
        <v>322</v>
      </c>
      <c r="N53" s="15" t="s">
        <v>202</v>
      </c>
      <c r="O53" s="15" t="s">
        <v>62</v>
      </c>
      <c r="R53" s="15" t="s">
        <v>634</v>
      </c>
      <c r="U53" s="15" t="s">
        <v>267</v>
      </c>
    </row>
    <row r="54" spans="9:21">
      <c r="J54" s="15" t="s">
        <v>202</v>
      </c>
      <c r="K54" s="15" t="s">
        <v>646</v>
      </c>
      <c r="L54" s="15" t="s">
        <v>204</v>
      </c>
      <c r="M54" s="15" t="s">
        <v>322</v>
      </c>
      <c r="N54" s="15" t="s">
        <v>202</v>
      </c>
      <c r="O54" s="15" t="s">
        <v>62</v>
      </c>
      <c r="R54" s="15" t="s">
        <v>634</v>
      </c>
      <c r="T54" s="15" t="s">
        <v>826</v>
      </c>
      <c r="U54" s="15" t="s">
        <v>267</v>
      </c>
    </row>
    <row r="55" spans="9:21">
      <c r="J55" s="15" t="s">
        <v>322</v>
      </c>
      <c r="K55" s="15" t="s">
        <v>647</v>
      </c>
      <c r="L55" s="15" t="s">
        <v>634</v>
      </c>
      <c r="M55" s="15" t="s">
        <v>634</v>
      </c>
      <c r="N55" s="15" t="s">
        <v>346</v>
      </c>
      <c r="O55" s="15" t="s">
        <v>634</v>
      </c>
      <c r="R55" s="15">
        <v>1</v>
      </c>
      <c r="S55" s="15" t="s">
        <v>634</v>
      </c>
      <c r="T55" s="15" t="s">
        <v>634</v>
      </c>
      <c r="U55" s="15" t="s">
        <v>634</v>
      </c>
    </row>
    <row r="56" spans="9:21">
      <c r="I56" s="15" t="s">
        <v>634</v>
      </c>
      <c r="J56" s="15" t="s">
        <v>634</v>
      </c>
      <c r="K56" s="15" t="s">
        <v>634</v>
      </c>
      <c r="L56" s="15" t="s">
        <v>634</v>
      </c>
      <c r="M56" s="15" t="s">
        <v>634</v>
      </c>
      <c r="N56" s="15" t="s">
        <v>634</v>
      </c>
      <c r="O56" s="15" t="s">
        <v>634</v>
      </c>
      <c r="R56" s="15" t="s">
        <v>634</v>
      </c>
      <c r="S56" s="15" t="s">
        <v>634</v>
      </c>
      <c r="T56" s="15" t="s">
        <v>634</v>
      </c>
      <c r="U56" s="15" t="s">
        <v>634</v>
      </c>
    </row>
    <row r="57" spans="9:21">
      <c r="I57" s="15" t="s">
        <v>35</v>
      </c>
      <c r="J57" s="15" t="s">
        <v>202</v>
      </c>
      <c r="K57" s="15" t="s">
        <v>827</v>
      </c>
      <c r="L57" s="15" t="s">
        <v>201</v>
      </c>
      <c r="M57" s="15" t="s">
        <v>204</v>
      </c>
      <c r="N57" s="15" t="s">
        <v>322</v>
      </c>
      <c r="O57" s="15" t="s">
        <v>322</v>
      </c>
      <c r="R57" s="15" t="s">
        <v>634</v>
      </c>
      <c r="U57" s="15" t="s">
        <v>267</v>
      </c>
    </row>
    <row r="58" spans="9:21">
      <c r="J58" s="15" t="s">
        <v>202</v>
      </c>
      <c r="K58" s="15" t="s">
        <v>62</v>
      </c>
      <c r="L58" s="15" t="s">
        <v>201</v>
      </c>
      <c r="M58" s="15" t="s">
        <v>204</v>
      </c>
      <c r="N58" s="15" t="s">
        <v>203</v>
      </c>
      <c r="O58" s="15" t="s">
        <v>322</v>
      </c>
      <c r="R58" s="15">
        <v>2</v>
      </c>
      <c r="U58" s="15" t="s">
        <v>267</v>
      </c>
    </row>
    <row r="59" spans="9:21">
      <c r="J59" s="15" t="s">
        <v>201</v>
      </c>
      <c r="K59" s="15" t="s">
        <v>204</v>
      </c>
      <c r="L59" s="15" t="s">
        <v>201</v>
      </c>
      <c r="M59" s="15" t="s">
        <v>645</v>
      </c>
      <c r="N59" s="15" t="s">
        <v>203</v>
      </c>
      <c r="O59" s="15" t="s">
        <v>322</v>
      </c>
      <c r="R59" s="15" t="s">
        <v>634</v>
      </c>
      <c r="U59" s="15" t="s">
        <v>267</v>
      </c>
    </row>
    <row r="60" spans="9:21">
      <c r="J60" s="15" t="s">
        <v>201</v>
      </c>
      <c r="K60" s="15" t="s">
        <v>202</v>
      </c>
      <c r="L60" s="15" t="s">
        <v>62</v>
      </c>
      <c r="M60" s="15" t="s">
        <v>204</v>
      </c>
      <c r="N60" s="15" t="s">
        <v>322</v>
      </c>
      <c r="O60" s="15" t="s">
        <v>62</v>
      </c>
      <c r="R60" s="15" t="s">
        <v>634</v>
      </c>
      <c r="U60" s="15" t="s">
        <v>267</v>
      </c>
    </row>
    <row r="61" spans="9:21">
      <c r="J61" s="15" t="s">
        <v>646</v>
      </c>
      <c r="K61" s="15" t="s">
        <v>202</v>
      </c>
      <c r="L61" s="15" t="s">
        <v>646</v>
      </c>
      <c r="M61" s="15" t="s">
        <v>204</v>
      </c>
      <c r="N61" s="15" t="s">
        <v>828</v>
      </c>
      <c r="O61" s="15" t="s">
        <v>62</v>
      </c>
      <c r="R61" s="15">
        <v>3</v>
      </c>
      <c r="S61" s="15" t="s">
        <v>347</v>
      </c>
      <c r="U61" s="15" t="s">
        <v>267</v>
      </c>
    </row>
    <row r="62" spans="9:21">
      <c r="I62" s="15" t="s">
        <v>634</v>
      </c>
      <c r="J62" s="15" t="s">
        <v>634</v>
      </c>
      <c r="K62" s="15" t="s">
        <v>634</v>
      </c>
      <c r="M62" s="15" t="s">
        <v>346</v>
      </c>
      <c r="N62" s="15" t="s">
        <v>634</v>
      </c>
      <c r="O62" s="15" t="s">
        <v>62</v>
      </c>
      <c r="Q62" s="15" t="s">
        <v>698</v>
      </c>
      <c r="R62" s="15">
        <v>4</v>
      </c>
      <c r="S62" s="15" t="s">
        <v>634</v>
      </c>
      <c r="T62" s="15" t="s">
        <v>634</v>
      </c>
      <c r="U62" s="15" t="s">
        <v>634</v>
      </c>
    </row>
    <row r="63" spans="9:21">
      <c r="I63" s="15" t="s">
        <v>634</v>
      </c>
      <c r="J63" s="15" t="s">
        <v>634</v>
      </c>
      <c r="K63" s="15" t="s">
        <v>634</v>
      </c>
      <c r="L63" s="15" t="s">
        <v>634</v>
      </c>
      <c r="M63" s="15" t="s">
        <v>634</v>
      </c>
      <c r="N63" s="15" t="s">
        <v>634</v>
      </c>
      <c r="O63" s="15" t="s">
        <v>634</v>
      </c>
      <c r="P63" s="15" t="s">
        <v>634</v>
      </c>
      <c r="R63" s="15" t="s">
        <v>634</v>
      </c>
      <c r="S63" s="15" t="s">
        <v>634</v>
      </c>
      <c r="T63" s="15" t="s">
        <v>634</v>
      </c>
      <c r="U63" s="15" t="s">
        <v>634</v>
      </c>
    </row>
    <row r="64" spans="9:21">
      <c r="J64" s="15" t="s">
        <v>201</v>
      </c>
      <c r="K64" s="15" t="s">
        <v>828</v>
      </c>
      <c r="L64" s="15" t="s">
        <v>202</v>
      </c>
      <c r="M64" s="15" t="s">
        <v>201</v>
      </c>
      <c r="N64" s="15" t="s">
        <v>204</v>
      </c>
      <c r="O64" s="15" t="s">
        <v>322</v>
      </c>
      <c r="R64" s="15" t="s">
        <v>634</v>
      </c>
      <c r="U64" s="15" t="s">
        <v>267</v>
      </c>
    </row>
    <row r="65" spans="9:21">
      <c r="J65" s="15" t="s">
        <v>201</v>
      </c>
      <c r="K65" s="15" t="s">
        <v>62</v>
      </c>
      <c r="L65" s="15" t="s">
        <v>202</v>
      </c>
      <c r="M65" s="15" t="s">
        <v>201</v>
      </c>
      <c r="N65" s="15" t="s">
        <v>204</v>
      </c>
      <c r="O65" s="15" t="s">
        <v>322</v>
      </c>
      <c r="R65" s="15">
        <v>5</v>
      </c>
      <c r="U65" s="15" t="s">
        <v>267</v>
      </c>
    </row>
    <row r="66" spans="9:21">
      <c r="J66" s="15" t="s">
        <v>825</v>
      </c>
      <c r="K66" s="15" t="s">
        <v>347</v>
      </c>
      <c r="L66" s="15" t="s">
        <v>202</v>
      </c>
      <c r="M66" s="15" t="s">
        <v>201</v>
      </c>
      <c r="N66" s="15" t="s">
        <v>204</v>
      </c>
      <c r="O66" s="15" t="s">
        <v>322</v>
      </c>
      <c r="R66" s="15" t="s">
        <v>634</v>
      </c>
      <c r="U66" s="15" t="s">
        <v>825</v>
      </c>
    </row>
    <row r="67" spans="9:21">
      <c r="I67" s="15" t="s">
        <v>649</v>
      </c>
      <c r="J67" s="15" t="s">
        <v>822</v>
      </c>
      <c r="K67" s="15" t="s">
        <v>354</v>
      </c>
      <c r="L67" s="15" t="s">
        <v>249</v>
      </c>
      <c r="M67" s="15" t="s">
        <v>650</v>
      </c>
      <c r="N67" s="15" t="s">
        <v>727</v>
      </c>
      <c r="O67" s="15" t="s">
        <v>651</v>
      </c>
      <c r="P67" s="15" t="s">
        <v>823</v>
      </c>
      <c r="R67" s="15" t="s">
        <v>654</v>
      </c>
      <c r="S67" s="15" t="s">
        <v>652</v>
      </c>
      <c r="T67" s="15" t="s">
        <v>653</v>
      </c>
      <c r="U67" s="15" t="s">
        <v>824</v>
      </c>
    </row>
    <row r="68" spans="9:21">
      <c r="J68" s="15" t="s">
        <v>201</v>
      </c>
      <c r="K68" s="15" t="s">
        <v>62</v>
      </c>
      <c r="L68" s="15" t="s">
        <v>202</v>
      </c>
      <c r="M68" s="15" t="s">
        <v>201</v>
      </c>
      <c r="N68" s="15" t="s">
        <v>204</v>
      </c>
      <c r="O68" s="15" t="s">
        <v>62</v>
      </c>
      <c r="R68" s="15" t="s">
        <v>634</v>
      </c>
      <c r="U68" s="15" t="s">
        <v>267</v>
      </c>
    </row>
    <row r="69" spans="9:21">
      <c r="J69" s="15" t="s">
        <v>201</v>
      </c>
      <c r="K69" s="15" t="s">
        <v>62</v>
      </c>
      <c r="L69" s="15" t="s">
        <v>202</v>
      </c>
      <c r="M69" s="15" t="s">
        <v>646</v>
      </c>
      <c r="N69" s="15" t="s">
        <v>204</v>
      </c>
      <c r="O69" s="15" t="s">
        <v>62</v>
      </c>
      <c r="R69" s="15" t="s">
        <v>634</v>
      </c>
      <c r="U69" s="15" t="s">
        <v>267</v>
      </c>
    </row>
    <row r="70" spans="9:21">
      <c r="I70" s="15" t="s">
        <v>346</v>
      </c>
      <c r="J70" s="15" t="s">
        <v>204</v>
      </c>
      <c r="L70" s="15" t="s">
        <v>634</v>
      </c>
      <c r="M70" s="15" t="s">
        <v>634</v>
      </c>
      <c r="O70" s="15" t="s">
        <v>634</v>
      </c>
      <c r="P70" s="15" t="s">
        <v>634</v>
      </c>
      <c r="R70" s="15">
        <v>6</v>
      </c>
      <c r="S70" s="15" t="s">
        <v>634</v>
      </c>
      <c r="T70" s="15" t="s">
        <v>634</v>
      </c>
      <c r="U70" s="15" t="s">
        <v>634</v>
      </c>
    </row>
    <row r="71" spans="9:21">
      <c r="I71" s="15" t="s">
        <v>634</v>
      </c>
      <c r="J71" s="15" t="s">
        <v>634</v>
      </c>
      <c r="K71" s="15" t="s">
        <v>634</v>
      </c>
      <c r="L71" s="15" t="s">
        <v>634</v>
      </c>
      <c r="M71" s="15" t="s">
        <v>634</v>
      </c>
      <c r="N71" s="15" t="s">
        <v>634</v>
      </c>
      <c r="O71" s="15" t="s">
        <v>634</v>
      </c>
      <c r="P71" s="15" t="s">
        <v>634</v>
      </c>
      <c r="R71" s="15" t="s">
        <v>634</v>
      </c>
      <c r="S71" s="15" t="s">
        <v>634</v>
      </c>
      <c r="T71" s="15" t="s">
        <v>634</v>
      </c>
      <c r="U71" s="15" t="s">
        <v>634</v>
      </c>
    </row>
    <row r="72" spans="9:21">
      <c r="J72" s="15" t="s">
        <v>346</v>
      </c>
      <c r="K72" s="15" t="s">
        <v>204</v>
      </c>
      <c r="L72" s="15" t="s">
        <v>62</v>
      </c>
      <c r="M72" s="15" t="s">
        <v>202</v>
      </c>
      <c r="N72" s="15" t="s">
        <v>201</v>
      </c>
      <c r="O72" s="15" t="s">
        <v>322</v>
      </c>
      <c r="R72" s="15" t="s">
        <v>634</v>
      </c>
      <c r="U72" s="15" t="s">
        <v>267</v>
      </c>
    </row>
    <row r="73" spans="9:21">
      <c r="J73" s="15" t="s">
        <v>201</v>
      </c>
      <c r="K73" s="15" t="s">
        <v>204</v>
      </c>
      <c r="L73" s="15" t="s">
        <v>62</v>
      </c>
      <c r="M73" s="15" t="s">
        <v>202</v>
      </c>
      <c r="N73" s="15" t="s">
        <v>201</v>
      </c>
      <c r="O73" s="15" t="s">
        <v>322</v>
      </c>
      <c r="R73" s="15">
        <v>7</v>
      </c>
      <c r="U73" s="15" t="s">
        <v>267</v>
      </c>
    </row>
    <row r="74" spans="9:21">
      <c r="J74" s="15" t="s">
        <v>202</v>
      </c>
      <c r="K74" s="15" t="s">
        <v>204</v>
      </c>
      <c r="L74" s="15" t="s">
        <v>62</v>
      </c>
      <c r="M74" s="15" t="s">
        <v>201</v>
      </c>
      <c r="N74" s="15" t="s">
        <v>645</v>
      </c>
      <c r="O74" s="15" t="s">
        <v>322</v>
      </c>
      <c r="R74" s="15" t="s">
        <v>634</v>
      </c>
      <c r="U74" s="15" t="s">
        <v>267</v>
      </c>
    </row>
    <row r="75" spans="9:21">
      <c r="J75" s="15" t="s">
        <v>202</v>
      </c>
      <c r="K75" s="15" t="s">
        <v>204</v>
      </c>
      <c r="L75" s="15" t="s">
        <v>62</v>
      </c>
      <c r="M75" s="15" t="s">
        <v>202</v>
      </c>
      <c r="N75" s="15" t="s">
        <v>201</v>
      </c>
      <c r="O75" s="15" t="s">
        <v>62</v>
      </c>
      <c r="R75" s="15" t="s">
        <v>634</v>
      </c>
      <c r="U75" s="15" t="s">
        <v>267</v>
      </c>
    </row>
    <row r="76" spans="9:21">
      <c r="J76" s="15" t="s">
        <v>62</v>
      </c>
      <c r="K76" s="15" t="s">
        <v>829</v>
      </c>
      <c r="L76" s="15" t="s">
        <v>204</v>
      </c>
      <c r="M76" s="15" t="s">
        <v>202</v>
      </c>
      <c r="N76" s="15" t="s">
        <v>646</v>
      </c>
      <c r="O76" s="15" t="s">
        <v>62</v>
      </c>
      <c r="R76" s="15" t="s">
        <v>634</v>
      </c>
      <c r="U76" s="15" t="s">
        <v>267</v>
      </c>
    </row>
    <row r="77" spans="9:21">
      <c r="I77" s="15" t="s">
        <v>634</v>
      </c>
      <c r="J77" s="15" t="s">
        <v>634</v>
      </c>
      <c r="K77" s="15" t="s">
        <v>634</v>
      </c>
      <c r="N77" s="15" t="s">
        <v>634</v>
      </c>
      <c r="O77" s="15" t="s">
        <v>346</v>
      </c>
      <c r="Q77" s="15" t="s">
        <v>698</v>
      </c>
      <c r="R77" s="15">
        <v>8</v>
      </c>
      <c r="S77" s="15" t="s">
        <v>634</v>
      </c>
      <c r="T77" s="15" t="s">
        <v>634</v>
      </c>
      <c r="U77" s="15" t="s">
        <v>634</v>
      </c>
    </row>
    <row r="78" spans="9:21">
      <c r="I78" s="15" t="s">
        <v>634</v>
      </c>
      <c r="J78" s="15" t="s">
        <v>634</v>
      </c>
      <c r="K78" s="15" t="s">
        <v>634</v>
      </c>
      <c r="L78" s="15" t="s">
        <v>634</v>
      </c>
      <c r="M78" s="15" t="s">
        <v>634</v>
      </c>
      <c r="N78" s="15" t="s">
        <v>634</v>
      </c>
      <c r="O78" s="15" t="s">
        <v>634</v>
      </c>
      <c r="P78" s="15" t="s">
        <v>634</v>
      </c>
      <c r="R78" s="15" t="s">
        <v>634</v>
      </c>
      <c r="S78" s="15" t="s">
        <v>634</v>
      </c>
      <c r="T78" s="15" t="s">
        <v>634</v>
      </c>
      <c r="U78" s="15" t="s">
        <v>634</v>
      </c>
    </row>
    <row r="79" spans="9:21">
      <c r="J79" s="15" t="s">
        <v>201</v>
      </c>
      <c r="K79" s="15" t="s">
        <v>62</v>
      </c>
      <c r="L79" s="15" t="s">
        <v>346</v>
      </c>
      <c r="M79" s="15" t="s">
        <v>204</v>
      </c>
      <c r="N79" s="15" t="s">
        <v>202</v>
      </c>
      <c r="O79" s="15" t="s">
        <v>322</v>
      </c>
      <c r="R79" s="15" t="s">
        <v>634</v>
      </c>
      <c r="U79" s="15" t="s">
        <v>267</v>
      </c>
    </row>
    <row r="80" spans="9:21">
      <c r="J80" s="15" t="s">
        <v>355</v>
      </c>
      <c r="K80" s="15" t="s">
        <v>201</v>
      </c>
      <c r="L80" s="15" t="s">
        <v>204</v>
      </c>
      <c r="M80" s="15" t="s">
        <v>62</v>
      </c>
      <c r="N80" s="15" t="s">
        <v>202</v>
      </c>
      <c r="O80" s="15" t="s">
        <v>322</v>
      </c>
      <c r="R80" s="15">
        <v>9</v>
      </c>
      <c r="U80" s="15" t="s">
        <v>267</v>
      </c>
    </row>
    <row r="81" spans="9:21">
      <c r="I81" s="15" t="s">
        <v>634</v>
      </c>
      <c r="J81" s="15" t="s">
        <v>345</v>
      </c>
      <c r="K81" s="15" t="s">
        <v>345</v>
      </c>
      <c r="L81" s="15" t="s">
        <v>634</v>
      </c>
      <c r="M81" s="15" t="s">
        <v>345</v>
      </c>
      <c r="N81" s="15" t="s">
        <v>634</v>
      </c>
      <c r="O81" s="15" t="s">
        <v>647</v>
      </c>
      <c r="P81" s="15" t="s">
        <v>634</v>
      </c>
      <c r="R81" s="15" t="s">
        <v>634</v>
      </c>
      <c r="S81" s="15" t="s">
        <v>634</v>
      </c>
      <c r="T81" s="15" t="s">
        <v>634</v>
      </c>
      <c r="U81" s="15" t="s">
        <v>634</v>
      </c>
    </row>
    <row r="82" spans="9:21">
      <c r="J82" s="15" t="s">
        <v>201</v>
      </c>
      <c r="K82" s="15" t="s">
        <v>355</v>
      </c>
      <c r="L82" s="15" t="s">
        <v>204</v>
      </c>
      <c r="M82" s="15" t="s">
        <v>62</v>
      </c>
      <c r="N82" s="15" t="s">
        <v>202</v>
      </c>
      <c r="O82" s="15" t="s">
        <v>62</v>
      </c>
      <c r="R82" s="15">
        <v>10</v>
      </c>
      <c r="U82" s="15" t="s">
        <v>267</v>
      </c>
    </row>
    <row r="83" spans="9:21">
      <c r="J83" s="15" t="s">
        <v>646</v>
      </c>
      <c r="K83" s="15" t="s">
        <v>62</v>
      </c>
      <c r="L83" s="15" t="s">
        <v>204</v>
      </c>
      <c r="M83" s="15" t="s">
        <v>355</v>
      </c>
      <c r="N83" s="15" t="s">
        <v>202</v>
      </c>
      <c r="O83" s="15" t="s">
        <v>62</v>
      </c>
      <c r="R83" s="15" t="s">
        <v>634</v>
      </c>
      <c r="U83" s="15" t="s">
        <v>267</v>
      </c>
    </row>
    <row r="84" spans="9:21">
      <c r="L84" s="15" t="s">
        <v>634</v>
      </c>
      <c r="M84" s="15" t="s">
        <v>634</v>
      </c>
      <c r="N84" s="15" t="s">
        <v>346</v>
      </c>
      <c r="O84" s="15" t="s">
        <v>634</v>
      </c>
      <c r="P84" s="15" t="s">
        <v>634</v>
      </c>
      <c r="R84" s="15">
        <v>1</v>
      </c>
      <c r="S84" s="15" t="s">
        <v>634</v>
      </c>
      <c r="T84" s="15" t="s">
        <v>634</v>
      </c>
      <c r="U84" s="15" t="s">
        <v>634</v>
      </c>
    </row>
    <row r="85" spans="9:21">
      <c r="I85" s="15" t="s">
        <v>634</v>
      </c>
      <c r="J85" s="15" t="s">
        <v>634</v>
      </c>
      <c r="K85" s="15" t="s">
        <v>634</v>
      </c>
      <c r="L85" s="15" t="s">
        <v>634</v>
      </c>
      <c r="M85" s="15" t="s">
        <v>634</v>
      </c>
      <c r="N85" s="15" t="s">
        <v>634</v>
      </c>
      <c r="O85" s="15" t="s">
        <v>634</v>
      </c>
      <c r="P85" s="15" t="s">
        <v>634</v>
      </c>
      <c r="R85" s="15" t="s">
        <v>634</v>
      </c>
      <c r="S85" s="15" t="s">
        <v>634</v>
      </c>
      <c r="T85" s="15" t="s">
        <v>634</v>
      </c>
      <c r="U85" s="15" t="s">
        <v>634</v>
      </c>
    </row>
    <row r="86" spans="9:21">
      <c r="I86" s="15" t="s">
        <v>634</v>
      </c>
      <c r="J86" s="15" t="s">
        <v>345</v>
      </c>
      <c r="K86" s="15" t="s">
        <v>634</v>
      </c>
      <c r="L86" s="15" t="s">
        <v>345</v>
      </c>
      <c r="M86" s="15" t="s">
        <v>634</v>
      </c>
      <c r="N86" s="15" t="s">
        <v>345</v>
      </c>
      <c r="O86" s="15" t="s">
        <v>345</v>
      </c>
      <c r="P86" s="15" t="s">
        <v>634</v>
      </c>
      <c r="R86" s="15" t="s">
        <v>634</v>
      </c>
      <c r="S86" s="15" t="s">
        <v>634</v>
      </c>
      <c r="T86" s="15" t="s">
        <v>634</v>
      </c>
      <c r="U86" s="15" t="s">
        <v>634</v>
      </c>
    </row>
    <row r="87" spans="9:21">
      <c r="I87" s="15" t="s">
        <v>634</v>
      </c>
      <c r="J87" s="15" t="s">
        <v>345</v>
      </c>
      <c r="K87" s="15" t="s">
        <v>345</v>
      </c>
      <c r="L87" s="15" t="s">
        <v>634</v>
      </c>
      <c r="M87" s="15" t="s">
        <v>345</v>
      </c>
      <c r="N87" s="15" t="s">
        <v>634</v>
      </c>
      <c r="O87" s="15" t="s">
        <v>634</v>
      </c>
      <c r="P87" s="15" t="s">
        <v>634</v>
      </c>
      <c r="R87" s="15">
        <v>2</v>
      </c>
      <c r="S87" s="15" t="s">
        <v>634</v>
      </c>
      <c r="T87" s="15" t="s">
        <v>634</v>
      </c>
      <c r="U87" s="15" t="s">
        <v>634</v>
      </c>
    </row>
    <row r="88" spans="9:21">
      <c r="I88" s="15" t="s">
        <v>345</v>
      </c>
      <c r="J88" s="15" t="s">
        <v>345</v>
      </c>
      <c r="K88" s="15" t="s">
        <v>634</v>
      </c>
      <c r="L88" s="15" t="s">
        <v>345</v>
      </c>
      <c r="M88" s="15" t="s">
        <v>634</v>
      </c>
      <c r="N88" s="15" t="s">
        <v>345</v>
      </c>
      <c r="O88" s="15" t="s">
        <v>634</v>
      </c>
      <c r="P88" s="15" t="s">
        <v>345</v>
      </c>
      <c r="R88" s="15" t="s">
        <v>634</v>
      </c>
      <c r="S88" s="15" t="s">
        <v>634</v>
      </c>
      <c r="T88" s="15" t="s">
        <v>634</v>
      </c>
      <c r="U88" s="15" t="s">
        <v>634</v>
      </c>
    </row>
    <row r="89" spans="9:21">
      <c r="R89" s="15" t="s">
        <v>634</v>
      </c>
    </row>
    <row r="90" spans="9:21">
      <c r="R90" s="15" t="s">
        <v>634</v>
      </c>
    </row>
    <row r="91" spans="9:21">
      <c r="I91" s="15" t="s">
        <v>634</v>
      </c>
      <c r="J91" s="15" t="s">
        <v>634</v>
      </c>
      <c r="K91" s="15" t="s">
        <v>634</v>
      </c>
      <c r="M91" s="15" t="s">
        <v>346</v>
      </c>
      <c r="N91" s="15" t="s">
        <v>634</v>
      </c>
      <c r="Q91" s="15" t="s">
        <v>698</v>
      </c>
      <c r="R91" s="15">
        <v>3</v>
      </c>
      <c r="S91" s="15" t="s">
        <v>634</v>
      </c>
      <c r="T91" s="15" t="s">
        <v>634</v>
      </c>
      <c r="U91" s="15" t="s">
        <v>634</v>
      </c>
    </row>
    <row r="92" spans="9:21">
      <c r="I92" s="15" t="s">
        <v>634</v>
      </c>
      <c r="J92" s="15" t="s">
        <v>634</v>
      </c>
      <c r="K92" s="15" t="s">
        <v>634</v>
      </c>
      <c r="L92" s="15" t="s">
        <v>634</v>
      </c>
      <c r="M92" s="15" t="s">
        <v>634</v>
      </c>
      <c r="N92" s="15" t="s">
        <v>634</v>
      </c>
      <c r="O92" s="15" t="s">
        <v>634</v>
      </c>
      <c r="R92" s="15" t="s">
        <v>634</v>
      </c>
      <c r="S92" s="15" t="s">
        <v>634</v>
      </c>
      <c r="T92" s="15" t="s">
        <v>634</v>
      </c>
      <c r="U92" s="15" t="s">
        <v>634</v>
      </c>
    </row>
    <row r="93" spans="9:21">
      <c r="K93" s="15" t="s">
        <v>346</v>
      </c>
      <c r="R93" s="15" t="s">
        <v>634</v>
      </c>
    </row>
    <row r="94" spans="9:21">
      <c r="R94" s="15" t="s">
        <v>830</v>
      </c>
    </row>
    <row r="95" spans="9:21">
      <c r="J95" s="15" t="s">
        <v>645</v>
      </c>
      <c r="R95" s="15" t="s">
        <v>634</v>
      </c>
    </row>
    <row r="96" spans="9:21">
      <c r="R96" s="15" t="s">
        <v>634</v>
      </c>
    </row>
    <row r="97" spans="9:21">
      <c r="R97" s="15" t="s">
        <v>634</v>
      </c>
    </row>
    <row r="98" spans="9:21">
      <c r="J98" s="15" t="s">
        <v>346</v>
      </c>
      <c r="L98" s="15" t="s">
        <v>634</v>
      </c>
      <c r="M98" s="15" t="s">
        <v>634</v>
      </c>
      <c r="O98" s="15" t="s">
        <v>634</v>
      </c>
      <c r="R98" s="15">
        <v>5</v>
      </c>
      <c r="S98" s="15" t="s">
        <v>634</v>
      </c>
      <c r="T98" s="15" t="s">
        <v>634</v>
      </c>
      <c r="U98" s="15" t="s">
        <v>634</v>
      </c>
    </row>
    <row r="99" spans="9:21">
      <c r="I99" s="15" t="s">
        <v>634</v>
      </c>
      <c r="J99" s="15" t="s">
        <v>634</v>
      </c>
      <c r="K99" s="15" t="s">
        <v>634</v>
      </c>
      <c r="L99" s="15" t="s">
        <v>634</v>
      </c>
      <c r="M99" s="15" t="s">
        <v>634</v>
      </c>
      <c r="N99" s="15" t="s">
        <v>634</v>
      </c>
      <c r="O99" s="15" t="s">
        <v>634</v>
      </c>
      <c r="R99" s="15" t="s">
        <v>634</v>
      </c>
      <c r="S99" s="15" t="s">
        <v>634</v>
      </c>
      <c r="T99" s="15" t="s">
        <v>634</v>
      </c>
      <c r="U99" s="15" t="s">
        <v>634</v>
      </c>
    </row>
    <row r="100" spans="9:21">
      <c r="L100" s="15" t="s">
        <v>346</v>
      </c>
      <c r="R100" s="15" t="s">
        <v>634</v>
      </c>
    </row>
    <row r="101" spans="9:21">
      <c r="R101" s="15" t="s">
        <v>831</v>
      </c>
    </row>
    <row r="102" spans="9:21">
      <c r="R102" s="15" t="s">
        <v>634</v>
      </c>
    </row>
    <row r="103" spans="9:21">
      <c r="J103" s="15" t="s">
        <v>355</v>
      </c>
      <c r="R103" s="15" t="s">
        <v>832</v>
      </c>
    </row>
    <row r="104" spans="9:21">
      <c r="R104" s="15" t="s">
        <v>634</v>
      </c>
    </row>
    <row r="105" spans="9:21">
      <c r="I105" s="15" t="s">
        <v>634</v>
      </c>
      <c r="J105" s="15" t="s">
        <v>634</v>
      </c>
      <c r="K105" s="15" t="s">
        <v>634</v>
      </c>
      <c r="N105" s="15" t="s">
        <v>634</v>
      </c>
      <c r="O105" s="15" t="s">
        <v>346</v>
      </c>
      <c r="Q105" s="15" t="s">
        <v>698</v>
      </c>
      <c r="R105" s="15">
        <v>8</v>
      </c>
      <c r="S105" s="15" t="s">
        <v>634</v>
      </c>
      <c r="T105" s="15" t="s">
        <v>634</v>
      </c>
      <c r="U105" s="15" t="s">
        <v>634</v>
      </c>
    </row>
    <row r="106" spans="9:21">
      <c r="I106" s="15" t="s">
        <v>634</v>
      </c>
      <c r="J106" s="15" t="s">
        <v>634</v>
      </c>
      <c r="K106" s="15" t="s">
        <v>634</v>
      </c>
      <c r="L106" s="15" t="s">
        <v>634</v>
      </c>
      <c r="M106" s="15" t="s">
        <v>634</v>
      </c>
      <c r="N106" s="15" t="s">
        <v>634</v>
      </c>
      <c r="O106" s="15" t="s">
        <v>634</v>
      </c>
      <c r="R106" s="15" t="s">
        <v>634</v>
      </c>
      <c r="S106" s="15" t="s">
        <v>634</v>
      </c>
      <c r="T106" s="15" t="s">
        <v>634</v>
      </c>
      <c r="U106" s="15" t="s">
        <v>634</v>
      </c>
    </row>
    <row r="107" spans="9:21">
      <c r="R107" s="15" t="s">
        <v>634</v>
      </c>
    </row>
    <row r="108" spans="9:21">
      <c r="L108" s="15" t="s">
        <v>645</v>
      </c>
      <c r="R108" s="15" t="s">
        <v>833</v>
      </c>
    </row>
    <row r="109" spans="9:21">
      <c r="R109" s="15" t="s">
        <v>634</v>
      </c>
    </row>
    <row r="110" spans="9:21">
      <c r="R110" s="15" t="s">
        <v>634</v>
      </c>
    </row>
    <row r="111" spans="9:21">
      <c r="R111" s="15" t="s">
        <v>634</v>
      </c>
    </row>
    <row r="112" spans="9:21">
      <c r="I112" s="15" t="s">
        <v>346</v>
      </c>
      <c r="L112" s="15" t="s">
        <v>634</v>
      </c>
      <c r="M112" s="15" t="s">
        <v>634</v>
      </c>
      <c r="O112" s="15" t="s">
        <v>634</v>
      </c>
      <c r="R112" s="15">
        <v>10</v>
      </c>
      <c r="S112" s="15" t="s">
        <v>634</v>
      </c>
      <c r="T112" s="15" t="s">
        <v>634</v>
      </c>
      <c r="U112" s="15" t="s">
        <v>634</v>
      </c>
    </row>
    <row r="113" spans="9:21">
      <c r="I113" s="15" t="s">
        <v>634</v>
      </c>
      <c r="J113" s="15" t="s">
        <v>634</v>
      </c>
      <c r="K113" s="15" t="s">
        <v>634</v>
      </c>
      <c r="L113" s="15" t="s">
        <v>634</v>
      </c>
      <c r="M113" s="15" t="s">
        <v>634</v>
      </c>
      <c r="N113" s="15" t="s">
        <v>634</v>
      </c>
      <c r="O113" s="15" t="s">
        <v>634</v>
      </c>
      <c r="R113" s="15" t="s">
        <v>634</v>
      </c>
      <c r="S113" s="15" t="s">
        <v>634</v>
      </c>
      <c r="T113" s="15" t="s">
        <v>634</v>
      </c>
      <c r="U113" s="15" t="s">
        <v>634</v>
      </c>
    </row>
  </sheetData>
  <mergeCells count="2">
    <mergeCell ref="C1:D1"/>
    <mergeCell ref="I1:L1"/>
  </mergeCells>
  <phoneticPr fontId="71"/>
  <pageMargins left="0.7" right="0.7" top="0.75" bottom="0.75" header="0.3" footer="0.3"/>
  <pageSetup paperSize="9" scale="36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F9FD3E-6049-4D55-8436-D77D20FE84E7}">
          <x14:formula1>
            <xm:f>ﾘｽﾄマスタ!$Z$8:$Z$19</xm:f>
          </x14:formula1>
          <xm:sqref>C1:D1</xm:sqref>
        </x14:dataValidation>
        <x14:dataValidation type="list" allowBlank="1" showInputMessage="1" showErrorMessage="1" xr:uid="{534CA7A4-C2E1-448E-8098-AF1B348E9F23}">
          <x14:formula1>
            <xm:f>ﾘｽﾄマスタ!$AA$8:$AA$19</xm:f>
          </x14:formula1>
          <xm:sqref>F1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FD50A-3F06-4BD8-BC9D-EF3C7C087C4E}">
  <sheetPr codeName="Sheet4"/>
  <dimension ref="A1:B8"/>
  <sheetViews>
    <sheetView workbookViewId="0">
      <selection activeCell="E20" sqref="E20"/>
    </sheetView>
  </sheetViews>
  <sheetFormatPr defaultRowHeight="15"/>
  <cols>
    <col min="1" max="1" width="17.7109375" bestFit="1" customWidth="1"/>
    <col min="2" max="2" width="23.28515625" bestFit="1" customWidth="1"/>
  </cols>
  <sheetData>
    <row r="1" spans="1:2" ht="16.5">
      <c r="A1" s="112" t="s">
        <v>479</v>
      </c>
      <c r="B1" s="112" t="s">
        <v>480</v>
      </c>
    </row>
    <row r="5" spans="1:2">
      <c r="A5" t="s">
        <v>218</v>
      </c>
      <c r="B5" t="s">
        <v>487</v>
      </c>
    </row>
    <row r="6" spans="1:2">
      <c r="A6" t="s">
        <v>481</v>
      </c>
      <c r="B6" t="s">
        <v>482</v>
      </c>
    </row>
    <row r="7" spans="1:2">
      <c r="A7" t="s">
        <v>483</v>
      </c>
      <c r="B7" t="s">
        <v>484</v>
      </c>
    </row>
    <row r="8" spans="1:2" ht="16.5">
      <c r="A8" t="s">
        <v>485</v>
      </c>
      <c r="B8" t="s">
        <v>486</v>
      </c>
    </row>
  </sheetData>
  <phoneticPr fontId="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62C07-983C-4BA5-B8AF-599669EC760B}">
  <sheetPr codeName="Sheet9">
    <tabColor theme="6"/>
    <pageSetUpPr fitToPage="1"/>
  </sheetPr>
  <dimension ref="A1:M54"/>
  <sheetViews>
    <sheetView workbookViewId="0">
      <selection activeCell="C40" sqref="C40"/>
    </sheetView>
  </sheetViews>
  <sheetFormatPr defaultColWidth="9.140625" defaultRowHeight="15"/>
  <cols>
    <col min="1" max="1" width="13.28515625" style="126" customWidth="1"/>
    <col min="2" max="2" width="13.28515625" style="127" customWidth="1"/>
    <col min="3" max="3" width="13.28515625" style="128" customWidth="1"/>
    <col min="4" max="5" width="13.28515625" style="126" customWidth="1"/>
    <col min="6" max="6" width="13.28515625" style="129" hidden="1" customWidth="1"/>
    <col min="7" max="8" width="13.28515625" style="129" customWidth="1"/>
    <col min="9" max="9" width="13.7109375" style="126" customWidth="1"/>
    <col min="10" max="10" width="13.28515625" style="130" customWidth="1"/>
    <col min="11" max="11" width="28.5703125" style="44" customWidth="1"/>
    <col min="12" max="16384" width="9.140625" style="44"/>
  </cols>
  <sheetData>
    <row r="1" spans="1:10">
      <c r="A1" s="113" t="s">
        <v>238</v>
      </c>
      <c r="B1" s="114" t="s">
        <v>623</v>
      </c>
      <c r="C1" s="116" t="s">
        <v>282</v>
      </c>
      <c r="D1" s="117" t="s">
        <v>283</v>
      </c>
      <c r="E1" s="117" t="s">
        <v>284</v>
      </c>
      <c r="F1" s="118" t="s">
        <v>285</v>
      </c>
      <c r="G1" s="118" t="s">
        <v>255</v>
      </c>
      <c r="H1" s="117" t="s">
        <v>286</v>
      </c>
      <c r="I1" s="119" t="s">
        <v>287</v>
      </c>
      <c r="J1" s="120" t="s">
        <v>288</v>
      </c>
    </row>
    <row r="2" spans="1:10">
      <c r="A2" s="121">
        <v>45478</v>
      </c>
      <c r="B2" s="122" t="s">
        <v>294</v>
      </c>
      <c r="C2" s="123">
        <v>45474</v>
      </c>
      <c r="D2" s="122" t="s">
        <v>247</v>
      </c>
      <c r="E2" s="122" t="s">
        <v>246</v>
      </c>
      <c r="F2" s="124" t="s">
        <v>295</v>
      </c>
      <c r="G2" s="124" t="str">
        <f t="shared" ref="G2:G3" si="0">"5122PK／"&amp;I2</f>
        <v>5122PK／菊地</v>
      </c>
      <c r="H2" s="124" t="s">
        <v>290</v>
      </c>
      <c r="I2" s="122" t="s">
        <v>354</v>
      </c>
      <c r="J2" s="117" t="s">
        <v>291</v>
      </c>
    </row>
    <row r="3" spans="1:10">
      <c r="A3" s="121">
        <v>45485</v>
      </c>
      <c r="B3" s="125" t="s">
        <v>289</v>
      </c>
      <c r="C3" s="123">
        <v>45481</v>
      </c>
      <c r="D3" s="117" t="s">
        <v>358</v>
      </c>
      <c r="E3" s="117" t="s">
        <v>234</v>
      </c>
      <c r="F3" s="124" t="s">
        <v>275</v>
      </c>
      <c r="G3" s="124" t="str">
        <f t="shared" si="0"/>
        <v>5122PK／畑澤</v>
      </c>
      <c r="H3" s="124" t="s">
        <v>290</v>
      </c>
      <c r="I3" s="117" t="s">
        <v>249</v>
      </c>
      <c r="J3" s="117" t="s">
        <v>291</v>
      </c>
    </row>
    <row r="4" spans="1:10">
      <c r="A4" s="121">
        <v>45492</v>
      </c>
      <c r="B4" s="122" t="s">
        <v>359</v>
      </c>
      <c r="C4" s="123">
        <v>45488</v>
      </c>
      <c r="D4" s="122" t="s">
        <v>245</v>
      </c>
      <c r="E4" s="122" t="s">
        <v>358</v>
      </c>
      <c r="F4" s="124" t="s">
        <v>276</v>
      </c>
      <c r="G4" s="124" t="str">
        <f>"5122PK／"&amp;I4</f>
        <v>5122PK／後藤</v>
      </c>
      <c r="H4" s="124" t="s">
        <v>290</v>
      </c>
      <c r="I4" s="122" t="s">
        <v>292</v>
      </c>
      <c r="J4" s="117" t="s">
        <v>291</v>
      </c>
    </row>
    <row r="5" spans="1:10">
      <c r="A5" s="121">
        <v>45499</v>
      </c>
      <c r="B5" s="125" t="s">
        <v>293</v>
      </c>
      <c r="C5" s="123">
        <v>45495</v>
      </c>
      <c r="D5" s="117" t="s">
        <v>246</v>
      </c>
      <c r="E5" s="117" t="s">
        <v>250</v>
      </c>
      <c r="F5" s="124" t="s">
        <v>360</v>
      </c>
      <c r="G5" s="124" t="str">
        <f>"5122PK／"&amp;I5</f>
        <v>5122PK／片山</v>
      </c>
      <c r="H5" s="124" t="s">
        <v>290</v>
      </c>
      <c r="I5" s="117" t="s">
        <v>294</v>
      </c>
      <c r="J5" s="117" t="s">
        <v>291</v>
      </c>
    </row>
    <row r="6" spans="1:10">
      <c r="A6" s="121">
        <v>45506</v>
      </c>
      <c r="B6" s="122" t="s">
        <v>294</v>
      </c>
      <c r="C6" s="123">
        <v>45502</v>
      </c>
      <c r="D6" s="122" t="s">
        <v>247</v>
      </c>
      <c r="E6" s="122" t="s">
        <v>246</v>
      </c>
      <c r="F6" s="124" t="s">
        <v>295</v>
      </c>
      <c r="G6" s="124" t="str">
        <f t="shared" ref="G6:G34" si="1">"5122PK／"&amp;I6</f>
        <v>5122PK／菊地</v>
      </c>
      <c r="H6" s="124" t="s">
        <v>290</v>
      </c>
      <c r="I6" s="122" t="s">
        <v>354</v>
      </c>
      <c r="J6" s="117" t="s">
        <v>291</v>
      </c>
    </row>
    <row r="7" spans="1:10">
      <c r="A7" s="121">
        <v>45513</v>
      </c>
      <c r="B7" s="125" t="s">
        <v>289</v>
      </c>
      <c r="C7" s="123">
        <v>45509</v>
      </c>
      <c r="D7" s="117" t="s">
        <v>358</v>
      </c>
      <c r="E7" s="117" t="s">
        <v>234</v>
      </c>
      <c r="F7" s="124" t="s">
        <v>275</v>
      </c>
      <c r="G7" s="124" t="str">
        <f t="shared" si="1"/>
        <v>5122PK／畑澤</v>
      </c>
      <c r="H7" s="124" t="s">
        <v>290</v>
      </c>
      <c r="I7" s="117" t="s">
        <v>249</v>
      </c>
      <c r="J7" s="117" t="s">
        <v>291</v>
      </c>
    </row>
    <row r="8" spans="1:10">
      <c r="A8" s="121">
        <v>45520</v>
      </c>
      <c r="B8" s="122" t="s">
        <v>359</v>
      </c>
      <c r="C8" s="123">
        <v>45516</v>
      </c>
      <c r="D8" s="122" t="s">
        <v>245</v>
      </c>
      <c r="E8" s="122" t="s">
        <v>358</v>
      </c>
      <c r="F8" s="124" t="s">
        <v>276</v>
      </c>
      <c r="G8" s="124" t="str">
        <f>"5122PK／"&amp;I8</f>
        <v>5122PK／後藤</v>
      </c>
      <c r="H8" s="124" t="s">
        <v>290</v>
      </c>
      <c r="I8" s="122" t="s">
        <v>292</v>
      </c>
      <c r="J8" s="117" t="s">
        <v>291</v>
      </c>
    </row>
    <row r="9" spans="1:10">
      <c r="A9" s="121">
        <v>45527</v>
      </c>
      <c r="B9" s="125" t="s">
        <v>293</v>
      </c>
      <c r="C9" s="123">
        <v>45523</v>
      </c>
      <c r="D9" s="117" t="s">
        <v>358</v>
      </c>
      <c r="E9" s="122" t="s">
        <v>245</v>
      </c>
      <c r="F9" s="124"/>
      <c r="G9" s="124" t="str">
        <f t="shared" si="1"/>
        <v>5122PK／片山</v>
      </c>
      <c r="H9" s="124" t="s">
        <v>290</v>
      </c>
      <c r="I9" s="117" t="s">
        <v>294</v>
      </c>
      <c r="J9" s="117" t="s">
        <v>291</v>
      </c>
    </row>
    <row r="10" spans="1:10">
      <c r="A10" s="121">
        <v>45534</v>
      </c>
      <c r="B10" s="122" t="s">
        <v>294</v>
      </c>
      <c r="C10" s="123">
        <v>45530</v>
      </c>
      <c r="D10" s="117" t="s">
        <v>250</v>
      </c>
      <c r="E10" s="117" t="s">
        <v>234</v>
      </c>
      <c r="F10" s="124"/>
      <c r="G10" s="124" t="str">
        <f t="shared" si="1"/>
        <v>5122PK／菊地</v>
      </c>
      <c r="H10" s="124" t="s">
        <v>290</v>
      </c>
      <c r="I10" s="122" t="s">
        <v>354</v>
      </c>
      <c r="J10" s="117" t="s">
        <v>291</v>
      </c>
    </row>
    <row r="11" spans="1:10">
      <c r="A11" s="121">
        <v>45541</v>
      </c>
      <c r="B11" s="122" t="s">
        <v>359</v>
      </c>
      <c r="C11" s="123">
        <v>45537</v>
      </c>
      <c r="D11" s="122" t="s">
        <v>247</v>
      </c>
      <c r="E11" s="122" t="s">
        <v>618</v>
      </c>
      <c r="F11" s="124"/>
      <c r="G11" s="124" t="str">
        <f t="shared" ref="G11:G35" si="2">"5122PK／"&amp;I11</f>
        <v>5122PK／畑澤</v>
      </c>
      <c r="H11" s="124" t="s">
        <v>290</v>
      </c>
      <c r="I11" s="117" t="s">
        <v>249</v>
      </c>
      <c r="J11" s="117" t="s">
        <v>291</v>
      </c>
    </row>
    <row r="12" spans="1:10">
      <c r="A12" s="121">
        <v>45548</v>
      </c>
      <c r="B12" s="125" t="s">
        <v>293</v>
      </c>
      <c r="C12" s="123">
        <v>45544</v>
      </c>
      <c r="D12" s="117" t="s">
        <v>358</v>
      </c>
      <c r="E12" s="122" t="s">
        <v>245</v>
      </c>
      <c r="F12" s="124"/>
      <c r="G12" s="124" t="str">
        <f t="shared" si="1"/>
        <v>5122PK／片山</v>
      </c>
      <c r="H12" s="124" t="s">
        <v>290</v>
      </c>
      <c r="I12" s="117" t="s">
        <v>294</v>
      </c>
      <c r="J12" s="117" t="s">
        <v>291</v>
      </c>
    </row>
    <row r="13" spans="1:10">
      <c r="A13" s="121">
        <v>45555</v>
      </c>
      <c r="B13" s="122" t="s">
        <v>294</v>
      </c>
      <c r="C13" s="123">
        <v>45551</v>
      </c>
      <c r="D13" s="117" t="s">
        <v>250</v>
      </c>
      <c r="E13" s="117" t="s">
        <v>234</v>
      </c>
      <c r="F13" s="124"/>
      <c r="G13" s="124" t="str">
        <f t="shared" si="1"/>
        <v>5122PK／菊地</v>
      </c>
      <c r="H13" s="124" t="s">
        <v>290</v>
      </c>
      <c r="I13" s="122" t="s">
        <v>354</v>
      </c>
      <c r="J13" s="117" t="s">
        <v>291</v>
      </c>
    </row>
    <row r="14" spans="1:10">
      <c r="A14" s="121">
        <v>45562</v>
      </c>
      <c r="B14" s="122" t="s">
        <v>359</v>
      </c>
      <c r="C14" s="123">
        <v>45558</v>
      </c>
      <c r="D14" s="122" t="s">
        <v>247</v>
      </c>
      <c r="E14" s="122" t="s">
        <v>618</v>
      </c>
      <c r="F14" s="124"/>
      <c r="G14" s="124" t="str">
        <f t="shared" si="2"/>
        <v>5122PK／畑澤</v>
      </c>
      <c r="H14" s="124" t="s">
        <v>290</v>
      </c>
      <c r="I14" s="117" t="s">
        <v>249</v>
      </c>
      <c r="J14" s="117" t="s">
        <v>291</v>
      </c>
    </row>
    <row r="15" spans="1:10">
      <c r="A15" s="121">
        <v>45569</v>
      </c>
      <c r="B15" s="125" t="s">
        <v>293</v>
      </c>
      <c r="C15" s="123">
        <v>45565</v>
      </c>
      <c r="D15" s="117" t="s">
        <v>358</v>
      </c>
      <c r="E15" s="122" t="s">
        <v>245</v>
      </c>
      <c r="F15" s="124"/>
      <c r="G15" s="124" t="str">
        <f t="shared" si="1"/>
        <v>5122PK／片山</v>
      </c>
      <c r="H15" s="124" t="s">
        <v>290</v>
      </c>
      <c r="I15" s="117" t="s">
        <v>294</v>
      </c>
      <c r="J15" s="117" t="s">
        <v>291</v>
      </c>
    </row>
    <row r="16" spans="1:10">
      <c r="A16" s="121">
        <v>45576</v>
      </c>
      <c r="B16" s="122" t="s">
        <v>294</v>
      </c>
      <c r="C16" s="123">
        <v>45572</v>
      </c>
      <c r="D16" s="117" t="s">
        <v>250</v>
      </c>
      <c r="E16" s="117" t="s">
        <v>234</v>
      </c>
      <c r="F16" s="124"/>
      <c r="G16" s="124" t="str">
        <f t="shared" si="1"/>
        <v>5122PK／菊地</v>
      </c>
      <c r="H16" s="124" t="s">
        <v>290</v>
      </c>
      <c r="I16" s="122" t="s">
        <v>354</v>
      </c>
      <c r="J16" s="117" t="s">
        <v>291</v>
      </c>
    </row>
    <row r="17" spans="1:10">
      <c r="A17" s="121">
        <v>45583</v>
      </c>
      <c r="B17" s="122" t="s">
        <v>359</v>
      </c>
      <c r="C17" s="123">
        <v>45579</v>
      </c>
      <c r="D17" s="122" t="s">
        <v>247</v>
      </c>
      <c r="E17" s="122" t="s">
        <v>618</v>
      </c>
      <c r="F17" s="124"/>
      <c r="G17" s="124" t="str">
        <f t="shared" si="2"/>
        <v>5122PK／畑澤</v>
      </c>
      <c r="H17" s="124" t="s">
        <v>290</v>
      </c>
      <c r="I17" s="117" t="s">
        <v>249</v>
      </c>
      <c r="J17" s="117" t="s">
        <v>291</v>
      </c>
    </row>
    <row r="18" spans="1:10">
      <c r="A18" s="121">
        <v>45590</v>
      </c>
      <c r="B18" s="125" t="s">
        <v>293</v>
      </c>
      <c r="C18" s="123">
        <v>45586</v>
      </c>
      <c r="D18" s="117" t="s">
        <v>358</v>
      </c>
      <c r="E18" s="122" t="s">
        <v>245</v>
      </c>
      <c r="F18" s="124"/>
      <c r="G18" s="124" t="str">
        <f t="shared" si="1"/>
        <v>5122PK／片山</v>
      </c>
      <c r="H18" s="124" t="s">
        <v>290</v>
      </c>
      <c r="I18" s="117" t="s">
        <v>294</v>
      </c>
      <c r="J18" s="117" t="s">
        <v>291</v>
      </c>
    </row>
    <row r="19" spans="1:10">
      <c r="A19" s="121">
        <v>45597</v>
      </c>
      <c r="B19" s="122" t="s">
        <v>294</v>
      </c>
      <c r="C19" s="123">
        <v>45593</v>
      </c>
      <c r="D19" s="117" t="s">
        <v>250</v>
      </c>
      <c r="E19" s="117" t="s">
        <v>234</v>
      </c>
      <c r="F19" s="124"/>
      <c r="G19" s="124" t="str">
        <f t="shared" si="1"/>
        <v>5122PK／菊地</v>
      </c>
      <c r="H19" s="124" t="s">
        <v>290</v>
      </c>
      <c r="I19" s="122" t="s">
        <v>354</v>
      </c>
      <c r="J19" s="117" t="s">
        <v>291</v>
      </c>
    </row>
    <row r="20" spans="1:10">
      <c r="A20" s="121">
        <v>45604</v>
      </c>
      <c r="B20" s="122" t="s">
        <v>359</v>
      </c>
      <c r="C20" s="123">
        <v>45600</v>
      </c>
      <c r="D20" s="122" t="s">
        <v>247</v>
      </c>
      <c r="E20" s="122" t="s">
        <v>618</v>
      </c>
      <c r="F20" s="124"/>
      <c r="G20" s="124" t="str">
        <f t="shared" si="2"/>
        <v>5122PK／畑澤</v>
      </c>
      <c r="H20" s="124" t="s">
        <v>290</v>
      </c>
      <c r="I20" s="117" t="s">
        <v>249</v>
      </c>
      <c r="J20" s="117" t="s">
        <v>291</v>
      </c>
    </row>
    <row r="21" spans="1:10">
      <c r="A21" s="121">
        <v>45611</v>
      </c>
      <c r="B21" s="125" t="s">
        <v>293</v>
      </c>
      <c r="C21" s="123">
        <v>45607</v>
      </c>
      <c r="D21" s="117" t="s">
        <v>358</v>
      </c>
      <c r="E21" s="122" t="s">
        <v>245</v>
      </c>
      <c r="F21" s="124"/>
      <c r="G21" s="124" t="str">
        <f t="shared" si="1"/>
        <v>5122PK／片山</v>
      </c>
      <c r="H21" s="124" t="s">
        <v>290</v>
      </c>
      <c r="I21" s="117" t="s">
        <v>294</v>
      </c>
      <c r="J21" s="117" t="s">
        <v>291</v>
      </c>
    </row>
    <row r="22" spans="1:10">
      <c r="A22" s="121">
        <v>45618</v>
      </c>
      <c r="B22" s="122" t="s">
        <v>294</v>
      </c>
      <c r="C22" s="123">
        <v>45614</v>
      </c>
      <c r="D22" s="117" t="s">
        <v>250</v>
      </c>
      <c r="E22" s="117" t="s">
        <v>234</v>
      </c>
      <c r="F22" s="124"/>
      <c r="G22" s="124" t="str">
        <f t="shared" si="1"/>
        <v>5122PK／菊地</v>
      </c>
      <c r="H22" s="124" t="s">
        <v>290</v>
      </c>
      <c r="I22" s="122" t="s">
        <v>354</v>
      </c>
      <c r="J22" s="117" t="s">
        <v>291</v>
      </c>
    </row>
    <row r="23" spans="1:10">
      <c r="A23" s="121">
        <v>45625</v>
      </c>
      <c r="B23" s="122" t="s">
        <v>359</v>
      </c>
      <c r="C23" s="123">
        <v>45621</v>
      </c>
      <c r="D23" s="122" t="s">
        <v>247</v>
      </c>
      <c r="E23" s="122" t="s">
        <v>618</v>
      </c>
      <c r="F23" s="124"/>
      <c r="G23" s="124" t="str">
        <f t="shared" si="2"/>
        <v>5122PK／畑澤</v>
      </c>
      <c r="H23" s="124" t="s">
        <v>290</v>
      </c>
      <c r="I23" s="117" t="s">
        <v>249</v>
      </c>
      <c r="J23" s="117" t="s">
        <v>291</v>
      </c>
    </row>
    <row r="24" spans="1:10">
      <c r="A24" s="121">
        <v>45632</v>
      </c>
      <c r="B24" s="125" t="s">
        <v>293</v>
      </c>
      <c r="C24" s="123">
        <v>45628</v>
      </c>
      <c r="D24" s="117" t="s">
        <v>358</v>
      </c>
      <c r="E24" s="122" t="s">
        <v>245</v>
      </c>
      <c r="F24" s="124"/>
      <c r="G24" s="124" t="str">
        <f t="shared" si="1"/>
        <v>5122PK／片山</v>
      </c>
      <c r="H24" s="124" t="s">
        <v>290</v>
      </c>
      <c r="I24" s="117" t="s">
        <v>294</v>
      </c>
      <c r="J24" s="117" t="s">
        <v>291</v>
      </c>
    </row>
    <row r="25" spans="1:10">
      <c r="A25" s="121">
        <v>45639</v>
      </c>
      <c r="B25" s="122" t="s">
        <v>294</v>
      </c>
      <c r="C25" s="123">
        <v>45635</v>
      </c>
      <c r="D25" s="117" t="s">
        <v>250</v>
      </c>
      <c r="E25" s="117" t="s">
        <v>234</v>
      </c>
      <c r="F25" s="124"/>
      <c r="G25" s="124" t="str">
        <f t="shared" si="1"/>
        <v>5122PK／菊地</v>
      </c>
      <c r="H25" s="124" t="s">
        <v>290</v>
      </c>
      <c r="I25" s="122" t="s">
        <v>354</v>
      </c>
      <c r="J25" s="117" t="s">
        <v>291</v>
      </c>
    </row>
    <row r="26" spans="1:10">
      <c r="A26" s="121">
        <v>45646</v>
      </c>
      <c r="B26" s="122" t="s">
        <v>359</v>
      </c>
      <c r="C26" s="123">
        <v>45642</v>
      </c>
      <c r="D26" s="122" t="s">
        <v>247</v>
      </c>
      <c r="E26" s="122" t="s">
        <v>618</v>
      </c>
      <c r="F26" s="124"/>
      <c r="G26" s="124" t="str">
        <f>"5122PK／"&amp;I26</f>
        <v>5122PK／畑澤</v>
      </c>
      <c r="H26" s="124" t="s">
        <v>290</v>
      </c>
      <c r="I26" s="117" t="s">
        <v>249</v>
      </c>
      <c r="J26" s="117" t="s">
        <v>291</v>
      </c>
    </row>
    <row r="27" spans="1:10">
      <c r="A27" s="121">
        <v>45653</v>
      </c>
      <c r="B27" s="125" t="s">
        <v>293</v>
      </c>
      <c r="C27" s="123">
        <v>45649</v>
      </c>
      <c r="D27" s="117" t="s">
        <v>358</v>
      </c>
      <c r="E27" s="122" t="s">
        <v>245</v>
      </c>
      <c r="F27" s="124"/>
      <c r="G27" s="124" t="str">
        <f t="shared" si="1"/>
        <v>5122PK／片山</v>
      </c>
      <c r="H27" s="124" t="s">
        <v>290</v>
      </c>
      <c r="I27" s="117" t="s">
        <v>294</v>
      </c>
      <c r="J27" s="117" t="s">
        <v>291</v>
      </c>
    </row>
    <row r="28" spans="1:10">
      <c r="A28" s="121">
        <v>45660</v>
      </c>
      <c r="B28" s="122" t="s">
        <v>294</v>
      </c>
      <c r="C28" s="123">
        <v>45656</v>
      </c>
      <c r="D28" s="117" t="s">
        <v>250</v>
      </c>
      <c r="E28" s="117" t="s">
        <v>234</v>
      </c>
      <c r="F28" s="124"/>
      <c r="G28" s="124" t="str">
        <f t="shared" si="1"/>
        <v>5122PK／菊地</v>
      </c>
      <c r="H28" s="124" t="s">
        <v>290</v>
      </c>
      <c r="I28" s="122" t="s">
        <v>354</v>
      </c>
      <c r="J28" s="117" t="s">
        <v>291</v>
      </c>
    </row>
    <row r="29" spans="1:10">
      <c r="A29" s="121">
        <v>45667</v>
      </c>
      <c r="B29" s="122" t="s">
        <v>359</v>
      </c>
      <c r="C29" s="123">
        <v>45663</v>
      </c>
      <c r="D29" s="122" t="s">
        <v>247</v>
      </c>
      <c r="E29" s="122" t="s">
        <v>618</v>
      </c>
      <c r="F29" s="124"/>
      <c r="G29" s="124" t="str">
        <f t="shared" si="2"/>
        <v>5122PK／畑澤</v>
      </c>
      <c r="H29" s="124" t="s">
        <v>290</v>
      </c>
      <c r="I29" s="117" t="s">
        <v>249</v>
      </c>
      <c r="J29" s="117" t="s">
        <v>291</v>
      </c>
    </row>
    <row r="30" spans="1:10">
      <c r="A30" s="121">
        <v>45674</v>
      </c>
      <c r="B30" s="125" t="s">
        <v>293</v>
      </c>
      <c r="C30" s="123">
        <v>45670</v>
      </c>
      <c r="D30" s="117" t="s">
        <v>358</v>
      </c>
      <c r="E30" s="122" t="s">
        <v>245</v>
      </c>
      <c r="F30" s="124"/>
      <c r="G30" s="124" t="str">
        <f t="shared" si="1"/>
        <v>5122PK／片山</v>
      </c>
      <c r="H30" s="124" t="s">
        <v>290</v>
      </c>
      <c r="I30" s="117" t="s">
        <v>294</v>
      </c>
      <c r="J30" s="117" t="s">
        <v>291</v>
      </c>
    </row>
    <row r="31" spans="1:10">
      <c r="A31" s="121">
        <v>45681</v>
      </c>
      <c r="B31" s="122" t="s">
        <v>294</v>
      </c>
      <c r="C31" s="123">
        <v>45677</v>
      </c>
      <c r="D31" s="117" t="s">
        <v>250</v>
      </c>
      <c r="E31" s="117" t="s">
        <v>234</v>
      </c>
      <c r="F31" s="124"/>
      <c r="G31" s="124" t="str">
        <f t="shared" si="1"/>
        <v>5122PK／菊地</v>
      </c>
      <c r="H31" s="124" t="s">
        <v>290</v>
      </c>
      <c r="I31" s="122" t="s">
        <v>354</v>
      </c>
      <c r="J31" s="117" t="s">
        <v>291</v>
      </c>
    </row>
    <row r="32" spans="1:10">
      <c r="A32" s="121">
        <v>45688</v>
      </c>
      <c r="B32" s="122" t="s">
        <v>359</v>
      </c>
      <c r="C32" s="123">
        <v>45684</v>
      </c>
      <c r="D32" s="122" t="s">
        <v>247</v>
      </c>
      <c r="E32" s="122" t="s">
        <v>618</v>
      </c>
      <c r="F32" s="124"/>
      <c r="G32" s="124" t="str">
        <f t="shared" si="2"/>
        <v>5122PK／畑澤</v>
      </c>
      <c r="H32" s="124" t="s">
        <v>290</v>
      </c>
      <c r="I32" s="117" t="s">
        <v>249</v>
      </c>
      <c r="J32" s="117" t="s">
        <v>291</v>
      </c>
    </row>
    <row r="33" spans="1:13">
      <c r="A33" s="121">
        <v>45695</v>
      </c>
      <c r="B33" s="125" t="s">
        <v>293</v>
      </c>
      <c r="C33" s="123">
        <v>45691</v>
      </c>
      <c r="D33" s="117" t="s">
        <v>358</v>
      </c>
      <c r="E33" s="122" t="s">
        <v>245</v>
      </c>
      <c r="F33" s="124"/>
      <c r="G33" s="124" t="str">
        <f t="shared" si="1"/>
        <v>5122PK／片山</v>
      </c>
      <c r="H33" s="124" t="s">
        <v>290</v>
      </c>
      <c r="I33" s="117" t="s">
        <v>294</v>
      </c>
      <c r="J33" s="117" t="s">
        <v>291</v>
      </c>
    </row>
    <row r="34" spans="1:13">
      <c r="A34" s="121">
        <v>45702</v>
      </c>
      <c r="B34" s="122" t="s">
        <v>294</v>
      </c>
      <c r="C34" s="123">
        <v>45698</v>
      </c>
      <c r="D34" s="117" t="s">
        <v>250</v>
      </c>
      <c r="E34" s="117" t="s">
        <v>234</v>
      </c>
      <c r="F34" s="124"/>
      <c r="G34" s="124" t="str">
        <f t="shared" si="1"/>
        <v>5122PK／菊地</v>
      </c>
      <c r="H34" s="124" t="s">
        <v>290</v>
      </c>
      <c r="I34" s="122" t="s">
        <v>354</v>
      </c>
      <c r="J34" s="117" t="s">
        <v>291</v>
      </c>
    </row>
    <row r="35" spans="1:13">
      <c r="A35" s="121">
        <v>45709</v>
      </c>
      <c r="B35" s="122" t="s">
        <v>359</v>
      </c>
      <c r="C35" s="123">
        <v>45705</v>
      </c>
      <c r="D35" s="122" t="s">
        <v>247</v>
      </c>
      <c r="E35" s="122" t="s">
        <v>618</v>
      </c>
      <c r="F35" s="124"/>
      <c r="G35" s="124" t="str">
        <f t="shared" si="2"/>
        <v>5122PK／畑澤</v>
      </c>
      <c r="H35" s="124" t="s">
        <v>290</v>
      </c>
      <c r="I35" s="117" t="s">
        <v>249</v>
      </c>
      <c r="J35" s="117" t="s">
        <v>291</v>
      </c>
    </row>
    <row r="36" spans="1:13">
      <c r="A36" s="121">
        <v>45716</v>
      </c>
      <c r="B36" s="125" t="s">
        <v>293</v>
      </c>
      <c r="C36" s="123">
        <v>45712</v>
      </c>
      <c r="D36" s="117" t="s">
        <v>358</v>
      </c>
      <c r="E36" s="122" t="s">
        <v>245</v>
      </c>
      <c r="F36" s="124"/>
      <c r="G36" s="124" t="s">
        <v>708</v>
      </c>
      <c r="H36" s="124" t="s">
        <v>290</v>
      </c>
      <c r="I36" s="117" t="s">
        <v>294</v>
      </c>
      <c r="J36" s="117" t="s">
        <v>291</v>
      </c>
    </row>
    <row r="37" spans="1:13">
      <c r="A37" s="121">
        <v>45723</v>
      </c>
      <c r="B37" s="122" t="s">
        <v>294</v>
      </c>
      <c r="C37" s="123">
        <v>45719</v>
      </c>
      <c r="D37" s="117" t="s">
        <v>249</v>
      </c>
      <c r="E37" s="117" t="s">
        <v>358</v>
      </c>
      <c r="F37" s="124"/>
      <c r="G37" s="124" t="s">
        <v>708</v>
      </c>
      <c r="H37" s="124" t="s">
        <v>290</v>
      </c>
      <c r="I37" s="122" t="s">
        <v>294</v>
      </c>
      <c r="J37" s="117" t="s">
        <v>291</v>
      </c>
    </row>
    <row r="38" spans="1:13">
      <c r="A38" s="121">
        <v>45730</v>
      </c>
      <c r="B38" s="122" t="s">
        <v>359</v>
      </c>
      <c r="C38" s="123">
        <v>45726</v>
      </c>
      <c r="D38" s="122" t="s">
        <v>294</v>
      </c>
      <c r="E38" s="117" t="s">
        <v>249</v>
      </c>
      <c r="F38" s="124"/>
      <c r="G38" s="124" t="s">
        <v>708</v>
      </c>
      <c r="H38" s="124" t="s">
        <v>290</v>
      </c>
      <c r="I38" s="117" t="s">
        <v>249</v>
      </c>
      <c r="J38" s="117" t="s">
        <v>291</v>
      </c>
      <c r="L38" s="44" t="s">
        <v>245</v>
      </c>
      <c r="M38" s="44" t="s">
        <v>358</v>
      </c>
    </row>
    <row r="39" spans="1:13">
      <c r="A39" s="121">
        <v>45737</v>
      </c>
      <c r="B39" s="125" t="s">
        <v>293</v>
      </c>
      <c r="C39" s="123">
        <v>45733</v>
      </c>
      <c r="D39" s="117" t="s">
        <v>354</v>
      </c>
      <c r="E39" s="122" t="s">
        <v>294</v>
      </c>
      <c r="F39" s="124"/>
      <c r="G39" s="124" t="s">
        <v>708</v>
      </c>
      <c r="H39" s="124" t="s">
        <v>290</v>
      </c>
      <c r="I39" s="117" t="s">
        <v>354</v>
      </c>
      <c r="J39" s="117" t="s">
        <v>291</v>
      </c>
    </row>
    <row r="40" spans="1:13">
      <c r="A40" s="150">
        <v>45744</v>
      </c>
      <c r="B40" s="154" t="s">
        <v>294</v>
      </c>
      <c r="C40" s="152">
        <v>45740</v>
      </c>
      <c r="D40" s="117" t="s">
        <v>249</v>
      </c>
      <c r="E40" s="117" t="s">
        <v>354</v>
      </c>
      <c r="F40" s="156"/>
      <c r="G40" s="124" t="s">
        <v>708</v>
      </c>
      <c r="H40" s="156" t="s">
        <v>290</v>
      </c>
      <c r="I40" s="122" t="s">
        <v>294</v>
      </c>
      <c r="J40" s="153" t="s">
        <v>291</v>
      </c>
    </row>
    <row r="41" spans="1:13">
      <c r="A41" s="150">
        <v>45751</v>
      </c>
      <c r="B41" s="154" t="s">
        <v>359</v>
      </c>
      <c r="C41" s="152">
        <v>45747</v>
      </c>
      <c r="D41" s="122" t="s">
        <v>294</v>
      </c>
      <c r="E41" s="117" t="s">
        <v>249</v>
      </c>
      <c r="F41" s="156"/>
      <c r="G41" s="124" t="s">
        <v>708</v>
      </c>
      <c r="H41" s="156" t="s">
        <v>290</v>
      </c>
      <c r="I41" s="117" t="s">
        <v>354</v>
      </c>
      <c r="J41" s="153" t="s">
        <v>291</v>
      </c>
    </row>
    <row r="42" spans="1:13">
      <c r="A42" s="150">
        <v>45758</v>
      </c>
      <c r="B42" s="151" t="s">
        <v>293</v>
      </c>
      <c r="C42" s="152">
        <v>45754</v>
      </c>
      <c r="D42" s="117" t="s">
        <v>354</v>
      </c>
      <c r="E42" s="122" t="s">
        <v>294</v>
      </c>
      <c r="F42" s="156"/>
      <c r="G42" s="124" t="s">
        <v>708</v>
      </c>
      <c r="H42" s="156" t="s">
        <v>290</v>
      </c>
      <c r="I42" s="117" t="s">
        <v>249</v>
      </c>
      <c r="J42" s="153" t="s">
        <v>291</v>
      </c>
    </row>
    <row r="43" spans="1:13">
      <c r="A43" s="150">
        <v>45765</v>
      </c>
      <c r="B43" s="154" t="s">
        <v>294</v>
      </c>
      <c r="C43" s="152">
        <v>45761</v>
      </c>
      <c r="D43" s="117" t="s">
        <v>249</v>
      </c>
      <c r="E43" s="117" t="s">
        <v>354</v>
      </c>
      <c r="F43" s="156"/>
      <c r="G43" s="124" t="s">
        <v>708</v>
      </c>
      <c r="H43" s="156" t="s">
        <v>290</v>
      </c>
      <c r="I43" s="122" t="s">
        <v>294</v>
      </c>
      <c r="J43" s="153" t="s">
        <v>291</v>
      </c>
    </row>
    <row r="44" spans="1:13">
      <c r="A44" s="150">
        <v>45772</v>
      </c>
      <c r="B44" s="154" t="s">
        <v>359</v>
      </c>
      <c r="C44" s="152">
        <v>45768</v>
      </c>
      <c r="D44" s="122" t="s">
        <v>294</v>
      </c>
      <c r="E44" s="117" t="s">
        <v>249</v>
      </c>
      <c r="F44" s="156"/>
      <c r="G44" s="124" t="s">
        <v>708</v>
      </c>
      <c r="H44" s="156" t="s">
        <v>290</v>
      </c>
      <c r="I44" s="117" t="s">
        <v>354</v>
      </c>
      <c r="J44" s="153" t="s">
        <v>291</v>
      </c>
    </row>
    <row r="45" spans="1:13">
      <c r="A45" s="150">
        <v>45779</v>
      </c>
      <c r="B45" s="151" t="s">
        <v>293</v>
      </c>
      <c r="C45" s="152">
        <v>45775</v>
      </c>
      <c r="D45" s="117" t="s">
        <v>354</v>
      </c>
      <c r="E45" s="122" t="s">
        <v>294</v>
      </c>
      <c r="F45" s="156"/>
      <c r="G45" s="124" t="s">
        <v>708</v>
      </c>
      <c r="H45" s="156" t="s">
        <v>290</v>
      </c>
      <c r="I45" s="117" t="s">
        <v>249</v>
      </c>
      <c r="J45" s="153" t="s">
        <v>291</v>
      </c>
    </row>
    <row r="46" spans="1:13">
      <c r="A46" s="159"/>
      <c r="B46" s="158"/>
      <c r="C46" s="157"/>
      <c r="D46" s="159"/>
      <c r="E46" s="159"/>
      <c r="F46" s="156"/>
      <c r="G46" s="156"/>
      <c r="H46" s="156"/>
      <c r="I46" s="159"/>
      <c r="J46" s="155"/>
    </row>
    <row r="47" spans="1:13">
      <c r="A47" s="159"/>
      <c r="B47" s="158"/>
      <c r="C47" s="157"/>
      <c r="D47" s="159"/>
      <c r="E47" s="159"/>
      <c r="F47" s="156"/>
      <c r="G47" s="156"/>
      <c r="H47" s="156"/>
      <c r="I47" s="159"/>
      <c r="J47" s="155"/>
    </row>
    <row r="48" spans="1:13">
      <c r="A48" s="159"/>
      <c r="B48" s="158"/>
      <c r="C48" s="157"/>
      <c r="D48" s="159"/>
      <c r="E48" s="159"/>
      <c r="F48" s="156"/>
      <c r="G48" s="156"/>
      <c r="H48" s="156"/>
      <c r="I48" s="159"/>
      <c r="J48" s="155"/>
    </row>
    <row r="49" spans="1:10">
      <c r="A49" s="159"/>
      <c r="B49" s="158"/>
      <c r="C49" s="157"/>
      <c r="D49" s="159"/>
      <c r="E49" s="159"/>
      <c r="F49" s="156"/>
      <c r="G49" s="156"/>
      <c r="H49" s="156"/>
      <c r="I49" s="159"/>
      <c r="J49" s="155"/>
    </row>
    <row r="50" spans="1:10">
      <c r="A50" s="159"/>
      <c r="B50" s="158"/>
      <c r="C50" s="157"/>
      <c r="D50" s="159"/>
      <c r="E50" s="159"/>
      <c r="F50" s="156"/>
      <c r="G50" s="156"/>
      <c r="H50" s="156"/>
      <c r="I50" s="159"/>
      <c r="J50" s="155"/>
    </row>
    <row r="51" spans="1:10">
      <c r="A51" s="159"/>
      <c r="B51" s="158"/>
      <c r="C51" s="157"/>
      <c r="D51" s="159"/>
      <c r="E51" s="159"/>
      <c r="F51" s="156"/>
      <c r="G51" s="156"/>
      <c r="H51" s="156"/>
      <c r="I51" s="159"/>
      <c r="J51" s="155"/>
    </row>
    <row r="52" spans="1:10">
      <c r="A52" s="159"/>
      <c r="B52" s="158"/>
      <c r="C52" s="157"/>
      <c r="D52" s="159"/>
      <c r="E52" s="159"/>
      <c r="F52" s="156"/>
      <c r="G52" s="156"/>
      <c r="H52" s="156"/>
      <c r="I52" s="159"/>
      <c r="J52" s="155"/>
    </row>
    <row r="53" spans="1:10">
      <c r="A53" s="159"/>
      <c r="B53" s="158"/>
      <c r="C53" s="157"/>
      <c r="D53" s="159"/>
      <c r="E53" s="159"/>
      <c r="F53" s="156"/>
      <c r="G53" s="156"/>
      <c r="H53" s="156"/>
      <c r="I53" s="159"/>
      <c r="J53" s="155"/>
    </row>
    <row r="54" spans="1:10">
      <c r="A54" s="159"/>
      <c r="B54" s="158"/>
      <c r="C54" s="157"/>
      <c r="D54" s="159"/>
      <c r="E54" s="159"/>
      <c r="F54" s="156"/>
      <c r="G54" s="156"/>
      <c r="H54" s="156"/>
      <c r="I54" s="159"/>
      <c r="J54" s="155"/>
    </row>
  </sheetData>
  <phoneticPr fontId="11"/>
  <printOptions horizontalCentered="1" verticalCentered="1"/>
  <pageMargins left="0.25" right="0.25" top="0.75" bottom="0.75" header="0.3" footer="0.3"/>
  <pageSetup paperSize="9" scale="82" fitToHeight="0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24A05-46AF-468C-BE8E-7BCB86CB4D1C}">
  <sheetPr codeName="Sheet11"/>
  <dimension ref="A1:AC1850"/>
  <sheetViews>
    <sheetView workbookViewId="0">
      <pane xSplit="2" ySplit="2" topLeftCell="C924" activePane="bottomRight" state="frozen"/>
      <selection pane="topRight" activeCell="C1" sqref="C1"/>
      <selection pane="bottomLeft" activeCell="A3" sqref="A3"/>
      <selection pane="bottomRight" activeCell="F780" sqref="F780"/>
    </sheetView>
  </sheetViews>
  <sheetFormatPr defaultColWidth="8.85546875" defaultRowHeight="15"/>
  <cols>
    <col min="1" max="1" width="7.85546875" style="53" bestFit="1" customWidth="1"/>
    <col min="2" max="2" width="13.5703125" style="41" customWidth="1"/>
    <col min="3" max="3" width="13" style="42" customWidth="1"/>
    <col min="4" max="4" width="13" style="3" customWidth="1"/>
    <col min="5" max="12" width="13" style="43" customWidth="1"/>
    <col min="13" max="16" width="13.42578125" style="29" customWidth="1"/>
    <col min="17" max="17" width="13.7109375" style="29" customWidth="1"/>
    <col min="18" max="18" width="12.85546875" style="29" customWidth="1"/>
    <col min="19" max="19" width="6.28515625" customWidth="1"/>
    <col min="20" max="29" width="8.85546875" style="40"/>
    <col min="30" max="16384" width="8.85546875" style="29"/>
  </cols>
  <sheetData>
    <row r="1" spans="1:29" ht="14.45" customHeight="1">
      <c r="B1" s="38"/>
      <c r="C1" s="7">
        <v>46230</v>
      </c>
      <c r="D1" s="2" t="str">
        <f>HYPERLINK("#A"&amp;MATCH(C1,B:B,0),"➔GO")</f>
        <v>➔GO</v>
      </c>
      <c r="E1" s="39" t="s">
        <v>254</v>
      </c>
      <c r="F1" s="39" t="s">
        <v>254</v>
      </c>
      <c r="G1" s="39" t="s">
        <v>254</v>
      </c>
      <c r="H1" s="39" t="s">
        <v>254</v>
      </c>
      <c r="I1" s="39" t="s">
        <v>254</v>
      </c>
      <c r="J1" s="39" t="s">
        <v>254</v>
      </c>
      <c r="K1" s="39" t="s">
        <v>254</v>
      </c>
      <c r="L1" s="39" t="s">
        <v>254</v>
      </c>
      <c r="M1" s="39" t="s">
        <v>254</v>
      </c>
      <c r="N1" s="39" t="s">
        <v>254</v>
      </c>
      <c r="O1" s="39" t="s">
        <v>254</v>
      </c>
      <c r="P1" s="39"/>
      <c r="Q1" s="39" t="s">
        <v>254</v>
      </c>
      <c r="R1" s="39" t="s">
        <v>254</v>
      </c>
      <c r="S1" s="51" t="s">
        <v>254</v>
      </c>
      <c r="T1" s="52" t="s">
        <v>254</v>
      </c>
      <c r="U1" s="52" t="s">
        <v>254</v>
      </c>
      <c r="V1" s="52" t="s">
        <v>254</v>
      </c>
      <c r="W1" s="52" t="s">
        <v>254</v>
      </c>
      <c r="X1" s="52" t="s">
        <v>254</v>
      </c>
      <c r="Y1" s="52" t="s">
        <v>254</v>
      </c>
      <c r="Z1" s="52" t="s">
        <v>254</v>
      </c>
      <c r="AA1" s="52" t="s">
        <v>254</v>
      </c>
      <c r="AB1" s="52" t="s">
        <v>254</v>
      </c>
      <c r="AC1" s="52" t="s">
        <v>254</v>
      </c>
    </row>
    <row r="2" spans="1:29" s="5" customFormat="1" ht="16.5">
      <c r="A2" s="54" t="s">
        <v>296</v>
      </c>
      <c r="B2" s="10" t="s">
        <v>297</v>
      </c>
      <c r="C2" s="6" t="s">
        <v>298</v>
      </c>
      <c r="D2" s="9" t="s">
        <v>299</v>
      </c>
      <c r="E2" s="26" t="s">
        <v>300</v>
      </c>
      <c r="F2" s="26" t="s">
        <v>301</v>
      </c>
      <c r="G2" s="26" t="s">
        <v>302</v>
      </c>
      <c r="H2" s="26" t="s">
        <v>303</v>
      </c>
      <c r="I2" s="27" t="s">
        <v>304</v>
      </c>
      <c r="J2" s="27" t="s">
        <v>305</v>
      </c>
      <c r="K2" s="27" t="s">
        <v>306</v>
      </c>
      <c r="L2" s="27" t="s">
        <v>307</v>
      </c>
      <c r="M2" s="8" t="s">
        <v>283</v>
      </c>
      <c r="N2" s="8" t="s">
        <v>202</v>
      </c>
      <c r="O2" s="8" t="s">
        <v>203</v>
      </c>
      <c r="P2" s="8" t="s">
        <v>308</v>
      </c>
      <c r="Q2" s="8" t="s">
        <v>267</v>
      </c>
      <c r="R2" s="8" t="s">
        <v>287</v>
      </c>
      <c r="S2" s="51" t="s">
        <v>254</v>
      </c>
      <c r="T2" s="21" t="s">
        <v>309</v>
      </c>
      <c r="U2" s="22" t="s">
        <v>310</v>
      </c>
      <c r="V2" s="21" t="s">
        <v>311</v>
      </c>
      <c r="W2" s="22" t="s">
        <v>312</v>
      </c>
      <c r="X2" s="21" t="s">
        <v>313</v>
      </c>
      <c r="Y2" s="22" t="s">
        <v>314</v>
      </c>
      <c r="Z2" s="21" t="s">
        <v>315</v>
      </c>
      <c r="AA2" s="23" t="s">
        <v>316</v>
      </c>
      <c r="AB2" s="23" t="s">
        <v>317</v>
      </c>
      <c r="AC2" s="23" t="s">
        <v>318</v>
      </c>
    </row>
    <row r="3" spans="1:29">
      <c r="A3" s="53">
        <f>B3</f>
        <v>45474</v>
      </c>
      <c r="B3" s="41">
        <v>45474</v>
      </c>
      <c r="C3" s="42" t="str">
        <f>"第"&amp;ROUNDUP(DAY(B3)/7,0)  &amp;"  "&amp;TEXT(B3,"aaaa")</f>
        <v>第1  月曜日</v>
      </c>
      <c r="D3" s="4" t="str">
        <f>_xlfn.XLOOKUP(B3,syukujitsu[国民の祝日・休日月日],syukujitsu[国民の祝日・休日名称],"",0,1)</f>
        <v/>
      </c>
      <c r="E3" s="43" t="s">
        <v>254</v>
      </c>
      <c r="F3" s="43" t="s">
        <v>254</v>
      </c>
      <c r="G3" s="43" t="s">
        <v>254</v>
      </c>
      <c r="H3" s="43" t="s">
        <v>254</v>
      </c>
      <c r="I3" s="43" t="s">
        <v>254</v>
      </c>
      <c r="J3" s="43" t="s">
        <v>254</v>
      </c>
      <c r="K3" s="43" t="s">
        <v>254</v>
      </c>
      <c r="L3" s="43" t="s">
        <v>254</v>
      </c>
      <c r="M3" s="29" t="str">
        <f>_xlfn.XLOOKUP($B3,シフトスケジュール!$C:$C,シフトスケジュール!D:D,"該当なし",0,1)</f>
        <v>2025PK／片山</v>
      </c>
      <c r="N3" s="29" t="str">
        <f>_xlfn.XLOOKUP($B3,シフトスケジュール!$C:$C,シフトスケジュール!E:E,"該当なし",0,1)</f>
        <v>2267PK／後藤</v>
      </c>
      <c r="O3" s="29" t="str">
        <f>_xlfn.XLOOKUP($B3,シフトスケジュール!$C:$C,シフトスケジュール!F:F,"該当なし",0,1)</f>
        <v>2618PK／畑澤</v>
      </c>
      <c r="P3" s="29" t="str">
        <f>_xlfn.XLOOKUP($B3,シフトスケジュール!$C:$C,シフトスケジュール!G:G,"該当なし",0,1)</f>
        <v>5122PK／菊地</v>
      </c>
      <c r="Q3" s="29" t="str">
        <f>_xlfn.XLOOKUP($B3,シフトスケジュール!$C:$C,シフトスケジュール!H:H,"該当なし",0,1)</f>
        <v>1㌧6902／吉田</v>
      </c>
      <c r="R3" s="29" t="s">
        <v>354</v>
      </c>
      <c r="S3" s="51" t="s">
        <v>254</v>
      </c>
      <c r="T3" s="52" t="s">
        <v>254</v>
      </c>
      <c r="U3" s="52" t="s">
        <v>254</v>
      </c>
      <c r="V3" s="52" t="s">
        <v>254</v>
      </c>
      <c r="W3" s="52" t="s">
        <v>254</v>
      </c>
      <c r="X3" s="52" t="s">
        <v>254</v>
      </c>
      <c r="Y3" s="52" t="s">
        <v>254</v>
      </c>
      <c r="Z3" s="52" t="s">
        <v>254</v>
      </c>
      <c r="AA3" s="52" t="s">
        <v>254</v>
      </c>
      <c r="AB3" s="52" t="s">
        <v>254</v>
      </c>
      <c r="AC3" s="52" t="s">
        <v>254</v>
      </c>
    </row>
    <row r="4" spans="1:29">
      <c r="A4" s="53">
        <f t="shared" ref="A4:A35" si="0">B4</f>
        <v>45475</v>
      </c>
      <c r="B4" s="41">
        <f>B3+1</f>
        <v>45475</v>
      </c>
      <c r="C4" s="42" t="str">
        <f t="shared" ref="C4:C8" si="1">"第"&amp;ROUNDUP(DAY(B4)/7,0)  &amp;"  "&amp;TEXT(B4,"aaaa")</f>
        <v>第1  火曜日</v>
      </c>
      <c r="D4" s="4" t="str">
        <f>_xlfn.XLOOKUP(B4,syukujitsu[国民の祝日・休日月日],syukujitsu[国民の祝日・休日名称],"",0,1)</f>
        <v/>
      </c>
      <c r="E4" s="43" t="s">
        <v>254</v>
      </c>
      <c r="F4" s="43" t="s">
        <v>254</v>
      </c>
      <c r="G4" s="43" t="s">
        <v>254</v>
      </c>
      <c r="H4" s="43" t="s">
        <v>254</v>
      </c>
      <c r="I4" s="43" t="s">
        <v>254</v>
      </c>
      <c r="J4" s="43" t="s">
        <v>254</v>
      </c>
      <c r="K4" s="43" t="s">
        <v>254</v>
      </c>
      <c r="L4" s="43" t="s">
        <v>254</v>
      </c>
      <c r="M4" s="29" t="str">
        <f t="shared" ref="M4:R4" si="2">M3</f>
        <v>2025PK／片山</v>
      </c>
      <c r="N4" s="29" t="str">
        <f t="shared" si="2"/>
        <v>2267PK／後藤</v>
      </c>
      <c r="O4" s="29" t="str">
        <f t="shared" si="2"/>
        <v>2618PK／畑澤</v>
      </c>
      <c r="P4" s="29" t="str">
        <f t="shared" si="2"/>
        <v>5122PK／菊地</v>
      </c>
      <c r="Q4" s="29" t="str">
        <f t="shared" si="2"/>
        <v>1㌧6902／吉田</v>
      </c>
      <c r="R4" s="29" t="str">
        <f t="shared" si="2"/>
        <v>菊地</v>
      </c>
      <c r="S4" s="51" t="s">
        <v>254</v>
      </c>
      <c r="T4" s="52" t="s">
        <v>254</v>
      </c>
      <c r="U4" s="52" t="s">
        <v>254</v>
      </c>
      <c r="V4" s="52" t="s">
        <v>254</v>
      </c>
      <c r="W4" s="52" t="s">
        <v>254</v>
      </c>
      <c r="X4" s="52" t="s">
        <v>254</v>
      </c>
      <c r="Y4" s="52" t="s">
        <v>254</v>
      </c>
      <c r="Z4" s="52" t="s">
        <v>254</v>
      </c>
      <c r="AA4" s="52" t="s">
        <v>254</v>
      </c>
      <c r="AB4" s="52" t="s">
        <v>254</v>
      </c>
      <c r="AC4" s="52" t="s">
        <v>254</v>
      </c>
    </row>
    <row r="5" spans="1:29">
      <c r="A5" s="53">
        <f t="shared" si="0"/>
        <v>45476</v>
      </c>
      <c r="B5" s="41">
        <f t="shared" ref="B5:B68" si="3">B4+1</f>
        <v>45476</v>
      </c>
      <c r="C5" s="42" t="str">
        <f t="shared" si="1"/>
        <v>第1  水曜日</v>
      </c>
      <c r="D5" s="4" t="str">
        <f>_xlfn.XLOOKUP(B5,syukujitsu[国民の祝日・休日月日],syukujitsu[国民の祝日・休日名称],"",0,1)</f>
        <v/>
      </c>
      <c r="E5" s="43" t="s">
        <v>254</v>
      </c>
      <c r="F5" s="43" t="s">
        <v>254</v>
      </c>
      <c r="G5" s="43" t="s">
        <v>254</v>
      </c>
      <c r="H5" s="43" t="s">
        <v>254</v>
      </c>
      <c r="I5" s="43" t="s">
        <v>254</v>
      </c>
      <c r="J5" s="43" t="s">
        <v>254</v>
      </c>
      <c r="K5" s="43" t="s">
        <v>254</v>
      </c>
      <c r="L5" s="43" t="s">
        <v>254</v>
      </c>
      <c r="M5" s="29" t="str">
        <f t="shared" ref="M5:R5" si="4">M3</f>
        <v>2025PK／片山</v>
      </c>
      <c r="N5" s="29" t="str">
        <f t="shared" si="4"/>
        <v>2267PK／後藤</v>
      </c>
      <c r="O5" s="29" t="str">
        <f t="shared" si="4"/>
        <v>2618PK／畑澤</v>
      </c>
      <c r="P5" s="29" t="str">
        <f t="shared" si="4"/>
        <v>5122PK／菊地</v>
      </c>
      <c r="Q5" s="29" t="str">
        <f t="shared" si="4"/>
        <v>1㌧6902／吉田</v>
      </c>
      <c r="R5" s="29" t="str">
        <f t="shared" si="4"/>
        <v>菊地</v>
      </c>
      <c r="S5" s="51" t="s">
        <v>254</v>
      </c>
      <c r="T5" s="52" t="s">
        <v>254</v>
      </c>
      <c r="U5" s="52" t="s">
        <v>254</v>
      </c>
      <c r="V5" s="52" t="s">
        <v>254</v>
      </c>
      <c r="W5" s="52" t="s">
        <v>254</v>
      </c>
      <c r="X5" s="52" t="s">
        <v>254</v>
      </c>
      <c r="Y5" s="52" t="s">
        <v>254</v>
      </c>
      <c r="Z5" s="52" t="s">
        <v>254</v>
      </c>
      <c r="AA5" s="52" t="s">
        <v>254</v>
      </c>
      <c r="AB5" s="52" t="s">
        <v>254</v>
      </c>
      <c r="AC5" s="52" t="s">
        <v>254</v>
      </c>
    </row>
    <row r="6" spans="1:29">
      <c r="A6" s="53">
        <f t="shared" si="0"/>
        <v>45477</v>
      </c>
      <c r="B6" s="41">
        <f t="shared" si="3"/>
        <v>45477</v>
      </c>
      <c r="C6" s="42" t="str">
        <f t="shared" si="1"/>
        <v>第1  木曜日</v>
      </c>
      <c r="D6" s="4" t="str">
        <f>_xlfn.XLOOKUP(B6,syukujitsu[国民の祝日・休日月日],syukujitsu[国民の祝日・休日名称],"",0,1)</f>
        <v/>
      </c>
      <c r="E6" s="43" t="s">
        <v>254</v>
      </c>
      <c r="F6" s="43" t="s">
        <v>254</v>
      </c>
      <c r="G6" s="43" t="s">
        <v>254</v>
      </c>
      <c r="H6" s="43" t="s">
        <v>254</v>
      </c>
      <c r="I6" s="43" t="s">
        <v>254</v>
      </c>
      <c r="J6" s="43" t="s">
        <v>254</v>
      </c>
      <c r="K6" s="43" t="s">
        <v>254</v>
      </c>
      <c r="L6" s="43" t="s">
        <v>254</v>
      </c>
      <c r="M6" s="29" t="str">
        <f t="shared" ref="M6:R6" si="5">M3</f>
        <v>2025PK／片山</v>
      </c>
      <c r="N6" s="29" t="str">
        <f t="shared" si="5"/>
        <v>2267PK／後藤</v>
      </c>
      <c r="O6" s="29" t="str">
        <f t="shared" si="5"/>
        <v>2618PK／畑澤</v>
      </c>
      <c r="P6" s="29" t="str">
        <f t="shared" si="5"/>
        <v>5122PK／菊地</v>
      </c>
      <c r="Q6" s="29" t="str">
        <f t="shared" si="5"/>
        <v>1㌧6902／吉田</v>
      </c>
      <c r="R6" s="29" t="str">
        <f t="shared" si="5"/>
        <v>菊地</v>
      </c>
      <c r="S6" s="51" t="s">
        <v>254</v>
      </c>
      <c r="T6" s="52" t="s">
        <v>254</v>
      </c>
      <c r="U6" s="52" t="s">
        <v>254</v>
      </c>
      <c r="V6" s="52" t="s">
        <v>254</v>
      </c>
      <c r="W6" s="52" t="s">
        <v>254</v>
      </c>
      <c r="X6" s="52" t="s">
        <v>254</v>
      </c>
      <c r="Y6" s="52" t="s">
        <v>254</v>
      </c>
      <c r="Z6" s="52" t="s">
        <v>254</v>
      </c>
      <c r="AA6" s="52" t="s">
        <v>254</v>
      </c>
      <c r="AB6" s="52" t="s">
        <v>254</v>
      </c>
      <c r="AC6" s="52" t="s">
        <v>254</v>
      </c>
    </row>
    <row r="7" spans="1:29">
      <c r="A7" s="53">
        <f t="shared" si="0"/>
        <v>45478</v>
      </c>
      <c r="B7" s="41">
        <f t="shared" si="3"/>
        <v>45478</v>
      </c>
      <c r="C7" s="42" t="str">
        <f t="shared" si="1"/>
        <v>第1  金曜日</v>
      </c>
      <c r="D7" s="4" t="str">
        <f>_xlfn.XLOOKUP(B7,syukujitsu[国民の祝日・休日月日],syukujitsu[国民の祝日・休日名称],"",0,1)</f>
        <v/>
      </c>
      <c r="E7" s="43" t="s">
        <v>431</v>
      </c>
      <c r="F7" s="43" t="s">
        <v>254</v>
      </c>
      <c r="G7" s="43" t="s">
        <v>254</v>
      </c>
      <c r="H7" s="43" t="s">
        <v>254</v>
      </c>
      <c r="I7" s="43" t="s">
        <v>254</v>
      </c>
      <c r="J7" s="43" t="s">
        <v>254</v>
      </c>
      <c r="K7" s="43" t="s">
        <v>254</v>
      </c>
      <c r="L7" s="43" t="s">
        <v>254</v>
      </c>
      <c r="M7" s="29" t="str">
        <f t="shared" ref="M7:R7" si="6">M3</f>
        <v>2025PK／片山</v>
      </c>
      <c r="N7" s="29" t="str">
        <f t="shared" si="6"/>
        <v>2267PK／後藤</v>
      </c>
      <c r="O7" s="29" t="str">
        <f t="shared" si="6"/>
        <v>2618PK／畑澤</v>
      </c>
      <c r="P7" s="29" t="str">
        <f t="shared" si="6"/>
        <v>5122PK／菊地</v>
      </c>
      <c r="Q7" s="29" t="str">
        <f t="shared" si="6"/>
        <v>1㌧6902／吉田</v>
      </c>
      <c r="R7" s="29" t="str">
        <f t="shared" si="6"/>
        <v>菊地</v>
      </c>
      <c r="S7" s="51" t="s">
        <v>254</v>
      </c>
      <c r="T7" s="52" t="s">
        <v>254</v>
      </c>
      <c r="U7" s="52" t="s">
        <v>254</v>
      </c>
      <c r="V7" s="52" t="s">
        <v>254</v>
      </c>
      <c r="W7" s="52" t="s">
        <v>254</v>
      </c>
      <c r="X7" s="52" t="s">
        <v>254</v>
      </c>
      <c r="Y7" s="52" t="s">
        <v>254</v>
      </c>
      <c r="Z7" s="52" t="s">
        <v>254</v>
      </c>
      <c r="AA7" s="52" t="s">
        <v>254</v>
      </c>
      <c r="AB7" s="52" t="s">
        <v>254</v>
      </c>
      <c r="AC7" s="52" t="s">
        <v>254</v>
      </c>
    </row>
    <row r="8" spans="1:29">
      <c r="A8" s="53">
        <f t="shared" si="0"/>
        <v>45479</v>
      </c>
      <c r="B8" s="41">
        <f t="shared" si="3"/>
        <v>45479</v>
      </c>
      <c r="C8" s="42" t="str">
        <f t="shared" si="1"/>
        <v>第1  土曜日</v>
      </c>
      <c r="D8" s="4" t="str">
        <f>_xlfn.XLOOKUP(B8,syukujitsu[国民の祝日・休日月日],syukujitsu[国民の祝日・休日名称],"",0,1)</f>
        <v/>
      </c>
      <c r="E8" s="43" t="s">
        <v>254</v>
      </c>
      <c r="F8" s="43" t="s">
        <v>254</v>
      </c>
      <c r="G8" s="43" t="s">
        <v>254</v>
      </c>
      <c r="H8" s="43" t="s">
        <v>254</v>
      </c>
      <c r="I8" s="43" t="s">
        <v>254</v>
      </c>
      <c r="J8" s="43" t="s">
        <v>254</v>
      </c>
      <c r="K8" s="43" t="s">
        <v>254</v>
      </c>
      <c r="L8" s="43" t="s">
        <v>254</v>
      </c>
      <c r="S8" s="51" t="s">
        <v>254</v>
      </c>
      <c r="T8" s="52" t="s">
        <v>254</v>
      </c>
      <c r="U8" s="52" t="s">
        <v>254</v>
      </c>
      <c r="V8" s="52" t="s">
        <v>254</v>
      </c>
      <c r="W8" s="52" t="s">
        <v>254</v>
      </c>
      <c r="X8" s="52" t="s">
        <v>254</v>
      </c>
      <c r="Y8" s="52" t="s">
        <v>254</v>
      </c>
      <c r="Z8" s="52" t="s">
        <v>254</v>
      </c>
      <c r="AA8" s="52" t="s">
        <v>254</v>
      </c>
      <c r="AB8" s="52" t="s">
        <v>254</v>
      </c>
      <c r="AC8" s="52" t="s">
        <v>254</v>
      </c>
    </row>
    <row r="9" spans="1:29">
      <c r="A9" s="53">
        <f t="shared" si="0"/>
        <v>45480</v>
      </c>
      <c r="B9" s="41">
        <f t="shared" si="3"/>
        <v>45480</v>
      </c>
      <c r="C9" s="42" t="str">
        <f>"第"&amp;ROUNDUP(DAY(B9)/7,0)  &amp;"  "&amp;TEXT(B9,"aaaa")</f>
        <v>第1  日曜日</v>
      </c>
      <c r="D9" s="4" t="str">
        <f>_xlfn.XLOOKUP(B9,syukujitsu[国民の祝日・休日月日],syukujitsu[国民の祝日・休日名称],"",0,1)</f>
        <v/>
      </c>
      <c r="E9" s="43" t="s">
        <v>254</v>
      </c>
      <c r="F9" s="43" t="s">
        <v>254</v>
      </c>
      <c r="G9" s="43" t="s">
        <v>254</v>
      </c>
      <c r="H9" s="43" t="s">
        <v>254</v>
      </c>
      <c r="I9" s="43" t="s">
        <v>254</v>
      </c>
      <c r="J9" s="43" t="s">
        <v>254</v>
      </c>
      <c r="K9" s="43" t="s">
        <v>254</v>
      </c>
      <c r="L9" s="43" t="s">
        <v>254</v>
      </c>
      <c r="M9" s="39"/>
      <c r="S9" s="51" t="s">
        <v>254</v>
      </c>
      <c r="T9" s="52" t="s">
        <v>254</v>
      </c>
      <c r="U9" s="52" t="s">
        <v>254</v>
      </c>
      <c r="V9" s="52" t="s">
        <v>254</v>
      </c>
      <c r="W9" s="52" t="s">
        <v>254</v>
      </c>
      <c r="X9" s="52" t="s">
        <v>254</v>
      </c>
      <c r="Y9" s="52" t="s">
        <v>254</v>
      </c>
      <c r="Z9" s="52" t="s">
        <v>254</v>
      </c>
      <c r="AA9" s="52" t="s">
        <v>254</v>
      </c>
      <c r="AB9" s="52" t="s">
        <v>254</v>
      </c>
      <c r="AC9" s="52" t="s">
        <v>254</v>
      </c>
    </row>
    <row r="10" spans="1:29">
      <c r="A10" s="53">
        <f t="shared" si="0"/>
        <v>45481</v>
      </c>
      <c r="B10" s="41">
        <f t="shared" si="3"/>
        <v>45481</v>
      </c>
      <c r="C10" s="42" t="str">
        <f t="shared" ref="C10:C73" si="7">"第"&amp;ROUNDUP(DAY(B10)/7,0)  &amp;"  "&amp;TEXT(B10,"aaaa")</f>
        <v>第2  月曜日</v>
      </c>
      <c r="D10" s="4" t="str">
        <f>_xlfn.XLOOKUP(B10,syukujitsu[国民の祝日・休日月日],syukujitsu[国民の祝日・休日名称],"",0,1)</f>
        <v/>
      </c>
      <c r="E10" s="43" t="s">
        <v>254</v>
      </c>
      <c r="F10" s="43" t="s">
        <v>254</v>
      </c>
      <c r="G10" s="43" t="s">
        <v>254</v>
      </c>
      <c r="H10" s="43" t="s">
        <v>254</v>
      </c>
      <c r="I10" s="43" t="s">
        <v>254</v>
      </c>
      <c r="J10" s="43" t="s">
        <v>254</v>
      </c>
      <c r="K10" s="43" t="s">
        <v>254</v>
      </c>
      <c r="L10" s="43" t="s">
        <v>254</v>
      </c>
      <c r="M10" s="29" t="str">
        <f>_xlfn.XLOOKUP($B10,シフトスケジュール!$C:$C,シフトスケジュール!D:D,"該当なし",0,1)</f>
        <v>2025PK／菊地</v>
      </c>
      <c r="N10" s="29" t="str">
        <f>_xlfn.XLOOKUP($B10,シフトスケジュール!$C:$C,シフトスケジュール!E:E,"該当なし",0,1)</f>
        <v>2267PK／片山</v>
      </c>
      <c r="O10" s="29" t="str">
        <f>_xlfn.XLOOKUP($B10,シフトスケジュール!$C:$C,シフトスケジュール!F:F,"該当なし",0,1)</f>
        <v>2618PK／後藤</v>
      </c>
      <c r="P10" s="29" t="str">
        <f>_xlfn.XLOOKUP($B10,シフトスケジュール!$C:$C,シフトスケジュール!G:G,"該当なし",0,1)</f>
        <v>5122PK／畑澤</v>
      </c>
      <c r="Q10" s="29" t="str">
        <f>_xlfn.XLOOKUP($B10,シフトスケジュール!$C:$C,シフトスケジュール!H:H,"該当なし",0,1)</f>
        <v>1㌧6902／吉田</v>
      </c>
      <c r="R10" s="29" t="s">
        <v>249</v>
      </c>
      <c r="S10" s="51" t="s">
        <v>254</v>
      </c>
      <c r="T10" s="52" t="s">
        <v>254</v>
      </c>
      <c r="U10" s="52" t="s">
        <v>254</v>
      </c>
      <c r="V10" s="52" t="s">
        <v>254</v>
      </c>
      <c r="W10" s="52" t="s">
        <v>254</v>
      </c>
      <c r="X10" s="52" t="s">
        <v>254</v>
      </c>
      <c r="Y10" s="52" t="s">
        <v>254</v>
      </c>
      <c r="Z10" s="52" t="s">
        <v>254</v>
      </c>
      <c r="AA10" s="52" t="s">
        <v>254</v>
      </c>
      <c r="AB10" s="52" t="s">
        <v>254</v>
      </c>
      <c r="AC10" s="52" t="s">
        <v>254</v>
      </c>
    </row>
    <row r="11" spans="1:29">
      <c r="A11" s="53">
        <f t="shared" si="0"/>
        <v>45482</v>
      </c>
      <c r="B11" s="41">
        <f t="shared" si="3"/>
        <v>45482</v>
      </c>
      <c r="C11" s="42" t="str">
        <f t="shared" si="7"/>
        <v>第2  火曜日</v>
      </c>
      <c r="D11" s="4" t="str">
        <f>_xlfn.XLOOKUP(B11,syukujitsu[国民の祝日・休日月日],syukujitsu[国民の祝日・休日名称],"",0,1)</f>
        <v/>
      </c>
      <c r="E11" s="43" t="s">
        <v>432</v>
      </c>
      <c r="F11" s="43" t="s">
        <v>254</v>
      </c>
      <c r="G11" s="43" t="s">
        <v>254</v>
      </c>
      <c r="H11" s="43" t="s">
        <v>254</v>
      </c>
      <c r="I11" s="43" t="s">
        <v>254</v>
      </c>
      <c r="J11" s="43" t="s">
        <v>254</v>
      </c>
      <c r="K11" s="43" t="s">
        <v>254</v>
      </c>
      <c r="L11" s="43" t="s">
        <v>254</v>
      </c>
      <c r="M11" s="29" t="str">
        <f t="shared" ref="M11" si="8">M10</f>
        <v>2025PK／菊地</v>
      </c>
      <c r="N11" s="29" t="str">
        <f t="shared" ref="N11" si="9">N10</f>
        <v>2267PK／片山</v>
      </c>
      <c r="O11" s="29" t="str">
        <f t="shared" ref="O11" si="10">O10</f>
        <v>2618PK／後藤</v>
      </c>
      <c r="P11" s="29" t="str">
        <f t="shared" ref="P11" si="11">P10</f>
        <v>5122PK／畑澤</v>
      </c>
      <c r="Q11" s="29" t="str">
        <f t="shared" ref="Q11" si="12">Q10</f>
        <v>1㌧6902／吉田</v>
      </c>
      <c r="R11" s="29" t="str">
        <f t="shared" ref="R11" si="13">R10</f>
        <v>畑澤</v>
      </c>
      <c r="S11" s="51" t="s">
        <v>254</v>
      </c>
      <c r="T11" s="52" t="s">
        <v>254</v>
      </c>
      <c r="U11" s="52" t="s">
        <v>254</v>
      </c>
      <c r="V11" s="52" t="s">
        <v>254</v>
      </c>
      <c r="W11" s="52" t="s">
        <v>254</v>
      </c>
      <c r="X11" s="52" t="s">
        <v>254</v>
      </c>
      <c r="Y11" s="52" t="s">
        <v>254</v>
      </c>
      <c r="Z11" s="52" t="s">
        <v>254</v>
      </c>
      <c r="AA11" s="52" t="s">
        <v>254</v>
      </c>
      <c r="AB11" s="52" t="s">
        <v>254</v>
      </c>
      <c r="AC11" s="52" t="s">
        <v>254</v>
      </c>
    </row>
    <row r="12" spans="1:29">
      <c r="A12" s="53">
        <f t="shared" si="0"/>
        <v>45483</v>
      </c>
      <c r="B12" s="41">
        <f t="shared" si="3"/>
        <v>45483</v>
      </c>
      <c r="C12" s="42" t="str">
        <f t="shared" si="7"/>
        <v>第2  水曜日</v>
      </c>
      <c r="D12" s="4" t="str">
        <f>_xlfn.XLOOKUP(B12,syukujitsu[国民の祝日・休日月日],syukujitsu[国民の祝日・休日名称],"",0,1)</f>
        <v/>
      </c>
      <c r="E12" s="43" t="s">
        <v>433</v>
      </c>
      <c r="F12" s="43" t="s">
        <v>254</v>
      </c>
      <c r="G12" s="43" t="s">
        <v>254</v>
      </c>
      <c r="H12" s="43" t="s">
        <v>254</v>
      </c>
      <c r="I12" s="43" t="s">
        <v>254</v>
      </c>
      <c r="J12" s="43" t="s">
        <v>254</v>
      </c>
      <c r="K12" s="43" t="s">
        <v>254</v>
      </c>
      <c r="L12" s="43" t="s">
        <v>254</v>
      </c>
      <c r="M12" s="29" t="str">
        <f t="shared" ref="M12:R12" si="14">M10</f>
        <v>2025PK／菊地</v>
      </c>
      <c r="N12" s="29" t="str">
        <f t="shared" si="14"/>
        <v>2267PK／片山</v>
      </c>
      <c r="O12" s="29" t="str">
        <f t="shared" si="14"/>
        <v>2618PK／後藤</v>
      </c>
      <c r="P12" s="29" t="str">
        <f t="shared" si="14"/>
        <v>5122PK／畑澤</v>
      </c>
      <c r="Q12" s="29" t="str">
        <f t="shared" si="14"/>
        <v>1㌧6902／吉田</v>
      </c>
      <c r="R12" s="29" t="str">
        <f t="shared" si="14"/>
        <v>畑澤</v>
      </c>
      <c r="S12" s="51" t="s">
        <v>254</v>
      </c>
      <c r="T12" s="52" t="s">
        <v>254</v>
      </c>
      <c r="U12" s="52" t="s">
        <v>254</v>
      </c>
      <c r="V12" s="52" t="s">
        <v>254</v>
      </c>
      <c r="W12" s="52" t="s">
        <v>254</v>
      </c>
      <c r="X12" s="52" t="s">
        <v>254</v>
      </c>
      <c r="Y12" s="52" t="s">
        <v>254</v>
      </c>
      <c r="Z12" s="52" t="s">
        <v>254</v>
      </c>
      <c r="AA12" s="52" t="s">
        <v>254</v>
      </c>
      <c r="AB12" s="52" t="s">
        <v>254</v>
      </c>
      <c r="AC12" s="52" t="s">
        <v>254</v>
      </c>
    </row>
    <row r="13" spans="1:29">
      <c r="A13" s="53">
        <f t="shared" si="0"/>
        <v>45484</v>
      </c>
      <c r="B13" s="41">
        <f t="shared" si="3"/>
        <v>45484</v>
      </c>
      <c r="C13" s="42" t="str">
        <f t="shared" si="7"/>
        <v>第2  木曜日</v>
      </c>
      <c r="D13" s="4" t="str">
        <f>_xlfn.XLOOKUP(B13,syukujitsu[国民の祝日・休日月日],syukujitsu[国民の祝日・休日名称],"",0,1)</f>
        <v/>
      </c>
      <c r="E13" s="43" t="s">
        <v>254</v>
      </c>
      <c r="F13" s="43" t="s">
        <v>254</v>
      </c>
      <c r="G13" s="43" t="s">
        <v>254</v>
      </c>
      <c r="H13" s="43" t="s">
        <v>254</v>
      </c>
      <c r="I13" s="43" t="s">
        <v>254</v>
      </c>
      <c r="J13" s="43" t="s">
        <v>254</v>
      </c>
      <c r="K13" s="43" t="s">
        <v>254</v>
      </c>
      <c r="L13" s="43" t="s">
        <v>254</v>
      </c>
      <c r="M13" s="29" t="str">
        <f t="shared" ref="M13:R13" si="15">M10</f>
        <v>2025PK／菊地</v>
      </c>
      <c r="N13" s="29" t="str">
        <f t="shared" si="15"/>
        <v>2267PK／片山</v>
      </c>
      <c r="O13" s="29" t="str">
        <f t="shared" si="15"/>
        <v>2618PK／後藤</v>
      </c>
      <c r="P13" s="29" t="str">
        <f t="shared" si="15"/>
        <v>5122PK／畑澤</v>
      </c>
      <c r="Q13" s="29" t="str">
        <f t="shared" si="15"/>
        <v>1㌧6902／吉田</v>
      </c>
      <c r="R13" s="29" t="str">
        <f t="shared" si="15"/>
        <v>畑澤</v>
      </c>
      <c r="S13" s="51" t="s">
        <v>254</v>
      </c>
      <c r="T13" s="52" t="s">
        <v>254</v>
      </c>
      <c r="U13" s="52" t="s">
        <v>254</v>
      </c>
      <c r="V13" s="52" t="s">
        <v>254</v>
      </c>
      <c r="W13" s="52" t="s">
        <v>254</v>
      </c>
      <c r="X13" s="52" t="s">
        <v>254</v>
      </c>
      <c r="Y13" s="52" t="s">
        <v>254</v>
      </c>
      <c r="Z13" s="52" t="s">
        <v>254</v>
      </c>
      <c r="AA13" s="52" t="s">
        <v>254</v>
      </c>
      <c r="AB13" s="52" t="s">
        <v>254</v>
      </c>
      <c r="AC13" s="52" t="s">
        <v>254</v>
      </c>
    </row>
    <row r="14" spans="1:29">
      <c r="A14" s="53">
        <f t="shared" si="0"/>
        <v>45485</v>
      </c>
      <c r="B14" s="41">
        <f t="shared" si="3"/>
        <v>45485</v>
      </c>
      <c r="C14" s="42" t="str">
        <f t="shared" si="7"/>
        <v>第2  金曜日</v>
      </c>
      <c r="D14" s="4" t="str">
        <f>_xlfn.XLOOKUP(B14,syukujitsu[国民の祝日・休日月日],syukujitsu[国民の祝日・休日名称],"",0,1)</f>
        <v/>
      </c>
      <c r="E14" s="43" t="s">
        <v>431</v>
      </c>
      <c r="F14" s="43" t="s">
        <v>254</v>
      </c>
      <c r="G14" s="43" t="s">
        <v>254</v>
      </c>
      <c r="H14" s="43" t="s">
        <v>254</v>
      </c>
      <c r="I14" s="43" t="s">
        <v>254</v>
      </c>
      <c r="J14" s="43" t="s">
        <v>254</v>
      </c>
      <c r="K14" s="43" t="s">
        <v>254</v>
      </c>
      <c r="L14" s="43" t="s">
        <v>254</v>
      </c>
      <c r="M14" s="29" t="str">
        <f t="shared" ref="M14:R14" si="16">M10</f>
        <v>2025PK／菊地</v>
      </c>
      <c r="N14" s="29" t="str">
        <f t="shared" si="16"/>
        <v>2267PK／片山</v>
      </c>
      <c r="O14" s="29" t="str">
        <f t="shared" si="16"/>
        <v>2618PK／後藤</v>
      </c>
      <c r="P14" s="29" t="str">
        <f t="shared" si="16"/>
        <v>5122PK／畑澤</v>
      </c>
      <c r="Q14" s="29" t="str">
        <f t="shared" si="16"/>
        <v>1㌧6902／吉田</v>
      </c>
      <c r="R14" s="29" t="str">
        <f t="shared" si="16"/>
        <v>畑澤</v>
      </c>
      <c r="S14" s="51" t="s">
        <v>254</v>
      </c>
      <c r="T14" s="52" t="s">
        <v>254</v>
      </c>
      <c r="U14" s="52" t="s">
        <v>254</v>
      </c>
      <c r="V14" s="52" t="s">
        <v>254</v>
      </c>
      <c r="W14" s="52" t="s">
        <v>254</v>
      </c>
      <c r="X14" s="52" t="s">
        <v>254</v>
      </c>
      <c r="Y14" s="52" t="s">
        <v>254</v>
      </c>
      <c r="Z14" s="52" t="s">
        <v>254</v>
      </c>
      <c r="AA14" s="52" t="s">
        <v>254</v>
      </c>
      <c r="AB14" s="52" t="s">
        <v>254</v>
      </c>
      <c r="AC14" s="52" t="s">
        <v>254</v>
      </c>
    </row>
    <row r="15" spans="1:29">
      <c r="A15" s="53">
        <f t="shared" si="0"/>
        <v>45486</v>
      </c>
      <c r="B15" s="41">
        <f t="shared" si="3"/>
        <v>45486</v>
      </c>
      <c r="C15" s="42" t="str">
        <f t="shared" si="7"/>
        <v>第2  土曜日</v>
      </c>
      <c r="D15" s="4" t="str">
        <f>_xlfn.XLOOKUP(B15,syukujitsu[国民の祝日・休日月日],syukujitsu[国民の祝日・休日名称],"",0,1)</f>
        <v/>
      </c>
      <c r="E15" s="43" t="s">
        <v>254</v>
      </c>
      <c r="F15" s="43" t="s">
        <v>254</v>
      </c>
      <c r="G15" s="43" t="s">
        <v>254</v>
      </c>
      <c r="H15" s="43" t="s">
        <v>254</v>
      </c>
      <c r="I15" s="43" t="s">
        <v>254</v>
      </c>
      <c r="J15" s="43" t="s">
        <v>254</v>
      </c>
      <c r="K15" s="43" t="s">
        <v>254</v>
      </c>
      <c r="L15" s="43" t="s">
        <v>254</v>
      </c>
      <c r="S15" s="51" t="s">
        <v>254</v>
      </c>
      <c r="T15" s="52" t="s">
        <v>254</v>
      </c>
      <c r="U15" s="52" t="s">
        <v>254</v>
      </c>
      <c r="V15" s="52" t="s">
        <v>254</v>
      </c>
      <c r="W15" s="52" t="s">
        <v>254</v>
      </c>
      <c r="X15" s="52" t="s">
        <v>254</v>
      </c>
      <c r="Y15" s="52" t="s">
        <v>254</v>
      </c>
      <c r="Z15" s="52" t="s">
        <v>254</v>
      </c>
      <c r="AA15" s="52" t="s">
        <v>254</v>
      </c>
      <c r="AB15" s="52" t="s">
        <v>254</v>
      </c>
      <c r="AC15" s="52" t="s">
        <v>254</v>
      </c>
    </row>
    <row r="16" spans="1:29">
      <c r="A16" s="53">
        <f t="shared" si="0"/>
        <v>45487</v>
      </c>
      <c r="B16" s="41">
        <f t="shared" si="3"/>
        <v>45487</v>
      </c>
      <c r="C16" s="42" t="str">
        <f t="shared" si="7"/>
        <v>第2  日曜日</v>
      </c>
      <c r="D16" s="4" t="str">
        <f>_xlfn.XLOOKUP(B16,syukujitsu[国民の祝日・休日月日],syukujitsu[国民の祝日・休日名称],"",0,1)</f>
        <v/>
      </c>
      <c r="E16" s="43" t="s">
        <v>254</v>
      </c>
      <c r="F16" s="43" t="s">
        <v>254</v>
      </c>
      <c r="G16" s="43" t="s">
        <v>254</v>
      </c>
      <c r="H16" s="43" t="s">
        <v>254</v>
      </c>
      <c r="I16" s="43" t="s">
        <v>254</v>
      </c>
      <c r="J16" s="43" t="s">
        <v>254</v>
      </c>
      <c r="K16" s="43" t="s">
        <v>254</v>
      </c>
      <c r="L16" s="43" t="s">
        <v>254</v>
      </c>
      <c r="M16" s="39"/>
      <c r="S16" s="51" t="s">
        <v>254</v>
      </c>
      <c r="T16" s="52" t="s">
        <v>254</v>
      </c>
      <c r="U16" s="52" t="s">
        <v>254</v>
      </c>
      <c r="V16" s="52" t="s">
        <v>254</v>
      </c>
      <c r="W16" s="52" t="s">
        <v>254</v>
      </c>
      <c r="X16" s="52" t="s">
        <v>254</v>
      </c>
      <c r="Y16" s="52" t="s">
        <v>254</v>
      </c>
      <c r="Z16" s="52" t="s">
        <v>254</v>
      </c>
      <c r="AA16" s="52" t="s">
        <v>254</v>
      </c>
      <c r="AB16" s="52" t="s">
        <v>254</v>
      </c>
      <c r="AC16" s="52" t="s">
        <v>254</v>
      </c>
    </row>
    <row r="17" spans="1:29">
      <c r="A17" s="53">
        <f t="shared" si="0"/>
        <v>45488</v>
      </c>
      <c r="B17" s="41">
        <f t="shared" si="3"/>
        <v>45488</v>
      </c>
      <c r="C17" s="42" t="str">
        <f t="shared" si="7"/>
        <v>第3  月曜日</v>
      </c>
      <c r="D17" s="4" t="str">
        <f>_xlfn.XLOOKUP(B17,syukujitsu[国民の祝日・休日月日],syukujitsu[国民の祝日・休日名称],"",0,1)</f>
        <v/>
      </c>
      <c r="E17" s="43" t="s">
        <v>431</v>
      </c>
      <c r="G17" s="43" t="s">
        <v>254</v>
      </c>
      <c r="H17" s="43" t="s">
        <v>254</v>
      </c>
      <c r="I17" s="43" t="s">
        <v>254</v>
      </c>
      <c r="J17" s="43" t="s">
        <v>254</v>
      </c>
      <c r="K17" s="43" t="s">
        <v>254</v>
      </c>
      <c r="L17" s="43" t="s">
        <v>254</v>
      </c>
      <c r="M17" s="29" t="str">
        <f>_xlfn.XLOOKUP($B17,シフトスケジュール!$C:$C,シフトスケジュール!D:D,"該当なし",0,1)</f>
        <v>2267PK／畑澤</v>
      </c>
      <c r="N17" s="29" t="str">
        <f>_xlfn.XLOOKUP($B17,シフトスケジュール!$C:$C,シフトスケジュール!E:E,"該当なし",0,1)</f>
        <v>2025PK／菊地</v>
      </c>
      <c r="O17" s="29" t="str">
        <f>_xlfn.XLOOKUP($B17,シフトスケジュール!$C:$C,シフトスケジュール!F:F,"該当なし",0,1)</f>
        <v>2618PK／片山</v>
      </c>
      <c r="P17" s="29" t="str">
        <f>_xlfn.XLOOKUP($B17,シフトスケジュール!$C:$C,シフトスケジュール!G:G,"該当なし",0,1)</f>
        <v>5122PK／後藤</v>
      </c>
      <c r="Q17" s="29" t="str">
        <f>_xlfn.XLOOKUP($B17,シフトスケジュール!$C:$C,シフトスケジュール!H:H,"該当なし",0,1)</f>
        <v>1㌧6902／吉田</v>
      </c>
      <c r="R17" s="29" t="s">
        <v>292</v>
      </c>
      <c r="S17" s="51" t="s">
        <v>254</v>
      </c>
      <c r="T17" s="52" t="s">
        <v>254</v>
      </c>
      <c r="U17" s="52" t="s">
        <v>254</v>
      </c>
      <c r="V17" s="52" t="s">
        <v>254</v>
      </c>
      <c r="W17" s="52" t="s">
        <v>254</v>
      </c>
      <c r="X17" s="52" t="s">
        <v>254</v>
      </c>
      <c r="Y17" s="52" t="s">
        <v>254</v>
      </c>
      <c r="Z17" s="52" t="s">
        <v>254</v>
      </c>
      <c r="AA17" s="52" t="s">
        <v>254</v>
      </c>
      <c r="AB17" s="52" t="s">
        <v>254</v>
      </c>
      <c r="AC17" s="52" t="s">
        <v>254</v>
      </c>
    </row>
    <row r="18" spans="1:29">
      <c r="A18" s="53">
        <f t="shared" si="0"/>
        <v>45489</v>
      </c>
      <c r="B18" s="41">
        <f t="shared" si="3"/>
        <v>45489</v>
      </c>
      <c r="C18" s="42" t="str">
        <f t="shared" si="7"/>
        <v>第3  火曜日</v>
      </c>
      <c r="D18" s="4" t="str">
        <f>_xlfn.XLOOKUP(B18,syukujitsu[国民の祝日・休日月日],syukujitsu[国民の祝日・休日名称],"",0,1)</f>
        <v/>
      </c>
      <c r="E18" s="43" t="s">
        <v>434</v>
      </c>
      <c r="G18" s="43" t="s">
        <v>254</v>
      </c>
      <c r="H18" s="43" t="s">
        <v>254</v>
      </c>
      <c r="I18" s="43" t="s">
        <v>254</v>
      </c>
      <c r="J18" s="43" t="s">
        <v>254</v>
      </c>
      <c r="K18" s="43" t="s">
        <v>254</v>
      </c>
      <c r="L18" s="43" t="s">
        <v>254</v>
      </c>
      <c r="M18" s="29" t="str">
        <f t="shared" ref="M18" si="17">M17</f>
        <v>2267PK／畑澤</v>
      </c>
      <c r="N18" s="29" t="str">
        <f t="shared" ref="N18" si="18">N17</f>
        <v>2025PK／菊地</v>
      </c>
      <c r="O18" s="29" t="str">
        <f t="shared" ref="O18" si="19">O17</f>
        <v>2618PK／片山</v>
      </c>
      <c r="P18" s="29" t="str">
        <f t="shared" ref="P18" si="20">P17</f>
        <v>5122PK／後藤</v>
      </c>
      <c r="Q18" s="29" t="str">
        <f t="shared" ref="Q18" si="21">Q17</f>
        <v>1㌧6902／吉田</v>
      </c>
      <c r="R18" s="29" t="str">
        <f t="shared" ref="R18" si="22">R17</f>
        <v>後藤</v>
      </c>
      <c r="S18" s="51" t="s">
        <v>254</v>
      </c>
      <c r="T18" s="52" t="s">
        <v>254</v>
      </c>
      <c r="U18" s="52" t="s">
        <v>254</v>
      </c>
      <c r="V18" s="52" t="s">
        <v>254</v>
      </c>
      <c r="W18" s="52" t="s">
        <v>254</v>
      </c>
      <c r="X18" s="52" t="s">
        <v>254</v>
      </c>
      <c r="Y18" s="52" t="s">
        <v>254</v>
      </c>
      <c r="Z18" s="52" t="s">
        <v>254</v>
      </c>
      <c r="AA18" s="52" t="s">
        <v>254</v>
      </c>
      <c r="AB18" s="52" t="s">
        <v>254</v>
      </c>
      <c r="AC18" s="52" t="s">
        <v>254</v>
      </c>
    </row>
    <row r="19" spans="1:29">
      <c r="A19" s="53">
        <f t="shared" si="0"/>
        <v>45490</v>
      </c>
      <c r="B19" s="41">
        <f t="shared" si="3"/>
        <v>45490</v>
      </c>
      <c r="C19" s="42" t="str">
        <f t="shared" si="7"/>
        <v>第3  水曜日</v>
      </c>
      <c r="D19" s="4" t="str">
        <f>_xlfn.XLOOKUP(B19,syukujitsu[国民の祝日・休日月日],syukujitsu[国民の祝日・休日名称],"",0,1)</f>
        <v/>
      </c>
      <c r="E19" s="43" t="s">
        <v>435</v>
      </c>
      <c r="F19" s="43" t="s">
        <v>436</v>
      </c>
      <c r="G19" s="43" t="s">
        <v>254</v>
      </c>
      <c r="H19" s="43" t="s">
        <v>254</v>
      </c>
      <c r="I19" s="43" t="s">
        <v>254</v>
      </c>
      <c r="J19" s="43" t="s">
        <v>254</v>
      </c>
      <c r="K19" s="43" t="s">
        <v>254</v>
      </c>
      <c r="L19" s="43" t="s">
        <v>254</v>
      </c>
      <c r="M19" s="29" t="str">
        <f t="shared" ref="M19:R19" si="23">M17</f>
        <v>2267PK／畑澤</v>
      </c>
      <c r="N19" s="29" t="str">
        <f t="shared" si="23"/>
        <v>2025PK／菊地</v>
      </c>
      <c r="O19" s="29" t="str">
        <f t="shared" si="23"/>
        <v>2618PK／片山</v>
      </c>
      <c r="P19" s="29" t="str">
        <f t="shared" si="23"/>
        <v>5122PK／後藤</v>
      </c>
      <c r="Q19" s="29" t="str">
        <f t="shared" si="23"/>
        <v>1㌧6902／吉田</v>
      </c>
      <c r="R19" s="29" t="str">
        <f t="shared" si="23"/>
        <v>後藤</v>
      </c>
      <c r="S19" s="51" t="s">
        <v>254</v>
      </c>
      <c r="T19" s="52" t="s">
        <v>254</v>
      </c>
      <c r="U19" s="52" t="s">
        <v>254</v>
      </c>
      <c r="V19" s="52" t="s">
        <v>254</v>
      </c>
      <c r="W19" s="52" t="s">
        <v>254</v>
      </c>
      <c r="X19" s="52" t="s">
        <v>254</v>
      </c>
      <c r="Y19" s="52" t="s">
        <v>254</v>
      </c>
      <c r="Z19" s="52" t="s">
        <v>254</v>
      </c>
      <c r="AA19" s="52" t="s">
        <v>254</v>
      </c>
      <c r="AB19" s="52" t="s">
        <v>254</v>
      </c>
      <c r="AC19" s="52" t="s">
        <v>254</v>
      </c>
    </row>
    <row r="20" spans="1:29">
      <c r="A20" s="53">
        <f t="shared" si="0"/>
        <v>45491</v>
      </c>
      <c r="B20" s="41">
        <f t="shared" si="3"/>
        <v>45491</v>
      </c>
      <c r="C20" s="42" t="str">
        <f t="shared" si="7"/>
        <v>第3  木曜日</v>
      </c>
      <c r="D20" s="4" t="str">
        <f>_xlfn.XLOOKUP(B20,syukujitsu[国民の祝日・休日月日],syukujitsu[国民の祝日・休日名称],"",0,1)</f>
        <v/>
      </c>
      <c r="E20" s="43" t="s">
        <v>254</v>
      </c>
      <c r="F20" s="43" t="s">
        <v>254</v>
      </c>
      <c r="G20" s="43" t="s">
        <v>254</v>
      </c>
      <c r="H20" s="43" t="s">
        <v>254</v>
      </c>
      <c r="I20" s="43" t="s">
        <v>254</v>
      </c>
      <c r="J20" s="43" t="s">
        <v>254</v>
      </c>
      <c r="K20" s="43" t="s">
        <v>254</v>
      </c>
      <c r="L20" s="43" t="s">
        <v>254</v>
      </c>
      <c r="M20" s="29" t="str">
        <f t="shared" ref="M20:R20" si="24">M17</f>
        <v>2267PK／畑澤</v>
      </c>
      <c r="N20" s="29" t="str">
        <f t="shared" si="24"/>
        <v>2025PK／菊地</v>
      </c>
      <c r="O20" s="29" t="str">
        <f t="shared" si="24"/>
        <v>2618PK／片山</v>
      </c>
      <c r="P20" s="29" t="str">
        <f t="shared" si="24"/>
        <v>5122PK／後藤</v>
      </c>
      <c r="Q20" s="29" t="str">
        <f t="shared" si="24"/>
        <v>1㌧6902／吉田</v>
      </c>
      <c r="R20" s="29" t="str">
        <f t="shared" si="24"/>
        <v>後藤</v>
      </c>
      <c r="S20" s="51" t="s">
        <v>254</v>
      </c>
      <c r="T20" s="52" t="s">
        <v>254</v>
      </c>
      <c r="U20" s="52" t="s">
        <v>254</v>
      </c>
      <c r="V20" s="52" t="s">
        <v>254</v>
      </c>
      <c r="W20" s="52" t="s">
        <v>254</v>
      </c>
      <c r="X20" s="52" t="s">
        <v>254</v>
      </c>
      <c r="Y20" s="52" t="s">
        <v>254</v>
      </c>
      <c r="Z20" s="52" t="s">
        <v>254</v>
      </c>
      <c r="AA20" s="52" t="s">
        <v>254</v>
      </c>
      <c r="AB20" s="52" t="s">
        <v>254</v>
      </c>
      <c r="AC20" s="52" t="s">
        <v>254</v>
      </c>
    </row>
    <row r="21" spans="1:29">
      <c r="A21" s="53">
        <f t="shared" si="0"/>
        <v>45492</v>
      </c>
      <c r="B21" s="41">
        <f t="shared" si="3"/>
        <v>45492</v>
      </c>
      <c r="C21" s="42" t="str">
        <f t="shared" si="7"/>
        <v>第3  金曜日</v>
      </c>
      <c r="D21" s="4" t="str">
        <f>_xlfn.XLOOKUP(B21,syukujitsu[国民の祝日・休日月日],syukujitsu[国民の祝日・休日名称],"",0,1)</f>
        <v/>
      </c>
      <c r="E21" s="43" t="s">
        <v>431</v>
      </c>
      <c r="F21" s="43" t="s">
        <v>254</v>
      </c>
      <c r="G21" s="43" t="s">
        <v>254</v>
      </c>
      <c r="H21" s="43" t="s">
        <v>254</v>
      </c>
      <c r="I21" s="43" t="s">
        <v>254</v>
      </c>
      <c r="J21" s="43" t="s">
        <v>254</v>
      </c>
      <c r="K21" s="43" t="s">
        <v>254</v>
      </c>
      <c r="L21" s="43" t="s">
        <v>254</v>
      </c>
      <c r="M21" s="29" t="str">
        <f t="shared" ref="M21:R21" si="25">M17</f>
        <v>2267PK／畑澤</v>
      </c>
      <c r="N21" s="29" t="str">
        <f t="shared" si="25"/>
        <v>2025PK／菊地</v>
      </c>
      <c r="O21" s="29" t="str">
        <f t="shared" si="25"/>
        <v>2618PK／片山</v>
      </c>
      <c r="P21" s="29" t="str">
        <f t="shared" si="25"/>
        <v>5122PK／後藤</v>
      </c>
      <c r="Q21" s="29" t="str">
        <f t="shared" si="25"/>
        <v>1㌧6902／吉田</v>
      </c>
      <c r="R21" s="29" t="str">
        <f t="shared" si="25"/>
        <v>後藤</v>
      </c>
      <c r="S21" s="51" t="s">
        <v>254</v>
      </c>
      <c r="T21" s="52" t="s">
        <v>254</v>
      </c>
      <c r="U21" s="52" t="s">
        <v>254</v>
      </c>
      <c r="V21" s="52" t="s">
        <v>254</v>
      </c>
      <c r="W21" s="52" t="s">
        <v>254</v>
      </c>
      <c r="X21" s="52" t="s">
        <v>254</v>
      </c>
      <c r="Y21" s="52" t="s">
        <v>254</v>
      </c>
      <c r="Z21" s="52" t="s">
        <v>254</v>
      </c>
      <c r="AA21" s="52" t="s">
        <v>254</v>
      </c>
      <c r="AB21" s="52" t="s">
        <v>254</v>
      </c>
      <c r="AC21" s="52" t="s">
        <v>254</v>
      </c>
    </row>
    <row r="22" spans="1:29">
      <c r="A22" s="53">
        <f t="shared" si="0"/>
        <v>45493</v>
      </c>
      <c r="B22" s="41">
        <f t="shared" si="3"/>
        <v>45493</v>
      </c>
      <c r="C22" s="42" t="str">
        <f t="shared" si="7"/>
        <v>第3  土曜日</v>
      </c>
      <c r="D22" s="4" t="str">
        <f>_xlfn.XLOOKUP(B22,syukujitsu[国民の祝日・休日月日],syukujitsu[国民の祝日・休日名称],"",0,1)</f>
        <v/>
      </c>
      <c r="E22" s="43" t="s">
        <v>254</v>
      </c>
      <c r="F22" s="43" t="s">
        <v>254</v>
      </c>
      <c r="G22" s="43" t="s">
        <v>254</v>
      </c>
      <c r="H22" s="43" t="s">
        <v>254</v>
      </c>
      <c r="I22" s="43" t="s">
        <v>254</v>
      </c>
      <c r="J22" s="43" t="s">
        <v>254</v>
      </c>
      <c r="K22" s="43" t="s">
        <v>254</v>
      </c>
      <c r="L22" s="43" t="s">
        <v>254</v>
      </c>
      <c r="S22" s="51" t="s">
        <v>254</v>
      </c>
      <c r="T22" s="52" t="s">
        <v>254</v>
      </c>
      <c r="U22" s="52" t="s">
        <v>254</v>
      </c>
      <c r="V22" s="52" t="s">
        <v>254</v>
      </c>
      <c r="W22" s="52" t="s">
        <v>254</v>
      </c>
      <c r="X22" s="52" t="s">
        <v>254</v>
      </c>
      <c r="Y22" s="52" t="s">
        <v>254</v>
      </c>
      <c r="Z22" s="52" t="s">
        <v>254</v>
      </c>
      <c r="AA22" s="52" t="s">
        <v>254</v>
      </c>
      <c r="AB22" s="52" t="s">
        <v>254</v>
      </c>
      <c r="AC22" s="52" t="s">
        <v>254</v>
      </c>
    </row>
    <row r="23" spans="1:29">
      <c r="A23" s="53">
        <f t="shared" si="0"/>
        <v>45494</v>
      </c>
      <c r="B23" s="41">
        <f t="shared" si="3"/>
        <v>45494</v>
      </c>
      <c r="C23" s="42" t="str">
        <f t="shared" si="7"/>
        <v>第3  日曜日</v>
      </c>
      <c r="D23" s="4" t="str">
        <f>_xlfn.XLOOKUP(B23,syukujitsu[国民の祝日・休日月日],syukujitsu[国民の祝日・休日名称],"",0,1)</f>
        <v/>
      </c>
      <c r="E23" s="43" t="s">
        <v>254</v>
      </c>
      <c r="F23" s="43" t="s">
        <v>254</v>
      </c>
      <c r="G23" s="43" t="s">
        <v>254</v>
      </c>
      <c r="H23" s="43" t="s">
        <v>254</v>
      </c>
      <c r="I23" s="43" t="s">
        <v>254</v>
      </c>
      <c r="J23" s="43" t="s">
        <v>254</v>
      </c>
      <c r="K23" s="43" t="s">
        <v>254</v>
      </c>
      <c r="L23" s="43" t="s">
        <v>254</v>
      </c>
      <c r="M23" s="39"/>
      <c r="S23" s="51" t="s">
        <v>254</v>
      </c>
      <c r="T23" s="52" t="s">
        <v>254</v>
      </c>
      <c r="U23" s="52" t="s">
        <v>254</v>
      </c>
      <c r="V23" s="52" t="s">
        <v>254</v>
      </c>
      <c r="W23" s="52" t="s">
        <v>254</v>
      </c>
      <c r="X23" s="52" t="s">
        <v>254</v>
      </c>
      <c r="Y23" s="52" t="s">
        <v>254</v>
      </c>
      <c r="Z23" s="52" t="s">
        <v>254</v>
      </c>
      <c r="AA23" s="52" t="s">
        <v>254</v>
      </c>
      <c r="AB23" s="52" t="s">
        <v>254</v>
      </c>
      <c r="AC23" s="52" t="s">
        <v>254</v>
      </c>
    </row>
    <row r="24" spans="1:29">
      <c r="A24" s="53">
        <f t="shared" si="0"/>
        <v>45495</v>
      </c>
      <c r="B24" s="41">
        <f t="shared" si="3"/>
        <v>45495</v>
      </c>
      <c r="C24" s="42" t="str">
        <f t="shared" si="7"/>
        <v>第4  月曜日</v>
      </c>
      <c r="D24" s="4" t="str">
        <f>_xlfn.XLOOKUP(B24,syukujitsu[国民の祝日・休日月日],syukujitsu[国民の祝日・休日名称],"",0,1)</f>
        <v/>
      </c>
      <c r="E24" s="43" t="s">
        <v>254</v>
      </c>
      <c r="F24" s="43" t="s">
        <v>254</v>
      </c>
      <c r="G24" s="43" t="s">
        <v>254</v>
      </c>
      <c r="H24" s="43" t="s">
        <v>254</v>
      </c>
      <c r="I24" s="43" t="s">
        <v>254</v>
      </c>
      <c r="J24" s="43" t="s">
        <v>254</v>
      </c>
      <c r="K24" s="43" t="s">
        <v>254</v>
      </c>
      <c r="L24" s="43" t="s">
        <v>254</v>
      </c>
      <c r="M24" s="29" t="str">
        <f>_xlfn.XLOOKUP($B24,シフトスケジュール!$C:$C,シフトスケジュール!D:D,"該当なし",0,1)</f>
        <v>2267PK／後藤</v>
      </c>
      <c r="N24" s="29" t="str">
        <f>_xlfn.XLOOKUP($B24,シフトスケジュール!$C:$C,シフトスケジュール!E:E,"該当なし",0,1)</f>
        <v>2025PK／畑澤</v>
      </c>
      <c r="O24" s="29" t="str">
        <f>_xlfn.XLOOKUP($B24,シフトスケジュール!$C:$C,シフトスケジュール!F:F,"該当なし",0,1)</f>
        <v>2618PK／菊地</v>
      </c>
      <c r="P24" s="29" t="str">
        <f>_xlfn.XLOOKUP($B24,シフトスケジュール!$C:$C,シフトスケジュール!G:G,"該当なし",0,1)</f>
        <v>5122PK／片山</v>
      </c>
      <c r="Q24" s="29" t="str">
        <f>_xlfn.XLOOKUP($B24,シフトスケジュール!$C:$C,シフトスケジュール!H:H,"該当なし",0,1)</f>
        <v>1㌧6902／吉田</v>
      </c>
      <c r="R24" s="29" t="s">
        <v>650</v>
      </c>
      <c r="S24" s="51" t="s">
        <v>254</v>
      </c>
      <c r="T24" s="52" t="s">
        <v>254</v>
      </c>
      <c r="U24" s="52" t="s">
        <v>254</v>
      </c>
      <c r="V24" s="52" t="s">
        <v>254</v>
      </c>
      <c r="W24" s="52" t="s">
        <v>254</v>
      </c>
      <c r="X24" s="52" t="s">
        <v>254</v>
      </c>
      <c r="Y24" s="52" t="s">
        <v>254</v>
      </c>
      <c r="Z24" s="52" t="s">
        <v>254</v>
      </c>
      <c r="AA24" s="52" t="s">
        <v>254</v>
      </c>
      <c r="AB24" s="52" t="s">
        <v>254</v>
      </c>
      <c r="AC24" s="52" t="s">
        <v>254</v>
      </c>
    </row>
    <row r="25" spans="1:29">
      <c r="A25" s="53">
        <f t="shared" si="0"/>
        <v>45496</v>
      </c>
      <c r="B25" s="41">
        <f t="shared" si="3"/>
        <v>45496</v>
      </c>
      <c r="C25" s="42" t="str">
        <f t="shared" si="7"/>
        <v>第4  火曜日</v>
      </c>
      <c r="D25" s="4" t="str">
        <f>_xlfn.XLOOKUP(B25,syukujitsu[国民の祝日・休日月日],syukujitsu[国民の祝日・休日名称],"",0,1)</f>
        <v/>
      </c>
      <c r="E25" s="43" t="s">
        <v>432</v>
      </c>
      <c r="F25" s="43" t="s">
        <v>254</v>
      </c>
      <c r="G25" s="43" t="s">
        <v>254</v>
      </c>
      <c r="H25" s="43" t="s">
        <v>254</v>
      </c>
      <c r="I25" s="43" t="s">
        <v>254</v>
      </c>
      <c r="J25" s="43" t="s">
        <v>254</v>
      </c>
      <c r="K25" s="43" t="s">
        <v>254</v>
      </c>
      <c r="L25" s="43" t="s">
        <v>254</v>
      </c>
      <c r="M25" s="29" t="str">
        <f t="shared" ref="M25" si="26">M24</f>
        <v>2267PK／後藤</v>
      </c>
      <c r="N25" s="29" t="str">
        <f t="shared" ref="N25" si="27">N24</f>
        <v>2025PK／畑澤</v>
      </c>
      <c r="O25" s="29" t="str">
        <f t="shared" ref="O25" si="28">O24</f>
        <v>2618PK／菊地</v>
      </c>
      <c r="P25" s="29" t="str">
        <f t="shared" ref="P25" si="29">P24</f>
        <v>5122PK／片山</v>
      </c>
      <c r="Q25" s="29" t="str">
        <f t="shared" ref="Q25" si="30">Q24</f>
        <v>1㌧6902／吉田</v>
      </c>
      <c r="R25" s="29" t="str">
        <f t="shared" ref="R25" si="31">R24</f>
        <v>片山</v>
      </c>
      <c r="S25" s="51" t="s">
        <v>254</v>
      </c>
      <c r="T25" s="52" t="s">
        <v>254</v>
      </c>
      <c r="U25" s="52" t="s">
        <v>254</v>
      </c>
      <c r="V25" s="52" t="s">
        <v>254</v>
      </c>
      <c r="W25" s="52" t="s">
        <v>254</v>
      </c>
      <c r="X25" s="52" t="s">
        <v>254</v>
      </c>
      <c r="Y25" s="52" t="s">
        <v>254</v>
      </c>
      <c r="Z25" s="52" t="s">
        <v>254</v>
      </c>
      <c r="AA25" s="52" t="s">
        <v>254</v>
      </c>
      <c r="AB25" s="52" t="s">
        <v>254</v>
      </c>
      <c r="AC25" s="52" t="s">
        <v>254</v>
      </c>
    </row>
    <row r="26" spans="1:29">
      <c r="A26" s="53">
        <f t="shared" si="0"/>
        <v>45497</v>
      </c>
      <c r="B26" s="41">
        <f t="shared" si="3"/>
        <v>45497</v>
      </c>
      <c r="C26" s="42" t="str">
        <f t="shared" si="7"/>
        <v>第4  水曜日</v>
      </c>
      <c r="D26" s="4" t="str">
        <f>_xlfn.XLOOKUP(B26,syukujitsu[国民の祝日・休日月日],syukujitsu[国民の祝日・休日名称],"",0,1)</f>
        <v/>
      </c>
      <c r="E26" s="43" t="s">
        <v>437</v>
      </c>
      <c r="F26" s="43" t="s">
        <v>254</v>
      </c>
      <c r="G26" s="43" t="s">
        <v>254</v>
      </c>
      <c r="H26" s="43" t="s">
        <v>254</v>
      </c>
      <c r="I26" s="43" t="s">
        <v>254</v>
      </c>
      <c r="J26" s="43" t="s">
        <v>254</v>
      </c>
      <c r="K26" s="43" t="s">
        <v>254</v>
      </c>
      <c r="L26" s="43" t="s">
        <v>254</v>
      </c>
      <c r="M26" s="29" t="str">
        <f t="shared" ref="M26:R26" si="32">M24</f>
        <v>2267PK／後藤</v>
      </c>
      <c r="N26" s="29" t="str">
        <f t="shared" si="32"/>
        <v>2025PK／畑澤</v>
      </c>
      <c r="O26" s="29" t="str">
        <f t="shared" si="32"/>
        <v>2618PK／菊地</v>
      </c>
      <c r="P26" s="29" t="str">
        <f t="shared" si="32"/>
        <v>5122PK／片山</v>
      </c>
      <c r="Q26" s="29" t="str">
        <f t="shared" si="32"/>
        <v>1㌧6902／吉田</v>
      </c>
      <c r="R26" s="29" t="str">
        <f t="shared" si="32"/>
        <v>片山</v>
      </c>
      <c r="S26" s="51" t="s">
        <v>254</v>
      </c>
      <c r="T26" s="52" t="s">
        <v>254</v>
      </c>
      <c r="U26" s="52" t="s">
        <v>254</v>
      </c>
      <c r="V26" s="52" t="s">
        <v>254</v>
      </c>
      <c r="W26" s="52" t="s">
        <v>254</v>
      </c>
      <c r="X26" s="52" t="s">
        <v>254</v>
      </c>
      <c r="Y26" s="52" t="s">
        <v>254</v>
      </c>
      <c r="Z26" s="52" t="s">
        <v>254</v>
      </c>
      <c r="AA26" s="52" t="s">
        <v>254</v>
      </c>
      <c r="AB26" s="52" t="s">
        <v>254</v>
      </c>
      <c r="AC26" s="52" t="s">
        <v>254</v>
      </c>
    </row>
    <row r="27" spans="1:29">
      <c r="A27" s="53">
        <f t="shared" si="0"/>
        <v>45498</v>
      </c>
      <c r="B27" s="41">
        <f t="shared" si="3"/>
        <v>45498</v>
      </c>
      <c r="C27" s="42" t="str">
        <f t="shared" si="7"/>
        <v>第4  木曜日</v>
      </c>
      <c r="D27" s="4" t="str">
        <f>_xlfn.XLOOKUP(B27,syukujitsu[国民の祝日・休日月日],syukujitsu[国民の祝日・休日名称],"",0,1)</f>
        <v/>
      </c>
      <c r="E27" s="43" t="s">
        <v>254</v>
      </c>
      <c r="F27" s="43" t="s">
        <v>254</v>
      </c>
      <c r="H27" s="43" t="s">
        <v>254</v>
      </c>
      <c r="I27" s="43" t="s">
        <v>254</v>
      </c>
      <c r="J27" s="43" t="s">
        <v>254</v>
      </c>
      <c r="K27" s="43" t="s">
        <v>254</v>
      </c>
      <c r="L27" s="43" t="s">
        <v>254</v>
      </c>
      <c r="M27" s="29" t="str">
        <f t="shared" ref="M27:R27" si="33">M24</f>
        <v>2267PK／後藤</v>
      </c>
      <c r="N27" s="29" t="str">
        <f t="shared" si="33"/>
        <v>2025PK／畑澤</v>
      </c>
      <c r="O27" s="29" t="str">
        <f t="shared" si="33"/>
        <v>2618PK／菊地</v>
      </c>
      <c r="P27" s="29" t="str">
        <f t="shared" si="33"/>
        <v>5122PK／片山</v>
      </c>
      <c r="Q27" s="29" t="str">
        <f t="shared" si="33"/>
        <v>1㌧6902／吉田</v>
      </c>
      <c r="R27" s="29" t="str">
        <f t="shared" si="33"/>
        <v>片山</v>
      </c>
      <c r="S27" s="51" t="s">
        <v>254</v>
      </c>
      <c r="T27" s="52" t="s">
        <v>254</v>
      </c>
      <c r="U27" s="52" t="s">
        <v>254</v>
      </c>
      <c r="V27" s="52" t="s">
        <v>254</v>
      </c>
      <c r="W27" s="52" t="s">
        <v>254</v>
      </c>
      <c r="X27" s="52" t="s">
        <v>254</v>
      </c>
      <c r="Y27" s="52" t="s">
        <v>254</v>
      </c>
      <c r="Z27" s="52" t="s">
        <v>254</v>
      </c>
      <c r="AA27" s="52" t="s">
        <v>254</v>
      </c>
      <c r="AB27" s="52" t="s">
        <v>254</v>
      </c>
      <c r="AC27" s="52" t="s">
        <v>254</v>
      </c>
    </row>
    <row r="28" spans="1:29">
      <c r="A28" s="53">
        <f t="shared" si="0"/>
        <v>45499</v>
      </c>
      <c r="B28" s="41">
        <f t="shared" si="3"/>
        <v>45499</v>
      </c>
      <c r="C28" s="42" t="str">
        <f t="shared" si="7"/>
        <v>第4  金曜日</v>
      </c>
      <c r="D28" s="4" t="str">
        <f>_xlfn.XLOOKUP(B28,syukujitsu[国民の祝日・休日月日],syukujitsu[国民の祝日・休日名称],"",0,1)</f>
        <v/>
      </c>
      <c r="E28" s="43" t="s">
        <v>431</v>
      </c>
      <c r="F28" s="43" t="s">
        <v>439</v>
      </c>
      <c r="H28" s="43" t="s">
        <v>254</v>
      </c>
      <c r="I28" s="43" t="s">
        <v>254</v>
      </c>
      <c r="J28" s="43" t="s">
        <v>254</v>
      </c>
      <c r="K28" s="43" t="s">
        <v>254</v>
      </c>
      <c r="L28" s="43" t="s">
        <v>254</v>
      </c>
      <c r="M28" s="29" t="str">
        <f t="shared" ref="M28:R28" si="34">M24</f>
        <v>2267PK／後藤</v>
      </c>
      <c r="N28" s="29" t="str">
        <f t="shared" si="34"/>
        <v>2025PK／畑澤</v>
      </c>
      <c r="O28" s="29" t="str">
        <f t="shared" si="34"/>
        <v>2618PK／菊地</v>
      </c>
      <c r="P28" s="29" t="str">
        <f t="shared" si="34"/>
        <v>5122PK／片山</v>
      </c>
      <c r="Q28" s="29" t="str">
        <f t="shared" si="34"/>
        <v>1㌧6902／吉田</v>
      </c>
      <c r="R28" s="29" t="str">
        <f t="shared" si="34"/>
        <v>片山</v>
      </c>
      <c r="S28" s="51" t="s">
        <v>254</v>
      </c>
      <c r="T28" s="52" t="s">
        <v>254</v>
      </c>
      <c r="U28" s="52" t="s">
        <v>254</v>
      </c>
      <c r="V28" s="52" t="s">
        <v>254</v>
      </c>
      <c r="W28" s="52" t="s">
        <v>254</v>
      </c>
      <c r="X28" s="52" t="s">
        <v>254</v>
      </c>
      <c r="Y28" s="52" t="s">
        <v>254</v>
      </c>
      <c r="Z28" s="52" t="s">
        <v>254</v>
      </c>
      <c r="AA28" s="52" t="s">
        <v>254</v>
      </c>
      <c r="AB28" s="52" t="s">
        <v>254</v>
      </c>
      <c r="AC28" s="52" t="s">
        <v>254</v>
      </c>
    </row>
    <row r="29" spans="1:29">
      <c r="A29" s="53">
        <f t="shared" si="0"/>
        <v>45500</v>
      </c>
      <c r="B29" s="41">
        <f t="shared" si="3"/>
        <v>45500</v>
      </c>
      <c r="C29" s="42" t="str">
        <f t="shared" si="7"/>
        <v>第4  土曜日</v>
      </c>
      <c r="D29" s="4" t="str">
        <f>_xlfn.XLOOKUP(B29,syukujitsu[国民の祝日・休日月日],syukujitsu[国民の祝日・休日名称],"",0,1)</f>
        <v/>
      </c>
      <c r="E29" s="43" t="s">
        <v>438</v>
      </c>
      <c r="F29" s="43" t="s">
        <v>254</v>
      </c>
      <c r="G29" s="43" t="s">
        <v>254</v>
      </c>
      <c r="H29" s="43" t="s">
        <v>254</v>
      </c>
      <c r="I29" s="43" t="s">
        <v>254</v>
      </c>
      <c r="J29" s="43" t="s">
        <v>254</v>
      </c>
      <c r="K29" s="43" t="s">
        <v>254</v>
      </c>
      <c r="L29" s="43" t="s">
        <v>254</v>
      </c>
      <c r="S29" s="51" t="s">
        <v>254</v>
      </c>
      <c r="T29" s="52" t="s">
        <v>254</v>
      </c>
      <c r="U29" s="52" t="s">
        <v>254</v>
      </c>
      <c r="V29" s="52" t="s">
        <v>254</v>
      </c>
      <c r="W29" s="52" t="s">
        <v>254</v>
      </c>
      <c r="X29" s="52" t="s">
        <v>254</v>
      </c>
      <c r="Y29" s="52" t="s">
        <v>254</v>
      </c>
      <c r="Z29" s="52" t="s">
        <v>254</v>
      </c>
      <c r="AA29" s="52" t="s">
        <v>254</v>
      </c>
      <c r="AB29" s="52" t="s">
        <v>254</v>
      </c>
      <c r="AC29" s="52" t="s">
        <v>254</v>
      </c>
    </row>
    <row r="30" spans="1:29">
      <c r="A30" s="53">
        <f t="shared" si="0"/>
        <v>45501</v>
      </c>
      <c r="B30" s="41">
        <f t="shared" si="3"/>
        <v>45501</v>
      </c>
      <c r="C30" s="42" t="str">
        <f t="shared" si="7"/>
        <v>第4  日曜日</v>
      </c>
      <c r="D30" s="4" t="str">
        <f>_xlfn.XLOOKUP(B30,syukujitsu[国民の祝日・休日月日],syukujitsu[国民の祝日・休日名称],"",0,1)</f>
        <v/>
      </c>
      <c r="E30" s="43" t="s">
        <v>254</v>
      </c>
      <c r="F30" s="43" t="s">
        <v>254</v>
      </c>
      <c r="G30" s="43" t="s">
        <v>254</v>
      </c>
      <c r="H30" s="43" t="s">
        <v>254</v>
      </c>
      <c r="I30" s="43" t="s">
        <v>254</v>
      </c>
      <c r="J30" s="43" t="s">
        <v>254</v>
      </c>
      <c r="K30" s="43" t="s">
        <v>254</v>
      </c>
      <c r="L30" s="43" t="s">
        <v>254</v>
      </c>
      <c r="M30" s="39"/>
      <c r="S30" s="51" t="s">
        <v>254</v>
      </c>
      <c r="T30" s="52" t="s">
        <v>254</v>
      </c>
      <c r="U30" s="52" t="s">
        <v>254</v>
      </c>
      <c r="V30" s="52" t="s">
        <v>254</v>
      </c>
      <c r="W30" s="52" t="s">
        <v>254</v>
      </c>
      <c r="X30" s="52" t="s">
        <v>254</v>
      </c>
      <c r="Y30" s="52" t="s">
        <v>254</v>
      </c>
      <c r="Z30" s="52" t="s">
        <v>254</v>
      </c>
      <c r="AA30" s="52" t="s">
        <v>254</v>
      </c>
      <c r="AB30" s="52" t="s">
        <v>254</v>
      </c>
      <c r="AC30" s="52" t="s">
        <v>254</v>
      </c>
    </row>
    <row r="31" spans="1:29">
      <c r="A31" s="53">
        <f t="shared" si="0"/>
        <v>45502</v>
      </c>
      <c r="B31" s="41">
        <f t="shared" si="3"/>
        <v>45502</v>
      </c>
      <c r="C31" s="42" t="str">
        <f t="shared" si="7"/>
        <v>第5  月曜日</v>
      </c>
      <c r="D31" s="4" t="str">
        <f>_xlfn.XLOOKUP(B31,syukujitsu[国民の祝日・休日月日],syukujitsu[国民の祝日・休日名称],"",0,1)</f>
        <v/>
      </c>
      <c r="E31" s="43" t="s">
        <v>447</v>
      </c>
      <c r="F31" s="43" t="s">
        <v>254</v>
      </c>
      <c r="G31" s="43" t="s">
        <v>254</v>
      </c>
      <c r="H31" s="43" t="s">
        <v>254</v>
      </c>
      <c r="I31" s="43" t="s">
        <v>254</v>
      </c>
      <c r="J31" s="43" t="s">
        <v>254</v>
      </c>
      <c r="K31" s="43" t="s">
        <v>254</v>
      </c>
      <c r="L31" s="43" t="s">
        <v>254</v>
      </c>
      <c r="M31" s="29" t="str">
        <f>_xlfn.XLOOKUP($B31,シフトスケジュール!$C:$C,シフトスケジュール!D:D,"該当なし",0,1)</f>
        <v>2025PK／片山</v>
      </c>
      <c r="N31" s="29" t="str">
        <f>_xlfn.XLOOKUP($B31,シフトスケジュール!$C:$C,シフトスケジュール!E:E,"該当なし",0,1)</f>
        <v>2267PK／後藤</v>
      </c>
      <c r="O31" s="29" t="str">
        <f>_xlfn.XLOOKUP($B31,シフトスケジュール!$C:$C,シフトスケジュール!F:F,"該当なし",0,1)</f>
        <v>2618PK／畑澤</v>
      </c>
      <c r="P31" s="29" t="str">
        <f>_xlfn.XLOOKUP($B31,シフトスケジュール!$C:$C,シフトスケジュール!G:G,"該当なし",0,1)</f>
        <v>5122PK／菊地</v>
      </c>
      <c r="Q31" s="29" t="str">
        <f>_xlfn.XLOOKUP($B31,シフトスケジュール!$C:$C,シフトスケジュール!H:H,"該当なし",0,1)</f>
        <v>1㌧6902／吉田</v>
      </c>
      <c r="R31" s="29" t="s">
        <v>354</v>
      </c>
      <c r="S31" s="51" t="s">
        <v>254</v>
      </c>
      <c r="T31" s="52" t="s">
        <v>254</v>
      </c>
      <c r="U31" s="52" t="s">
        <v>254</v>
      </c>
      <c r="V31" s="52" t="s">
        <v>254</v>
      </c>
      <c r="W31" s="52" t="s">
        <v>254</v>
      </c>
      <c r="X31" s="52" t="s">
        <v>254</v>
      </c>
      <c r="Y31" s="52" t="s">
        <v>254</v>
      </c>
      <c r="Z31" s="52" t="s">
        <v>254</v>
      </c>
      <c r="AA31" s="52" t="s">
        <v>254</v>
      </c>
      <c r="AB31" s="52" t="s">
        <v>254</v>
      </c>
      <c r="AC31" s="52" t="s">
        <v>254</v>
      </c>
    </row>
    <row r="32" spans="1:29">
      <c r="A32" s="53">
        <f t="shared" si="0"/>
        <v>45503</v>
      </c>
      <c r="B32" s="41">
        <f t="shared" si="3"/>
        <v>45503</v>
      </c>
      <c r="C32" s="42" t="str">
        <f t="shared" si="7"/>
        <v>第5  火曜日</v>
      </c>
      <c r="D32" s="4" t="str">
        <f>_xlfn.XLOOKUP(B32,syukujitsu[国民の祝日・休日月日],syukujitsu[国民の祝日・休日名称],"",0,1)</f>
        <v/>
      </c>
      <c r="E32" s="43" t="s">
        <v>441</v>
      </c>
      <c r="F32" s="43" t="s">
        <v>440</v>
      </c>
      <c r="G32" s="43" t="s">
        <v>254</v>
      </c>
      <c r="H32" s="43" t="s">
        <v>254</v>
      </c>
      <c r="I32" s="43" t="s">
        <v>254</v>
      </c>
      <c r="J32" s="43" t="s">
        <v>254</v>
      </c>
      <c r="K32" s="43" t="s">
        <v>254</v>
      </c>
      <c r="L32" s="43" t="s">
        <v>254</v>
      </c>
      <c r="M32" s="29" t="str">
        <f t="shared" ref="M32" si="35">M31</f>
        <v>2025PK／片山</v>
      </c>
      <c r="N32" s="29" t="str">
        <f t="shared" ref="N32" si="36">N31</f>
        <v>2267PK／後藤</v>
      </c>
      <c r="O32" s="29" t="str">
        <f t="shared" ref="O32" si="37">O31</f>
        <v>2618PK／畑澤</v>
      </c>
      <c r="P32" s="29" t="str">
        <f t="shared" ref="P32" si="38">P31</f>
        <v>5122PK／菊地</v>
      </c>
      <c r="Q32" s="29" t="str">
        <f t="shared" ref="Q32" si="39">Q31</f>
        <v>1㌧6902／吉田</v>
      </c>
      <c r="R32" s="29" t="str">
        <f t="shared" ref="R32" si="40">R31</f>
        <v>菊地</v>
      </c>
      <c r="S32" s="51" t="s">
        <v>254</v>
      </c>
      <c r="T32" s="52" t="s">
        <v>254</v>
      </c>
      <c r="U32" s="52" t="s">
        <v>254</v>
      </c>
      <c r="V32" s="52" t="s">
        <v>254</v>
      </c>
      <c r="W32" s="52" t="s">
        <v>254</v>
      </c>
      <c r="X32" s="52" t="s">
        <v>254</v>
      </c>
      <c r="Y32" s="52" t="s">
        <v>254</v>
      </c>
      <c r="Z32" s="52" t="s">
        <v>254</v>
      </c>
      <c r="AA32" s="52" t="s">
        <v>254</v>
      </c>
      <c r="AB32" s="52" t="s">
        <v>254</v>
      </c>
      <c r="AC32" s="52" t="s">
        <v>254</v>
      </c>
    </row>
    <row r="33" spans="1:29">
      <c r="A33" s="53">
        <f t="shared" si="0"/>
        <v>45504</v>
      </c>
      <c r="B33" s="41">
        <f t="shared" si="3"/>
        <v>45504</v>
      </c>
      <c r="C33" s="42" t="str">
        <f t="shared" si="7"/>
        <v>第5  水曜日</v>
      </c>
      <c r="D33" s="4" t="str">
        <f>_xlfn.XLOOKUP(B33,syukujitsu[国民の祝日・休日月日],syukujitsu[国民の祝日・休日名称],"",0,1)</f>
        <v/>
      </c>
      <c r="E33" s="43" t="s">
        <v>436</v>
      </c>
      <c r="G33" s="43" t="s">
        <v>466</v>
      </c>
      <c r="H33" s="43" t="s">
        <v>254</v>
      </c>
      <c r="I33" s="43" t="s">
        <v>254</v>
      </c>
      <c r="J33" s="43" t="s">
        <v>254</v>
      </c>
      <c r="K33" s="43" t="s">
        <v>254</v>
      </c>
      <c r="L33" s="43" t="s">
        <v>254</v>
      </c>
      <c r="M33" s="29" t="str">
        <f t="shared" ref="M33:R33" si="41">M31</f>
        <v>2025PK／片山</v>
      </c>
      <c r="N33" s="29" t="str">
        <f t="shared" si="41"/>
        <v>2267PK／後藤</v>
      </c>
      <c r="O33" s="29" t="str">
        <f t="shared" si="41"/>
        <v>2618PK／畑澤</v>
      </c>
      <c r="P33" s="29" t="str">
        <f t="shared" si="41"/>
        <v>5122PK／菊地</v>
      </c>
      <c r="Q33" s="29" t="str">
        <f t="shared" si="41"/>
        <v>1㌧6902／吉田</v>
      </c>
      <c r="R33" s="29" t="str">
        <f t="shared" si="41"/>
        <v>菊地</v>
      </c>
      <c r="S33" s="51" t="s">
        <v>254</v>
      </c>
      <c r="T33" s="52" t="s">
        <v>254</v>
      </c>
      <c r="U33" s="52" t="s">
        <v>254</v>
      </c>
      <c r="V33" s="52" t="s">
        <v>254</v>
      </c>
      <c r="W33" s="52" t="s">
        <v>254</v>
      </c>
      <c r="X33" s="52" t="s">
        <v>254</v>
      </c>
      <c r="Y33" s="52" t="s">
        <v>254</v>
      </c>
      <c r="Z33" s="52" t="s">
        <v>254</v>
      </c>
      <c r="AA33" s="52" t="s">
        <v>254</v>
      </c>
      <c r="AB33" s="52" t="s">
        <v>254</v>
      </c>
      <c r="AC33" s="52" t="s">
        <v>254</v>
      </c>
    </row>
    <row r="34" spans="1:29" ht="16.5">
      <c r="A34" s="53">
        <f t="shared" si="0"/>
        <v>45505</v>
      </c>
      <c r="B34" s="41">
        <f t="shared" si="3"/>
        <v>45505</v>
      </c>
      <c r="C34" s="42" t="str">
        <f t="shared" si="7"/>
        <v>第1  木曜日</v>
      </c>
      <c r="D34" s="4" t="str">
        <f>_xlfn.XLOOKUP(B34,syukujitsu[国民の祝日・休日月日],syukujitsu[国民の祝日・休日名称],"",0,1)</f>
        <v/>
      </c>
      <c r="E34" s="43" t="s">
        <v>459</v>
      </c>
      <c r="F34" s="43" t="s">
        <v>254</v>
      </c>
      <c r="G34" s="43" t="s">
        <v>460</v>
      </c>
      <c r="H34" s="43" t="s">
        <v>254</v>
      </c>
      <c r="I34" s="43" t="s">
        <v>254</v>
      </c>
      <c r="J34" s="43" t="s">
        <v>254</v>
      </c>
      <c r="K34" s="43" t="s">
        <v>254</v>
      </c>
      <c r="L34" s="43" t="s">
        <v>254</v>
      </c>
      <c r="M34" s="29" t="str">
        <f t="shared" ref="M34:R34" si="42">M31</f>
        <v>2025PK／片山</v>
      </c>
      <c r="N34" s="29" t="str">
        <f t="shared" si="42"/>
        <v>2267PK／後藤</v>
      </c>
      <c r="O34" s="29" t="str">
        <f t="shared" si="42"/>
        <v>2618PK／畑澤</v>
      </c>
      <c r="P34" s="29" t="str">
        <f t="shared" si="42"/>
        <v>5122PK／菊地</v>
      </c>
      <c r="Q34" s="29" t="str">
        <f t="shared" si="42"/>
        <v>1㌧6902／吉田</v>
      </c>
      <c r="R34" s="29" t="str">
        <f t="shared" si="42"/>
        <v>菊地</v>
      </c>
      <c r="S34" s="51" t="s">
        <v>254</v>
      </c>
      <c r="T34" s="96"/>
      <c r="U34" s="96"/>
      <c r="V34" s="95" t="s">
        <v>430</v>
      </c>
      <c r="W34" s="96"/>
      <c r="X34" s="96"/>
      <c r="Y34" s="96"/>
      <c r="Z34" s="96" t="s">
        <v>429</v>
      </c>
      <c r="AA34" s="96"/>
      <c r="AB34" s="96"/>
      <c r="AC34" s="96"/>
    </row>
    <row r="35" spans="1:29" ht="16.5">
      <c r="A35" s="53">
        <f t="shared" si="0"/>
        <v>45506</v>
      </c>
      <c r="B35" s="41">
        <f t="shared" si="3"/>
        <v>45506</v>
      </c>
      <c r="C35" s="42" t="str">
        <f t="shared" si="7"/>
        <v>第1  金曜日</v>
      </c>
      <c r="D35" s="4" t="str">
        <f>_xlfn.XLOOKUP(B35,syukujitsu[国民の祝日・休日月日],syukujitsu[国民の祝日・休日名称],"",0,1)</f>
        <v/>
      </c>
      <c r="E35" s="43" t="s">
        <v>637</v>
      </c>
      <c r="F35" s="43" t="s">
        <v>440</v>
      </c>
      <c r="G35" s="43" t="s">
        <v>460</v>
      </c>
      <c r="H35" s="43" t="s">
        <v>254</v>
      </c>
      <c r="I35" s="43" t="s">
        <v>254</v>
      </c>
      <c r="J35" s="43" t="s">
        <v>254</v>
      </c>
      <c r="K35" s="43" t="s">
        <v>254</v>
      </c>
      <c r="L35" s="43" t="s">
        <v>254</v>
      </c>
      <c r="M35" s="29" t="str">
        <f t="shared" ref="M35:R35" si="43">M31</f>
        <v>2025PK／片山</v>
      </c>
      <c r="N35" s="29" t="str">
        <f t="shared" si="43"/>
        <v>2267PK／後藤</v>
      </c>
      <c r="O35" s="29" t="str">
        <f t="shared" si="43"/>
        <v>2618PK／畑澤</v>
      </c>
      <c r="P35" s="29" t="str">
        <f t="shared" si="43"/>
        <v>5122PK／菊地</v>
      </c>
      <c r="Q35" s="29" t="str">
        <f t="shared" si="43"/>
        <v>1㌧6902／吉田</v>
      </c>
      <c r="R35" s="29" t="str">
        <f t="shared" si="43"/>
        <v>菊地</v>
      </c>
      <c r="S35" s="51" t="s">
        <v>254</v>
      </c>
      <c r="T35" s="97" t="s">
        <v>448</v>
      </c>
      <c r="U35" s="98" t="s">
        <v>449</v>
      </c>
      <c r="V35" s="96"/>
      <c r="W35" s="96" t="s">
        <v>430</v>
      </c>
      <c r="X35" s="96"/>
      <c r="Y35" s="96"/>
      <c r="Z35" s="96" t="s">
        <v>429</v>
      </c>
      <c r="AA35" s="96"/>
      <c r="AB35" s="96"/>
      <c r="AC35" s="96"/>
    </row>
    <row r="36" spans="1:29" ht="16.5">
      <c r="A36" s="53">
        <f t="shared" ref="A36:A99" si="44">B36</f>
        <v>45507</v>
      </c>
      <c r="B36" s="41">
        <f t="shared" si="3"/>
        <v>45507</v>
      </c>
      <c r="C36" s="42" t="str">
        <f t="shared" si="7"/>
        <v>第1  土曜日</v>
      </c>
      <c r="D36" s="4" t="str">
        <f>_xlfn.XLOOKUP(B36,syukujitsu[国民の祝日・休日月日],syukujitsu[国民の祝日・休日名称],"",0,1)</f>
        <v/>
      </c>
      <c r="E36" s="43" t="s">
        <v>470</v>
      </c>
      <c r="G36" s="43" t="s">
        <v>460</v>
      </c>
      <c r="T36" s="99" t="s">
        <v>450</v>
      </c>
      <c r="U36" s="100" t="s">
        <v>451</v>
      </c>
      <c r="V36" s="101" t="s">
        <v>450</v>
      </c>
      <c r="W36" s="102"/>
      <c r="X36" s="103" t="s">
        <v>450</v>
      </c>
      <c r="Y36" s="102"/>
      <c r="Z36" s="104" t="s">
        <v>428</v>
      </c>
      <c r="AA36" s="103" t="s">
        <v>450</v>
      </c>
      <c r="AB36" s="103" t="s">
        <v>450</v>
      </c>
      <c r="AC36" s="103" t="s">
        <v>450</v>
      </c>
    </row>
    <row r="37" spans="1:29" ht="16.5">
      <c r="A37" s="53">
        <f t="shared" si="44"/>
        <v>45508</v>
      </c>
      <c r="B37" s="41">
        <f t="shared" si="3"/>
        <v>45508</v>
      </c>
      <c r="C37" s="42" t="str">
        <f t="shared" si="7"/>
        <v>第1  日曜日</v>
      </c>
      <c r="D37" s="4" t="str">
        <f>_xlfn.XLOOKUP(B37,syukujitsu[国民の祝日・休日月日],syukujitsu[国民の祝日・休日名称],"",0,1)</f>
        <v/>
      </c>
      <c r="T37" s="103" t="s">
        <v>450</v>
      </c>
      <c r="U37" s="101" t="s">
        <v>450</v>
      </c>
      <c r="V37" s="103" t="s">
        <v>450</v>
      </c>
      <c r="W37" s="103" t="s">
        <v>450</v>
      </c>
      <c r="X37" s="103" t="s">
        <v>450</v>
      </c>
      <c r="Y37" s="103" t="s">
        <v>450</v>
      </c>
      <c r="Z37" s="103" t="s">
        <v>450</v>
      </c>
      <c r="AA37" s="103" t="s">
        <v>450</v>
      </c>
      <c r="AB37" s="103" t="s">
        <v>450</v>
      </c>
      <c r="AC37" s="103" t="s">
        <v>450</v>
      </c>
    </row>
    <row r="38" spans="1:29" ht="16.5">
      <c r="A38" s="53">
        <f t="shared" si="44"/>
        <v>45509</v>
      </c>
      <c r="B38" s="41">
        <f t="shared" si="3"/>
        <v>45509</v>
      </c>
      <c r="C38" s="42" t="str">
        <f t="shared" si="7"/>
        <v>第1  月曜日</v>
      </c>
      <c r="D38" s="4" t="str">
        <f>_xlfn.XLOOKUP(B38,syukujitsu[国民の祝日・休日月日],syukujitsu[国民の祝日・休日名称],"",0,1)</f>
        <v/>
      </c>
      <c r="E38" s="43" t="s">
        <v>254</v>
      </c>
      <c r="F38" s="43" t="s">
        <v>254</v>
      </c>
      <c r="G38" s="43" t="s">
        <v>254</v>
      </c>
      <c r="M38" s="29" t="str">
        <f>_xlfn.XLOOKUP($B38,シフトスケジュール!$C:$C,シフトスケジュール!D:D,"該当なし",0,1)</f>
        <v>2025PK／菊地</v>
      </c>
      <c r="N38" s="29" t="str">
        <f>_xlfn.XLOOKUP($B38,シフトスケジュール!$C:$C,シフトスケジュール!E:E,"該当なし",0,1)</f>
        <v>2267PK／片山</v>
      </c>
      <c r="O38" s="29" t="str">
        <f>_xlfn.XLOOKUP($B38,シフトスケジュール!$C:$C,シフトスケジュール!F:F,"該当なし",0,1)</f>
        <v>2618PK／後藤</v>
      </c>
      <c r="P38" s="29" t="str">
        <f>_xlfn.XLOOKUP($B38,シフトスケジュール!$C:$C,シフトスケジュール!G:G,"該当なし",0,1)</f>
        <v>5122PK／畑澤</v>
      </c>
      <c r="Q38" s="29" t="str">
        <f>_xlfn.XLOOKUP($B38,シフトスケジュール!$C:$C,シフトスケジュール!H:H,"該当なし",0,1)</f>
        <v>1㌧6902／吉田</v>
      </c>
      <c r="R38" s="29" t="s">
        <v>249</v>
      </c>
      <c r="T38" s="96"/>
      <c r="U38" s="105" t="s">
        <v>427</v>
      </c>
      <c r="V38" s="96" t="s">
        <v>430</v>
      </c>
      <c r="W38" s="96"/>
      <c r="X38" s="96"/>
      <c r="Y38" s="96" t="s">
        <v>429</v>
      </c>
      <c r="Z38" s="96"/>
      <c r="AA38" s="96"/>
      <c r="AB38" s="96"/>
      <c r="AC38" s="96"/>
    </row>
    <row r="39" spans="1:29" ht="16.5">
      <c r="A39" s="53">
        <f t="shared" si="44"/>
        <v>45510</v>
      </c>
      <c r="B39" s="41">
        <f t="shared" si="3"/>
        <v>45510</v>
      </c>
      <c r="C39" s="42" t="str">
        <f t="shared" si="7"/>
        <v>第1  火曜日</v>
      </c>
      <c r="D39" s="4" t="str">
        <f>_xlfn.XLOOKUP(B39,syukujitsu[国民の祝日・休日月日],syukujitsu[国民の祝日・休日名称],"",0,1)</f>
        <v/>
      </c>
      <c r="E39" s="43" t="s">
        <v>441</v>
      </c>
      <c r="F39" s="43" t="s">
        <v>440</v>
      </c>
      <c r="M39" s="29" t="str">
        <f t="shared" ref="M39:R39" si="45">M38</f>
        <v>2025PK／菊地</v>
      </c>
      <c r="N39" s="29" t="str">
        <f t="shared" si="45"/>
        <v>2267PK／片山</v>
      </c>
      <c r="O39" s="29" t="str">
        <f t="shared" si="45"/>
        <v>2618PK／後藤</v>
      </c>
      <c r="P39" s="29" t="str">
        <f t="shared" si="45"/>
        <v>5122PK／畑澤</v>
      </c>
      <c r="Q39" s="29" t="str">
        <f t="shared" si="45"/>
        <v>1㌧6902／吉田</v>
      </c>
      <c r="R39" s="29" t="str">
        <f t="shared" si="45"/>
        <v>畑澤</v>
      </c>
      <c r="T39" s="96"/>
      <c r="U39" s="102" t="s">
        <v>429</v>
      </c>
      <c r="V39" s="96"/>
      <c r="W39" s="96" t="s">
        <v>430</v>
      </c>
      <c r="X39" s="96"/>
      <c r="Y39" s="96"/>
      <c r="Z39" s="96"/>
      <c r="AA39" s="96"/>
      <c r="AB39" s="96"/>
      <c r="AC39" s="96"/>
    </row>
    <row r="40" spans="1:29" ht="16.5">
      <c r="A40" s="53">
        <f t="shared" si="44"/>
        <v>45511</v>
      </c>
      <c r="B40" s="41">
        <f t="shared" si="3"/>
        <v>45511</v>
      </c>
      <c r="C40" s="42" t="str">
        <f t="shared" si="7"/>
        <v>第1  水曜日</v>
      </c>
      <c r="D40" s="4" t="str">
        <f>_xlfn.XLOOKUP(B40,syukujitsu[国民の祝日・休日月日],syukujitsu[国民の祝日・休日名称],"",0,1)</f>
        <v/>
      </c>
      <c r="E40" s="43" t="s">
        <v>621</v>
      </c>
      <c r="M40" s="29" t="str">
        <f t="shared" ref="M40:R40" si="46">M38</f>
        <v>2025PK／菊地</v>
      </c>
      <c r="N40" s="29" t="str">
        <f t="shared" si="46"/>
        <v>2267PK／片山</v>
      </c>
      <c r="O40" s="29" t="str">
        <f t="shared" si="46"/>
        <v>2618PK／後藤</v>
      </c>
      <c r="P40" s="29" t="str">
        <f t="shared" si="46"/>
        <v>5122PK／畑澤</v>
      </c>
      <c r="Q40" s="29" t="str">
        <f t="shared" si="46"/>
        <v>1㌧6902／吉田</v>
      </c>
      <c r="R40" s="29" t="str">
        <f t="shared" si="46"/>
        <v>畑澤</v>
      </c>
      <c r="T40" s="96"/>
      <c r="U40" s="102" t="s">
        <v>429</v>
      </c>
      <c r="V40" s="106" t="s">
        <v>452</v>
      </c>
      <c r="W40" s="97" t="s">
        <v>448</v>
      </c>
      <c r="X40" s="96"/>
      <c r="Y40" s="96"/>
      <c r="Z40" s="94" t="s">
        <v>461</v>
      </c>
      <c r="AA40" s="96"/>
      <c r="AB40" s="96"/>
      <c r="AC40" s="96"/>
    </row>
    <row r="41" spans="1:29" ht="16.5">
      <c r="A41" s="53">
        <f t="shared" si="44"/>
        <v>45512</v>
      </c>
      <c r="B41" s="41">
        <f t="shared" si="3"/>
        <v>45512</v>
      </c>
      <c r="C41" s="42" t="str">
        <f t="shared" si="7"/>
        <v>第2  木曜日</v>
      </c>
      <c r="D41" s="4" t="str">
        <f>_xlfn.XLOOKUP(B41,syukujitsu[国民の祝日・休日月日],syukujitsu[国民の祝日・休日名称],"",0,1)</f>
        <v/>
      </c>
      <c r="M41" s="29" t="str">
        <f t="shared" ref="M41:R41" si="47">M38</f>
        <v>2025PK／菊地</v>
      </c>
      <c r="N41" s="29" t="str">
        <f t="shared" si="47"/>
        <v>2267PK／片山</v>
      </c>
      <c r="O41" s="29" t="str">
        <f t="shared" si="47"/>
        <v>2618PK／後藤</v>
      </c>
      <c r="P41" s="29" t="str">
        <f t="shared" si="47"/>
        <v>5122PK／畑澤</v>
      </c>
      <c r="Q41" s="29" t="str">
        <f t="shared" si="47"/>
        <v>1㌧6902／吉田</v>
      </c>
      <c r="R41" s="29" t="str">
        <f t="shared" si="47"/>
        <v>畑澤</v>
      </c>
      <c r="T41" s="96"/>
      <c r="U41" s="100" t="s">
        <v>451</v>
      </c>
      <c r="V41" s="96"/>
      <c r="W41" s="97" t="s">
        <v>448</v>
      </c>
      <c r="X41" s="96"/>
      <c r="Y41" s="96"/>
      <c r="Z41" s="96"/>
      <c r="AA41" s="96"/>
      <c r="AB41" s="96"/>
      <c r="AC41" s="96"/>
    </row>
    <row r="42" spans="1:29" ht="16.5">
      <c r="A42" s="53">
        <f t="shared" si="44"/>
        <v>45513</v>
      </c>
      <c r="B42" s="41">
        <f t="shared" si="3"/>
        <v>45513</v>
      </c>
      <c r="C42" s="42" t="str">
        <f t="shared" si="7"/>
        <v>第2  金曜日</v>
      </c>
      <c r="D42" s="4" t="str">
        <f>_xlfn.XLOOKUP(B42,syukujitsu[国民の祝日・休日月日],syukujitsu[国民の祝日・休日名称],"",0,1)</f>
        <v/>
      </c>
      <c r="E42" s="43" t="s">
        <v>439</v>
      </c>
      <c r="M42" s="29" t="str">
        <f t="shared" ref="M42:R42" si="48">M38</f>
        <v>2025PK／菊地</v>
      </c>
      <c r="N42" s="29" t="str">
        <f t="shared" si="48"/>
        <v>2267PK／片山</v>
      </c>
      <c r="O42" s="29" t="str">
        <f t="shared" si="48"/>
        <v>2618PK／後藤</v>
      </c>
      <c r="P42" s="29" t="str">
        <f t="shared" si="48"/>
        <v>5122PK／畑澤</v>
      </c>
      <c r="Q42" s="29" t="str">
        <f t="shared" si="48"/>
        <v>1㌧6902／吉田</v>
      </c>
      <c r="R42" s="29" t="str">
        <f t="shared" si="48"/>
        <v>畑澤</v>
      </c>
      <c r="T42" s="96"/>
      <c r="U42" s="102" t="s">
        <v>429</v>
      </c>
      <c r="V42" s="96" t="s">
        <v>430</v>
      </c>
      <c r="W42" s="105" t="s">
        <v>462</v>
      </c>
      <c r="X42" s="96"/>
      <c r="Y42" s="96"/>
      <c r="Z42" s="98" t="s">
        <v>449</v>
      </c>
      <c r="AA42" s="96"/>
      <c r="AB42" s="96"/>
      <c r="AC42" s="96"/>
    </row>
    <row r="43" spans="1:29" ht="16.5">
      <c r="A43" s="53">
        <f t="shared" si="44"/>
        <v>45514</v>
      </c>
      <c r="B43" s="41">
        <f t="shared" si="3"/>
        <v>45514</v>
      </c>
      <c r="C43" s="42" t="str">
        <f t="shared" si="7"/>
        <v>第2  土曜日</v>
      </c>
      <c r="D43" s="4" t="str">
        <f>_xlfn.XLOOKUP(B43,syukujitsu[国民の祝日・休日月日],syukujitsu[国民の祝日・休日名称],"",0,1)</f>
        <v/>
      </c>
      <c r="T43" s="105" t="s">
        <v>427</v>
      </c>
      <c r="U43" s="103" t="s">
        <v>450</v>
      </c>
      <c r="V43" s="102" t="s">
        <v>322</v>
      </c>
      <c r="W43" s="103" t="s">
        <v>450</v>
      </c>
      <c r="X43" s="102"/>
      <c r="Y43" s="104" t="s">
        <v>428</v>
      </c>
      <c r="Z43" s="96" t="s">
        <v>430</v>
      </c>
      <c r="AA43" s="103" t="s">
        <v>450</v>
      </c>
      <c r="AB43" s="103" t="s">
        <v>450</v>
      </c>
      <c r="AC43" s="103" t="s">
        <v>450</v>
      </c>
    </row>
    <row r="44" spans="1:29" ht="16.5">
      <c r="A44" s="53">
        <f t="shared" si="44"/>
        <v>45515</v>
      </c>
      <c r="B44" s="41">
        <f t="shared" si="3"/>
        <v>45515</v>
      </c>
      <c r="C44" s="42" t="str">
        <f t="shared" si="7"/>
        <v>第2  日曜日</v>
      </c>
      <c r="D44" s="4" t="str">
        <f>_xlfn.XLOOKUP(B44,syukujitsu[国民の祝日・休日月日],syukujitsu[国民の祝日・休日名称],"",0,1)</f>
        <v/>
      </c>
      <c r="M44" s="39"/>
      <c r="T44" s="103" t="s">
        <v>450</v>
      </c>
      <c r="U44" s="103" t="s">
        <v>450</v>
      </c>
      <c r="V44" s="103" t="s">
        <v>450</v>
      </c>
      <c r="W44" s="103" t="s">
        <v>450</v>
      </c>
      <c r="X44" s="103" t="s">
        <v>450</v>
      </c>
      <c r="Y44" s="103" t="s">
        <v>450</v>
      </c>
      <c r="Z44" s="103" t="s">
        <v>450</v>
      </c>
      <c r="AA44" s="103" t="s">
        <v>450</v>
      </c>
      <c r="AB44" s="103" t="s">
        <v>450</v>
      </c>
      <c r="AC44" s="103" t="s">
        <v>450</v>
      </c>
    </row>
    <row r="45" spans="1:29" ht="16.5">
      <c r="A45" s="53">
        <f t="shared" si="44"/>
        <v>45516</v>
      </c>
      <c r="B45" s="41">
        <f t="shared" si="3"/>
        <v>45516</v>
      </c>
      <c r="C45" s="42" t="str">
        <f t="shared" si="7"/>
        <v>第2  月曜日</v>
      </c>
      <c r="D45" s="4" t="str">
        <f>_xlfn.XLOOKUP(B45,syukujitsu[国民の祝日・休日月日],syukujitsu[国民の祝日・休日名称],"",0,1)</f>
        <v/>
      </c>
      <c r="E45" s="43" t="s">
        <v>478</v>
      </c>
      <c r="M45" s="29" t="str">
        <f>_xlfn.XLOOKUP($B45,シフトスケジュール!$C:$C,シフトスケジュール!D:D,"該当なし",0,1)</f>
        <v>2267PK／畑澤</v>
      </c>
      <c r="N45" s="29" t="str">
        <f>_xlfn.XLOOKUP($B45,シフトスケジュール!$C:$C,シフトスケジュール!E:E,"該当なし",0,1)</f>
        <v>2025PK／菊地</v>
      </c>
      <c r="O45" s="29" t="str">
        <f>_xlfn.XLOOKUP($B45,シフトスケジュール!$C:$C,シフトスケジュール!F:F,"該当なし",0,1)</f>
        <v>2618PK／片山</v>
      </c>
      <c r="P45" s="29" t="str">
        <f>_xlfn.XLOOKUP($B45,シフトスケジュール!$C:$C,シフトスケジュール!G:G,"該当なし",0,1)</f>
        <v>5122PK／後藤</v>
      </c>
      <c r="Q45" s="29" t="str">
        <f>_xlfn.XLOOKUP($B45,シフトスケジュール!$C:$C,シフトスケジュール!H:H,"該当なし",0,1)</f>
        <v>1㌧6902／吉田</v>
      </c>
      <c r="R45" s="29" t="s">
        <v>742</v>
      </c>
      <c r="T45" s="104" t="s">
        <v>428</v>
      </c>
      <c r="U45" s="103" t="s">
        <v>450</v>
      </c>
      <c r="V45" s="100" t="s">
        <v>451</v>
      </c>
      <c r="W45" s="103" t="s">
        <v>450</v>
      </c>
      <c r="X45" s="103" t="s">
        <v>450</v>
      </c>
      <c r="Y45" s="103" t="s">
        <v>450</v>
      </c>
      <c r="Z45" s="104" t="s">
        <v>428</v>
      </c>
      <c r="AA45" s="103" t="s">
        <v>450</v>
      </c>
      <c r="AB45" s="103" t="s">
        <v>450</v>
      </c>
      <c r="AC45" s="103" t="s">
        <v>450</v>
      </c>
    </row>
    <row r="46" spans="1:29" ht="16.5">
      <c r="A46" s="53">
        <f t="shared" si="44"/>
        <v>45517</v>
      </c>
      <c r="B46" s="41">
        <f t="shared" si="3"/>
        <v>45517</v>
      </c>
      <c r="C46" s="42" t="str">
        <f t="shared" si="7"/>
        <v>第2  火曜日</v>
      </c>
      <c r="D46" s="4" t="str">
        <f>_xlfn.XLOOKUP(B46,syukujitsu[国民の祝日・休日月日],syukujitsu[国民の祝日・休日名称],"",0,1)</f>
        <v/>
      </c>
      <c r="E46" s="43" t="s">
        <v>478</v>
      </c>
      <c r="M46" s="29" t="str">
        <f t="shared" ref="M46:R46" si="49">M45</f>
        <v>2267PK／畑澤</v>
      </c>
      <c r="N46" s="29" t="str">
        <f t="shared" si="49"/>
        <v>2025PK／菊地</v>
      </c>
      <c r="O46" s="29" t="str">
        <f t="shared" si="49"/>
        <v>2618PK／片山</v>
      </c>
      <c r="P46" s="29" t="str">
        <f t="shared" si="49"/>
        <v>5122PK／後藤</v>
      </c>
      <c r="Q46" s="29" t="str">
        <f t="shared" si="49"/>
        <v>1㌧6902／吉田</v>
      </c>
      <c r="R46" s="29" t="str">
        <f t="shared" si="49"/>
        <v>該当なし</v>
      </c>
      <c r="T46" s="104" t="s">
        <v>428</v>
      </c>
      <c r="U46" s="103" t="s">
        <v>450</v>
      </c>
      <c r="V46" s="104" t="s">
        <v>454</v>
      </c>
      <c r="W46" s="103" t="s">
        <v>450</v>
      </c>
      <c r="X46" s="103" t="s">
        <v>450</v>
      </c>
      <c r="Y46" s="103" t="s">
        <v>450</v>
      </c>
      <c r="Z46" s="96" t="s">
        <v>430</v>
      </c>
      <c r="AA46" s="103" t="s">
        <v>450</v>
      </c>
      <c r="AB46" s="103" t="s">
        <v>450</v>
      </c>
      <c r="AC46" s="103" t="s">
        <v>450</v>
      </c>
    </row>
    <row r="47" spans="1:29" ht="16.5">
      <c r="A47" s="53">
        <f t="shared" si="44"/>
        <v>45518</v>
      </c>
      <c r="B47" s="41">
        <f t="shared" si="3"/>
        <v>45518</v>
      </c>
      <c r="C47" s="42" t="str">
        <f t="shared" si="7"/>
        <v>第2  水曜日</v>
      </c>
      <c r="D47" s="4" t="str">
        <f>_xlfn.XLOOKUP(B47,syukujitsu[国民の祝日・休日月日],syukujitsu[国民の祝日・休日名称],"",0,1)</f>
        <v/>
      </c>
      <c r="E47" s="43" t="s">
        <v>478</v>
      </c>
      <c r="M47" s="29" t="str">
        <f t="shared" ref="M47:R47" si="50">M45</f>
        <v>2267PK／畑澤</v>
      </c>
      <c r="N47" s="29" t="str">
        <f t="shared" si="50"/>
        <v>2025PK／菊地</v>
      </c>
      <c r="O47" s="29" t="str">
        <f t="shared" si="50"/>
        <v>2618PK／片山</v>
      </c>
      <c r="P47" s="29" t="str">
        <f t="shared" si="50"/>
        <v>5122PK／後藤</v>
      </c>
      <c r="Q47" s="29" t="str">
        <f t="shared" si="50"/>
        <v>1㌧6902／吉田</v>
      </c>
      <c r="R47" s="29" t="str">
        <f t="shared" si="50"/>
        <v>該当なし</v>
      </c>
      <c r="T47" s="104" t="s">
        <v>428</v>
      </c>
      <c r="U47" s="103" t="s">
        <v>450</v>
      </c>
      <c r="V47" s="100" t="s">
        <v>451</v>
      </c>
      <c r="W47" s="103" t="s">
        <v>450</v>
      </c>
      <c r="X47" s="104" t="s">
        <v>428</v>
      </c>
      <c r="Y47" s="103" t="s">
        <v>450</v>
      </c>
      <c r="Z47" s="104" t="s">
        <v>428</v>
      </c>
      <c r="AA47" s="103" t="s">
        <v>450</v>
      </c>
      <c r="AB47" s="103" t="s">
        <v>450</v>
      </c>
      <c r="AC47" s="103" t="s">
        <v>450</v>
      </c>
    </row>
    <row r="48" spans="1:29" ht="16.5">
      <c r="A48" s="53">
        <f t="shared" si="44"/>
        <v>45519</v>
      </c>
      <c r="B48" s="41">
        <f t="shared" si="3"/>
        <v>45519</v>
      </c>
      <c r="C48" s="42" t="str">
        <f t="shared" si="7"/>
        <v>第3  木曜日</v>
      </c>
      <c r="D48" s="4" t="str">
        <f>_xlfn.XLOOKUP(B48,syukujitsu[国民の祝日・休日月日],syukujitsu[国民の祝日・休日名称],"",0,1)</f>
        <v/>
      </c>
      <c r="M48" s="29" t="str">
        <f t="shared" ref="M48:R48" si="51">M45</f>
        <v>2267PK／畑澤</v>
      </c>
      <c r="N48" s="29" t="str">
        <f t="shared" si="51"/>
        <v>2025PK／菊地</v>
      </c>
      <c r="O48" s="29" t="str">
        <f t="shared" si="51"/>
        <v>2618PK／片山</v>
      </c>
      <c r="P48" s="29" t="str">
        <f t="shared" si="51"/>
        <v>5122PK／後藤</v>
      </c>
      <c r="Q48" s="29" t="str">
        <f t="shared" si="51"/>
        <v>1㌧6902／吉田</v>
      </c>
      <c r="R48" s="29" t="str">
        <f t="shared" si="51"/>
        <v>該当なし</v>
      </c>
      <c r="T48" s="103" t="s">
        <v>450</v>
      </c>
      <c r="U48" s="104" t="s">
        <v>428</v>
      </c>
      <c r="V48" s="103" t="s">
        <v>450</v>
      </c>
      <c r="W48" s="104" t="s">
        <v>430</v>
      </c>
      <c r="X48" s="103" t="s">
        <v>450</v>
      </c>
      <c r="Y48" s="104" t="s">
        <v>454</v>
      </c>
      <c r="Z48" s="103" t="s">
        <v>450</v>
      </c>
      <c r="AA48" s="104" t="s">
        <v>428</v>
      </c>
      <c r="AB48" s="103" t="s">
        <v>450</v>
      </c>
      <c r="AC48" s="103" t="s">
        <v>450</v>
      </c>
    </row>
    <row r="49" spans="1:29" ht="16.5">
      <c r="A49" s="53">
        <f t="shared" si="44"/>
        <v>45520</v>
      </c>
      <c r="B49" s="41">
        <f t="shared" si="3"/>
        <v>45520</v>
      </c>
      <c r="C49" s="42" t="str">
        <f t="shared" si="7"/>
        <v>第3  金曜日</v>
      </c>
      <c r="D49" s="4" t="str">
        <f>_xlfn.XLOOKUP(B49,syukujitsu[国民の祝日・休日月日],syukujitsu[国民の祝日・休日名称],"",0,1)</f>
        <v/>
      </c>
      <c r="I49" s="43" t="s">
        <v>254</v>
      </c>
      <c r="J49" s="43" t="s">
        <v>254</v>
      </c>
      <c r="K49" s="43" t="s">
        <v>254</v>
      </c>
      <c r="L49" s="43" t="s">
        <v>254</v>
      </c>
      <c r="M49" s="29" t="str">
        <f t="shared" ref="M49:R49" si="52">M45</f>
        <v>2267PK／畑澤</v>
      </c>
      <c r="N49" s="29" t="str">
        <f t="shared" si="52"/>
        <v>2025PK／菊地</v>
      </c>
      <c r="O49" s="29" t="str">
        <f t="shared" si="52"/>
        <v>2618PK／片山</v>
      </c>
      <c r="P49" s="29" t="str">
        <f t="shared" si="52"/>
        <v>5122PK／後藤</v>
      </c>
      <c r="Q49" s="29" t="str">
        <f t="shared" si="52"/>
        <v>1㌧6902／吉田</v>
      </c>
      <c r="R49" s="29" t="str">
        <f t="shared" si="52"/>
        <v>該当なし</v>
      </c>
      <c r="T49" s="104" t="s">
        <v>455</v>
      </c>
      <c r="U49" s="104" t="s">
        <v>430</v>
      </c>
      <c r="V49" s="103" t="s">
        <v>450</v>
      </c>
      <c r="W49" s="104" t="s">
        <v>463</v>
      </c>
      <c r="X49" s="103" t="s">
        <v>450</v>
      </c>
      <c r="Y49" s="104" t="s">
        <v>454</v>
      </c>
      <c r="Z49" s="103" t="s">
        <v>450</v>
      </c>
      <c r="AA49" s="104" t="s">
        <v>428</v>
      </c>
      <c r="AB49" s="103" t="s">
        <v>450</v>
      </c>
      <c r="AC49" s="103" t="s">
        <v>450</v>
      </c>
    </row>
    <row r="50" spans="1:29" ht="16.5">
      <c r="A50" s="53">
        <f t="shared" si="44"/>
        <v>45521</v>
      </c>
      <c r="B50" s="41">
        <f t="shared" si="3"/>
        <v>45521</v>
      </c>
      <c r="C50" s="42" t="str">
        <f t="shared" si="7"/>
        <v>第3  土曜日</v>
      </c>
      <c r="D50" s="4" t="str">
        <f>_xlfn.XLOOKUP(B50,syukujitsu[国民の祝日・休日月日],syukujitsu[国民の祝日・休日名称],"",0,1)</f>
        <v/>
      </c>
      <c r="E50" s="43" t="s">
        <v>254</v>
      </c>
      <c r="F50" s="43" t="s">
        <v>254</v>
      </c>
      <c r="G50" s="43" t="s">
        <v>254</v>
      </c>
      <c r="H50" s="43" t="s">
        <v>254</v>
      </c>
      <c r="I50" s="43" t="s">
        <v>254</v>
      </c>
      <c r="J50" s="43" t="s">
        <v>254</v>
      </c>
      <c r="K50" s="43" t="s">
        <v>254</v>
      </c>
      <c r="L50" s="43" t="s">
        <v>254</v>
      </c>
      <c r="M50" s="39" t="s">
        <v>254</v>
      </c>
      <c r="N50" s="39" t="s">
        <v>254</v>
      </c>
      <c r="O50" s="39" t="s">
        <v>254</v>
      </c>
      <c r="P50" s="39" t="s">
        <v>254</v>
      </c>
      <c r="Q50" s="39" t="s">
        <v>254</v>
      </c>
      <c r="R50" s="39" t="s">
        <v>254</v>
      </c>
      <c r="T50" s="103" t="s">
        <v>450</v>
      </c>
      <c r="U50" s="104" t="s">
        <v>428</v>
      </c>
      <c r="V50" s="96" t="s">
        <v>430</v>
      </c>
      <c r="W50" s="102" t="s">
        <v>429</v>
      </c>
      <c r="X50" s="103" t="s">
        <v>450</v>
      </c>
      <c r="Y50" s="102"/>
      <c r="Z50" s="103" t="s">
        <v>450</v>
      </c>
      <c r="AA50" s="103" t="s">
        <v>450</v>
      </c>
      <c r="AB50" s="103" t="s">
        <v>450</v>
      </c>
      <c r="AC50" s="103" t="s">
        <v>450</v>
      </c>
    </row>
    <row r="51" spans="1:29" ht="16.5">
      <c r="A51" s="53">
        <f t="shared" si="44"/>
        <v>45522</v>
      </c>
      <c r="B51" s="41">
        <f t="shared" si="3"/>
        <v>45522</v>
      </c>
      <c r="C51" s="42" t="str">
        <f t="shared" si="7"/>
        <v>第3  日曜日</v>
      </c>
      <c r="D51" s="4" t="str">
        <f>_xlfn.XLOOKUP(B51,syukujitsu[国民の祝日・休日月日],syukujitsu[国民の祝日・休日名称],"",0,1)</f>
        <v/>
      </c>
      <c r="E51" s="43" t="s">
        <v>254</v>
      </c>
      <c r="F51" s="43" t="s">
        <v>254</v>
      </c>
      <c r="G51" s="43" t="s">
        <v>254</v>
      </c>
      <c r="H51" s="43" t="s">
        <v>254</v>
      </c>
      <c r="I51" s="43" t="s">
        <v>254</v>
      </c>
      <c r="J51" s="43" t="s">
        <v>672</v>
      </c>
      <c r="K51" s="43" t="s">
        <v>254</v>
      </c>
      <c r="L51" s="43" t="s">
        <v>254</v>
      </c>
      <c r="M51" s="39" t="s">
        <v>254</v>
      </c>
      <c r="N51" s="39" t="s">
        <v>254</v>
      </c>
      <c r="O51" s="39" t="s">
        <v>254</v>
      </c>
      <c r="P51" s="39" t="s">
        <v>254</v>
      </c>
      <c r="Q51" s="39" t="s">
        <v>254</v>
      </c>
      <c r="R51" s="39" t="s">
        <v>254</v>
      </c>
      <c r="T51" s="103" t="s">
        <v>450</v>
      </c>
      <c r="U51" s="103" t="s">
        <v>450</v>
      </c>
      <c r="V51" s="103" t="s">
        <v>450</v>
      </c>
      <c r="W51" s="103" t="s">
        <v>450</v>
      </c>
      <c r="X51" s="103" t="s">
        <v>450</v>
      </c>
      <c r="Y51" s="103" t="s">
        <v>450</v>
      </c>
      <c r="Z51" s="103" t="s">
        <v>450</v>
      </c>
      <c r="AA51" s="103" t="s">
        <v>450</v>
      </c>
      <c r="AB51" s="103" t="s">
        <v>450</v>
      </c>
      <c r="AC51" s="103" t="s">
        <v>450</v>
      </c>
    </row>
    <row r="52" spans="1:29" ht="16.5">
      <c r="A52" s="53">
        <f t="shared" si="44"/>
        <v>45523</v>
      </c>
      <c r="B52" s="41">
        <f t="shared" si="3"/>
        <v>45523</v>
      </c>
      <c r="C52" s="42" t="str">
        <f t="shared" si="7"/>
        <v>第3  月曜日</v>
      </c>
      <c r="D52" s="4" t="str">
        <f>_xlfn.XLOOKUP(B52,syukujitsu[国民の祝日・休日月日],syukujitsu[国民の祝日・休日名称],"",0,1)</f>
        <v/>
      </c>
      <c r="E52" s="43" t="s">
        <v>476</v>
      </c>
      <c r="F52" s="43" t="s">
        <v>254</v>
      </c>
      <c r="G52" s="43" t="s">
        <v>254</v>
      </c>
      <c r="H52" s="43" t="s">
        <v>254</v>
      </c>
      <c r="I52" s="43" t="s">
        <v>254</v>
      </c>
      <c r="J52" s="43" t="s">
        <v>254</v>
      </c>
      <c r="K52" s="43" t="s">
        <v>254</v>
      </c>
      <c r="L52" s="43" t="s">
        <v>254</v>
      </c>
      <c r="M52" s="29" t="str">
        <f>_xlfn.XLOOKUP($B52,シフトスケジュール!$C:$C,シフトスケジュール!D:D,"該当なし",0,1)</f>
        <v>2025PK／菊地</v>
      </c>
      <c r="N52" s="29" t="str">
        <f>_xlfn.XLOOKUP($B52,シフトスケジュール!$C:$C,シフトスケジュール!E:E,"該当なし",0,1)</f>
        <v>2267PK／畑澤</v>
      </c>
      <c r="O52" s="39" t="s">
        <v>254</v>
      </c>
      <c r="P52" s="29" t="str">
        <f>_xlfn.XLOOKUP($B52,シフトスケジュール!$C:$C,シフトスケジュール!G:G,"該当なし",0,1)</f>
        <v>5122PK／片山</v>
      </c>
      <c r="Q52" s="29" t="str">
        <f>_xlfn.XLOOKUP($B52,シフトスケジュール!$C:$C,シフトスケジュール!H:H,"該当なし",0,1)</f>
        <v>1㌧6902／吉田</v>
      </c>
      <c r="R52" s="29" t="s">
        <v>742</v>
      </c>
      <c r="T52" s="108" t="s">
        <v>455</v>
      </c>
      <c r="U52" s="96"/>
      <c r="V52" s="105" t="s">
        <v>427</v>
      </c>
      <c r="W52" s="100" t="s">
        <v>451</v>
      </c>
      <c r="X52" s="96"/>
      <c r="Y52" s="96"/>
      <c r="Z52" s="96"/>
      <c r="AA52" s="96"/>
      <c r="AB52" s="96"/>
      <c r="AC52" s="96"/>
    </row>
    <row r="53" spans="1:29" ht="16.5">
      <c r="A53" s="53">
        <f t="shared" si="44"/>
        <v>45524</v>
      </c>
      <c r="B53" s="41">
        <f t="shared" si="3"/>
        <v>45524</v>
      </c>
      <c r="C53" s="42" t="str">
        <f t="shared" si="7"/>
        <v>第3  火曜日</v>
      </c>
      <c r="D53" s="4" t="str">
        <f>_xlfn.XLOOKUP(B53,syukujitsu[国民の祝日・休日月日],syukujitsu[国民の祝日・休日名称],"",0,1)</f>
        <v/>
      </c>
      <c r="E53" s="43" t="s">
        <v>458</v>
      </c>
      <c r="F53" s="43" t="s">
        <v>254</v>
      </c>
      <c r="G53" s="43" t="s">
        <v>254</v>
      </c>
      <c r="H53" s="43" t="s">
        <v>254</v>
      </c>
      <c r="I53" s="43" t="s">
        <v>254</v>
      </c>
      <c r="J53" s="43" t="s">
        <v>254</v>
      </c>
      <c r="K53" s="43" t="s">
        <v>254</v>
      </c>
      <c r="L53" s="43" t="s">
        <v>254</v>
      </c>
      <c r="M53" s="29" t="str">
        <f t="shared" ref="M53:R53" si="53">M52</f>
        <v>2025PK／菊地</v>
      </c>
      <c r="N53" s="29" t="str">
        <f t="shared" si="53"/>
        <v>2267PK／畑澤</v>
      </c>
      <c r="O53" s="39" t="s">
        <v>254</v>
      </c>
      <c r="P53" s="29" t="str">
        <f t="shared" si="53"/>
        <v>5122PK／片山</v>
      </c>
      <c r="Q53" s="29" t="str">
        <f t="shared" si="53"/>
        <v>1㌧6902／吉田</v>
      </c>
      <c r="R53" s="29" t="str">
        <f t="shared" si="53"/>
        <v>該当なし</v>
      </c>
      <c r="T53" s="108" t="s">
        <v>455</v>
      </c>
      <c r="U53" s="96" t="s">
        <v>430</v>
      </c>
      <c r="V53" s="96"/>
      <c r="W53" s="96" t="s">
        <v>429</v>
      </c>
      <c r="X53" s="96"/>
      <c r="Y53" s="96"/>
      <c r="Z53" s="105" t="s">
        <v>427</v>
      </c>
      <c r="AA53" s="96"/>
      <c r="AB53" s="96"/>
      <c r="AC53" s="96"/>
    </row>
    <row r="54" spans="1:29" ht="16.5">
      <c r="A54" s="53">
        <f t="shared" si="44"/>
        <v>45525</v>
      </c>
      <c r="B54" s="41">
        <f t="shared" si="3"/>
        <v>45525</v>
      </c>
      <c r="C54" s="42" t="str">
        <f t="shared" si="7"/>
        <v>第3  水曜日</v>
      </c>
      <c r="D54" s="4" t="str">
        <f>_xlfn.XLOOKUP(B54,syukujitsu[国民の祝日・休日月日],syukujitsu[国民の祝日・休日名称],"",0,1)</f>
        <v/>
      </c>
      <c r="E54" s="43" t="s">
        <v>488</v>
      </c>
      <c r="F54" s="43" t="s">
        <v>254</v>
      </c>
      <c r="G54" s="43" t="s">
        <v>254</v>
      </c>
      <c r="H54" s="43" t="s">
        <v>254</v>
      </c>
      <c r="I54" s="43" t="s">
        <v>254</v>
      </c>
      <c r="J54" s="43" t="s">
        <v>254</v>
      </c>
      <c r="K54" s="43" t="s">
        <v>254</v>
      </c>
      <c r="L54" s="43" t="s">
        <v>254</v>
      </c>
      <c r="M54" s="29" t="str">
        <f t="shared" ref="M54:R54" si="54">M52</f>
        <v>2025PK／菊地</v>
      </c>
      <c r="N54" s="29" t="str">
        <f t="shared" si="54"/>
        <v>2267PK／畑澤</v>
      </c>
      <c r="O54" s="39" t="s">
        <v>254</v>
      </c>
      <c r="P54" s="29" t="str">
        <f t="shared" si="54"/>
        <v>5122PK／片山</v>
      </c>
      <c r="Q54" s="29" t="str">
        <f t="shared" si="54"/>
        <v>1㌧6902／吉田</v>
      </c>
      <c r="R54" s="29" t="str">
        <f t="shared" si="54"/>
        <v>該当なし</v>
      </c>
      <c r="T54" s="108" t="s">
        <v>455</v>
      </c>
      <c r="U54" s="96"/>
      <c r="V54" s="96" t="s">
        <v>430</v>
      </c>
      <c r="W54" s="96" t="s">
        <v>429</v>
      </c>
      <c r="X54" s="96"/>
      <c r="Y54" s="96"/>
      <c r="Z54" s="96"/>
      <c r="AA54" s="96"/>
      <c r="AB54" s="96"/>
      <c r="AC54" s="96"/>
    </row>
    <row r="55" spans="1:29" ht="16.5">
      <c r="A55" s="53">
        <f t="shared" si="44"/>
        <v>45526</v>
      </c>
      <c r="B55" s="41">
        <f t="shared" si="3"/>
        <v>45526</v>
      </c>
      <c r="C55" s="42" t="str">
        <f t="shared" si="7"/>
        <v>第4  木曜日</v>
      </c>
      <c r="D55" s="4" t="str">
        <f>_xlfn.XLOOKUP(B55,syukujitsu[国民の祝日・休日月日],syukujitsu[国民の祝日・休日名称],"",0,1)</f>
        <v/>
      </c>
      <c r="E55" s="43" t="s">
        <v>254</v>
      </c>
      <c r="F55" s="43" t="s">
        <v>254</v>
      </c>
      <c r="G55" s="43" t="s">
        <v>254</v>
      </c>
      <c r="H55" s="43" t="s">
        <v>254</v>
      </c>
      <c r="I55" s="43" t="s">
        <v>254</v>
      </c>
      <c r="J55" s="43" t="s">
        <v>254</v>
      </c>
      <c r="K55" s="43" t="s">
        <v>254</v>
      </c>
      <c r="L55" s="43" t="s">
        <v>254</v>
      </c>
      <c r="M55" s="29" t="str">
        <f t="shared" ref="M55:R55" si="55">M52</f>
        <v>2025PK／菊地</v>
      </c>
      <c r="N55" s="29" t="str">
        <f t="shared" si="55"/>
        <v>2267PK／畑澤</v>
      </c>
      <c r="O55" s="39" t="s">
        <v>254</v>
      </c>
      <c r="P55" s="29" t="str">
        <f t="shared" si="55"/>
        <v>5122PK／片山</v>
      </c>
      <c r="Q55" s="29" t="str">
        <f t="shared" si="55"/>
        <v>1㌧6902／吉田</v>
      </c>
      <c r="R55" s="29" t="str">
        <f t="shared" si="55"/>
        <v>該当なし</v>
      </c>
      <c r="T55" s="96"/>
      <c r="U55" s="96"/>
      <c r="V55" s="96"/>
      <c r="W55" s="96" t="s">
        <v>429</v>
      </c>
      <c r="X55" s="96"/>
      <c r="Y55" s="96"/>
      <c r="Z55" s="96" t="s">
        <v>430</v>
      </c>
      <c r="AA55" s="96"/>
      <c r="AB55" s="96"/>
      <c r="AC55" s="96"/>
    </row>
    <row r="56" spans="1:29" ht="16.5">
      <c r="A56" s="53">
        <f t="shared" si="44"/>
        <v>45527</v>
      </c>
      <c r="B56" s="41">
        <f t="shared" si="3"/>
        <v>45527</v>
      </c>
      <c r="C56" s="42" t="str">
        <f t="shared" si="7"/>
        <v>第4  金曜日</v>
      </c>
      <c r="D56" s="4" t="str">
        <f>_xlfn.XLOOKUP(B56,syukujitsu[国民の祝日・休日月日],syukujitsu[国民の祝日・休日名称],"",0,1)</f>
        <v/>
      </c>
      <c r="E56" s="43" t="s">
        <v>439</v>
      </c>
      <c r="F56" s="43" t="s">
        <v>254</v>
      </c>
      <c r="G56" s="43" t="s">
        <v>254</v>
      </c>
      <c r="H56" s="43" t="s">
        <v>254</v>
      </c>
      <c r="I56" s="43" t="s">
        <v>254</v>
      </c>
      <c r="J56" s="43" t="s">
        <v>254</v>
      </c>
      <c r="K56" s="43" t="s">
        <v>254</v>
      </c>
      <c r="L56" s="43" t="s">
        <v>254</v>
      </c>
      <c r="M56" s="29" t="str">
        <f t="shared" ref="M56:R56" si="56">M52</f>
        <v>2025PK／菊地</v>
      </c>
      <c r="N56" s="29" t="str">
        <f t="shared" si="56"/>
        <v>2267PK／畑澤</v>
      </c>
      <c r="O56" s="39" t="s">
        <v>254</v>
      </c>
      <c r="P56" s="29" t="str">
        <f t="shared" si="56"/>
        <v>5122PK／片山</v>
      </c>
      <c r="Q56" s="29" t="str">
        <f t="shared" si="56"/>
        <v>1㌧6902／吉田</v>
      </c>
      <c r="R56" s="29" t="str">
        <f t="shared" si="56"/>
        <v>該当なし</v>
      </c>
      <c r="T56" s="96"/>
      <c r="U56" s="96" t="s">
        <v>430</v>
      </c>
      <c r="V56" s="109" t="s">
        <v>449</v>
      </c>
      <c r="W56" s="96" t="s">
        <v>429</v>
      </c>
      <c r="X56" s="111" t="s">
        <v>448</v>
      </c>
      <c r="Y56" s="96"/>
      <c r="Z56" s="96"/>
      <c r="AA56" s="96"/>
      <c r="AB56" s="96"/>
      <c r="AC56" s="96"/>
    </row>
    <row r="57" spans="1:29" ht="16.5">
      <c r="A57" s="53">
        <f t="shared" si="44"/>
        <v>45528</v>
      </c>
      <c r="B57" s="41">
        <f t="shared" si="3"/>
        <v>45528</v>
      </c>
      <c r="C57" s="42" t="str">
        <f t="shared" si="7"/>
        <v>第4  土曜日</v>
      </c>
      <c r="D57" s="4" t="str">
        <f>_xlfn.XLOOKUP(B57,syukujitsu[国民の祝日・休日月日],syukujitsu[国民の祝日・休日名称],"",0,1)</f>
        <v/>
      </c>
      <c r="E57" s="43" t="s">
        <v>254</v>
      </c>
      <c r="F57" s="43" t="s">
        <v>254</v>
      </c>
      <c r="G57" s="43" t="s">
        <v>254</v>
      </c>
      <c r="H57" s="43" t="s">
        <v>254</v>
      </c>
      <c r="I57" s="43" t="s">
        <v>254</v>
      </c>
      <c r="J57" s="43" t="s">
        <v>254</v>
      </c>
      <c r="K57" s="43" t="s">
        <v>254</v>
      </c>
      <c r="L57" s="43" t="s">
        <v>254</v>
      </c>
      <c r="M57" s="39" t="s">
        <v>254</v>
      </c>
      <c r="N57" s="39" t="s">
        <v>254</v>
      </c>
      <c r="O57" s="39" t="s">
        <v>254</v>
      </c>
      <c r="P57" s="39" t="s">
        <v>254</v>
      </c>
      <c r="Q57" s="39" t="s">
        <v>254</v>
      </c>
      <c r="R57" s="39" t="s">
        <v>254</v>
      </c>
      <c r="T57" s="96"/>
      <c r="U57" s="104" t="s">
        <v>428</v>
      </c>
      <c r="V57" s="96" t="s">
        <v>430</v>
      </c>
      <c r="W57" s="103" t="s">
        <v>450</v>
      </c>
      <c r="X57" s="105" t="s">
        <v>427</v>
      </c>
      <c r="Y57" s="103" t="s">
        <v>450</v>
      </c>
      <c r="Z57" s="102" t="s">
        <v>429</v>
      </c>
      <c r="AA57" s="103" t="s">
        <v>450</v>
      </c>
      <c r="AB57" s="103" t="s">
        <v>450</v>
      </c>
      <c r="AC57" s="103" t="s">
        <v>450</v>
      </c>
    </row>
    <row r="58" spans="1:29" ht="16.5">
      <c r="A58" s="53">
        <f t="shared" si="44"/>
        <v>45529</v>
      </c>
      <c r="B58" s="41">
        <f t="shared" si="3"/>
        <v>45529</v>
      </c>
      <c r="C58" s="42" t="str">
        <f t="shared" si="7"/>
        <v>第4  日曜日</v>
      </c>
      <c r="D58" s="4" t="str">
        <f>_xlfn.XLOOKUP(B58,syukujitsu[国民の祝日・休日月日],syukujitsu[国民の祝日・休日名称],"",0,1)</f>
        <v/>
      </c>
      <c r="E58" s="43" t="s">
        <v>254</v>
      </c>
      <c r="F58" s="43" t="s">
        <v>254</v>
      </c>
      <c r="G58" s="43" t="s">
        <v>254</v>
      </c>
      <c r="H58" s="43" t="s">
        <v>254</v>
      </c>
      <c r="I58" s="43" t="s">
        <v>254</v>
      </c>
      <c r="J58" s="43" t="s">
        <v>254</v>
      </c>
      <c r="K58" s="43" t="s">
        <v>254</v>
      </c>
      <c r="L58" s="43" t="s">
        <v>254</v>
      </c>
      <c r="M58" s="39" t="s">
        <v>254</v>
      </c>
      <c r="N58" s="39" t="s">
        <v>254</v>
      </c>
      <c r="O58" s="39" t="s">
        <v>254</v>
      </c>
      <c r="P58" s="39" t="s">
        <v>254</v>
      </c>
      <c r="Q58" s="39" t="s">
        <v>254</v>
      </c>
      <c r="R58" s="39" t="s">
        <v>254</v>
      </c>
      <c r="T58" s="103" t="s">
        <v>450</v>
      </c>
      <c r="U58" s="103" t="s">
        <v>450</v>
      </c>
      <c r="V58" s="103" t="s">
        <v>450</v>
      </c>
      <c r="W58" s="103" t="s">
        <v>450</v>
      </c>
      <c r="X58" s="103" t="s">
        <v>450</v>
      </c>
      <c r="Y58" s="103" t="s">
        <v>450</v>
      </c>
      <c r="Z58" s="103" t="s">
        <v>450</v>
      </c>
      <c r="AA58" s="103" t="s">
        <v>450</v>
      </c>
      <c r="AB58" s="103" t="s">
        <v>450</v>
      </c>
      <c r="AC58" s="103" t="s">
        <v>450</v>
      </c>
    </row>
    <row r="59" spans="1:29" ht="16.5">
      <c r="A59" s="53">
        <f t="shared" si="44"/>
        <v>45530</v>
      </c>
      <c r="B59" s="41">
        <f t="shared" si="3"/>
        <v>45530</v>
      </c>
      <c r="C59" s="42" t="str">
        <f t="shared" si="7"/>
        <v>第4  月曜日</v>
      </c>
      <c r="D59" s="4" t="str">
        <f>_xlfn.XLOOKUP(B59,syukujitsu[国民の祝日・休日月日],syukujitsu[国民の祝日・休日名称],"",0,1)</f>
        <v/>
      </c>
      <c r="E59" s="43" t="s">
        <v>254</v>
      </c>
      <c r="F59" s="43" t="s">
        <v>631</v>
      </c>
      <c r="G59" s="43" t="s">
        <v>254</v>
      </c>
      <c r="H59" s="43" t="s">
        <v>254</v>
      </c>
      <c r="I59" s="43" t="s">
        <v>254</v>
      </c>
      <c r="J59" s="43" t="s">
        <v>254</v>
      </c>
      <c r="K59" s="43" t="s">
        <v>254</v>
      </c>
      <c r="L59" s="43" t="s">
        <v>254</v>
      </c>
      <c r="M59" s="29" t="str">
        <f>_xlfn.XLOOKUP($B59,シフトスケジュール!$C:$C,シフトスケジュール!D:D,"該当なし",0,1)</f>
        <v>2025PK／畑澤</v>
      </c>
      <c r="N59" s="29" t="str">
        <f>_xlfn.XLOOKUP($B59,シフトスケジュール!$C:$C,シフトスケジュール!E:E,"該当なし",0,1)</f>
        <v>2267PK／片山</v>
      </c>
      <c r="O59" s="39" t="s">
        <v>254</v>
      </c>
      <c r="P59" s="29" t="str">
        <f>_xlfn.XLOOKUP($B59,シフトスケジュール!$C:$C,シフトスケジュール!G:G,"該当なし",0,1)</f>
        <v>5122PK／菊地</v>
      </c>
      <c r="Q59" s="29" t="str">
        <f>_xlfn.XLOOKUP($B59,シフトスケジュール!$C:$C,シフトスケジュール!H:H,"該当なし",0,1)</f>
        <v>1㌧6902／吉田</v>
      </c>
      <c r="R59" s="29" t="s">
        <v>742</v>
      </c>
      <c r="T59" s="96"/>
      <c r="U59" s="96"/>
      <c r="V59" s="96"/>
      <c r="W59" s="100" t="s">
        <v>451</v>
      </c>
      <c r="X59" s="96"/>
      <c r="Y59" s="105" t="s">
        <v>427</v>
      </c>
      <c r="Z59" s="96"/>
      <c r="AA59" s="96"/>
      <c r="AB59" s="96"/>
      <c r="AC59" s="96"/>
    </row>
    <row r="60" spans="1:29" ht="16.5">
      <c r="A60" s="53">
        <f t="shared" si="44"/>
        <v>45531</v>
      </c>
      <c r="B60" s="41">
        <f t="shared" si="3"/>
        <v>45531</v>
      </c>
      <c r="C60" s="42" t="str">
        <f t="shared" si="7"/>
        <v>第4  火曜日</v>
      </c>
      <c r="D60" s="4" t="str">
        <f>_xlfn.XLOOKUP(B60,syukujitsu[国民の祝日・休日月日],syukujitsu[国民の祝日・休日名称],"",0,1)</f>
        <v/>
      </c>
      <c r="E60" s="43" t="s">
        <v>254</v>
      </c>
      <c r="F60" s="43" t="s">
        <v>254</v>
      </c>
      <c r="G60" s="43" t="s">
        <v>254</v>
      </c>
      <c r="H60" s="43" t="s">
        <v>254</v>
      </c>
      <c r="I60" s="43" t="s">
        <v>254</v>
      </c>
      <c r="J60" s="43" t="s">
        <v>254</v>
      </c>
      <c r="K60" s="43" t="s">
        <v>254</v>
      </c>
      <c r="L60" s="43" t="s">
        <v>254</v>
      </c>
      <c r="M60" s="29" t="str">
        <f t="shared" ref="M60:R60" si="57">M59</f>
        <v>2025PK／畑澤</v>
      </c>
      <c r="N60" s="29" t="str">
        <f t="shared" si="57"/>
        <v>2267PK／片山</v>
      </c>
      <c r="O60" s="39" t="s">
        <v>254</v>
      </c>
      <c r="P60" s="29" t="str">
        <f t="shared" si="57"/>
        <v>5122PK／菊地</v>
      </c>
      <c r="Q60" s="29" t="str">
        <f t="shared" si="57"/>
        <v>1㌧6902／吉田</v>
      </c>
      <c r="R60" s="29" t="str">
        <f t="shared" si="57"/>
        <v>該当なし</v>
      </c>
      <c r="T60" s="96"/>
      <c r="U60" s="96"/>
      <c r="V60" s="96"/>
      <c r="W60" s="96"/>
      <c r="X60" s="96"/>
      <c r="Y60" s="96" t="s">
        <v>429</v>
      </c>
      <c r="Z60" s="96" t="s">
        <v>430</v>
      </c>
      <c r="AA60" s="96"/>
      <c r="AB60" s="96"/>
      <c r="AC60" s="96"/>
    </row>
    <row r="61" spans="1:29" ht="16.5">
      <c r="A61" s="53">
        <f t="shared" si="44"/>
        <v>45532</v>
      </c>
      <c r="B61" s="41">
        <f t="shared" si="3"/>
        <v>45532</v>
      </c>
      <c r="C61" s="42" t="str">
        <f t="shared" si="7"/>
        <v>第4  水曜日</v>
      </c>
      <c r="D61" s="4" t="str">
        <f>_xlfn.XLOOKUP(B61,syukujitsu[国民の祝日・休日月日],syukujitsu[国民の祝日・休日名称],"",0,1)</f>
        <v/>
      </c>
      <c r="E61" s="43" t="s">
        <v>622</v>
      </c>
      <c r="F61" s="43" t="s">
        <v>631</v>
      </c>
      <c r="G61" s="43" t="s">
        <v>254</v>
      </c>
      <c r="H61" s="43" t="s">
        <v>254</v>
      </c>
      <c r="I61" s="43" t="s">
        <v>254</v>
      </c>
      <c r="J61" s="43" t="s">
        <v>254</v>
      </c>
      <c r="K61" s="43" t="s">
        <v>254</v>
      </c>
      <c r="L61" s="43" t="s">
        <v>254</v>
      </c>
      <c r="M61" s="29" t="str">
        <f t="shared" ref="M61:R61" si="58">M59</f>
        <v>2025PK／畑澤</v>
      </c>
      <c r="N61" s="29" t="str">
        <f t="shared" si="58"/>
        <v>2267PK／片山</v>
      </c>
      <c r="O61" s="39" t="s">
        <v>254</v>
      </c>
      <c r="P61" s="29" t="str">
        <f t="shared" si="58"/>
        <v>5122PK／菊地</v>
      </c>
      <c r="Q61" s="29" t="str">
        <f t="shared" si="58"/>
        <v>1㌧6902／吉田</v>
      </c>
      <c r="R61" s="29" t="str">
        <f t="shared" si="58"/>
        <v>該当なし</v>
      </c>
      <c r="T61" s="96"/>
      <c r="U61" s="106" t="s">
        <v>452</v>
      </c>
      <c r="V61" s="96" t="s">
        <v>430</v>
      </c>
      <c r="W61" s="96"/>
      <c r="X61" s="96"/>
      <c r="Y61" s="96" t="s">
        <v>429</v>
      </c>
      <c r="Z61" s="107" t="s">
        <v>453</v>
      </c>
      <c r="AA61" s="96"/>
      <c r="AB61" s="96"/>
      <c r="AC61" s="96"/>
    </row>
    <row r="62" spans="1:29" ht="16.5">
      <c r="A62" s="53">
        <f t="shared" si="44"/>
        <v>45533</v>
      </c>
      <c r="B62" s="41">
        <f t="shared" si="3"/>
        <v>45533</v>
      </c>
      <c r="C62" s="42" t="str">
        <f t="shared" si="7"/>
        <v>第5  木曜日</v>
      </c>
      <c r="D62" s="4" t="str">
        <f>_xlfn.XLOOKUP(B62,syukujitsu[国民の祝日・休日月日],syukujitsu[国民の祝日・休日名称],"",0,1)</f>
        <v/>
      </c>
      <c r="E62" s="43" t="s">
        <v>628</v>
      </c>
      <c r="F62" s="43" t="s">
        <v>254</v>
      </c>
      <c r="G62" s="43" t="s">
        <v>254</v>
      </c>
      <c r="H62" s="43" t="s">
        <v>254</v>
      </c>
      <c r="I62" s="43" t="s">
        <v>254</v>
      </c>
      <c r="J62" s="43" t="s">
        <v>254</v>
      </c>
      <c r="K62" s="43" t="s">
        <v>254</v>
      </c>
      <c r="L62" s="43" t="s">
        <v>254</v>
      </c>
      <c r="M62" s="29" t="str">
        <f t="shared" ref="M62:R62" si="59">M59</f>
        <v>2025PK／畑澤</v>
      </c>
      <c r="N62" s="29" t="str">
        <f t="shared" si="59"/>
        <v>2267PK／片山</v>
      </c>
      <c r="O62" s="39" t="s">
        <v>254</v>
      </c>
      <c r="P62" s="29" t="str">
        <f t="shared" si="59"/>
        <v>5122PK／菊地</v>
      </c>
      <c r="Q62" s="29" t="str">
        <f t="shared" si="59"/>
        <v>1㌧6902／吉田</v>
      </c>
      <c r="R62" s="29" t="str">
        <f t="shared" si="59"/>
        <v>該当なし</v>
      </c>
      <c r="T62" s="96"/>
      <c r="U62" s="96" t="s">
        <v>430</v>
      </c>
      <c r="V62" s="96"/>
      <c r="W62" s="96"/>
      <c r="X62" s="96"/>
      <c r="Y62" s="96" t="s">
        <v>429</v>
      </c>
      <c r="Z62" s="96"/>
      <c r="AA62" s="96"/>
      <c r="AB62" s="96"/>
      <c r="AC62" s="96"/>
    </row>
    <row r="63" spans="1:29" ht="16.5">
      <c r="A63" s="53">
        <f t="shared" si="44"/>
        <v>45534</v>
      </c>
      <c r="B63" s="41">
        <f t="shared" si="3"/>
        <v>45534</v>
      </c>
      <c r="C63" s="42" t="str">
        <f t="shared" si="7"/>
        <v>第5  金曜日</v>
      </c>
      <c r="D63" s="4" t="str">
        <f>_xlfn.XLOOKUP(B63,syukujitsu[国民の祝日・休日月日],syukujitsu[国民の祝日・休日名称],"",0,1)</f>
        <v/>
      </c>
      <c r="E63" s="43" t="s">
        <v>254</v>
      </c>
      <c r="F63" s="43" t="s">
        <v>631</v>
      </c>
      <c r="G63" s="43" t="s">
        <v>254</v>
      </c>
      <c r="H63" s="43" t="s">
        <v>254</v>
      </c>
      <c r="I63" s="43" t="s">
        <v>254</v>
      </c>
      <c r="J63" s="43" t="s">
        <v>254</v>
      </c>
      <c r="K63" s="43" t="s">
        <v>254</v>
      </c>
      <c r="L63" s="43" t="s">
        <v>254</v>
      </c>
      <c r="M63" s="29" t="str">
        <f t="shared" ref="M63:R63" si="60">M59</f>
        <v>2025PK／畑澤</v>
      </c>
      <c r="N63" s="29" t="str">
        <f t="shared" si="60"/>
        <v>2267PK／片山</v>
      </c>
      <c r="O63" s="39" t="s">
        <v>254</v>
      </c>
      <c r="P63" s="29" t="str">
        <f t="shared" si="60"/>
        <v>5122PK／菊地</v>
      </c>
      <c r="Q63" s="29" t="str">
        <f t="shared" si="60"/>
        <v>1㌧6902／吉田</v>
      </c>
      <c r="R63" s="29" t="str">
        <f t="shared" si="60"/>
        <v>該当なし</v>
      </c>
      <c r="T63" s="96"/>
      <c r="U63" s="96"/>
      <c r="V63" s="96"/>
      <c r="W63" s="110" t="s">
        <v>456</v>
      </c>
      <c r="X63" s="96"/>
      <c r="Y63" s="96" t="s">
        <v>429</v>
      </c>
      <c r="Z63" s="96"/>
      <c r="AA63" s="96"/>
      <c r="AB63" s="96"/>
      <c r="AC63" s="96"/>
    </row>
    <row r="64" spans="1:29" ht="16.5">
      <c r="A64" s="53">
        <f t="shared" si="44"/>
        <v>45535</v>
      </c>
      <c r="B64" s="41">
        <f t="shared" si="3"/>
        <v>45535</v>
      </c>
      <c r="C64" s="42" t="str">
        <f t="shared" si="7"/>
        <v>第5  土曜日</v>
      </c>
      <c r="D64" s="4" t="str">
        <f>_xlfn.XLOOKUP(B64,syukujitsu[国民の祝日・休日月日],syukujitsu[国民の祝日・休日名称],"",0,1)</f>
        <v/>
      </c>
      <c r="E64" s="43" t="s">
        <v>254</v>
      </c>
      <c r="F64" s="43" t="s">
        <v>254</v>
      </c>
      <c r="G64" s="43" t="s">
        <v>254</v>
      </c>
      <c r="H64" s="43" t="s">
        <v>254</v>
      </c>
      <c r="I64" s="43" t="s">
        <v>254</v>
      </c>
      <c r="J64" s="43" t="s">
        <v>254</v>
      </c>
      <c r="K64" s="43" t="s">
        <v>254</v>
      </c>
      <c r="L64" s="43" t="s">
        <v>254</v>
      </c>
      <c r="M64" s="39" t="s">
        <v>254</v>
      </c>
      <c r="N64" s="39" t="s">
        <v>254</v>
      </c>
      <c r="O64" s="39" t="s">
        <v>254</v>
      </c>
      <c r="P64" s="39" t="s">
        <v>254</v>
      </c>
      <c r="Q64" s="39" t="s">
        <v>254</v>
      </c>
      <c r="R64" s="39" t="s">
        <v>254</v>
      </c>
      <c r="T64" s="104" t="s">
        <v>428</v>
      </c>
      <c r="U64" s="102" t="s">
        <v>430</v>
      </c>
      <c r="V64" s="103" t="s">
        <v>450</v>
      </c>
      <c r="W64" s="96"/>
      <c r="X64" s="103" t="s">
        <v>450</v>
      </c>
      <c r="Y64" s="102" t="s">
        <v>429</v>
      </c>
      <c r="Z64" s="103" t="s">
        <v>450</v>
      </c>
      <c r="AA64" s="103" t="s">
        <v>450</v>
      </c>
      <c r="AB64" s="103" t="s">
        <v>450</v>
      </c>
      <c r="AC64" s="103" t="s">
        <v>450</v>
      </c>
    </row>
    <row r="65" spans="1:29" ht="16.5">
      <c r="A65" s="53">
        <f t="shared" si="44"/>
        <v>45536</v>
      </c>
      <c r="B65" s="41">
        <f t="shared" si="3"/>
        <v>45536</v>
      </c>
      <c r="C65" s="42" t="str">
        <f t="shared" si="7"/>
        <v>第1  日曜日</v>
      </c>
      <c r="D65" s="4" t="str">
        <f>_xlfn.XLOOKUP(B65,syukujitsu[国民の祝日・休日月日],syukujitsu[国民の祝日・休日名称],"",0,1)</f>
        <v/>
      </c>
      <c r="E65" s="43" t="s">
        <v>254</v>
      </c>
      <c r="F65" s="43" t="s">
        <v>254</v>
      </c>
      <c r="G65" s="43" t="s">
        <v>254</v>
      </c>
      <c r="H65" s="43" t="s">
        <v>254</v>
      </c>
      <c r="I65" s="43" t="s">
        <v>254</v>
      </c>
      <c r="J65" s="43" t="s">
        <v>254</v>
      </c>
      <c r="K65" s="43" t="s">
        <v>254</v>
      </c>
      <c r="L65" s="43" t="s">
        <v>254</v>
      </c>
      <c r="M65" s="39" t="s">
        <v>254</v>
      </c>
      <c r="N65" s="39" t="s">
        <v>254</v>
      </c>
      <c r="O65" s="39" t="s">
        <v>254</v>
      </c>
      <c r="P65" s="39" t="s">
        <v>254</v>
      </c>
      <c r="Q65" s="39" t="s">
        <v>254</v>
      </c>
      <c r="R65" s="39" t="s">
        <v>254</v>
      </c>
      <c r="T65" s="103" t="s">
        <v>450</v>
      </c>
      <c r="U65" s="103" t="s">
        <v>450</v>
      </c>
      <c r="V65" s="103" t="s">
        <v>450</v>
      </c>
      <c r="W65" s="103" t="s">
        <v>450</v>
      </c>
      <c r="X65" s="103" t="s">
        <v>450</v>
      </c>
      <c r="Y65" s="103" t="s">
        <v>450</v>
      </c>
      <c r="Z65" s="103" t="s">
        <v>450</v>
      </c>
      <c r="AA65" s="103" t="s">
        <v>450</v>
      </c>
      <c r="AB65" s="103" t="s">
        <v>450</v>
      </c>
      <c r="AC65" s="103" t="s">
        <v>450</v>
      </c>
    </row>
    <row r="66" spans="1:29" ht="16.5">
      <c r="A66" s="53">
        <f t="shared" si="44"/>
        <v>45537</v>
      </c>
      <c r="B66" s="41">
        <f t="shared" si="3"/>
        <v>45537</v>
      </c>
      <c r="C66" s="42" t="str">
        <f t="shared" si="7"/>
        <v>第1  月曜日</v>
      </c>
      <c r="D66" s="4" t="str">
        <f>_xlfn.XLOOKUP(B66,syukujitsu[国民の祝日・休日月日],syukujitsu[国民の祝日・休日名称],"",0,1)</f>
        <v/>
      </c>
      <c r="E66" s="43" t="s">
        <v>254</v>
      </c>
      <c r="F66" s="43" t="s">
        <v>631</v>
      </c>
      <c r="G66" s="43" t="s">
        <v>254</v>
      </c>
      <c r="H66" s="43" t="s">
        <v>254</v>
      </c>
      <c r="I66" s="43" t="s">
        <v>254</v>
      </c>
      <c r="J66" s="43" t="s">
        <v>254</v>
      </c>
      <c r="K66" s="43" t="s">
        <v>254</v>
      </c>
      <c r="L66" s="43" t="s">
        <v>254</v>
      </c>
      <c r="M66" s="29" t="str">
        <f>_xlfn.XLOOKUP($B66,シフトスケジュール!$C:$C,シフトスケジュール!D:D,"該当なし",0,1)</f>
        <v>2025PK／片山</v>
      </c>
      <c r="N66" s="29" t="str">
        <f>_xlfn.XLOOKUP($B66,シフトスケジュール!$C:$C,シフトスケジュール!E:E,"該当なし",0,1)</f>
        <v>2267PK／菊地</v>
      </c>
      <c r="O66" s="39" t="s">
        <v>254</v>
      </c>
      <c r="P66" s="29" t="str">
        <f>_xlfn.XLOOKUP($B66,シフトスケジュール!$C:$C,シフトスケジュール!G:G,"該当なし",0,1)</f>
        <v>5122PK／畑澤</v>
      </c>
      <c r="Q66" s="29" t="str">
        <f>_xlfn.XLOOKUP($B66,シフトスケジュール!$C:$C,シフトスケジュール!H:H,"該当なし",0,1)</f>
        <v>1㌧6902／吉田</v>
      </c>
      <c r="R66" s="29" t="s">
        <v>742</v>
      </c>
      <c r="T66" s="96"/>
      <c r="U66" s="105" t="s">
        <v>427</v>
      </c>
      <c r="V66" s="96"/>
      <c r="W66" s="96"/>
      <c r="X66" s="96"/>
      <c r="Y66" s="96"/>
      <c r="Z66" s="100" t="s">
        <v>451</v>
      </c>
      <c r="AA66" s="96"/>
      <c r="AB66" s="96"/>
      <c r="AC66" s="96"/>
    </row>
    <row r="67" spans="1:29" ht="16.5">
      <c r="A67" s="53">
        <f t="shared" si="44"/>
        <v>45538</v>
      </c>
      <c r="B67" s="41">
        <f t="shared" si="3"/>
        <v>45538</v>
      </c>
      <c r="C67" s="42" t="str">
        <f t="shared" si="7"/>
        <v>第1  火曜日</v>
      </c>
      <c r="D67" s="4" t="str">
        <f>_xlfn.XLOOKUP(B67,syukujitsu[国民の祝日・休日月日],syukujitsu[国民の祝日・休日名称],"",0,1)</f>
        <v/>
      </c>
      <c r="E67" s="43" t="s">
        <v>644</v>
      </c>
      <c r="F67" s="43" t="s">
        <v>254</v>
      </c>
      <c r="G67" s="43" t="s">
        <v>254</v>
      </c>
      <c r="H67" s="43" t="s">
        <v>254</v>
      </c>
      <c r="I67" s="43" t="s">
        <v>254</v>
      </c>
      <c r="J67" s="43" t="s">
        <v>254</v>
      </c>
      <c r="K67" s="43" t="s">
        <v>254</v>
      </c>
      <c r="L67" s="43" t="s">
        <v>254</v>
      </c>
      <c r="M67" s="29" t="str">
        <f t="shared" ref="M67:R67" si="61">M66</f>
        <v>2025PK／片山</v>
      </c>
      <c r="N67" s="29" t="str">
        <f t="shared" si="61"/>
        <v>2267PK／菊地</v>
      </c>
      <c r="O67" s="39" t="s">
        <v>254</v>
      </c>
      <c r="P67" s="29" t="str">
        <f t="shared" si="61"/>
        <v>5122PK／畑澤</v>
      </c>
      <c r="Q67" s="29" t="str">
        <f t="shared" si="61"/>
        <v>1㌧6902／吉田</v>
      </c>
      <c r="R67" s="29" t="str">
        <f t="shared" si="61"/>
        <v>該当なし</v>
      </c>
      <c r="T67" s="96"/>
      <c r="U67" s="96"/>
      <c r="V67" s="96"/>
      <c r="W67" s="96" t="s">
        <v>430</v>
      </c>
      <c r="X67" s="96"/>
      <c r="Y67" s="96"/>
      <c r="Z67" s="96" t="s">
        <v>322</v>
      </c>
      <c r="AA67" s="96"/>
      <c r="AB67" s="96"/>
      <c r="AC67" s="96"/>
    </row>
    <row r="68" spans="1:29" ht="16.5">
      <c r="A68" s="53">
        <f t="shared" si="44"/>
        <v>45539</v>
      </c>
      <c r="B68" s="41">
        <f t="shared" si="3"/>
        <v>45539</v>
      </c>
      <c r="C68" s="42" t="str">
        <f t="shared" si="7"/>
        <v>第1  水曜日</v>
      </c>
      <c r="D68" s="4" t="str">
        <f>_xlfn.XLOOKUP(B68,syukujitsu[国民の祝日・休日月日],syukujitsu[国民の祝日・休日名称],"",0,1)</f>
        <v/>
      </c>
      <c r="E68" s="43" t="s">
        <v>625</v>
      </c>
      <c r="F68" s="43" t="s">
        <v>631</v>
      </c>
      <c r="G68" s="43" t="s">
        <v>254</v>
      </c>
      <c r="H68" s="43" t="s">
        <v>254</v>
      </c>
      <c r="I68" s="43" t="s">
        <v>254</v>
      </c>
      <c r="J68" s="43" t="s">
        <v>254</v>
      </c>
      <c r="K68" s="43" t="s">
        <v>254</v>
      </c>
      <c r="L68" s="43" t="s">
        <v>254</v>
      </c>
      <c r="M68" s="29" t="str">
        <f t="shared" ref="M68:R68" si="62">M66</f>
        <v>2025PK／片山</v>
      </c>
      <c r="N68" s="29" t="str">
        <f t="shared" si="62"/>
        <v>2267PK／菊地</v>
      </c>
      <c r="O68" s="39" t="s">
        <v>254</v>
      </c>
      <c r="P68" s="29" t="str">
        <f t="shared" si="62"/>
        <v>5122PK／畑澤</v>
      </c>
      <c r="Q68" s="29" t="str">
        <f t="shared" si="62"/>
        <v>1㌧6902／吉田</v>
      </c>
      <c r="R68" s="29" t="str">
        <f t="shared" si="62"/>
        <v>該当なし</v>
      </c>
      <c r="T68" s="96"/>
      <c r="U68" s="96"/>
      <c r="V68" s="96" t="s">
        <v>430</v>
      </c>
      <c r="W68" s="96"/>
      <c r="X68" s="96"/>
      <c r="Y68" s="96"/>
      <c r="Z68" s="96" t="s">
        <v>322</v>
      </c>
      <c r="AA68" s="96"/>
      <c r="AB68" s="96"/>
      <c r="AC68" s="96"/>
    </row>
    <row r="69" spans="1:29" ht="16.5">
      <c r="A69" s="53">
        <f t="shared" si="44"/>
        <v>45540</v>
      </c>
      <c r="B69" s="41">
        <f t="shared" ref="B69:B132" si="63">B68+1</f>
        <v>45540</v>
      </c>
      <c r="C69" s="42" t="str">
        <f t="shared" si="7"/>
        <v>第1  木曜日</v>
      </c>
      <c r="D69" s="4" t="str">
        <f>_xlfn.XLOOKUP(B69,syukujitsu[国民の祝日・休日月日],syukujitsu[国民の祝日・休日名称],"",0,1)</f>
        <v/>
      </c>
      <c r="E69" s="43" t="s">
        <v>254</v>
      </c>
      <c r="F69" s="43" t="s">
        <v>254</v>
      </c>
      <c r="G69" s="43" t="s">
        <v>254</v>
      </c>
      <c r="H69" s="43" t="s">
        <v>254</v>
      </c>
      <c r="I69" s="43" t="s">
        <v>254</v>
      </c>
      <c r="J69" s="43" t="s">
        <v>254</v>
      </c>
      <c r="K69" s="43" t="s">
        <v>254</v>
      </c>
      <c r="L69" s="43" t="s">
        <v>254</v>
      </c>
      <c r="M69" s="29" t="str">
        <f t="shared" ref="M69:R69" si="64">M66</f>
        <v>2025PK／片山</v>
      </c>
      <c r="N69" s="29" t="str">
        <f t="shared" si="64"/>
        <v>2267PK／菊地</v>
      </c>
      <c r="O69" s="39" t="s">
        <v>254</v>
      </c>
      <c r="P69" s="29" t="str">
        <f t="shared" si="64"/>
        <v>5122PK／畑澤</v>
      </c>
      <c r="Q69" s="29" t="str">
        <f t="shared" si="64"/>
        <v>1㌧6902／吉田</v>
      </c>
      <c r="R69" s="29" t="str">
        <f t="shared" si="64"/>
        <v>該当なし</v>
      </c>
      <c r="T69" s="96"/>
      <c r="U69" s="96" t="s">
        <v>430</v>
      </c>
      <c r="V69" s="96"/>
      <c r="W69" s="96"/>
      <c r="X69" s="96"/>
      <c r="Y69" s="96"/>
      <c r="Z69" s="96" t="s">
        <v>322</v>
      </c>
      <c r="AA69" s="96"/>
      <c r="AB69" s="96"/>
      <c r="AC69" s="96"/>
    </row>
    <row r="70" spans="1:29" ht="16.5">
      <c r="A70" s="53">
        <f t="shared" si="44"/>
        <v>45541</v>
      </c>
      <c r="B70" s="41">
        <f t="shared" si="63"/>
        <v>45541</v>
      </c>
      <c r="C70" s="42" t="str">
        <f t="shared" si="7"/>
        <v>第1  金曜日</v>
      </c>
      <c r="D70" s="4" t="str">
        <f>_xlfn.XLOOKUP(B70,syukujitsu[国民の祝日・休日月日],syukujitsu[国民の祝日・休日名称],"",0,1)</f>
        <v/>
      </c>
      <c r="E70" s="43" t="s">
        <v>439</v>
      </c>
      <c r="F70" s="43" t="s">
        <v>631</v>
      </c>
      <c r="G70" s="43" t="s">
        <v>254</v>
      </c>
      <c r="H70" s="43" t="s">
        <v>254</v>
      </c>
      <c r="I70" s="43" t="s">
        <v>254</v>
      </c>
      <c r="J70" s="43" t="s">
        <v>254</v>
      </c>
      <c r="K70" s="43" t="s">
        <v>254</v>
      </c>
      <c r="L70" s="43" t="s">
        <v>254</v>
      </c>
      <c r="M70" s="29" t="str">
        <f t="shared" ref="M70:R70" si="65">M66</f>
        <v>2025PK／片山</v>
      </c>
      <c r="N70" s="29" t="str">
        <f t="shared" si="65"/>
        <v>2267PK／菊地</v>
      </c>
      <c r="O70" s="39" t="s">
        <v>254</v>
      </c>
      <c r="P70" s="29" t="str">
        <f t="shared" si="65"/>
        <v>5122PK／畑澤</v>
      </c>
      <c r="Q70" s="29" t="str">
        <f t="shared" si="65"/>
        <v>1㌧6902／吉田</v>
      </c>
      <c r="R70" s="29" t="str">
        <f t="shared" si="65"/>
        <v>該当なし</v>
      </c>
      <c r="T70" s="97" t="s">
        <v>448</v>
      </c>
      <c r="U70" s="109" t="s">
        <v>449</v>
      </c>
      <c r="V70" s="96"/>
      <c r="W70" s="96"/>
      <c r="X70" s="96"/>
      <c r="Y70" s="96"/>
      <c r="Z70" s="100" t="s">
        <v>451</v>
      </c>
      <c r="AA70" s="96"/>
      <c r="AB70" s="96"/>
      <c r="AC70" s="96"/>
    </row>
    <row r="71" spans="1:29" ht="16.5">
      <c r="A71" s="53">
        <f t="shared" si="44"/>
        <v>45542</v>
      </c>
      <c r="B71" s="41">
        <f t="shared" si="63"/>
        <v>45542</v>
      </c>
      <c r="C71" s="42" t="str">
        <f t="shared" si="7"/>
        <v>第1  土曜日</v>
      </c>
      <c r="D71" s="4" t="str">
        <f>_xlfn.XLOOKUP(B71,syukujitsu[国民の祝日・休日月日],syukujitsu[国民の祝日・休日名称],"",0,1)</f>
        <v/>
      </c>
      <c r="E71" s="43" t="s">
        <v>254</v>
      </c>
      <c r="F71" s="43" t="s">
        <v>254</v>
      </c>
      <c r="G71" s="43" t="s">
        <v>254</v>
      </c>
      <c r="H71" s="43" t="s">
        <v>254</v>
      </c>
      <c r="I71" s="43" t="s">
        <v>254</v>
      </c>
      <c r="J71" s="43" t="s">
        <v>254</v>
      </c>
      <c r="K71" s="43" t="s">
        <v>254</v>
      </c>
      <c r="L71" s="43" t="s">
        <v>254</v>
      </c>
      <c r="M71" s="39" t="s">
        <v>254</v>
      </c>
      <c r="N71" s="39" t="s">
        <v>254</v>
      </c>
      <c r="O71" s="39" t="s">
        <v>254</v>
      </c>
      <c r="P71" s="39" t="s">
        <v>254</v>
      </c>
      <c r="Q71" s="39" t="s">
        <v>254</v>
      </c>
      <c r="R71" s="39" t="s">
        <v>254</v>
      </c>
      <c r="T71" s="105" t="s">
        <v>427</v>
      </c>
      <c r="U71" s="103" t="s">
        <v>450</v>
      </c>
      <c r="V71" s="102" t="s">
        <v>322</v>
      </c>
      <c r="W71" s="96" t="s">
        <v>430</v>
      </c>
      <c r="X71" s="102"/>
      <c r="Y71" s="103" t="s">
        <v>450</v>
      </c>
      <c r="Z71" s="96"/>
      <c r="AA71" s="103" t="s">
        <v>450</v>
      </c>
      <c r="AB71" s="103" t="s">
        <v>450</v>
      </c>
      <c r="AC71" s="103" t="s">
        <v>450</v>
      </c>
    </row>
    <row r="72" spans="1:29" ht="16.5">
      <c r="A72" s="53">
        <f t="shared" si="44"/>
        <v>45543</v>
      </c>
      <c r="B72" s="41">
        <f t="shared" si="63"/>
        <v>45543</v>
      </c>
      <c r="C72" s="42" t="str">
        <f t="shared" si="7"/>
        <v>第2  日曜日</v>
      </c>
      <c r="D72" s="4" t="str">
        <f>_xlfn.XLOOKUP(B72,syukujitsu[国民の祝日・休日月日],syukujitsu[国民の祝日・休日名称],"",0,1)</f>
        <v/>
      </c>
      <c r="E72" s="43" t="s">
        <v>254</v>
      </c>
      <c r="F72" s="43" t="s">
        <v>254</v>
      </c>
      <c r="G72" s="43" t="s">
        <v>254</v>
      </c>
      <c r="H72" s="43" t="s">
        <v>254</v>
      </c>
      <c r="I72" s="43" t="s">
        <v>254</v>
      </c>
      <c r="J72" s="43" t="s">
        <v>254</v>
      </c>
      <c r="K72" s="43" t="s">
        <v>254</v>
      </c>
      <c r="L72" s="43" t="s">
        <v>254</v>
      </c>
      <c r="M72" s="39" t="s">
        <v>254</v>
      </c>
      <c r="N72" s="39" t="s">
        <v>254</v>
      </c>
      <c r="O72" s="39" t="s">
        <v>254</v>
      </c>
      <c r="P72" s="39" t="s">
        <v>254</v>
      </c>
      <c r="Q72" s="39" t="s">
        <v>254</v>
      </c>
      <c r="R72" s="39" t="s">
        <v>254</v>
      </c>
      <c r="T72" s="103" t="s">
        <v>450</v>
      </c>
      <c r="U72" s="103" t="s">
        <v>450</v>
      </c>
      <c r="V72" s="103" t="s">
        <v>450</v>
      </c>
      <c r="W72" s="103" t="s">
        <v>450</v>
      </c>
      <c r="X72" s="103" t="s">
        <v>450</v>
      </c>
      <c r="Y72" s="103" t="s">
        <v>450</v>
      </c>
      <c r="Z72" s="103" t="s">
        <v>450</v>
      </c>
      <c r="AA72" s="103" t="s">
        <v>450</v>
      </c>
      <c r="AB72" s="103" t="s">
        <v>450</v>
      </c>
      <c r="AC72" s="103" t="s">
        <v>450</v>
      </c>
    </row>
    <row r="73" spans="1:29" ht="16.5">
      <c r="A73" s="53">
        <f t="shared" si="44"/>
        <v>45544</v>
      </c>
      <c r="B73" s="41">
        <f t="shared" si="63"/>
        <v>45544</v>
      </c>
      <c r="C73" s="42" t="str">
        <f t="shared" si="7"/>
        <v>第2  月曜日</v>
      </c>
      <c r="D73" s="4" t="str">
        <f>_xlfn.XLOOKUP(B73,syukujitsu[国民の祝日・休日月日],syukujitsu[国民の祝日・休日名称],"",0,1)</f>
        <v/>
      </c>
      <c r="E73" s="43" t="s">
        <v>254</v>
      </c>
      <c r="F73" s="43" t="s">
        <v>631</v>
      </c>
      <c r="G73" s="43" t="s">
        <v>254</v>
      </c>
      <c r="H73" s="43" t="s">
        <v>254</v>
      </c>
      <c r="I73" s="43" t="s">
        <v>254</v>
      </c>
      <c r="J73" s="43" t="s">
        <v>254</v>
      </c>
      <c r="K73" s="43" t="s">
        <v>254</v>
      </c>
      <c r="L73" s="43" t="s">
        <v>254</v>
      </c>
      <c r="M73" s="29" t="str">
        <f>_xlfn.XLOOKUP($B73,シフトスケジュール!$C:$C,シフトスケジュール!D:D,"該当なし",0,1)</f>
        <v>2025PK／菊地</v>
      </c>
      <c r="N73" s="29" t="str">
        <f>_xlfn.XLOOKUP($B73,シフトスケジュール!$C:$C,シフトスケジュール!E:E,"該当なし",0,1)</f>
        <v>2267PK／畑澤</v>
      </c>
      <c r="O73" s="39" t="s">
        <v>254</v>
      </c>
      <c r="P73" s="29" t="str">
        <f>_xlfn.XLOOKUP($B73,シフトスケジュール!$C:$C,シフトスケジュール!G:G,"該当なし",0,1)</f>
        <v>5122PK／片山</v>
      </c>
      <c r="Q73" s="29" t="str">
        <f>_xlfn.XLOOKUP($B73,シフトスケジュール!$C:$C,シフトスケジュール!H:H,"該当なし",0,1)</f>
        <v>1㌧6902／吉田</v>
      </c>
      <c r="R73" s="29" t="s">
        <v>742</v>
      </c>
      <c r="T73" s="96"/>
      <c r="U73" s="100" t="s">
        <v>451</v>
      </c>
      <c r="V73" s="105" t="s">
        <v>427</v>
      </c>
      <c r="W73" s="96"/>
      <c r="X73" s="96"/>
      <c r="Y73" s="105" t="s">
        <v>427</v>
      </c>
      <c r="Z73" s="96"/>
      <c r="AA73" s="96"/>
      <c r="AB73" s="96"/>
      <c r="AC73" s="96"/>
    </row>
    <row r="74" spans="1:29" ht="16.5">
      <c r="A74" s="53">
        <f t="shared" si="44"/>
        <v>45545</v>
      </c>
      <c r="B74" s="41">
        <f t="shared" si="63"/>
        <v>45545</v>
      </c>
      <c r="C74" s="42" t="str">
        <f t="shared" ref="C74:C137" si="66">"第"&amp;ROUNDUP(DAY(B74)/7,0)  &amp;"  "&amp;TEXT(B74,"aaaa")</f>
        <v>第2  火曜日</v>
      </c>
      <c r="D74" s="4" t="str">
        <f>_xlfn.XLOOKUP(B74,syukujitsu[国民の祝日・休日月日],syukujitsu[国民の祝日・休日名称],"",0,1)</f>
        <v/>
      </c>
      <c r="E74" s="43" t="s">
        <v>640</v>
      </c>
      <c r="F74" s="43" t="s">
        <v>641</v>
      </c>
      <c r="G74" s="43" t="s">
        <v>254</v>
      </c>
      <c r="H74" s="43" t="s">
        <v>254</v>
      </c>
      <c r="I74" s="43" t="s">
        <v>254</v>
      </c>
      <c r="J74" s="43" t="s">
        <v>254</v>
      </c>
      <c r="K74" s="43" t="s">
        <v>254</v>
      </c>
      <c r="L74" s="43" t="s">
        <v>254</v>
      </c>
      <c r="M74" s="29" t="str">
        <f t="shared" ref="M74:R74" si="67">M73</f>
        <v>2025PK／菊地</v>
      </c>
      <c r="N74" s="29" t="str">
        <f t="shared" si="67"/>
        <v>2267PK／畑澤</v>
      </c>
      <c r="O74" s="39" t="s">
        <v>254</v>
      </c>
      <c r="P74" s="29" t="str">
        <f t="shared" si="67"/>
        <v>5122PK／片山</v>
      </c>
      <c r="Q74" s="29" t="str">
        <f t="shared" si="67"/>
        <v>1㌧6902／吉田</v>
      </c>
      <c r="R74" s="29" t="str">
        <f t="shared" si="67"/>
        <v>該当なし</v>
      </c>
      <c r="T74" s="96"/>
      <c r="U74" s="96" t="s">
        <v>322</v>
      </c>
      <c r="V74" s="96"/>
      <c r="W74" s="96"/>
      <c r="X74" s="96"/>
      <c r="Y74" s="96"/>
      <c r="Z74" s="100" t="s">
        <v>430</v>
      </c>
      <c r="AA74" s="96"/>
      <c r="AB74" s="96"/>
      <c r="AC74" s="96"/>
    </row>
    <row r="75" spans="1:29" ht="16.5">
      <c r="A75" s="53">
        <f t="shared" si="44"/>
        <v>45546</v>
      </c>
      <c r="B75" s="41">
        <f t="shared" si="63"/>
        <v>45546</v>
      </c>
      <c r="C75" s="42" t="str">
        <f t="shared" si="66"/>
        <v>第2  水曜日</v>
      </c>
      <c r="D75" s="4" t="str">
        <f>_xlfn.XLOOKUP(B75,syukujitsu[国民の祝日・休日月日],syukujitsu[国民の祝日・休日名称],"",0,1)</f>
        <v/>
      </c>
      <c r="E75" s="43" t="s">
        <v>254</v>
      </c>
      <c r="F75" s="43" t="s">
        <v>631</v>
      </c>
      <c r="G75" s="43" t="s">
        <v>254</v>
      </c>
      <c r="H75" s="43" t="s">
        <v>254</v>
      </c>
      <c r="I75" s="43" t="s">
        <v>254</v>
      </c>
      <c r="J75" s="43" t="s">
        <v>254</v>
      </c>
      <c r="K75" s="43" t="s">
        <v>254</v>
      </c>
      <c r="L75" s="43" t="s">
        <v>254</v>
      </c>
      <c r="M75" s="29" t="str">
        <f t="shared" ref="M75:R75" si="68">M73</f>
        <v>2025PK／菊地</v>
      </c>
      <c r="N75" s="29" t="str">
        <f t="shared" si="68"/>
        <v>2267PK／畑澤</v>
      </c>
      <c r="O75" s="39" t="s">
        <v>254</v>
      </c>
      <c r="P75" s="29" t="str">
        <f t="shared" si="68"/>
        <v>5122PK／片山</v>
      </c>
      <c r="Q75" s="29" t="str">
        <f t="shared" si="68"/>
        <v>1㌧6902／吉田</v>
      </c>
      <c r="R75" s="29" t="str">
        <f t="shared" si="68"/>
        <v>該当なし</v>
      </c>
      <c r="T75" s="96"/>
      <c r="U75" s="107" t="s">
        <v>453</v>
      </c>
      <c r="V75" s="96" t="s">
        <v>430</v>
      </c>
      <c r="W75" s="96"/>
      <c r="X75" s="96"/>
      <c r="Y75" s="96" t="s">
        <v>322</v>
      </c>
      <c r="Z75" s="106" t="s">
        <v>452</v>
      </c>
      <c r="AA75" s="96"/>
      <c r="AB75" s="96"/>
      <c r="AC75" s="96"/>
    </row>
    <row r="76" spans="1:29" ht="16.5">
      <c r="A76" s="53">
        <f t="shared" si="44"/>
        <v>45547</v>
      </c>
      <c r="B76" s="41">
        <f t="shared" si="63"/>
        <v>45547</v>
      </c>
      <c r="C76" s="42" t="str">
        <f t="shared" si="66"/>
        <v>第2  木曜日</v>
      </c>
      <c r="D76" s="4" t="str">
        <f>_xlfn.XLOOKUP(B76,syukujitsu[国民の祝日・休日月日],syukujitsu[国民の祝日・休日名称],"",0,1)</f>
        <v/>
      </c>
      <c r="E76" s="43" t="s">
        <v>459</v>
      </c>
      <c r="F76" s="43" t="s">
        <v>254</v>
      </c>
      <c r="G76" s="43" t="s">
        <v>254</v>
      </c>
      <c r="H76" s="43" t="s">
        <v>254</v>
      </c>
      <c r="I76" s="43" t="s">
        <v>254</v>
      </c>
      <c r="J76" s="43" t="s">
        <v>254</v>
      </c>
      <c r="K76" s="43" t="s">
        <v>254</v>
      </c>
      <c r="L76" s="43" t="s">
        <v>254</v>
      </c>
      <c r="M76" s="29" t="str">
        <f t="shared" ref="M76:R76" si="69">M73</f>
        <v>2025PK／菊地</v>
      </c>
      <c r="N76" s="29" t="str">
        <f t="shared" si="69"/>
        <v>2267PK／畑澤</v>
      </c>
      <c r="O76" s="39" t="s">
        <v>254</v>
      </c>
      <c r="P76" s="29" t="str">
        <f t="shared" si="69"/>
        <v>5122PK／片山</v>
      </c>
      <c r="Q76" s="29" t="str">
        <f t="shared" si="69"/>
        <v>1㌧6902／吉田</v>
      </c>
      <c r="R76" s="29" t="str">
        <f t="shared" si="69"/>
        <v>該当なし</v>
      </c>
      <c r="T76" s="96"/>
      <c r="U76" s="96" t="s">
        <v>322</v>
      </c>
      <c r="V76" s="96"/>
      <c r="W76" s="96" t="s">
        <v>430</v>
      </c>
      <c r="X76" s="96"/>
      <c r="Y76" s="96"/>
      <c r="Z76" s="96"/>
      <c r="AA76" s="96"/>
      <c r="AB76" s="96"/>
      <c r="AC76" s="96"/>
    </row>
    <row r="77" spans="1:29" ht="16.5">
      <c r="A77" s="53">
        <f t="shared" si="44"/>
        <v>45548</v>
      </c>
      <c r="B77" s="41">
        <f t="shared" si="63"/>
        <v>45548</v>
      </c>
      <c r="C77" s="42" t="str">
        <f t="shared" si="66"/>
        <v>第2  金曜日</v>
      </c>
      <c r="D77" s="4" t="str">
        <f>_xlfn.XLOOKUP(B77,syukujitsu[国民の祝日・休日月日],syukujitsu[国民の祝日・休日名称],"",0,1)</f>
        <v/>
      </c>
      <c r="E77" s="43" t="s">
        <v>632</v>
      </c>
      <c r="F77" s="43" t="s">
        <v>631</v>
      </c>
      <c r="G77" s="43" t="s">
        <v>254</v>
      </c>
      <c r="H77" s="43" t="s">
        <v>254</v>
      </c>
      <c r="I77" s="43" t="s">
        <v>254</v>
      </c>
      <c r="J77" s="43" t="s">
        <v>254</v>
      </c>
      <c r="K77" s="43" t="s">
        <v>254</v>
      </c>
      <c r="L77" s="43" t="s">
        <v>254</v>
      </c>
      <c r="M77" s="29" t="str">
        <f t="shared" ref="M77:R77" si="70">M73</f>
        <v>2025PK／菊地</v>
      </c>
      <c r="N77" s="29" t="str">
        <f t="shared" si="70"/>
        <v>2267PK／畑澤</v>
      </c>
      <c r="O77" s="39" t="s">
        <v>254</v>
      </c>
      <c r="P77" s="29" t="str">
        <f t="shared" si="70"/>
        <v>5122PK／片山</v>
      </c>
      <c r="Q77" s="29" t="str">
        <f t="shared" si="70"/>
        <v>1㌧6902／吉田</v>
      </c>
      <c r="R77" s="29" t="str">
        <f t="shared" si="70"/>
        <v>該当なし</v>
      </c>
      <c r="T77" s="96"/>
      <c r="U77" s="100" t="s">
        <v>451</v>
      </c>
      <c r="V77" s="96"/>
      <c r="W77" s="96"/>
      <c r="X77" s="97" t="s">
        <v>448</v>
      </c>
      <c r="Y77" s="96"/>
      <c r="Z77" s="109" t="s">
        <v>449</v>
      </c>
      <c r="AA77" s="96"/>
      <c r="AB77" s="96"/>
      <c r="AC77" s="96"/>
    </row>
    <row r="78" spans="1:29" ht="16.5">
      <c r="A78" s="53">
        <f t="shared" si="44"/>
        <v>45549</v>
      </c>
      <c r="B78" s="41">
        <f t="shared" si="63"/>
        <v>45549</v>
      </c>
      <c r="C78" s="42" t="str">
        <f t="shared" si="66"/>
        <v>第2  土曜日</v>
      </c>
      <c r="D78" s="4" t="str">
        <f>_xlfn.XLOOKUP(B78,syukujitsu[国民の祝日・休日月日],syukujitsu[国民の祝日・休日名称],"",0,1)</f>
        <v/>
      </c>
      <c r="E78" s="43" t="s">
        <v>254</v>
      </c>
      <c r="F78" s="43" t="s">
        <v>254</v>
      </c>
      <c r="G78" s="43" t="s">
        <v>254</v>
      </c>
      <c r="H78" s="43" t="s">
        <v>254</v>
      </c>
      <c r="I78" s="43" t="s">
        <v>254</v>
      </c>
      <c r="J78" s="43" t="s">
        <v>254</v>
      </c>
      <c r="K78" s="43" t="s">
        <v>254</v>
      </c>
      <c r="L78" s="43" t="s">
        <v>254</v>
      </c>
      <c r="M78" s="39" t="s">
        <v>254</v>
      </c>
      <c r="N78" s="39" t="s">
        <v>254</v>
      </c>
      <c r="O78" s="39" t="s">
        <v>254</v>
      </c>
      <c r="P78" s="39" t="s">
        <v>254</v>
      </c>
      <c r="Q78" s="39" t="s">
        <v>254</v>
      </c>
      <c r="R78" s="39" t="s">
        <v>254</v>
      </c>
      <c r="T78" s="103" t="s">
        <v>450</v>
      </c>
      <c r="U78" s="102"/>
      <c r="V78" s="96" t="s">
        <v>430</v>
      </c>
      <c r="W78" s="96" t="s">
        <v>322</v>
      </c>
      <c r="X78" s="103" t="s">
        <v>450</v>
      </c>
      <c r="Y78" s="102"/>
      <c r="Z78" s="103" t="s">
        <v>450</v>
      </c>
      <c r="AA78" s="103" t="s">
        <v>450</v>
      </c>
      <c r="AB78" s="103" t="s">
        <v>450</v>
      </c>
      <c r="AC78" s="103" t="s">
        <v>450</v>
      </c>
    </row>
    <row r="79" spans="1:29" ht="16.5">
      <c r="A79" s="53">
        <f t="shared" si="44"/>
        <v>45550</v>
      </c>
      <c r="B79" s="41">
        <f t="shared" si="63"/>
        <v>45550</v>
      </c>
      <c r="C79" s="42" t="str">
        <f t="shared" si="66"/>
        <v>第3  日曜日</v>
      </c>
      <c r="D79" s="4" t="str">
        <f>_xlfn.XLOOKUP(B79,syukujitsu[国民の祝日・休日月日],syukujitsu[国民の祝日・休日名称],"",0,1)</f>
        <v/>
      </c>
      <c r="E79" s="43" t="s">
        <v>254</v>
      </c>
      <c r="F79" s="43" t="s">
        <v>254</v>
      </c>
      <c r="G79" s="43" t="s">
        <v>254</v>
      </c>
      <c r="H79" s="43" t="s">
        <v>254</v>
      </c>
      <c r="I79" s="43" t="s">
        <v>254</v>
      </c>
      <c r="J79" s="43" t="s">
        <v>254</v>
      </c>
      <c r="K79" s="43" t="s">
        <v>254</v>
      </c>
      <c r="L79" s="43" t="s">
        <v>254</v>
      </c>
      <c r="M79" s="39" t="s">
        <v>254</v>
      </c>
      <c r="N79" s="39" t="s">
        <v>254</v>
      </c>
      <c r="O79" s="39" t="s">
        <v>254</v>
      </c>
      <c r="P79" s="39" t="s">
        <v>254</v>
      </c>
      <c r="Q79" s="39" t="s">
        <v>254</v>
      </c>
      <c r="R79" s="39" t="s">
        <v>254</v>
      </c>
      <c r="T79" s="103" t="s">
        <v>450</v>
      </c>
      <c r="U79" s="103" t="s">
        <v>450</v>
      </c>
      <c r="V79" s="103" t="s">
        <v>450</v>
      </c>
      <c r="W79" s="103" t="s">
        <v>450</v>
      </c>
      <c r="X79" s="103" t="s">
        <v>450</v>
      </c>
      <c r="Y79" s="103" t="s">
        <v>450</v>
      </c>
      <c r="Z79" s="103" t="s">
        <v>450</v>
      </c>
      <c r="AA79" s="103" t="s">
        <v>450</v>
      </c>
      <c r="AB79" s="103" t="s">
        <v>450</v>
      </c>
      <c r="AC79" s="103" t="s">
        <v>450</v>
      </c>
    </row>
    <row r="80" spans="1:29" ht="16.5">
      <c r="A80" s="53">
        <f t="shared" si="44"/>
        <v>45551</v>
      </c>
      <c r="B80" s="41">
        <f t="shared" si="63"/>
        <v>45551</v>
      </c>
      <c r="C80" s="42" t="str">
        <f t="shared" si="66"/>
        <v>第3  月曜日</v>
      </c>
      <c r="D80" s="4" t="str">
        <f>_xlfn.XLOOKUP(B80,syukujitsu[国民の祝日・休日月日],syukujitsu[国民の祝日・休日名称],"",0,1)</f>
        <v/>
      </c>
      <c r="E80" s="43" t="s">
        <v>254</v>
      </c>
      <c r="F80" s="43" t="s">
        <v>631</v>
      </c>
      <c r="G80" s="43" t="s">
        <v>254</v>
      </c>
      <c r="H80" s="43" t="s">
        <v>254</v>
      </c>
      <c r="I80" s="43" t="s">
        <v>254</v>
      </c>
      <c r="J80" s="43" t="s">
        <v>254</v>
      </c>
      <c r="K80" s="43" t="s">
        <v>254</v>
      </c>
      <c r="L80" s="43" t="s">
        <v>254</v>
      </c>
      <c r="M80" s="29" t="str">
        <f>_xlfn.XLOOKUP($B80,シフトスケジュール!$C:$C,シフトスケジュール!D:D,"該当なし",0,1)</f>
        <v>2025PK／畑澤</v>
      </c>
      <c r="N80" s="29" t="str">
        <f>_xlfn.XLOOKUP($B80,シフトスケジュール!$C:$C,シフトスケジュール!E:E,"該当なし",0,1)</f>
        <v>2267PK／片山</v>
      </c>
      <c r="O80" s="39" t="s">
        <v>254</v>
      </c>
      <c r="P80" s="29" t="str">
        <f>_xlfn.XLOOKUP($B80,シフトスケジュール!$C:$C,シフトスケジュール!G:G,"該当なし",0,1)</f>
        <v>5122PK／菊地</v>
      </c>
      <c r="Q80" s="29" t="str">
        <f>_xlfn.XLOOKUP($B80,シフトスケジュール!$C:$C,シフトスケジュール!H:H,"該当なし",0,1)</f>
        <v>1㌧6902／吉田</v>
      </c>
      <c r="R80" s="29" t="s">
        <v>742</v>
      </c>
      <c r="T80" s="104" t="s">
        <v>428</v>
      </c>
      <c r="U80" s="103" t="s">
        <v>450</v>
      </c>
      <c r="V80" s="104" t="s">
        <v>428</v>
      </c>
      <c r="W80" s="103" t="s">
        <v>450</v>
      </c>
      <c r="X80" s="104" t="s">
        <v>428</v>
      </c>
      <c r="Y80" s="103" t="s">
        <v>450</v>
      </c>
      <c r="Z80" s="100" t="s">
        <v>451</v>
      </c>
      <c r="AA80" s="103" t="s">
        <v>450</v>
      </c>
      <c r="AB80" s="103" t="s">
        <v>450</v>
      </c>
      <c r="AC80" s="103" t="s">
        <v>450</v>
      </c>
    </row>
    <row r="81" spans="1:29" ht="16.5">
      <c r="A81" s="53">
        <f t="shared" si="44"/>
        <v>45552</v>
      </c>
      <c r="B81" s="41">
        <f t="shared" si="63"/>
        <v>45552</v>
      </c>
      <c r="C81" s="42" t="str">
        <f t="shared" si="66"/>
        <v>第3  火曜日</v>
      </c>
      <c r="D81" s="4" t="str">
        <f>_xlfn.XLOOKUP(B81,syukujitsu[国民の祝日・休日月日],syukujitsu[国民の祝日・休日名称],"",0,1)</f>
        <v/>
      </c>
      <c r="E81" s="43" t="s">
        <v>254</v>
      </c>
      <c r="F81" s="43" t="s">
        <v>641</v>
      </c>
      <c r="G81" s="43" t="s">
        <v>254</v>
      </c>
      <c r="H81" s="43" t="s">
        <v>254</v>
      </c>
      <c r="I81" s="43" t="s">
        <v>254</v>
      </c>
      <c r="J81" s="43" t="s">
        <v>254</v>
      </c>
      <c r="K81" s="43" t="s">
        <v>254</v>
      </c>
      <c r="L81" s="43" t="s">
        <v>254</v>
      </c>
      <c r="M81" s="29" t="str">
        <f t="shared" ref="M81:R81" si="71">M80</f>
        <v>2025PK／畑澤</v>
      </c>
      <c r="N81" s="29" t="str">
        <f t="shared" si="71"/>
        <v>2267PK／片山</v>
      </c>
      <c r="O81" s="39" t="s">
        <v>254</v>
      </c>
      <c r="P81" s="29" t="str">
        <f t="shared" si="71"/>
        <v>5122PK／菊地</v>
      </c>
      <c r="Q81" s="29" t="str">
        <f t="shared" si="71"/>
        <v>1㌧6902／吉田</v>
      </c>
      <c r="R81" s="29" t="str">
        <f t="shared" si="71"/>
        <v>該当なし</v>
      </c>
      <c r="T81" s="96"/>
      <c r="U81" s="96" t="s">
        <v>430</v>
      </c>
      <c r="V81" s="96" t="s">
        <v>322</v>
      </c>
      <c r="W81" s="105" t="s">
        <v>427</v>
      </c>
      <c r="X81" s="96"/>
      <c r="Y81" s="96"/>
      <c r="Z81" s="96"/>
      <c r="AA81" s="96"/>
      <c r="AB81" s="96"/>
      <c r="AC81" s="96"/>
    </row>
    <row r="82" spans="1:29" ht="16.5">
      <c r="A82" s="53">
        <f t="shared" si="44"/>
        <v>45553</v>
      </c>
      <c r="B82" s="41">
        <f t="shared" si="63"/>
        <v>45553</v>
      </c>
      <c r="C82" s="42" t="str">
        <f t="shared" si="66"/>
        <v>第3  水曜日</v>
      </c>
      <c r="D82" s="4" t="str">
        <f>_xlfn.XLOOKUP(B82,syukujitsu[国民の祝日・休日月日],syukujitsu[国民の祝日・休日名称],"",0,1)</f>
        <v/>
      </c>
      <c r="E82" s="43" t="s">
        <v>254</v>
      </c>
      <c r="F82" s="43" t="s">
        <v>631</v>
      </c>
      <c r="G82" s="43" t="s">
        <v>254</v>
      </c>
      <c r="H82" s="43" t="s">
        <v>254</v>
      </c>
      <c r="I82" s="43" t="s">
        <v>254</v>
      </c>
      <c r="J82" s="43" t="s">
        <v>254</v>
      </c>
      <c r="K82" s="43" t="s">
        <v>254</v>
      </c>
      <c r="L82" s="43" t="s">
        <v>254</v>
      </c>
      <c r="M82" s="29" t="str">
        <f t="shared" ref="M82:R82" si="72">M80</f>
        <v>2025PK／畑澤</v>
      </c>
      <c r="N82" s="29" t="str">
        <f t="shared" si="72"/>
        <v>2267PK／片山</v>
      </c>
      <c r="O82" s="39" t="s">
        <v>254</v>
      </c>
      <c r="P82" s="29" t="str">
        <f t="shared" si="72"/>
        <v>5122PK／菊地</v>
      </c>
      <c r="Q82" s="29" t="str">
        <f t="shared" si="72"/>
        <v>1㌧6902／吉田</v>
      </c>
      <c r="R82" s="29" t="str">
        <f t="shared" si="72"/>
        <v>該当なし</v>
      </c>
      <c r="T82" s="96"/>
      <c r="U82" s="96"/>
      <c r="V82" s="96" t="s">
        <v>322</v>
      </c>
      <c r="W82" s="96" t="s">
        <v>430</v>
      </c>
      <c r="X82" s="96"/>
      <c r="Y82" s="96"/>
      <c r="Z82" s="96"/>
      <c r="AA82" s="96"/>
      <c r="AB82" s="96"/>
      <c r="AC82" s="96"/>
    </row>
    <row r="83" spans="1:29" ht="16.5">
      <c r="A83" s="53">
        <f t="shared" si="44"/>
        <v>45554</v>
      </c>
      <c r="B83" s="41">
        <f t="shared" si="63"/>
        <v>45554</v>
      </c>
      <c r="C83" s="42" t="str">
        <f t="shared" si="66"/>
        <v>第3  木曜日</v>
      </c>
      <c r="D83" s="4" t="str">
        <f>_xlfn.XLOOKUP(B83,syukujitsu[国民の祝日・休日月日],syukujitsu[国民の祝日・休日名称],"",0,1)</f>
        <v/>
      </c>
      <c r="E83" s="43" t="s">
        <v>637</v>
      </c>
      <c r="F83" s="43" t="s">
        <v>254</v>
      </c>
      <c r="G83" s="43" t="s">
        <v>254</v>
      </c>
      <c r="H83" s="43" t="s">
        <v>254</v>
      </c>
      <c r="I83" s="43" t="s">
        <v>254</v>
      </c>
      <c r="J83" s="43" t="s">
        <v>254</v>
      </c>
      <c r="K83" s="43" t="s">
        <v>254</v>
      </c>
      <c r="L83" s="43" t="s">
        <v>254</v>
      </c>
      <c r="M83" s="29" t="str">
        <f t="shared" ref="M83:R83" si="73">M80</f>
        <v>2025PK／畑澤</v>
      </c>
      <c r="N83" s="29" t="str">
        <f t="shared" si="73"/>
        <v>2267PK／片山</v>
      </c>
      <c r="O83" s="39" t="s">
        <v>254</v>
      </c>
      <c r="P83" s="29" t="str">
        <f t="shared" si="73"/>
        <v>5122PK／菊地</v>
      </c>
      <c r="Q83" s="29" t="str">
        <f t="shared" si="73"/>
        <v>1㌧6902／吉田</v>
      </c>
      <c r="R83" s="29" t="str">
        <f t="shared" si="73"/>
        <v>該当なし</v>
      </c>
      <c r="T83" s="96"/>
      <c r="U83" s="96"/>
      <c r="V83" s="96" t="s">
        <v>322</v>
      </c>
      <c r="W83" s="96"/>
      <c r="X83" s="96"/>
      <c r="Y83" s="96"/>
      <c r="Z83" s="96" t="s">
        <v>430</v>
      </c>
      <c r="AA83" s="96"/>
      <c r="AB83" s="96"/>
      <c r="AC83" s="96"/>
    </row>
    <row r="84" spans="1:29" ht="16.5">
      <c r="A84" s="53">
        <f t="shared" si="44"/>
        <v>45555</v>
      </c>
      <c r="B84" s="41">
        <f t="shared" si="63"/>
        <v>45555</v>
      </c>
      <c r="C84" s="42" t="str">
        <f t="shared" si="66"/>
        <v>第3  金曜日</v>
      </c>
      <c r="D84" s="4" t="str">
        <f>_xlfn.XLOOKUP(B84,syukujitsu[国民の祝日・休日月日],syukujitsu[国民の祝日・休日名称],"",0,1)</f>
        <v/>
      </c>
      <c r="E84" s="43" t="s">
        <v>439</v>
      </c>
      <c r="F84" s="43" t="s">
        <v>631</v>
      </c>
      <c r="G84" s="43" t="s">
        <v>254</v>
      </c>
      <c r="H84" s="43" t="s">
        <v>254</v>
      </c>
      <c r="I84" s="43" t="s">
        <v>254</v>
      </c>
      <c r="J84" s="43" t="s">
        <v>254</v>
      </c>
      <c r="K84" s="43" t="s">
        <v>254</v>
      </c>
      <c r="L84" s="43" t="s">
        <v>254</v>
      </c>
      <c r="M84" s="29" t="str">
        <f t="shared" ref="M84:R84" si="74">M80</f>
        <v>2025PK／畑澤</v>
      </c>
      <c r="N84" s="29" t="str">
        <f t="shared" si="74"/>
        <v>2267PK／片山</v>
      </c>
      <c r="O84" s="39" t="s">
        <v>254</v>
      </c>
      <c r="P84" s="29" t="str">
        <f t="shared" si="74"/>
        <v>5122PK／菊地</v>
      </c>
      <c r="Q84" s="29" t="str">
        <f t="shared" si="74"/>
        <v>1㌧6902／吉田</v>
      </c>
      <c r="R84" s="29" t="str">
        <f t="shared" si="74"/>
        <v>該当なし</v>
      </c>
      <c r="T84" s="96"/>
      <c r="U84" s="96"/>
      <c r="V84" s="100" t="s">
        <v>451</v>
      </c>
      <c r="W84" s="97" t="s">
        <v>464</v>
      </c>
      <c r="X84" s="96"/>
      <c r="Y84" s="96"/>
      <c r="Z84" s="109" t="s">
        <v>449</v>
      </c>
      <c r="AA84" s="96"/>
      <c r="AB84" s="96"/>
      <c r="AC84" s="96"/>
    </row>
    <row r="85" spans="1:29" ht="16.5">
      <c r="A85" s="53">
        <f t="shared" si="44"/>
        <v>45556</v>
      </c>
      <c r="B85" s="41">
        <f t="shared" si="63"/>
        <v>45556</v>
      </c>
      <c r="C85" s="42" t="str">
        <f t="shared" si="66"/>
        <v>第3  土曜日</v>
      </c>
      <c r="D85" s="4" t="str">
        <f>_xlfn.XLOOKUP(B85,syukujitsu[国民の祝日・休日月日],syukujitsu[国民の祝日・休日名称],"",0,1)</f>
        <v/>
      </c>
      <c r="E85" s="43" t="s">
        <v>254</v>
      </c>
      <c r="F85" s="43" t="s">
        <v>254</v>
      </c>
      <c r="G85" s="43" t="s">
        <v>254</v>
      </c>
      <c r="H85" s="43" t="s">
        <v>254</v>
      </c>
      <c r="I85" s="43" t="s">
        <v>254</v>
      </c>
      <c r="J85" s="43" t="s">
        <v>254</v>
      </c>
      <c r="K85" s="43" t="s">
        <v>254</v>
      </c>
      <c r="L85" s="43" t="s">
        <v>254</v>
      </c>
      <c r="M85" s="39" t="s">
        <v>254</v>
      </c>
      <c r="N85" s="39" t="s">
        <v>254</v>
      </c>
      <c r="O85" s="39" t="s">
        <v>254</v>
      </c>
      <c r="P85" s="39" t="s">
        <v>254</v>
      </c>
      <c r="Q85" s="39" t="s">
        <v>254</v>
      </c>
      <c r="R85" s="39" t="s">
        <v>254</v>
      </c>
      <c r="T85" s="96"/>
      <c r="U85" s="103" t="s">
        <v>450</v>
      </c>
      <c r="V85" s="96" t="s">
        <v>322</v>
      </c>
      <c r="W85" s="103" t="s">
        <v>450</v>
      </c>
      <c r="X85" s="105" t="s">
        <v>427</v>
      </c>
      <c r="Y85" s="104" t="s">
        <v>428</v>
      </c>
      <c r="Z85" s="96" t="s">
        <v>430</v>
      </c>
      <c r="AA85" s="103" t="s">
        <v>450</v>
      </c>
      <c r="AB85" s="103" t="s">
        <v>450</v>
      </c>
      <c r="AC85" s="103" t="s">
        <v>450</v>
      </c>
    </row>
    <row r="86" spans="1:29" ht="16.5">
      <c r="A86" s="53">
        <f t="shared" si="44"/>
        <v>45557</v>
      </c>
      <c r="B86" s="41">
        <f t="shared" si="63"/>
        <v>45557</v>
      </c>
      <c r="C86" s="42" t="str">
        <f t="shared" si="66"/>
        <v>第4  日曜日</v>
      </c>
      <c r="D86" s="4" t="str">
        <f>_xlfn.XLOOKUP(B86,syukujitsu[国民の祝日・休日月日],syukujitsu[国民の祝日・休日名称],"",0,1)</f>
        <v/>
      </c>
      <c r="E86" s="43" t="s">
        <v>254</v>
      </c>
      <c r="F86" s="43" t="s">
        <v>254</v>
      </c>
      <c r="G86" s="43" t="s">
        <v>254</v>
      </c>
      <c r="H86" s="43" t="s">
        <v>254</v>
      </c>
      <c r="I86" s="43" t="s">
        <v>254</v>
      </c>
      <c r="J86" s="43" t="s">
        <v>254</v>
      </c>
      <c r="K86" s="43" t="s">
        <v>254</v>
      </c>
      <c r="L86" s="43" t="s">
        <v>254</v>
      </c>
      <c r="M86" s="39" t="s">
        <v>254</v>
      </c>
      <c r="N86" s="39" t="s">
        <v>254</v>
      </c>
      <c r="O86" s="39" t="s">
        <v>254</v>
      </c>
      <c r="P86" s="39" t="s">
        <v>254</v>
      </c>
      <c r="Q86" s="39" t="s">
        <v>254</v>
      </c>
      <c r="R86" s="39" t="s">
        <v>254</v>
      </c>
      <c r="T86" s="103" t="s">
        <v>450</v>
      </c>
      <c r="U86" s="103" t="s">
        <v>450</v>
      </c>
      <c r="V86" s="103" t="s">
        <v>450</v>
      </c>
      <c r="W86" s="103" t="s">
        <v>450</v>
      </c>
      <c r="X86" s="103" t="s">
        <v>450</v>
      </c>
      <c r="Y86" s="103" t="s">
        <v>450</v>
      </c>
      <c r="Z86" s="103" t="s">
        <v>450</v>
      </c>
      <c r="AA86" s="103" t="s">
        <v>450</v>
      </c>
      <c r="AB86" s="103" t="s">
        <v>450</v>
      </c>
      <c r="AC86" s="103" t="s">
        <v>450</v>
      </c>
    </row>
    <row r="87" spans="1:29" ht="16.5">
      <c r="A87" s="53">
        <f t="shared" si="44"/>
        <v>45558</v>
      </c>
      <c r="B87" s="41">
        <f t="shared" si="63"/>
        <v>45558</v>
      </c>
      <c r="C87" s="42" t="str">
        <f t="shared" si="66"/>
        <v>第4  月曜日</v>
      </c>
      <c r="D87" s="4" t="str">
        <f>_xlfn.XLOOKUP(B87,syukujitsu[国民の祝日・休日月日],syukujitsu[国民の祝日・休日名称],"",0,1)</f>
        <v/>
      </c>
      <c r="E87" s="43" t="s">
        <v>254</v>
      </c>
      <c r="F87" s="43" t="s">
        <v>631</v>
      </c>
      <c r="G87" s="43" t="s">
        <v>254</v>
      </c>
      <c r="H87" s="43" t="s">
        <v>254</v>
      </c>
      <c r="I87" s="43" t="s">
        <v>254</v>
      </c>
      <c r="J87" s="43" t="s">
        <v>254</v>
      </c>
      <c r="K87" s="43" t="s">
        <v>254</v>
      </c>
      <c r="L87" s="43" t="s">
        <v>254</v>
      </c>
      <c r="M87" s="29" t="str">
        <f>_xlfn.XLOOKUP($B87,シフトスケジュール!$C:$C,シフトスケジュール!D:D,"該当なし",0,1)</f>
        <v>2025PK／片山</v>
      </c>
      <c r="N87" s="29" t="str">
        <f>_xlfn.XLOOKUP($B87,シフトスケジュール!$C:$C,シフトスケジュール!E:E,"該当なし",0,1)</f>
        <v>2267PK／菊地</v>
      </c>
      <c r="O87" s="39" t="s">
        <v>254</v>
      </c>
      <c r="P87" s="29" t="str">
        <f>_xlfn.XLOOKUP($B87,シフトスケジュール!$C:$C,シフトスケジュール!G:G,"該当なし",0,1)</f>
        <v>5122PK／畑澤</v>
      </c>
      <c r="Q87" s="29" t="str">
        <f>_xlfn.XLOOKUP($B87,シフトスケジュール!$C:$C,シフトスケジュール!H:H,"該当なし",0,1)</f>
        <v>1㌧6902／吉田</v>
      </c>
      <c r="R87" s="29" t="s">
        <v>742</v>
      </c>
      <c r="T87" s="103" t="s">
        <v>450</v>
      </c>
      <c r="U87" s="104" t="s">
        <v>430</v>
      </c>
      <c r="V87" s="103" t="s">
        <v>450</v>
      </c>
      <c r="W87" s="104" t="s">
        <v>428</v>
      </c>
      <c r="X87" s="103" t="s">
        <v>450</v>
      </c>
      <c r="Y87" s="104" t="s">
        <v>465</v>
      </c>
      <c r="Z87" s="103" t="s">
        <v>450</v>
      </c>
      <c r="AA87" s="104" t="s">
        <v>428</v>
      </c>
      <c r="AB87" s="103" t="s">
        <v>450</v>
      </c>
      <c r="AC87" s="103" t="s">
        <v>450</v>
      </c>
    </row>
    <row r="88" spans="1:29" ht="16.5">
      <c r="A88" s="53">
        <f t="shared" si="44"/>
        <v>45559</v>
      </c>
      <c r="B88" s="41">
        <f t="shared" si="63"/>
        <v>45559</v>
      </c>
      <c r="C88" s="42" t="str">
        <f t="shared" si="66"/>
        <v>第4  火曜日</v>
      </c>
      <c r="D88" s="4" t="str">
        <f>_xlfn.XLOOKUP(B88,syukujitsu[国民の祝日・休日月日],syukujitsu[国民の祝日・休日名称],"",0,1)</f>
        <v/>
      </c>
      <c r="E88" s="43" t="s">
        <v>254</v>
      </c>
      <c r="F88" s="43" t="s">
        <v>641</v>
      </c>
      <c r="G88" s="43" t="s">
        <v>254</v>
      </c>
      <c r="H88" s="43" t="s">
        <v>254</v>
      </c>
      <c r="I88" s="43" t="s">
        <v>254</v>
      </c>
      <c r="J88" s="43" t="s">
        <v>254</v>
      </c>
      <c r="K88" s="43" t="s">
        <v>254</v>
      </c>
      <c r="L88" s="43" t="s">
        <v>254</v>
      </c>
      <c r="M88" s="29" t="str">
        <f t="shared" ref="M88:R88" si="75">M87</f>
        <v>2025PK／片山</v>
      </c>
      <c r="N88" s="29" t="str">
        <f t="shared" si="75"/>
        <v>2267PK／菊地</v>
      </c>
      <c r="O88" s="39" t="s">
        <v>254</v>
      </c>
      <c r="P88" s="29" t="str">
        <f t="shared" si="75"/>
        <v>5122PK／畑澤</v>
      </c>
      <c r="Q88" s="29" t="str">
        <f t="shared" si="75"/>
        <v>1㌧6902／吉田</v>
      </c>
      <c r="R88" s="29" t="str">
        <f t="shared" si="75"/>
        <v>該当なし</v>
      </c>
      <c r="T88" s="96"/>
      <c r="U88" s="96"/>
      <c r="V88" s="96"/>
      <c r="W88" s="100" t="s">
        <v>451</v>
      </c>
      <c r="X88" s="96"/>
      <c r="Y88" s="96"/>
      <c r="Z88" s="96"/>
      <c r="AA88" s="96"/>
      <c r="AB88" s="96"/>
      <c r="AC88" s="96"/>
    </row>
    <row r="89" spans="1:29" ht="16.5">
      <c r="A89" s="53">
        <f t="shared" si="44"/>
        <v>45560</v>
      </c>
      <c r="B89" s="41">
        <f t="shared" si="63"/>
        <v>45560</v>
      </c>
      <c r="C89" s="42" t="str">
        <f t="shared" si="66"/>
        <v>第4  水曜日</v>
      </c>
      <c r="D89" s="4" t="str">
        <f>_xlfn.XLOOKUP(B89,syukujitsu[国民の祝日・休日月日],syukujitsu[国民の祝日・休日名称],"",0,1)</f>
        <v/>
      </c>
      <c r="E89" s="43" t="s">
        <v>254</v>
      </c>
      <c r="F89" s="43" t="s">
        <v>631</v>
      </c>
      <c r="G89" s="43" t="s">
        <v>641</v>
      </c>
      <c r="H89" s="43" t="s">
        <v>254</v>
      </c>
      <c r="I89" s="43" t="s">
        <v>254</v>
      </c>
      <c r="J89" s="43" t="s">
        <v>254</v>
      </c>
      <c r="K89" s="43" t="s">
        <v>254</v>
      </c>
      <c r="L89" s="43" t="s">
        <v>254</v>
      </c>
      <c r="M89" s="29" t="str">
        <f t="shared" ref="M89:R89" si="76">M87</f>
        <v>2025PK／片山</v>
      </c>
      <c r="N89" s="29" t="str">
        <f t="shared" si="76"/>
        <v>2267PK／菊地</v>
      </c>
      <c r="O89" s="39" t="s">
        <v>254</v>
      </c>
      <c r="P89" s="29" t="str">
        <f t="shared" si="76"/>
        <v>5122PK／畑澤</v>
      </c>
      <c r="Q89" s="29" t="str">
        <f t="shared" si="76"/>
        <v>1㌧6902／吉田</v>
      </c>
      <c r="R89" s="29" t="str">
        <f t="shared" si="76"/>
        <v>該当なし</v>
      </c>
      <c r="T89" s="96"/>
      <c r="U89" s="96"/>
      <c r="V89" s="107" t="s">
        <v>453</v>
      </c>
      <c r="W89" s="96" t="s">
        <v>452</v>
      </c>
      <c r="X89" s="96"/>
      <c r="Y89" s="96" t="s">
        <v>322</v>
      </c>
      <c r="Z89" s="96" t="s">
        <v>430</v>
      </c>
      <c r="AA89" s="96"/>
      <c r="AB89" s="96"/>
      <c r="AC89" s="96" t="s">
        <v>346</v>
      </c>
    </row>
    <row r="90" spans="1:29" ht="16.5">
      <c r="A90" s="53">
        <f t="shared" si="44"/>
        <v>45561</v>
      </c>
      <c r="B90" s="41">
        <f t="shared" si="63"/>
        <v>45561</v>
      </c>
      <c r="C90" s="42" t="str">
        <f t="shared" si="66"/>
        <v>第4  木曜日</v>
      </c>
      <c r="D90" s="4" t="str">
        <f>_xlfn.XLOOKUP(B90,syukujitsu[国民の祝日・休日月日],syukujitsu[国民の祝日・休日名称],"",0,1)</f>
        <v/>
      </c>
      <c r="E90" s="43" t="s">
        <v>254</v>
      </c>
      <c r="F90" s="43" t="s">
        <v>641</v>
      </c>
      <c r="G90" s="43" t="s">
        <v>254</v>
      </c>
      <c r="H90" s="43" t="s">
        <v>254</v>
      </c>
      <c r="I90" s="43" t="s">
        <v>254</v>
      </c>
      <c r="J90" s="43" t="s">
        <v>254</v>
      </c>
      <c r="K90" s="43" t="s">
        <v>254</v>
      </c>
      <c r="L90" s="43" t="s">
        <v>254</v>
      </c>
      <c r="M90" s="29" t="str">
        <f t="shared" ref="M90:R90" si="77">M87</f>
        <v>2025PK／片山</v>
      </c>
      <c r="N90" s="29" t="str">
        <f t="shared" si="77"/>
        <v>2267PK／菊地</v>
      </c>
      <c r="O90" s="39" t="s">
        <v>254</v>
      </c>
      <c r="P90" s="29" t="str">
        <f t="shared" si="77"/>
        <v>5122PK／畑澤</v>
      </c>
      <c r="Q90" s="29" t="str">
        <f t="shared" si="77"/>
        <v>1㌧6902／吉田</v>
      </c>
      <c r="R90" s="29" t="str">
        <f t="shared" si="77"/>
        <v>該当なし</v>
      </c>
      <c r="T90" s="96"/>
      <c r="U90" s="96"/>
      <c r="V90" s="96" t="s">
        <v>430</v>
      </c>
      <c r="W90" s="96" t="s">
        <v>322</v>
      </c>
      <c r="X90" s="96"/>
      <c r="Y90" s="96"/>
      <c r="Z90" s="96"/>
      <c r="AA90" s="96"/>
      <c r="AB90" s="96"/>
      <c r="AC90" s="96"/>
    </row>
    <row r="91" spans="1:29" ht="16.5">
      <c r="A91" s="53">
        <f t="shared" si="44"/>
        <v>45562</v>
      </c>
      <c r="B91" s="41">
        <f t="shared" si="63"/>
        <v>45562</v>
      </c>
      <c r="C91" s="42" t="str">
        <f t="shared" si="66"/>
        <v>第4  金曜日</v>
      </c>
      <c r="D91" s="4" t="str">
        <f>_xlfn.XLOOKUP(B91,syukujitsu[国民の祝日・休日月日],syukujitsu[国民の祝日・休日名称],"",0,1)</f>
        <v/>
      </c>
      <c r="E91" s="43" t="s">
        <v>254</v>
      </c>
      <c r="F91" s="43" t="s">
        <v>631</v>
      </c>
      <c r="G91" s="43" t="s">
        <v>641</v>
      </c>
      <c r="H91" s="43" t="s">
        <v>254</v>
      </c>
      <c r="I91" s="43" t="s">
        <v>254</v>
      </c>
      <c r="J91" s="43" t="s">
        <v>254</v>
      </c>
      <c r="K91" s="43" t="s">
        <v>254</v>
      </c>
      <c r="L91" s="43" t="s">
        <v>254</v>
      </c>
      <c r="M91" s="29" t="str">
        <f t="shared" ref="M91:R91" si="78">M87</f>
        <v>2025PK／片山</v>
      </c>
      <c r="N91" s="29" t="str">
        <f t="shared" si="78"/>
        <v>2267PK／菊地</v>
      </c>
      <c r="O91" s="39" t="s">
        <v>254</v>
      </c>
      <c r="P91" s="29" t="str">
        <f t="shared" si="78"/>
        <v>5122PK／畑澤</v>
      </c>
      <c r="Q91" s="29" t="str">
        <f t="shared" si="78"/>
        <v>1㌧6902／吉田</v>
      </c>
      <c r="R91" s="29" t="str">
        <f t="shared" si="78"/>
        <v>該当なし</v>
      </c>
      <c r="T91" s="96"/>
      <c r="U91" s="96" t="s">
        <v>430</v>
      </c>
      <c r="V91" s="96"/>
      <c r="W91" s="109" t="s">
        <v>449</v>
      </c>
      <c r="X91" s="97" t="s">
        <v>464</v>
      </c>
      <c r="Y91" s="96" t="s">
        <v>322</v>
      </c>
      <c r="Z91" s="96"/>
      <c r="AA91" s="96"/>
      <c r="AB91" s="96"/>
      <c r="AC91" s="96"/>
    </row>
    <row r="92" spans="1:29" ht="16.5">
      <c r="A92" s="53">
        <f t="shared" si="44"/>
        <v>45563</v>
      </c>
      <c r="B92" s="41">
        <f t="shared" si="63"/>
        <v>45563</v>
      </c>
      <c r="C92" s="42" t="str">
        <f t="shared" si="66"/>
        <v>第4  土曜日</v>
      </c>
      <c r="D92" s="4" t="str">
        <f>_xlfn.XLOOKUP(B92,syukujitsu[国民の祝日・休日月日],syukujitsu[国民の祝日・休日名称],"",0,1)</f>
        <v/>
      </c>
      <c r="E92" s="43" t="s">
        <v>254</v>
      </c>
      <c r="F92" s="43" t="s">
        <v>641</v>
      </c>
      <c r="G92" s="43" t="s">
        <v>254</v>
      </c>
      <c r="H92" s="43" t="s">
        <v>254</v>
      </c>
      <c r="I92" s="43" t="s">
        <v>254</v>
      </c>
      <c r="J92" s="43" t="s">
        <v>254</v>
      </c>
      <c r="K92" s="43" t="s">
        <v>254</v>
      </c>
      <c r="L92" s="43" t="s">
        <v>254</v>
      </c>
      <c r="M92" s="39" t="s">
        <v>254</v>
      </c>
      <c r="N92" s="39" t="s">
        <v>254</v>
      </c>
      <c r="O92" s="39" t="s">
        <v>254</v>
      </c>
      <c r="P92" s="39" t="s">
        <v>254</v>
      </c>
      <c r="Q92" s="39" t="s">
        <v>254</v>
      </c>
      <c r="R92" s="39" t="s">
        <v>254</v>
      </c>
      <c r="T92" s="103" t="s">
        <v>450</v>
      </c>
      <c r="U92" s="102"/>
      <c r="V92" s="103" t="s">
        <v>450</v>
      </c>
      <c r="W92" s="100" t="s">
        <v>451</v>
      </c>
      <c r="X92" s="103" t="s">
        <v>450</v>
      </c>
      <c r="Y92" s="102"/>
      <c r="Z92" s="104" t="s">
        <v>428</v>
      </c>
      <c r="AA92" s="103" t="s">
        <v>450</v>
      </c>
      <c r="AB92" s="103" t="s">
        <v>450</v>
      </c>
      <c r="AC92" s="103" t="s">
        <v>450</v>
      </c>
    </row>
    <row r="93" spans="1:29" ht="16.5">
      <c r="A93" s="53">
        <f t="shared" si="44"/>
        <v>45564</v>
      </c>
      <c r="B93" s="41">
        <f t="shared" si="63"/>
        <v>45564</v>
      </c>
      <c r="C93" s="42" t="str">
        <f t="shared" si="66"/>
        <v>第5  日曜日</v>
      </c>
      <c r="D93" s="4" t="str">
        <f>_xlfn.XLOOKUP(B93,syukujitsu[国民の祝日・休日月日],syukujitsu[国民の祝日・休日名称],"",0,1)</f>
        <v/>
      </c>
      <c r="E93" s="43" t="s">
        <v>254</v>
      </c>
      <c r="F93" s="43" t="s">
        <v>254</v>
      </c>
      <c r="G93" s="43" t="s">
        <v>254</v>
      </c>
      <c r="H93" s="43" t="s">
        <v>254</v>
      </c>
      <c r="I93" s="43" t="s">
        <v>254</v>
      </c>
      <c r="J93" s="43" t="s">
        <v>254</v>
      </c>
      <c r="K93" s="43" t="s">
        <v>254</v>
      </c>
      <c r="L93" s="43" t="s">
        <v>254</v>
      </c>
      <c r="M93" s="39" t="s">
        <v>254</v>
      </c>
      <c r="N93" s="39" t="s">
        <v>254</v>
      </c>
      <c r="O93" s="39" t="s">
        <v>254</v>
      </c>
      <c r="P93" s="39" t="s">
        <v>254</v>
      </c>
      <c r="Q93" s="39" t="s">
        <v>254</v>
      </c>
      <c r="R93" s="39" t="s">
        <v>254</v>
      </c>
      <c r="T93" s="103" t="s">
        <v>450</v>
      </c>
      <c r="U93" s="103" t="s">
        <v>450</v>
      </c>
      <c r="V93" s="103" t="s">
        <v>450</v>
      </c>
      <c r="W93" s="103" t="s">
        <v>450</v>
      </c>
      <c r="X93" s="103" t="s">
        <v>450</v>
      </c>
      <c r="Y93" s="103" t="s">
        <v>450</v>
      </c>
      <c r="Z93" s="103" t="s">
        <v>450</v>
      </c>
      <c r="AA93" s="103" t="s">
        <v>450</v>
      </c>
      <c r="AB93" s="103" t="s">
        <v>450</v>
      </c>
      <c r="AC93" s="103" t="s">
        <v>450</v>
      </c>
    </row>
    <row r="94" spans="1:29" ht="16.5">
      <c r="A94" s="53">
        <f t="shared" si="44"/>
        <v>45565</v>
      </c>
      <c r="B94" s="41">
        <f t="shared" si="63"/>
        <v>45565</v>
      </c>
      <c r="C94" s="42" t="str">
        <f t="shared" si="66"/>
        <v>第5  月曜日</v>
      </c>
      <c r="D94" s="4" t="str">
        <f>_xlfn.XLOOKUP(B94,syukujitsu[国民の祝日・休日月日],syukujitsu[国民の祝日・休日名称],"",0,1)</f>
        <v/>
      </c>
      <c r="E94" s="43" t="s">
        <v>254</v>
      </c>
      <c r="F94" s="43" t="s">
        <v>631</v>
      </c>
      <c r="G94" s="43" t="s">
        <v>254</v>
      </c>
      <c r="H94" s="43" t="s">
        <v>254</v>
      </c>
      <c r="I94" s="43" t="s">
        <v>254</v>
      </c>
      <c r="J94" s="43" t="s">
        <v>254</v>
      </c>
      <c r="K94" s="43" t="s">
        <v>254</v>
      </c>
      <c r="L94" s="43" t="s">
        <v>254</v>
      </c>
      <c r="M94" s="29" t="str">
        <f>_xlfn.XLOOKUP($B94,シフトスケジュール!$C:$C,シフトスケジュール!D:D,"該当なし",0,1)</f>
        <v>2025PK／菊地</v>
      </c>
      <c r="N94" s="29" t="str">
        <f>_xlfn.XLOOKUP($B94,シフトスケジュール!$C:$C,シフトスケジュール!E:E,"該当なし",0,1)</f>
        <v>2267PK／畑澤</v>
      </c>
      <c r="O94" s="39" t="s">
        <v>254</v>
      </c>
      <c r="P94" s="29" t="str">
        <f>_xlfn.XLOOKUP($B94,シフトスケジュール!$C:$C,シフトスケジュール!G:G,"該当なし",0,1)</f>
        <v>5122PK／片山</v>
      </c>
      <c r="Q94" s="29" t="str">
        <f>_xlfn.XLOOKUP($B94,シフトスケジュール!$C:$C,シフトスケジュール!H:H,"該当なし",0,1)</f>
        <v>1㌧6902／吉田</v>
      </c>
      <c r="R94" s="29" t="s">
        <v>742</v>
      </c>
      <c r="T94" s="102"/>
      <c r="U94" s="102"/>
      <c r="V94" s="102"/>
      <c r="W94" s="96" t="s">
        <v>430</v>
      </c>
      <c r="X94" s="102"/>
      <c r="Y94" s="102" t="s">
        <v>322</v>
      </c>
      <c r="Z94" s="105" t="s">
        <v>427</v>
      </c>
      <c r="AA94" s="96"/>
      <c r="AB94" s="96"/>
      <c r="AC94" s="96"/>
    </row>
    <row r="95" spans="1:29">
      <c r="A95" s="53">
        <f t="shared" si="44"/>
        <v>45566</v>
      </c>
      <c r="B95" s="41">
        <f t="shared" si="63"/>
        <v>45566</v>
      </c>
      <c r="C95" s="42" t="str">
        <f t="shared" si="66"/>
        <v>第1  火曜日</v>
      </c>
      <c r="D95" s="4" t="str">
        <f>_xlfn.XLOOKUP(B95,syukujitsu[国民の祝日・休日月日],syukujitsu[国民の祝日・休日名称],"",0,1)</f>
        <v/>
      </c>
      <c r="E95" s="43" t="s">
        <v>254</v>
      </c>
      <c r="F95" s="43" t="s">
        <v>254</v>
      </c>
      <c r="G95" s="43" t="s">
        <v>254</v>
      </c>
      <c r="H95" s="43" t="s">
        <v>254</v>
      </c>
      <c r="I95" s="43" t="s">
        <v>254</v>
      </c>
      <c r="J95" s="43" t="s">
        <v>254</v>
      </c>
      <c r="K95" s="43" t="s">
        <v>254</v>
      </c>
      <c r="L95" s="43" t="s">
        <v>254</v>
      </c>
      <c r="M95" s="29" t="str">
        <f t="shared" ref="M95:R95" si="79">M94</f>
        <v>2025PK／菊地</v>
      </c>
      <c r="N95" s="29" t="str">
        <f t="shared" si="79"/>
        <v>2267PK／畑澤</v>
      </c>
      <c r="O95" s="39" t="s">
        <v>254</v>
      </c>
      <c r="P95" s="29" t="str">
        <f t="shared" si="79"/>
        <v>5122PK／片山</v>
      </c>
      <c r="Q95" s="29" t="str">
        <f t="shared" si="79"/>
        <v>1㌧6902／吉田</v>
      </c>
      <c r="R95" s="29" t="str">
        <f t="shared" si="79"/>
        <v>該当なし</v>
      </c>
    </row>
    <row r="96" spans="1:29">
      <c r="A96" s="53">
        <f t="shared" si="44"/>
        <v>45567</v>
      </c>
      <c r="B96" s="41">
        <f t="shared" si="63"/>
        <v>45567</v>
      </c>
      <c r="C96" s="42" t="str">
        <f t="shared" si="66"/>
        <v>第1  水曜日</v>
      </c>
      <c r="D96" s="4" t="str">
        <f>_xlfn.XLOOKUP(B96,syukujitsu[国民の祝日・休日月日],syukujitsu[国民の祝日・休日名称],"",0,1)</f>
        <v/>
      </c>
      <c r="E96" s="43" t="s">
        <v>254</v>
      </c>
      <c r="F96" s="43" t="s">
        <v>631</v>
      </c>
      <c r="G96" s="43" t="s">
        <v>254</v>
      </c>
      <c r="H96" s="43" t="s">
        <v>254</v>
      </c>
      <c r="I96" s="43" t="s">
        <v>254</v>
      </c>
      <c r="J96" s="43" t="s">
        <v>254</v>
      </c>
      <c r="K96" s="43" t="s">
        <v>254</v>
      </c>
      <c r="L96" s="43" t="s">
        <v>254</v>
      </c>
      <c r="M96" s="29" t="str">
        <f t="shared" ref="M96:R96" si="80">M94</f>
        <v>2025PK／菊地</v>
      </c>
      <c r="N96" s="29" t="str">
        <f t="shared" si="80"/>
        <v>2267PK／畑澤</v>
      </c>
      <c r="O96" s="39" t="s">
        <v>254</v>
      </c>
      <c r="P96" s="29" t="str">
        <f t="shared" si="80"/>
        <v>5122PK／片山</v>
      </c>
      <c r="Q96" s="29" t="str">
        <f t="shared" si="80"/>
        <v>1㌧6902／吉田</v>
      </c>
      <c r="R96" s="29" t="str">
        <f t="shared" si="80"/>
        <v>該当なし</v>
      </c>
    </row>
    <row r="97" spans="1:18">
      <c r="A97" s="53">
        <f t="shared" si="44"/>
        <v>45568</v>
      </c>
      <c r="B97" s="41">
        <f t="shared" si="63"/>
        <v>45568</v>
      </c>
      <c r="C97" s="42" t="str">
        <f t="shared" si="66"/>
        <v>第1  木曜日</v>
      </c>
      <c r="D97" s="4" t="str">
        <f>_xlfn.XLOOKUP(B97,syukujitsu[国民の祝日・休日月日],syukujitsu[国民の祝日・休日名称],"",0,1)</f>
        <v/>
      </c>
      <c r="E97" s="43" t="s">
        <v>254</v>
      </c>
      <c r="F97" s="43" t="s">
        <v>254</v>
      </c>
      <c r="G97" s="43" t="s">
        <v>254</v>
      </c>
      <c r="H97" s="43" t="s">
        <v>254</v>
      </c>
      <c r="I97" s="43" t="s">
        <v>254</v>
      </c>
      <c r="J97" s="43" t="s">
        <v>254</v>
      </c>
      <c r="K97" s="43" t="s">
        <v>254</v>
      </c>
      <c r="L97" s="43" t="s">
        <v>254</v>
      </c>
      <c r="M97" s="29" t="str">
        <f t="shared" ref="M97:R97" si="81">M94</f>
        <v>2025PK／菊地</v>
      </c>
      <c r="N97" s="29" t="str">
        <f t="shared" si="81"/>
        <v>2267PK／畑澤</v>
      </c>
      <c r="O97" s="39" t="s">
        <v>254</v>
      </c>
      <c r="P97" s="29" t="str">
        <f t="shared" si="81"/>
        <v>5122PK／片山</v>
      </c>
      <c r="Q97" s="29" t="str">
        <f t="shared" si="81"/>
        <v>1㌧6902／吉田</v>
      </c>
      <c r="R97" s="29" t="str">
        <f t="shared" si="81"/>
        <v>該当なし</v>
      </c>
    </row>
    <row r="98" spans="1:18">
      <c r="A98" s="53">
        <f t="shared" si="44"/>
        <v>45569</v>
      </c>
      <c r="B98" s="41">
        <f t="shared" si="63"/>
        <v>45569</v>
      </c>
      <c r="C98" s="42" t="str">
        <f t="shared" si="66"/>
        <v>第1  金曜日</v>
      </c>
      <c r="D98" s="4" t="str">
        <f>_xlfn.XLOOKUP(B98,syukujitsu[国民の祝日・休日月日],syukujitsu[国民の祝日・休日名称],"",0,1)</f>
        <v/>
      </c>
      <c r="E98" s="43" t="s">
        <v>657</v>
      </c>
      <c r="F98" s="43" t="s">
        <v>631</v>
      </c>
      <c r="G98" s="43" t="s">
        <v>254</v>
      </c>
      <c r="H98" s="43" t="s">
        <v>254</v>
      </c>
      <c r="I98" s="43" t="s">
        <v>254</v>
      </c>
      <c r="J98" s="43" t="s">
        <v>254</v>
      </c>
      <c r="K98" s="43" t="s">
        <v>254</v>
      </c>
      <c r="L98" s="43" t="s">
        <v>254</v>
      </c>
      <c r="M98" s="29" t="str">
        <f t="shared" ref="M98:R98" si="82">M94</f>
        <v>2025PK／菊地</v>
      </c>
      <c r="N98" s="29" t="str">
        <f t="shared" si="82"/>
        <v>2267PK／畑澤</v>
      </c>
      <c r="O98" s="39" t="s">
        <v>254</v>
      </c>
      <c r="P98" s="29" t="str">
        <f t="shared" si="82"/>
        <v>5122PK／片山</v>
      </c>
      <c r="Q98" s="29" t="str">
        <f t="shared" si="82"/>
        <v>1㌧6902／吉田</v>
      </c>
      <c r="R98" s="29" t="str">
        <f t="shared" si="82"/>
        <v>該当なし</v>
      </c>
    </row>
    <row r="99" spans="1:18">
      <c r="A99" s="53">
        <f t="shared" si="44"/>
        <v>45570</v>
      </c>
      <c r="B99" s="41">
        <f t="shared" si="63"/>
        <v>45570</v>
      </c>
      <c r="C99" s="42" t="str">
        <f t="shared" si="66"/>
        <v>第1  土曜日</v>
      </c>
      <c r="D99" s="4" t="str">
        <f>_xlfn.XLOOKUP(B99,syukujitsu[国民の祝日・休日月日],syukujitsu[国民の祝日・休日名称],"",0,1)</f>
        <v/>
      </c>
      <c r="E99" s="43" t="s">
        <v>254</v>
      </c>
      <c r="F99" s="43" t="s">
        <v>254</v>
      </c>
      <c r="G99" s="43" t="s">
        <v>254</v>
      </c>
      <c r="H99" s="43" t="s">
        <v>254</v>
      </c>
      <c r="I99" s="43" t="s">
        <v>254</v>
      </c>
      <c r="J99" s="43" t="s">
        <v>254</v>
      </c>
      <c r="K99" s="43" t="s">
        <v>254</v>
      </c>
      <c r="L99" s="43" t="s">
        <v>254</v>
      </c>
      <c r="M99" s="39" t="s">
        <v>254</v>
      </c>
      <c r="N99" s="39" t="s">
        <v>254</v>
      </c>
      <c r="O99" s="39" t="s">
        <v>254</v>
      </c>
      <c r="P99" s="39" t="s">
        <v>254</v>
      </c>
      <c r="Q99" s="39" t="s">
        <v>254</v>
      </c>
      <c r="R99" s="39" t="s">
        <v>254</v>
      </c>
    </row>
    <row r="100" spans="1:18">
      <c r="A100" s="53">
        <f t="shared" ref="A100:A147" si="83">B100</f>
        <v>45571</v>
      </c>
      <c r="B100" s="41">
        <f t="shared" si="63"/>
        <v>45571</v>
      </c>
      <c r="C100" s="42" t="str">
        <f t="shared" si="66"/>
        <v>第1  日曜日</v>
      </c>
      <c r="D100" s="4" t="str">
        <f>_xlfn.XLOOKUP(B100,syukujitsu[国民の祝日・休日月日],syukujitsu[国民の祝日・休日名称],"",0,1)</f>
        <v/>
      </c>
      <c r="E100" s="43" t="s">
        <v>254</v>
      </c>
      <c r="F100" s="43" t="s">
        <v>254</v>
      </c>
      <c r="G100" s="43" t="s">
        <v>254</v>
      </c>
      <c r="H100" s="43" t="s">
        <v>254</v>
      </c>
      <c r="I100" s="43" t="s">
        <v>254</v>
      </c>
      <c r="J100" s="43" t="s">
        <v>254</v>
      </c>
      <c r="K100" s="43" t="s">
        <v>254</v>
      </c>
      <c r="L100" s="43" t="s">
        <v>254</v>
      </c>
      <c r="M100" s="39" t="s">
        <v>254</v>
      </c>
      <c r="N100" s="39" t="s">
        <v>254</v>
      </c>
      <c r="O100" s="39" t="s">
        <v>254</v>
      </c>
      <c r="P100" s="39" t="s">
        <v>254</v>
      </c>
      <c r="Q100" s="39" t="s">
        <v>254</v>
      </c>
      <c r="R100" s="39" t="s">
        <v>254</v>
      </c>
    </row>
    <row r="101" spans="1:18">
      <c r="A101" s="53">
        <f t="shared" si="83"/>
        <v>45572</v>
      </c>
      <c r="B101" s="41">
        <f t="shared" si="63"/>
        <v>45572</v>
      </c>
      <c r="C101" s="42" t="str">
        <f t="shared" si="66"/>
        <v>第1  月曜日</v>
      </c>
      <c r="D101" s="4" t="str">
        <f>_xlfn.XLOOKUP(B101,syukujitsu[国民の祝日・休日月日],syukujitsu[国民の祝日・休日名称],"",0,1)</f>
        <v/>
      </c>
      <c r="E101" s="43" t="s">
        <v>254</v>
      </c>
      <c r="F101" s="43" t="s">
        <v>631</v>
      </c>
      <c r="G101" s="43" t="s">
        <v>254</v>
      </c>
      <c r="H101" s="43" t="s">
        <v>254</v>
      </c>
      <c r="I101" s="43" t="s">
        <v>254</v>
      </c>
      <c r="J101" s="43" t="s">
        <v>254</v>
      </c>
      <c r="K101" s="43" t="s">
        <v>254</v>
      </c>
      <c r="L101" s="43" t="s">
        <v>254</v>
      </c>
      <c r="M101" s="29" t="str">
        <f>_xlfn.XLOOKUP($B101,シフトスケジュール!$C:$C,シフトスケジュール!D:D,"該当なし",0,1)</f>
        <v>2025PK／畑澤</v>
      </c>
      <c r="N101" s="29" t="str">
        <f>_xlfn.XLOOKUP($B101,シフトスケジュール!$C:$C,シフトスケジュール!E:E,"該当なし",0,1)</f>
        <v>2267PK／片山</v>
      </c>
      <c r="O101" s="39" t="s">
        <v>254</v>
      </c>
      <c r="P101" s="29" t="str">
        <f>_xlfn.XLOOKUP($B101,シフトスケジュール!$C:$C,シフトスケジュール!G:G,"該当なし",0,1)</f>
        <v>5122PK／菊地</v>
      </c>
      <c r="Q101" s="29" t="str">
        <f>_xlfn.XLOOKUP($B101,シフトスケジュール!$C:$C,シフトスケジュール!H:H,"該当なし",0,1)</f>
        <v>1㌧6902／吉田</v>
      </c>
      <c r="R101" s="29" t="s">
        <v>742</v>
      </c>
    </row>
    <row r="102" spans="1:18">
      <c r="A102" s="53">
        <f t="shared" si="83"/>
        <v>45573</v>
      </c>
      <c r="B102" s="41">
        <f t="shared" si="63"/>
        <v>45573</v>
      </c>
      <c r="C102" s="42" t="str">
        <f t="shared" si="66"/>
        <v>第2  火曜日</v>
      </c>
      <c r="D102" s="4" t="str">
        <f>_xlfn.XLOOKUP(B102,syukujitsu[国民の祝日・休日月日],syukujitsu[国民の祝日・休日名称],"",0,1)</f>
        <v/>
      </c>
      <c r="E102" s="43" t="s">
        <v>659</v>
      </c>
      <c r="F102" s="43" t="s">
        <v>254</v>
      </c>
      <c r="G102" s="43" t="s">
        <v>254</v>
      </c>
      <c r="H102" s="43" t="s">
        <v>254</v>
      </c>
      <c r="I102" s="43" t="s">
        <v>254</v>
      </c>
      <c r="J102" s="43" t="s">
        <v>254</v>
      </c>
      <c r="K102" s="43" t="s">
        <v>254</v>
      </c>
      <c r="L102" s="43" t="s">
        <v>254</v>
      </c>
      <c r="M102" s="29" t="str">
        <f t="shared" ref="M102:R102" si="84">M101</f>
        <v>2025PK／畑澤</v>
      </c>
      <c r="N102" s="29" t="str">
        <f t="shared" si="84"/>
        <v>2267PK／片山</v>
      </c>
      <c r="O102" s="39" t="s">
        <v>254</v>
      </c>
      <c r="P102" s="29" t="str">
        <f t="shared" si="84"/>
        <v>5122PK／菊地</v>
      </c>
      <c r="Q102" s="29" t="str">
        <f t="shared" si="84"/>
        <v>1㌧6902／吉田</v>
      </c>
      <c r="R102" s="29" t="str">
        <f t="shared" si="84"/>
        <v>該当なし</v>
      </c>
    </row>
    <row r="103" spans="1:18">
      <c r="A103" s="53">
        <f t="shared" si="83"/>
        <v>45574</v>
      </c>
      <c r="B103" s="41">
        <f t="shared" si="63"/>
        <v>45574</v>
      </c>
      <c r="C103" s="42" t="str">
        <f t="shared" si="66"/>
        <v>第2  水曜日</v>
      </c>
      <c r="D103" s="4" t="str">
        <f>_xlfn.XLOOKUP(B103,syukujitsu[国民の祝日・休日月日],syukujitsu[国民の祝日・休日名称],"",0,1)</f>
        <v/>
      </c>
      <c r="E103" s="43" t="s">
        <v>254</v>
      </c>
      <c r="F103" s="43" t="s">
        <v>631</v>
      </c>
      <c r="G103" s="43" t="s">
        <v>254</v>
      </c>
      <c r="H103" s="43" t="s">
        <v>254</v>
      </c>
      <c r="I103" s="43" t="s">
        <v>254</v>
      </c>
      <c r="J103" s="43" t="s">
        <v>254</v>
      </c>
      <c r="K103" s="43" t="s">
        <v>254</v>
      </c>
      <c r="L103" s="43" t="s">
        <v>254</v>
      </c>
      <c r="M103" s="29" t="str">
        <f t="shared" ref="M103:R103" si="85">M101</f>
        <v>2025PK／畑澤</v>
      </c>
      <c r="N103" s="29" t="str">
        <f t="shared" si="85"/>
        <v>2267PK／片山</v>
      </c>
      <c r="O103" s="39" t="s">
        <v>254</v>
      </c>
      <c r="P103" s="29" t="str">
        <f t="shared" si="85"/>
        <v>5122PK／菊地</v>
      </c>
      <c r="Q103" s="29" t="str">
        <f t="shared" si="85"/>
        <v>1㌧6902／吉田</v>
      </c>
      <c r="R103" s="29" t="str">
        <f t="shared" si="85"/>
        <v>該当なし</v>
      </c>
    </row>
    <row r="104" spans="1:18">
      <c r="A104" s="53">
        <f t="shared" si="83"/>
        <v>45575</v>
      </c>
      <c r="B104" s="41">
        <f t="shared" si="63"/>
        <v>45575</v>
      </c>
      <c r="C104" s="42" t="str">
        <f t="shared" si="66"/>
        <v>第2  木曜日</v>
      </c>
      <c r="D104" s="4" t="str">
        <f>_xlfn.XLOOKUP(B104,syukujitsu[国民の祝日・休日月日],syukujitsu[国民の祝日・休日名称],"",0,1)</f>
        <v/>
      </c>
      <c r="E104" s="43" t="s">
        <v>254</v>
      </c>
      <c r="F104" s="43" t="s">
        <v>254</v>
      </c>
      <c r="G104" s="43" t="s">
        <v>254</v>
      </c>
      <c r="H104" s="43" t="s">
        <v>254</v>
      </c>
      <c r="I104" s="43" t="s">
        <v>254</v>
      </c>
      <c r="J104" s="43" t="s">
        <v>254</v>
      </c>
      <c r="K104" s="43" t="s">
        <v>254</v>
      </c>
      <c r="L104" s="43" t="s">
        <v>254</v>
      </c>
      <c r="M104" s="29" t="str">
        <f t="shared" ref="M104:R104" si="86">M101</f>
        <v>2025PK／畑澤</v>
      </c>
      <c r="N104" s="29" t="str">
        <f t="shared" si="86"/>
        <v>2267PK／片山</v>
      </c>
      <c r="O104" s="39" t="s">
        <v>254</v>
      </c>
      <c r="P104" s="29" t="str">
        <f t="shared" si="86"/>
        <v>5122PK／菊地</v>
      </c>
      <c r="Q104" s="29" t="str">
        <f t="shared" si="86"/>
        <v>1㌧6902／吉田</v>
      </c>
      <c r="R104" s="29" t="str">
        <f t="shared" si="86"/>
        <v>該当なし</v>
      </c>
    </row>
    <row r="105" spans="1:18">
      <c r="A105" s="53">
        <f t="shared" si="83"/>
        <v>45576</v>
      </c>
      <c r="B105" s="41">
        <f t="shared" si="63"/>
        <v>45576</v>
      </c>
      <c r="C105" s="42" t="str">
        <f t="shared" si="66"/>
        <v>第2  金曜日</v>
      </c>
      <c r="D105" s="4" t="str">
        <f>_xlfn.XLOOKUP(B105,syukujitsu[国民の祝日・休日月日],syukujitsu[国民の祝日・休日名称],"",0,1)</f>
        <v/>
      </c>
      <c r="E105" s="43" t="s">
        <v>254</v>
      </c>
      <c r="F105" s="43" t="s">
        <v>631</v>
      </c>
      <c r="G105" s="43" t="s">
        <v>254</v>
      </c>
      <c r="H105" s="43" t="s">
        <v>254</v>
      </c>
      <c r="I105" s="43" t="s">
        <v>254</v>
      </c>
      <c r="J105" s="43" t="s">
        <v>254</v>
      </c>
      <c r="K105" s="43" t="s">
        <v>254</v>
      </c>
      <c r="L105" s="43" t="s">
        <v>254</v>
      </c>
      <c r="M105" s="29" t="str">
        <f t="shared" ref="M105:R105" si="87">M101</f>
        <v>2025PK／畑澤</v>
      </c>
      <c r="N105" s="29" t="str">
        <f t="shared" si="87"/>
        <v>2267PK／片山</v>
      </c>
      <c r="O105" s="39" t="s">
        <v>254</v>
      </c>
      <c r="P105" s="29" t="str">
        <f t="shared" si="87"/>
        <v>5122PK／菊地</v>
      </c>
      <c r="Q105" s="29" t="str">
        <f t="shared" si="87"/>
        <v>1㌧6902／吉田</v>
      </c>
      <c r="R105" s="29" t="str">
        <f t="shared" si="87"/>
        <v>該当なし</v>
      </c>
    </row>
    <row r="106" spans="1:18">
      <c r="A106" s="53">
        <f t="shared" si="83"/>
        <v>45577</v>
      </c>
      <c r="B106" s="41">
        <f t="shared" si="63"/>
        <v>45577</v>
      </c>
      <c r="C106" s="42" t="str">
        <f t="shared" si="66"/>
        <v>第2  土曜日</v>
      </c>
      <c r="D106" s="4" t="str">
        <f>_xlfn.XLOOKUP(B106,syukujitsu[国民の祝日・休日月日],syukujitsu[国民の祝日・休日名称],"",0,1)</f>
        <v/>
      </c>
      <c r="E106" s="43" t="s">
        <v>254</v>
      </c>
      <c r="F106" s="43" t="s">
        <v>254</v>
      </c>
      <c r="G106" s="43" t="s">
        <v>254</v>
      </c>
      <c r="H106" s="43" t="s">
        <v>254</v>
      </c>
      <c r="I106" s="43" t="s">
        <v>254</v>
      </c>
      <c r="J106" s="43" t="s">
        <v>254</v>
      </c>
      <c r="K106" s="43" t="s">
        <v>254</v>
      </c>
      <c r="L106" s="43" t="s">
        <v>254</v>
      </c>
      <c r="M106" s="39" t="s">
        <v>254</v>
      </c>
      <c r="N106" s="39" t="s">
        <v>254</v>
      </c>
      <c r="O106" s="39" t="s">
        <v>254</v>
      </c>
      <c r="P106" s="39" t="s">
        <v>254</v>
      </c>
      <c r="Q106" s="39" t="s">
        <v>254</v>
      </c>
      <c r="R106" s="39" t="s">
        <v>254</v>
      </c>
    </row>
    <row r="107" spans="1:18">
      <c r="A107" s="53">
        <f t="shared" si="83"/>
        <v>45578</v>
      </c>
      <c r="B107" s="41">
        <f t="shared" si="63"/>
        <v>45578</v>
      </c>
      <c r="C107" s="42" t="str">
        <f t="shared" si="66"/>
        <v>第2  日曜日</v>
      </c>
      <c r="D107" s="4" t="str">
        <f>_xlfn.XLOOKUP(B107,syukujitsu[国民の祝日・休日月日],syukujitsu[国民の祝日・休日名称],"",0,1)</f>
        <v/>
      </c>
      <c r="E107" s="43" t="s">
        <v>254</v>
      </c>
      <c r="F107" s="43" t="s">
        <v>254</v>
      </c>
      <c r="G107" s="43" t="s">
        <v>254</v>
      </c>
      <c r="H107" s="43" t="s">
        <v>254</v>
      </c>
      <c r="I107" s="43" t="s">
        <v>254</v>
      </c>
      <c r="J107" s="43" t="s">
        <v>254</v>
      </c>
      <c r="K107" s="43" t="s">
        <v>254</v>
      </c>
      <c r="L107" s="43" t="s">
        <v>254</v>
      </c>
      <c r="M107" s="39" t="s">
        <v>254</v>
      </c>
      <c r="N107" s="39" t="s">
        <v>254</v>
      </c>
      <c r="O107" s="39" t="s">
        <v>254</v>
      </c>
      <c r="P107" s="39" t="s">
        <v>254</v>
      </c>
      <c r="Q107" s="39" t="s">
        <v>254</v>
      </c>
      <c r="R107" s="39" t="s">
        <v>254</v>
      </c>
    </row>
    <row r="108" spans="1:18">
      <c r="A108" s="53">
        <f t="shared" si="83"/>
        <v>45579</v>
      </c>
      <c r="B108" s="41">
        <f t="shared" si="63"/>
        <v>45579</v>
      </c>
      <c r="C108" s="42" t="str">
        <f t="shared" si="66"/>
        <v>第2  月曜日</v>
      </c>
      <c r="D108" s="4" t="str">
        <f>_xlfn.XLOOKUP(B108,syukujitsu[国民の祝日・休日月日],syukujitsu[国民の祝日・休日名称],"",0,1)</f>
        <v/>
      </c>
      <c r="E108" s="43" t="s">
        <v>254</v>
      </c>
      <c r="F108" s="43" t="s">
        <v>631</v>
      </c>
      <c r="G108" s="43" t="s">
        <v>254</v>
      </c>
      <c r="H108" s="43" t="s">
        <v>254</v>
      </c>
      <c r="I108" s="43" t="s">
        <v>254</v>
      </c>
      <c r="J108" s="43" t="s">
        <v>254</v>
      </c>
      <c r="K108" s="43" t="s">
        <v>254</v>
      </c>
      <c r="L108" s="43" t="s">
        <v>254</v>
      </c>
      <c r="M108" s="29" t="str">
        <f>_xlfn.XLOOKUP($B108,シフトスケジュール!$C:$C,シフトスケジュール!D:D,"該当なし",0,1)</f>
        <v>2025PK／片山</v>
      </c>
      <c r="N108" s="29" t="str">
        <f>_xlfn.XLOOKUP($B108,シフトスケジュール!$C:$C,シフトスケジュール!E:E,"該当なし",0,1)</f>
        <v>2267PK／菊地</v>
      </c>
      <c r="O108" s="39" t="s">
        <v>254</v>
      </c>
      <c r="P108" s="29" t="str">
        <f>_xlfn.XLOOKUP($B108,シフトスケジュール!$C:$C,シフトスケジュール!G:G,"該当なし",0,1)</f>
        <v>5122PK／畑澤</v>
      </c>
      <c r="Q108" s="29" t="str">
        <f>_xlfn.XLOOKUP($B108,シフトスケジュール!$C:$C,シフトスケジュール!H:H,"該当なし",0,1)</f>
        <v>1㌧6902／吉田</v>
      </c>
      <c r="R108" s="29" t="s">
        <v>742</v>
      </c>
    </row>
    <row r="109" spans="1:18">
      <c r="A109" s="53">
        <f t="shared" si="83"/>
        <v>45580</v>
      </c>
      <c r="B109" s="41">
        <f t="shared" si="63"/>
        <v>45580</v>
      </c>
      <c r="C109" s="42" t="str">
        <f t="shared" si="66"/>
        <v>第3  火曜日</v>
      </c>
      <c r="D109" s="4" t="str">
        <f>_xlfn.XLOOKUP(B109,syukujitsu[国民の祝日・休日月日],syukujitsu[国民の祝日・休日名称],"",0,1)</f>
        <v/>
      </c>
      <c r="E109" s="43" t="s">
        <v>254</v>
      </c>
      <c r="F109" s="43" t="s">
        <v>254</v>
      </c>
      <c r="G109" s="43" t="s">
        <v>254</v>
      </c>
      <c r="H109" s="43" t="s">
        <v>254</v>
      </c>
      <c r="I109" s="43" t="s">
        <v>254</v>
      </c>
      <c r="J109" s="43" t="s">
        <v>254</v>
      </c>
      <c r="K109" s="43" t="s">
        <v>254</v>
      </c>
      <c r="L109" s="43" t="s">
        <v>254</v>
      </c>
      <c r="M109" s="29" t="str">
        <f t="shared" ref="M109:R109" si="88">M108</f>
        <v>2025PK／片山</v>
      </c>
      <c r="N109" s="29" t="str">
        <f t="shared" si="88"/>
        <v>2267PK／菊地</v>
      </c>
      <c r="O109" s="39" t="s">
        <v>254</v>
      </c>
      <c r="P109" s="29" t="str">
        <f t="shared" si="88"/>
        <v>5122PK／畑澤</v>
      </c>
      <c r="Q109" s="29" t="str">
        <f t="shared" si="88"/>
        <v>1㌧6902／吉田</v>
      </c>
      <c r="R109" s="29" t="str">
        <f t="shared" si="88"/>
        <v>該当なし</v>
      </c>
    </row>
    <row r="110" spans="1:18">
      <c r="A110" s="53">
        <f t="shared" si="83"/>
        <v>45581</v>
      </c>
      <c r="B110" s="41">
        <f t="shared" si="63"/>
        <v>45581</v>
      </c>
      <c r="C110" s="42" t="str">
        <f t="shared" si="66"/>
        <v>第3  水曜日</v>
      </c>
      <c r="D110" s="4" t="str">
        <f>_xlfn.XLOOKUP(B110,syukujitsu[国民の祝日・休日月日],syukujitsu[国民の祝日・休日名称],"",0,1)</f>
        <v/>
      </c>
      <c r="E110" s="43" t="s">
        <v>254</v>
      </c>
      <c r="F110" s="43" t="s">
        <v>631</v>
      </c>
      <c r="G110" s="43" t="s">
        <v>254</v>
      </c>
      <c r="H110" s="43" t="s">
        <v>254</v>
      </c>
      <c r="I110" s="43" t="s">
        <v>254</v>
      </c>
      <c r="J110" s="43" t="s">
        <v>254</v>
      </c>
      <c r="K110" s="43" t="s">
        <v>254</v>
      </c>
      <c r="L110" s="43" t="s">
        <v>254</v>
      </c>
      <c r="M110" s="29" t="str">
        <f t="shared" ref="M110:R110" si="89">M108</f>
        <v>2025PK／片山</v>
      </c>
      <c r="N110" s="29" t="str">
        <f t="shared" si="89"/>
        <v>2267PK／菊地</v>
      </c>
      <c r="O110" s="39" t="s">
        <v>254</v>
      </c>
      <c r="P110" s="29" t="str">
        <f t="shared" si="89"/>
        <v>5122PK／畑澤</v>
      </c>
      <c r="Q110" s="29" t="str">
        <f t="shared" si="89"/>
        <v>1㌧6902／吉田</v>
      </c>
      <c r="R110" s="29" t="str">
        <f t="shared" si="89"/>
        <v>該当なし</v>
      </c>
    </row>
    <row r="111" spans="1:18">
      <c r="A111" s="53">
        <f t="shared" si="83"/>
        <v>45582</v>
      </c>
      <c r="B111" s="41">
        <f t="shared" si="63"/>
        <v>45582</v>
      </c>
      <c r="C111" s="42" t="str">
        <f t="shared" si="66"/>
        <v>第3  木曜日</v>
      </c>
      <c r="D111" s="4" t="str">
        <f>_xlfn.XLOOKUP(B111,syukujitsu[国民の祝日・休日月日],syukujitsu[国民の祝日・休日名称],"",0,1)</f>
        <v/>
      </c>
      <c r="E111" s="43" t="s">
        <v>254</v>
      </c>
      <c r="F111" s="43" t="s">
        <v>254</v>
      </c>
      <c r="G111" s="43" t="s">
        <v>254</v>
      </c>
      <c r="H111" s="43" t="s">
        <v>254</v>
      </c>
      <c r="I111" s="43" t="s">
        <v>254</v>
      </c>
      <c r="J111" s="43" t="s">
        <v>254</v>
      </c>
      <c r="K111" s="43" t="s">
        <v>254</v>
      </c>
      <c r="L111" s="43" t="s">
        <v>254</v>
      </c>
      <c r="M111" s="29" t="str">
        <f t="shared" ref="M111:R111" si="90">M108</f>
        <v>2025PK／片山</v>
      </c>
      <c r="N111" s="29" t="str">
        <f t="shared" si="90"/>
        <v>2267PK／菊地</v>
      </c>
      <c r="O111" s="39" t="s">
        <v>254</v>
      </c>
      <c r="P111" s="29" t="str">
        <f t="shared" si="90"/>
        <v>5122PK／畑澤</v>
      </c>
      <c r="Q111" s="29" t="str">
        <f t="shared" si="90"/>
        <v>1㌧6902／吉田</v>
      </c>
      <c r="R111" s="29" t="str">
        <f t="shared" si="90"/>
        <v>該当なし</v>
      </c>
    </row>
    <row r="112" spans="1:18">
      <c r="A112" s="53">
        <f t="shared" si="83"/>
        <v>45583</v>
      </c>
      <c r="B112" s="41">
        <f t="shared" si="63"/>
        <v>45583</v>
      </c>
      <c r="C112" s="42" t="str">
        <f t="shared" si="66"/>
        <v>第3  金曜日</v>
      </c>
      <c r="D112" s="4" t="str">
        <f>_xlfn.XLOOKUP(B112,syukujitsu[国民の祝日・休日月日],syukujitsu[国民の祝日・休日名称],"",0,1)</f>
        <v/>
      </c>
      <c r="E112" s="43" t="s">
        <v>439</v>
      </c>
      <c r="F112" s="43" t="s">
        <v>631</v>
      </c>
      <c r="G112" s="43" t="s">
        <v>660</v>
      </c>
      <c r="H112" s="43" t="s">
        <v>254</v>
      </c>
      <c r="I112" s="43" t="s">
        <v>254</v>
      </c>
      <c r="J112" s="43" t="s">
        <v>254</v>
      </c>
      <c r="K112" s="43" t="s">
        <v>254</v>
      </c>
      <c r="L112" s="43" t="s">
        <v>254</v>
      </c>
      <c r="M112" s="29" t="str">
        <f t="shared" ref="M112:R112" si="91">M108</f>
        <v>2025PK／片山</v>
      </c>
      <c r="N112" s="29" t="str">
        <f t="shared" si="91"/>
        <v>2267PK／菊地</v>
      </c>
      <c r="O112" s="39" t="s">
        <v>254</v>
      </c>
      <c r="P112" s="29" t="str">
        <f t="shared" si="91"/>
        <v>5122PK／畑澤</v>
      </c>
      <c r="Q112" s="29" t="str">
        <f t="shared" si="91"/>
        <v>1㌧6902／吉田</v>
      </c>
      <c r="R112" s="29" t="str">
        <f t="shared" si="91"/>
        <v>該当なし</v>
      </c>
    </row>
    <row r="113" spans="1:18">
      <c r="A113" s="53">
        <f t="shared" si="83"/>
        <v>45584</v>
      </c>
      <c r="B113" s="41">
        <f t="shared" si="63"/>
        <v>45584</v>
      </c>
      <c r="C113" s="42" t="str">
        <f t="shared" si="66"/>
        <v>第3  土曜日</v>
      </c>
      <c r="D113" s="4" t="str">
        <f>_xlfn.XLOOKUP(B113,syukujitsu[国民の祝日・休日月日],syukujitsu[国民の祝日・休日名称],"",0,1)</f>
        <v/>
      </c>
      <c r="E113" s="43" t="s">
        <v>254</v>
      </c>
      <c r="F113" s="43" t="s">
        <v>254</v>
      </c>
      <c r="G113" s="43" t="s">
        <v>254</v>
      </c>
      <c r="H113" s="43" t="s">
        <v>254</v>
      </c>
      <c r="I113" s="43" t="s">
        <v>254</v>
      </c>
      <c r="J113" s="43" t="s">
        <v>254</v>
      </c>
      <c r="K113" s="43" t="s">
        <v>254</v>
      </c>
      <c r="L113" s="43" t="s">
        <v>254</v>
      </c>
      <c r="M113" s="39" t="s">
        <v>254</v>
      </c>
      <c r="N113" s="39" t="s">
        <v>254</v>
      </c>
      <c r="O113" s="39" t="s">
        <v>254</v>
      </c>
      <c r="P113" s="39" t="s">
        <v>254</v>
      </c>
      <c r="Q113" s="39" t="s">
        <v>254</v>
      </c>
      <c r="R113" s="39" t="s">
        <v>254</v>
      </c>
    </row>
    <row r="114" spans="1:18">
      <c r="A114" s="53">
        <f t="shared" si="83"/>
        <v>45585</v>
      </c>
      <c r="B114" s="41">
        <f t="shared" si="63"/>
        <v>45585</v>
      </c>
      <c r="C114" s="42" t="str">
        <f t="shared" si="66"/>
        <v>第3  日曜日</v>
      </c>
      <c r="D114" s="4" t="str">
        <f>_xlfn.XLOOKUP(B114,syukujitsu[国民の祝日・休日月日],syukujitsu[国民の祝日・休日名称],"",0,1)</f>
        <v/>
      </c>
      <c r="E114" s="43" t="s">
        <v>254</v>
      </c>
      <c r="F114" s="43" t="s">
        <v>254</v>
      </c>
      <c r="G114" s="43" t="s">
        <v>254</v>
      </c>
      <c r="H114" s="43" t="s">
        <v>254</v>
      </c>
      <c r="I114" s="43" t="s">
        <v>254</v>
      </c>
      <c r="J114" s="43" t="s">
        <v>254</v>
      </c>
      <c r="K114" s="43" t="s">
        <v>254</v>
      </c>
      <c r="L114" s="43" t="s">
        <v>254</v>
      </c>
      <c r="M114" s="39" t="s">
        <v>254</v>
      </c>
      <c r="N114" s="39" t="s">
        <v>254</v>
      </c>
      <c r="O114" s="39" t="s">
        <v>254</v>
      </c>
      <c r="P114" s="39" t="s">
        <v>254</v>
      </c>
      <c r="Q114" s="39" t="s">
        <v>254</v>
      </c>
      <c r="R114" s="39" t="s">
        <v>254</v>
      </c>
    </row>
    <row r="115" spans="1:18">
      <c r="A115" s="53">
        <f t="shared" si="83"/>
        <v>45586</v>
      </c>
      <c r="B115" s="41">
        <f t="shared" si="63"/>
        <v>45586</v>
      </c>
      <c r="C115" s="42" t="str">
        <f t="shared" si="66"/>
        <v>第3  月曜日</v>
      </c>
      <c r="D115" s="4" t="str">
        <f>_xlfn.XLOOKUP(B115,syukujitsu[国民の祝日・休日月日],syukujitsu[国民の祝日・休日名称],"",0,1)</f>
        <v/>
      </c>
      <c r="E115" s="43" t="s">
        <v>658</v>
      </c>
      <c r="F115" s="43" t="s">
        <v>631</v>
      </c>
      <c r="G115" s="43" t="s">
        <v>254</v>
      </c>
      <c r="H115" s="43" t="s">
        <v>254</v>
      </c>
      <c r="I115" s="43" t="s">
        <v>254</v>
      </c>
      <c r="J115" s="43" t="s">
        <v>254</v>
      </c>
      <c r="K115" s="43" t="s">
        <v>254</v>
      </c>
      <c r="L115" s="43" t="s">
        <v>254</v>
      </c>
      <c r="M115" s="29" t="str">
        <f>_xlfn.XLOOKUP($B115,シフトスケジュール!$C:$C,シフトスケジュール!D:D,"該当なし",0,1)</f>
        <v>2025PK／菊地</v>
      </c>
      <c r="N115" s="29" t="str">
        <f>_xlfn.XLOOKUP($B115,シフトスケジュール!$C:$C,シフトスケジュール!E:E,"該当なし",0,1)</f>
        <v>2267PK／畑澤</v>
      </c>
      <c r="O115" s="39" t="s">
        <v>254</v>
      </c>
      <c r="P115" s="29" t="str">
        <f>_xlfn.XLOOKUP($B115,シフトスケジュール!$C:$C,シフトスケジュール!G:G,"該当なし",0,1)</f>
        <v>5122PK／片山</v>
      </c>
      <c r="Q115" s="29" t="str">
        <f>_xlfn.XLOOKUP($B115,シフトスケジュール!$C:$C,シフトスケジュール!H:H,"該当なし",0,1)</f>
        <v>1㌧6902／吉田</v>
      </c>
      <c r="R115" s="29" t="s">
        <v>742</v>
      </c>
    </row>
    <row r="116" spans="1:18">
      <c r="A116" s="53">
        <f t="shared" si="83"/>
        <v>45587</v>
      </c>
      <c r="B116" s="41">
        <f t="shared" si="63"/>
        <v>45587</v>
      </c>
      <c r="C116" s="42" t="str">
        <f t="shared" si="66"/>
        <v>第4  火曜日</v>
      </c>
      <c r="D116" s="4" t="str">
        <f>_xlfn.XLOOKUP(B116,syukujitsu[国民の祝日・休日月日],syukujitsu[国民の祝日・休日名称],"",0,1)</f>
        <v/>
      </c>
      <c r="E116" s="43" t="s">
        <v>659</v>
      </c>
      <c r="F116" s="43" t="s">
        <v>254</v>
      </c>
      <c r="G116" s="43" t="s">
        <v>254</v>
      </c>
      <c r="H116" s="43" t="s">
        <v>254</v>
      </c>
      <c r="I116" s="43" t="s">
        <v>254</v>
      </c>
      <c r="J116" s="43" t="s">
        <v>254</v>
      </c>
      <c r="K116" s="43" t="s">
        <v>254</v>
      </c>
      <c r="L116" s="43" t="s">
        <v>254</v>
      </c>
      <c r="M116" s="29" t="str">
        <f t="shared" ref="M116:R116" si="92">M115</f>
        <v>2025PK／菊地</v>
      </c>
      <c r="N116" s="29" t="str">
        <f t="shared" si="92"/>
        <v>2267PK／畑澤</v>
      </c>
      <c r="O116" s="39" t="s">
        <v>254</v>
      </c>
      <c r="P116" s="29" t="str">
        <f t="shared" si="92"/>
        <v>5122PK／片山</v>
      </c>
      <c r="Q116" s="29" t="str">
        <f t="shared" si="92"/>
        <v>1㌧6902／吉田</v>
      </c>
      <c r="R116" s="29" t="str">
        <f t="shared" si="92"/>
        <v>該当なし</v>
      </c>
    </row>
    <row r="117" spans="1:18">
      <c r="A117" s="53">
        <f t="shared" si="83"/>
        <v>45588</v>
      </c>
      <c r="B117" s="41">
        <f t="shared" si="63"/>
        <v>45588</v>
      </c>
      <c r="C117" s="42" t="str">
        <f t="shared" si="66"/>
        <v>第4  水曜日</v>
      </c>
      <c r="D117" s="4" t="str">
        <f>_xlfn.XLOOKUP(B117,syukujitsu[国民の祝日・休日月日],syukujitsu[国民の祝日・休日名称],"",0,1)</f>
        <v/>
      </c>
      <c r="E117" s="43" t="s">
        <v>665</v>
      </c>
      <c r="F117" s="43" t="s">
        <v>631</v>
      </c>
      <c r="G117" s="43" t="s">
        <v>254</v>
      </c>
      <c r="H117" s="43" t="s">
        <v>254</v>
      </c>
      <c r="I117" s="43" t="s">
        <v>254</v>
      </c>
      <c r="J117" s="43" t="s">
        <v>254</v>
      </c>
      <c r="K117" s="43" t="s">
        <v>254</v>
      </c>
      <c r="L117" s="43" t="s">
        <v>254</v>
      </c>
      <c r="M117" s="29" t="str">
        <f t="shared" ref="M117:R117" si="93">M115</f>
        <v>2025PK／菊地</v>
      </c>
      <c r="N117" s="29" t="str">
        <f t="shared" si="93"/>
        <v>2267PK／畑澤</v>
      </c>
      <c r="O117" s="39" t="s">
        <v>254</v>
      </c>
      <c r="P117" s="29" t="str">
        <f t="shared" si="93"/>
        <v>5122PK／片山</v>
      </c>
      <c r="Q117" s="29" t="str">
        <f t="shared" si="93"/>
        <v>1㌧6902／吉田</v>
      </c>
      <c r="R117" s="29" t="str">
        <f t="shared" si="93"/>
        <v>該当なし</v>
      </c>
    </row>
    <row r="118" spans="1:18">
      <c r="A118" s="53">
        <f t="shared" si="83"/>
        <v>45589</v>
      </c>
      <c r="B118" s="41">
        <f t="shared" si="63"/>
        <v>45589</v>
      </c>
      <c r="C118" s="42" t="str">
        <f t="shared" si="66"/>
        <v>第4  木曜日</v>
      </c>
      <c r="D118" s="4" t="str">
        <f>_xlfn.XLOOKUP(B118,syukujitsu[国民の祝日・休日月日],syukujitsu[国民の祝日・休日名称],"",0,1)</f>
        <v/>
      </c>
      <c r="E118" s="43" t="s">
        <v>254</v>
      </c>
      <c r="F118" s="43" t="s">
        <v>254</v>
      </c>
      <c r="G118" s="43" t="s">
        <v>254</v>
      </c>
      <c r="H118" s="43" t="s">
        <v>254</v>
      </c>
      <c r="I118" s="43" t="s">
        <v>254</v>
      </c>
      <c r="J118" s="43" t="s">
        <v>254</v>
      </c>
      <c r="K118" s="43" t="s">
        <v>254</v>
      </c>
      <c r="L118" s="43" t="s">
        <v>254</v>
      </c>
      <c r="M118" s="29" t="str">
        <f t="shared" ref="M118:R118" si="94">M115</f>
        <v>2025PK／菊地</v>
      </c>
      <c r="N118" s="29" t="str">
        <f t="shared" si="94"/>
        <v>2267PK／畑澤</v>
      </c>
      <c r="O118" s="39" t="s">
        <v>254</v>
      </c>
      <c r="P118" s="29" t="str">
        <f t="shared" si="94"/>
        <v>5122PK／片山</v>
      </c>
      <c r="Q118" s="29" t="str">
        <f t="shared" si="94"/>
        <v>1㌧6902／吉田</v>
      </c>
      <c r="R118" s="29" t="str">
        <f t="shared" si="94"/>
        <v>該当なし</v>
      </c>
    </row>
    <row r="119" spans="1:18">
      <c r="A119" s="53">
        <f t="shared" si="83"/>
        <v>45590</v>
      </c>
      <c r="B119" s="41">
        <f t="shared" si="63"/>
        <v>45590</v>
      </c>
      <c r="C119" s="42" t="str">
        <f t="shared" si="66"/>
        <v>第4  金曜日</v>
      </c>
      <c r="D119" s="4" t="str">
        <f>_xlfn.XLOOKUP(B119,syukujitsu[国民の祝日・休日月日],syukujitsu[国民の祝日・休日名称],"",0,1)</f>
        <v/>
      </c>
      <c r="E119" s="43" t="s">
        <v>663</v>
      </c>
      <c r="F119" s="43" t="s">
        <v>631</v>
      </c>
      <c r="G119" s="43" t="s">
        <v>254</v>
      </c>
      <c r="H119" s="43" t="s">
        <v>254</v>
      </c>
      <c r="I119" s="43" t="s">
        <v>254</v>
      </c>
      <c r="J119" s="43" t="s">
        <v>254</v>
      </c>
      <c r="K119" s="43" t="s">
        <v>254</v>
      </c>
      <c r="L119" s="43" t="s">
        <v>254</v>
      </c>
      <c r="M119" s="29" t="str">
        <f t="shared" ref="M119:R119" si="95">M115</f>
        <v>2025PK／菊地</v>
      </c>
      <c r="N119" s="29" t="str">
        <f t="shared" si="95"/>
        <v>2267PK／畑澤</v>
      </c>
      <c r="O119" s="39" t="s">
        <v>254</v>
      </c>
      <c r="P119" s="29" t="str">
        <f t="shared" si="95"/>
        <v>5122PK／片山</v>
      </c>
      <c r="Q119" s="29" t="str">
        <f t="shared" si="95"/>
        <v>1㌧6902／吉田</v>
      </c>
      <c r="R119" s="29" t="str">
        <f t="shared" si="95"/>
        <v>該当なし</v>
      </c>
    </row>
    <row r="120" spans="1:18">
      <c r="A120" s="53">
        <f t="shared" si="83"/>
        <v>45591</v>
      </c>
      <c r="B120" s="41">
        <f t="shared" si="63"/>
        <v>45591</v>
      </c>
      <c r="C120" s="42" t="str">
        <f t="shared" si="66"/>
        <v>第4  土曜日</v>
      </c>
      <c r="D120" s="4" t="str">
        <f>_xlfn.XLOOKUP(B120,syukujitsu[国民の祝日・休日月日],syukujitsu[国民の祝日・休日名称],"",0,1)</f>
        <v/>
      </c>
      <c r="E120" s="43" t="s">
        <v>254</v>
      </c>
      <c r="F120" s="43" t="s">
        <v>254</v>
      </c>
      <c r="G120" s="43" t="s">
        <v>254</v>
      </c>
      <c r="H120" s="43" t="s">
        <v>254</v>
      </c>
      <c r="I120" s="43" t="s">
        <v>254</v>
      </c>
      <c r="J120" s="43" t="s">
        <v>254</v>
      </c>
      <c r="K120" s="43" t="s">
        <v>254</v>
      </c>
      <c r="L120" s="43" t="s">
        <v>254</v>
      </c>
      <c r="M120" s="39" t="s">
        <v>254</v>
      </c>
      <c r="N120" s="39" t="s">
        <v>254</v>
      </c>
      <c r="O120" s="39" t="s">
        <v>254</v>
      </c>
      <c r="P120" s="39" t="s">
        <v>254</v>
      </c>
      <c r="Q120" s="39" t="s">
        <v>254</v>
      </c>
      <c r="R120" s="39" t="s">
        <v>254</v>
      </c>
    </row>
    <row r="121" spans="1:18">
      <c r="A121" s="53">
        <f t="shared" si="83"/>
        <v>45592</v>
      </c>
      <c r="B121" s="41">
        <f t="shared" si="63"/>
        <v>45592</v>
      </c>
      <c r="C121" s="42" t="str">
        <f t="shared" si="66"/>
        <v>第4  日曜日</v>
      </c>
      <c r="D121" s="4" t="str">
        <f>_xlfn.XLOOKUP(B121,syukujitsu[国民の祝日・休日月日],syukujitsu[国民の祝日・休日名称],"",0,1)</f>
        <v/>
      </c>
      <c r="E121" s="43" t="s">
        <v>254</v>
      </c>
      <c r="F121" s="43" t="s">
        <v>254</v>
      </c>
      <c r="G121" s="43" t="s">
        <v>254</v>
      </c>
      <c r="H121" s="43" t="s">
        <v>254</v>
      </c>
      <c r="I121" s="43" t="s">
        <v>254</v>
      </c>
      <c r="J121" s="43" t="s">
        <v>254</v>
      </c>
      <c r="K121" s="43" t="s">
        <v>254</v>
      </c>
      <c r="L121" s="43" t="s">
        <v>254</v>
      </c>
      <c r="M121" s="39" t="s">
        <v>254</v>
      </c>
      <c r="N121" s="39" t="s">
        <v>254</v>
      </c>
      <c r="O121" s="39" t="s">
        <v>254</v>
      </c>
      <c r="P121" s="39" t="s">
        <v>254</v>
      </c>
      <c r="Q121" s="39" t="s">
        <v>254</v>
      </c>
      <c r="R121" s="39" t="s">
        <v>254</v>
      </c>
    </row>
    <row r="122" spans="1:18">
      <c r="A122" s="53">
        <f t="shared" si="83"/>
        <v>45593</v>
      </c>
      <c r="B122" s="41">
        <f t="shared" si="63"/>
        <v>45593</v>
      </c>
      <c r="C122" s="42" t="str">
        <f t="shared" si="66"/>
        <v>第4  月曜日</v>
      </c>
      <c r="D122" s="4" t="str">
        <f>_xlfn.XLOOKUP(B122,syukujitsu[国民の祝日・休日月日],syukujitsu[国民の祝日・休日名称],"",0,1)</f>
        <v/>
      </c>
      <c r="E122" s="43" t="s">
        <v>254</v>
      </c>
      <c r="F122" s="43" t="s">
        <v>631</v>
      </c>
      <c r="G122" s="43" t="s">
        <v>254</v>
      </c>
      <c r="H122" s="43" t="s">
        <v>254</v>
      </c>
      <c r="I122" s="43" t="s">
        <v>254</v>
      </c>
      <c r="J122" s="43" t="s">
        <v>254</v>
      </c>
      <c r="K122" s="43" t="s">
        <v>254</v>
      </c>
      <c r="L122" s="43" t="s">
        <v>254</v>
      </c>
      <c r="M122" s="29" t="str">
        <f>_xlfn.XLOOKUP($B122,シフトスケジュール!$C:$C,シフトスケジュール!D:D,"該当なし",0,1)</f>
        <v>2025PK／畑澤</v>
      </c>
      <c r="N122" s="29" t="str">
        <f>_xlfn.XLOOKUP($B122,シフトスケジュール!$C:$C,シフトスケジュール!E:E,"該当なし",0,1)</f>
        <v>2267PK／片山</v>
      </c>
      <c r="O122" s="39" t="s">
        <v>254</v>
      </c>
      <c r="P122" s="29" t="str">
        <f>_xlfn.XLOOKUP($B122,シフトスケジュール!$C:$C,シフトスケジュール!G:G,"該当なし",0,1)</f>
        <v>5122PK／菊地</v>
      </c>
      <c r="Q122" s="29" t="str">
        <f>_xlfn.XLOOKUP($B122,シフトスケジュール!$C:$C,シフトスケジュール!H:H,"該当なし",0,1)</f>
        <v>1㌧6902／吉田</v>
      </c>
      <c r="R122" s="29" t="s">
        <v>742</v>
      </c>
    </row>
    <row r="123" spans="1:18">
      <c r="A123" s="53">
        <f t="shared" si="83"/>
        <v>45594</v>
      </c>
      <c r="B123" s="41">
        <f t="shared" si="63"/>
        <v>45594</v>
      </c>
      <c r="C123" s="42" t="str">
        <f t="shared" si="66"/>
        <v>第5  火曜日</v>
      </c>
      <c r="D123" s="4" t="str">
        <f>_xlfn.XLOOKUP(B123,syukujitsu[国民の祝日・休日月日],syukujitsu[国民の祝日・休日名称],"",0,1)</f>
        <v/>
      </c>
      <c r="E123" s="43" t="s">
        <v>661</v>
      </c>
      <c r="F123" s="43" t="s">
        <v>662</v>
      </c>
      <c r="G123" s="43" t="s">
        <v>254</v>
      </c>
      <c r="H123" s="43" t="s">
        <v>254</v>
      </c>
      <c r="I123" s="43" t="s">
        <v>254</v>
      </c>
      <c r="J123" s="43" t="s">
        <v>254</v>
      </c>
      <c r="K123" s="43" t="s">
        <v>254</v>
      </c>
      <c r="L123" s="43" t="s">
        <v>254</v>
      </c>
      <c r="M123" s="29" t="str">
        <f t="shared" ref="M123:R123" si="96">M122</f>
        <v>2025PK／畑澤</v>
      </c>
      <c r="N123" s="29" t="str">
        <f t="shared" si="96"/>
        <v>2267PK／片山</v>
      </c>
      <c r="O123" s="39" t="s">
        <v>254</v>
      </c>
      <c r="P123" s="29" t="str">
        <f t="shared" si="96"/>
        <v>5122PK／菊地</v>
      </c>
      <c r="Q123" s="29" t="str">
        <f t="shared" si="96"/>
        <v>1㌧6902／吉田</v>
      </c>
      <c r="R123" s="29" t="str">
        <f t="shared" si="96"/>
        <v>該当なし</v>
      </c>
    </row>
    <row r="124" spans="1:18">
      <c r="A124" s="53">
        <f t="shared" si="83"/>
        <v>45595</v>
      </c>
      <c r="B124" s="41">
        <f t="shared" si="63"/>
        <v>45595</v>
      </c>
      <c r="C124" s="42" t="str">
        <f t="shared" si="66"/>
        <v>第5  水曜日</v>
      </c>
      <c r="D124" s="4" t="str">
        <f>_xlfn.XLOOKUP(B124,syukujitsu[国民の祝日・休日月日],syukujitsu[国民の祝日・休日名称],"",0,1)</f>
        <v/>
      </c>
      <c r="E124" s="43" t="s">
        <v>666</v>
      </c>
      <c r="F124" s="43" t="s">
        <v>631</v>
      </c>
      <c r="G124" s="43" t="s">
        <v>254</v>
      </c>
      <c r="H124" s="43" t="s">
        <v>254</v>
      </c>
      <c r="I124" s="43" t="s">
        <v>254</v>
      </c>
      <c r="J124" s="43" t="s">
        <v>254</v>
      </c>
      <c r="K124" s="43" t="s">
        <v>254</v>
      </c>
      <c r="L124" s="43" t="s">
        <v>254</v>
      </c>
      <c r="M124" s="29" t="str">
        <f t="shared" ref="M124:R124" si="97">M122</f>
        <v>2025PK／畑澤</v>
      </c>
      <c r="N124" s="29" t="str">
        <f t="shared" si="97"/>
        <v>2267PK／片山</v>
      </c>
      <c r="O124" s="39" t="s">
        <v>254</v>
      </c>
      <c r="P124" s="29" t="str">
        <f t="shared" si="97"/>
        <v>5122PK／菊地</v>
      </c>
      <c r="Q124" s="29" t="str">
        <f t="shared" si="97"/>
        <v>1㌧6902／吉田</v>
      </c>
      <c r="R124" s="29" t="str">
        <f t="shared" si="97"/>
        <v>該当なし</v>
      </c>
    </row>
    <row r="125" spans="1:18">
      <c r="A125" s="53">
        <f t="shared" si="83"/>
        <v>45596</v>
      </c>
      <c r="B125" s="41">
        <f t="shared" si="63"/>
        <v>45596</v>
      </c>
      <c r="C125" s="42" t="str">
        <f t="shared" si="66"/>
        <v>第5  木曜日</v>
      </c>
      <c r="D125" s="4" t="str">
        <f>_xlfn.XLOOKUP(B125,syukujitsu[国民の祝日・休日月日],syukujitsu[国民の祝日・休日名称],"",0,1)</f>
        <v/>
      </c>
      <c r="E125" s="43" t="s">
        <v>254</v>
      </c>
      <c r="F125" s="43" t="s">
        <v>254</v>
      </c>
      <c r="G125" s="43" t="s">
        <v>254</v>
      </c>
      <c r="H125" s="43" t="s">
        <v>254</v>
      </c>
      <c r="I125" s="43" t="s">
        <v>254</v>
      </c>
      <c r="J125" s="43" t="s">
        <v>254</v>
      </c>
      <c r="K125" s="43" t="s">
        <v>254</v>
      </c>
      <c r="L125" s="43" t="s">
        <v>254</v>
      </c>
      <c r="M125" s="29" t="str">
        <f t="shared" ref="M125:R125" si="98">M122</f>
        <v>2025PK／畑澤</v>
      </c>
      <c r="N125" s="29" t="str">
        <f t="shared" si="98"/>
        <v>2267PK／片山</v>
      </c>
      <c r="O125" s="39" t="s">
        <v>254</v>
      </c>
      <c r="P125" s="29" t="str">
        <f t="shared" si="98"/>
        <v>5122PK／菊地</v>
      </c>
      <c r="Q125" s="29" t="str">
        <f t="shared" si="98"/>
        <v>1㌧6902／吉田</v>
      </c>
      <c r="R125" s="29" t="str">
        <f t="shared" si="98"/>
        <v>該当なし</v>
      </c>
    </row>
    <row r="126" spans="1:18">
      <c r="A126" s="53">
        <f t="shared" si="83"/>
        <v>45597</v>
      </c>
      <c r="B126" s="41">
        <f t="shared" si="63"/>
        <v>45597</v>
      </c>
      <c r="C126" s="42" t="str">
        <f t="shared" si="66"/>
        <v>第1  金曜日</v>
      </c>
      <c r="D126" s="4" t="str">
        <f>_xlfn.XLOOKUP(B126,syukujitsu[国民の祝日・休日月日],syukujitsu[国民の祝日・休日名称],"",0,1)</f>
        <v/>
      </c>
      <c r="E126" s="43" t="s">
        <v>657</v>
      </c>
      <c r="G126" s="43" t="s">
        <v>254</v>
      </c>
      <c r="H126" s="43" t="s">
        <v>254</v>
      </c>
      <c r="I126" s="43" t="s">
        <v>254</v>
      </c>
      <c r="J126" s="43" t="s">
        <v>254</v>
      </c>
      <c r="K126" s="43" t="s">
        <v>254</v>
      </c>
      <c r="L126" s="43" t="s">
        <v>254</v>
      </c>
      <c r="M126" s="29" t="str">
        <f t="shared" ref="M126:R126" si="99">M122</f>
        <v>2025PK／畑澤</v>
      </c>
      <c r="N126" s="29" t="str">
        <f t="shared" si="99"/>
        <v>2267PK／片山</v>
      </c>
      <c r="O126" s="39" t="s">
        <v>254</v>
      </c>
      <c r="P126" s="29" t="str">
        <f t="shared" si="99"/>
        <v>5122PK／菊地</v>
      </c>
      <c r="Q126" s="29" t="str">
        <f t="shared" si="99"/>
        <v>1㌧6902／吉田</v>
      </c>
      <c r="R126" s="29" t="str">
        <f t="shared" si="99"/>
        <v>該当なし</v>
      </c>
    </row>
    <row r="127" spans="1:18">
      <c r="A127" s="53">
        <f t="shared" si="83"/>
        <v>45598</v>
      </c>
      <c r="B127" s="41">
        <f t="shared" si="63"/>
        <v>45598</v>
      </c>
      <c r="C127" s="42" t="str">
        <f t="shared" si="66"/>
        <v>第1  土曜日</v>
      </c>
      <c r="D127" s="4" t="str">
        <f>_xlfn.XLOOKUP(B127,syukujitsu[国民の祝日・休日月日],syukujitsu[国民の祝日・休日名称],"",0,1)</f>
        <v/>
      </c>
      <c r="E127" s="43" t="s">
        <v>667</v>
      </c>
      <c r="G127" s="43" t="s">
        <v>254</v>
      </c>
      <c r="H127" s="43" t="s">
        <v>254</v>
      </c>
      <c r="I127" s="43" t="s">
        <v>254</v>
      </c>
      <c r="J127" s="43" t="s">
        <v>254</v>
      </c>
      <c r="K127" s="43" t="s">
        <v>254</v>
      </c>
      <c r="L127" s="43" t="s">
        <v>254</v>
      </c>
      <c r="M127" s="39" t="s">
        <v>254</v>
      </c>
      <c r="N127" s="39" t="s">
        <v>254</v>
      </c>
      <c r="O127" s="39" t="s">
        <v>254</v>
      </c>
      <c r="P127" s="39" t="s">
        <v>254</v>
      </c>
      <c r="Q127" s="39" t="s">
        <v>254</v>
      </c>
      <c r="R127" s="39" t="s">
        <v>254</v>
      </c>
    </row>
    <row r="128" spans="1:18">
      <c r="A128" s="53">
        <f t="shared" si="83"/>
        <v>45599</v>
      </c>
      <c r="B128" s="41">
        <f t="shared" si="63"/>
        <v>45599</v>
      </c>
      <c r="C128" s="42" t="str">
        <f t="shared" si="66"/>
        <v>第1  日曜日</v>
      </c>
      <c r="D128" s="4" t="str">
        <f>_xlfn.XLOOKUP(B128,syukujitsu[国民の祝日・休日月日],syukujitsu[国民の祝日・休日名称],"",0,1)</f>
        <v/>
      </c>
      <c r="E128" s="43" t="s">
        <v>254</v>
      </c>
      <c r="G128" s="43" t="s">
        <v>254</v>
      </c>
      <c r="H128" s="43" t="s">
        <v>254</v>
      </c>
      <c r="I128" s="43" t="s">
        <v>254</v>
      </c>
      <c r="J128" s="43" t="s">
        <v>254</v>
      </c>
      <c r="K128" s="43" t="s">
        <v>254</v>
      </c>
      <c r="L128" s="43" t="s">
        <v>254</v>
      </c>
      <c r="M128" s="39" t="s">
        <v>254</v>
      </c>
      <c r="N128" s="39" t="s">
        <v>254</v>
      </c>
      <c r="O128" s="39" t="s">
        <v>254</v>
      </c>
      <c r="P128" s="39" t="s">
        <v>254</v>
      </c>
      <c r="Q128" s="39" t="s">
        <v>254</v>
      </c>
      <c r="R128" s="39" t="s">
        <v>254</v>
      </c>
    </row>
    <row r="129" spans="1:18">
      <c r="A129" s="53">
        <f t="shared" si="83"/>
        <v>45600</v>
      </c>
      <c r="B129" s="41">
        <f t="shared" si="63"/>
        <v>45600</v>
      </c>
      <c r="C129" s="42" t="str">
        <f t="shared" si="66"/>
        <v>第1  月曜日</v>
      </c>
      <c r="D129" s="4" t="str">
        <f>_xlfn.XLOOKUP(B129,syukujitsu[国民の祝日・休日月日],syukujitsu[国民の祝日・休日名称],"",0,1)</f>
        <v/>
      </c>
      <c r="E129" s="43" t="s">
        <v>254</v>
      </c>
      <c r="G129" s="43" t="s">
        <v>254</v>
      </c>
      <c r="H129" s="43" t="s">
        <v>254</v>
      </c>
      <c r="I129" s="43" t="s">
        <v>254</v>
      </c>
      <c r="J129" s="43" t="s">
        <v>254</v>
      </c>
      <c r="K129" s="43" t="s">
        <v>254</v>
      </c>
      <c r="L129" s="43" t="s">
        <v>254</v>
      </c>
      <c r="M129" s="29" t="str">
        <f>_xlfn.XLOOKUP($B129,シフトスケジュール!$C:$C,シフトスケジュール!D:D,"該当なし",0,1)</f>
        <v>2025PK／片山</v>
      </c>
      <c r="N129" s="29" t="str">
        <f>_xlfn.XLOOKUP($B129,シフトスケジュール!$C:$C,シフトスケジュール!E:E,"該当なし",0,1)</f>
        <v>2267PK／菊地</v>
      </c>
      <c r="O129" s="39" t="s">
        <v>254</v>
      </c>
      <c r="P129" s="29" t="str">
        <f>_xlfn.XLOOKUP($B129,シフトスケジュール!$C:$C,シフトスケジュール!G:G,"該当なし",0,1)</f>
        <v>5122PK／畑澤</v>
      </c>
      <c r="Q129" s="29" t="str">
        <f>_xlfn.XLOOKUP($B129,シフトスケジュール!$C:$C,シフトスケジュール!H:H,"該当なし",0,1)</f>
        <v>1㌧6902／吉田</v>
      </c>
      <c r="R129" s="29" t="s">
        <v>742</v>
      </c>
    </row>
    <row r="130" spans="1:18">
      <c r="A130" s="53">
        <f t="shared" si="83"/>
        <v>45601</v>
      </c>
      <c r="B130" s="41">
        <f t="shared" si="63"/>
        <v>45601</v>
      </c>
      <c r="C130" s="42" t="str">
        <f t="shared" si="66"/>
        <v>第1  火曜日</v>
      </c>
      <c r="D130" s="4" t="str">
        <f>_xlfn.XLOOKUP(B130,syukujitsu[国民の祝日・休日月日],syukujitsu[国民の祝日・休日名称],"",0,1)</f>
        <v/>
      </c>
      <c r="E130" s="43" t="s">
        <v>475</v>
      </c>
      <c r="G130" s="43" t="s">
        <v>254</v>
      </c>
      <c r="H130" s="43" t="s">
        <v>254</v>
      </c>
      <c r="I130" s="43" t="s">
        <v>254</v>
      </c>
      <c r="J130" s="43" t="s">
        <v>254</v>
      </c>
      <c r="K130" s="43" t="s">
        <v>254</v>
      </c>
      <c r="L130" s="43" t="s">
        <v>254</v>
      </c>
      <c r="M130" s="29" t="str">
        <f t="shared" ref="M130:R130" si="100">M129</f>
        <v>2025PK／片山</v>
      </c>
      <c r="N130" s="29" t="str">
        <f t="shared" si="100"/>
        <v>2267PK／菊地</v>
      </c>
      <c r="O130" s="39" t="s">
        <v>254</v>
      </c>
      <c r="P130" s="29" t="str">
        <f t="shared" si="100"/>
        <v>5122PK／畑澤</v>
      </c>
      <c r="Q130" s="29" t="str">
        <f t="shared" si="100"/>
        <v>1㌧6902／吉田</v>
      </c>
      <c r="R130" s="29" t="str">
        <f t="shared" si="100"/>
        <v>該当なし</v>
      </c>
    </row>
    <row r="131" spans="1:18">
      <c r="A131" s="53">
        <f t="shared" si="83"/>
        <v>45602</v>
      </c>
      <c r="B131" s="41">
        <f t="shared" si="63"/>
        <v>45602</v>
      </c>
      <c r="C131" s="42" t="str">
        <f t="shared" si="66"/>
        <v>第1  水曜日</v>
      </c>
      <c r="D131" s="4" t="str">
        <f>_xlfn.XLOOKUP(B131,syukujitsu[国民の祝日・休日月日],syukujitsu[国民の祝日・休日名称],"",0,1)</f>
        <v/>
      </c>
      <c r="E131" s="43" t="s">
        <v>254</v>
      </c>
      <c r="G131" s="43" t="s">
        <v>254</v>
      </c>
      <c r="H131" s="43" t="s">
        <v>254</v>
      </c>
      <c r="I131" s="43" t="s">
        <v>254</v>
      </c>
      <c r="J131" s="43" t="s">
        <v>254</v>
      </c>
      <c r="K131" s="43" t="s">
        <v>254</v>
      </c>
      <c r="L131" s="43" t="s">
        <v>254</v>
      </c>
      <c r="M131" s="29" t="str">
        <f t="shared" ref="M131:R131" si="101">M129</f>
        <v>2025PK／片山</v>
      </c>
      <c r="N131" s="29" t="str">
        <f t="shared" si="101"/>
        <v>2267PK／菊地</v>
      </c>
      <c r="O131" s="39" t="s">
        <v>254</v>
      </c>
      <c r="P131" s="29" t="str">
        <f t="shared" si="101"/>
        <v>5122PK／畑澤</v>
      </c>
      <c r="Q131" s="29" t="str">
        <f t="shared" si="101"/>
        <v>1㌧6902／吉田</v>
      </c>
      <c r="R131" s="29" t="str">
        <f t="shared" si="101"/>
        <v>該当なし</v>
      </c>
    </row>
    <row r="132" spans="1:18">
      <c r="A132" s="53">
        <f t="shared" si="83"/>
        <v>45603</v>
      </c>
      <c r="B132" s="41">
        <f t="shared" si="63"/>
        <v>45603</v>
      </c>
      <c r="C132" s="42" t="str">
        <f t="shared" si="66"/>
        <v>第1  木曜日</v>
      </c>
      <c r="D132" s="4" t="str">
        <f>_xlfn.XLOOKUP(B132,syukujitsu[国民の祝日・休日月日],syukujitsu[国民の祝日・休日名称],"",0,1)</f>
        <v/>
      </c>
      <c r="E132" s="43" t="s">
        <v>254</v>
      </c>
      <c r="G132" s="43" t="s">
        <v>254</v>
      </c>
      <c r="H132" s="43" t="s">
        <v>254</v>
      </c>
      <c r="I132" s="43" t="s">
        <v>254</v>
      </c>
      <c r="J132" s="43" t="s">
        <v>254</v>
      </c>
      <c r="K132" s="43" t="s">
        <v>254</v>
      </c>
      <c r="L132" s="43" t="s">
        <v>254</v>
      </c>
      <c r="M132" s="29" t="str">
        <f t="shared" ref="M132:R132" si="102">M129</f>
        <v>2025PK／片山</v>
      </c>
      <c r="N132" s="29" t="str">
        <f t="shared" si="102"/>
        <v>2267PK／菊地</v>
      </c>
      <c r="O132" s="39" t="s">
        <v>254</v>
      </c>
      <c r="P132" s="29" t="str">
        <f t="shared" si="102"/>
        <v>5122PK／畑澤</v>
      </c>
      <c r="Q132" s="29" t="str">
        <f t="shared" si="102"/>
        <v>1㌧6902／吉田</v>
      </c>
      <c r="R132" s="29" t="str">
        <f t="shared" si="102"/>
        <v>該当なし</v>
      </c>
    </row>
    <row r="133" spans="1:18">
      <c r="A133" s="53">
        <f t="shared" si="83"/>
        <v>45604</v>
      </c>
      <c r="B133" s="41">
        <f t="shared" ref="B133:B196" si="103">B132+1</f>
        <v>45604</v>
      </c>
      <c r="C133" s="42" t="str">
        <f t="shared" si="66"/>
        <v>第2  金曜日</v>
      </c>
      <c r="D133" s="4" t="str">
        <f>_xlfn.XLOOKUP(B133,syukujitsu[国民の祝日・休日月日],syukujitsu[国民の祝日・休日名称],"",0,1)</f>
        <v/>
      </c>
      <c r="E133" s="43" t="s">
        <v>254</v>
      </c>
      <c r="G133" s="43" t="s">
        <v>254</v>
      </c>
      <c r="H133" s="43" t="s">
        <v>254</v>
      </c>
      <c r="I133" s="43" t="s">
        <v>254</v>
      </c>
      <c r="J133" s="43" t="s">
        <v>254</v>
      </c>
      <c r="K133" s="43" t="s">
        <v>254</v>
      </c>
      <c r="L133" s="43" t="s">
        <v>254</v>
      </c>
      <c r="M133" s="29" t="str">
        <f t="shared" ref="M133:R133" si="104">M129</f>
        <v>2025PK／片山</v>
      </c>
      <c r="N133" s="29" t="str">
        <f t="shared" si="104"/>
        <v>2267PK／菊地</v>
      </c>
      <c r="O133" s="39" t="s">
        <v>254</v>
      </c>
      <c r="P133" s="29" t="str">
        <f t="shared" si="104"/>
        <v>5122PK／畑澤</v>
      </c>
      <c r="Q133" s="29" t="str">
        <f t="shared" si="104"/>
        <v>1㌧6902／吉田</v>
      </c>
      <c r="R133" s="29" t="str">
        <f t="shared" si="104"/>
        <v>該当なし</v>
      </c>
    </row>
    <row r="134" spans="1:18">
      <c r="A134" s="53">
        <f t="shared" si="83"/>
        <v>45605</v>
      </c>
      <c r="B134" s="41">
        <f t="shared" si="103"/>
        <v>45605</v>
      </c>
      <c r="C134" s="42" t="str">
        <f t="shared" si="66"/>
        <v>第2  土曜日</v>
      </c>
      <c r="D134" s="4" t="str">
        <f>_xlfn.XLOOKUP(B134,syukujitsu[国民の祝日・休日月日],syukujitsu[国民の祝日・休日名称],"",0,1)</f>
        <v/>
      </c>
      <c r="E134" s="43" t="s">
        <v>254</v>
      </c>
      <c r="G134" s="43" t="s">
        <v>254</v>
      </c>
      <c r="H134" s="43" t="s">
        <v>254</v>
      </c>
      <c r="I134" s="43" t="s">
        <v>254</v>
      </c>
      <c r="J134" s="43" t="s">
        <v>254</v>
      </c>
      <c r="K134" s="43" t="s">
        <v>254</v>
      </c>
      <c r="L134" s="43" t="s">
        <v>254</v>
      </c>
      <c r="M134" s="39" t="s">
        <v>254</v>
      </c>
      <c r="N134" s="39" t="s">
        <v>254</v>
      </c>
      <c r="O134" s="39" t="s">
        <v>254</v>
      </c>
      <c r="P134" s="39" t="s">
        <v>254</v>
      </c>
      <c r="Q134" s="39" t="s">
        <v>254</v>
      </c>
      <c r="R134" s="39" t="s">
        <v>254</v>
      </c>
    </row>
    <row r="135" spans="1:18">
      <c r="A135" s="53">
        <f t="shared" si="83"/>
        <v>45606</v>
      </c>
      <c r="B135" s="41">
        <f t="shared" si="103"/>
        <v>45606</v>
      </c>
      <c r="C135" s="42" t="str">
        <f t="shared" si="66"/>
        <v>第2  日曜日</v>
      </c>
      <c r="D135" s="4" t="str">
        <f>_xlfn.XLOOKUP(B135,syukujitsu[国民の祝日・休日月日],syukujitsu[国民の祝日・休日名称],"",0,1)</f>
        <v/>
      </c>
      <c r="E135" s="43" t="s">
        <v>254</v>
      </c>
      <c r="G135" s="43" t="s">
        <v>254</v>
      </c>
      <c r="H135" s="43" t="s">
        <v>254</v>
      </c>
      <c r="I135" s="43" t="s">
        <v>254</v>
      </c>
      <c r="J135" s="43" t="s">
        <v>254</v>
      </c>
      <c r="K135" s="43" t="s">
        <v>254</v>
      </c>
      <c r="L135" s="43" t="s">
        <v>254</v>
      </c>
      <c r="M135" s="39" t="s">
        <v>254</v>
      </c>
      <c r="N135" s="39" t="s">
        <v>254</v>
      </c>
      <c r="O135" s="39" t="s">
        <v>254</v>
      </c>
      <c r="P135" s="39" t="s">
        <v>254</v>
      </c>
      <c r="Q135" s="39" t="s">
        <v>254</v>
      </c>
      <c r="R135" s="39" t="s">
        <v>254</v>
      </c>
    </row>
    <row r="136" spans="1:18">
      <c r="A136" s="53">
        <f t="shared" si="83"/>
        <v>45607</v>
      </c>
      <c r="B136" s="41">
        <f t="shared" si="103"/>
        <v>45607</v>
      </c>
      <c r="C136" s="42" t="str">
        <f t="shared" si="66"/>
        <v>第2  月曜日</v>
      </c>
      <c r="D136" s="4" t="str">
        <f>_xlfn.XLOOKUP(B136,syukujitsu[国民の祝日・休日月日],syukujitsu[国民の祝日・休日名称],"",0,1)</f>
        <v/>
      </c>
      <c r="E136" s="43" t="s">
        <v>668</v>
      </c>
      <c r="F136" s="43" t="s">
        <v>466</v>
      </c>
      <c r="G136" s="43" t="s">
        <v>254</v>
      </c>
      <c r="H136" s="43" t="s">
        <v>254</v>
      </c>
      <c r="I136" s="43" t="s">
        <v>254</v>
      </c>
      <c r="J136" s="43" t="s">
        <v>254</v>
      </c>
      <c r="K136" s="43" t="s">
        <v>254</v>
      </c>
      <c r="L136" s="43" t="s">
        <v>254</v>
      </c>
      <c r="M136" s="29" t="str">
        <f>_xlfn.XLOOKUP($B136,シフトスケジュール!$C:$C,シフトスケジュール!D:D,"該当なし",0,1)</f>
        <v>2025PK／菊地</v>
      </c>
      <c r="N136" s="29" t="str">
        <f>_xlfn.XLOOKUP($B136,シフトスケジュール!$C:$C,シフトスケジュール!E:E,"該当なし",0,1)</f>
        <v>2267PK／畑澤</v>
      </c>
      <c r="O136" s="39" t="s">
        <v>254</v>
      </c>
      <c r="P136" s="29" t="str">
        <f>_xlfn.XLOOKUP($B136,シフトスケジュール!$C:$C,シフトスケジュール!G:G,"該当なし",0,1)</f>
        <v>5122PK／片山</v>
      </c>
      <c r="Q136" s="29" t="str">
        <f>_xlfn.XLOOKUP($B136,シフトスケジュール!$C:$C,シフトスケジュール!H:H,"該当なし",0,1)</f>
        <v>1㌧6902／吉田</v>
      </c>
      <c r="R136" s="29" t="s">
        <v>742</v>
      </c>
    </row>
    <row r="137" spans="1:18">
      <c r="A137" s="53">
        <f t="shared" si="83"/>
        <v>45608</v>
      </c>
      <c r="B137" s="41">
        <f t="shared" si="103"/>
        <v>45608</v>
      </c>
      <c r="C137" s="42" t="str">
        <f t="shared" si="66"/>
        <v>第2  火曜日</v>
      </c>
      <c r="D137" s="4" t="str">
        <f>_xlfn.XLOOKUP(B137,syukujitsu[国民の祝日・休日月日],syukujitsu[国民の祝日・休日名称],"",0,1)</f>
        <v/>
      </c>
      <c r="E137" s="43" t="s">
        <v>671</v>
      </c>
      <c r="G137" s="43" t="s">
        <v>254</v>
      </c>
      <c r="H137" s="43" t="s">
        <v>254</v>
      </c>
      <c r="I137" s="43" t="s">
        <v>254</v>
      </c>
      <c r="J137" s="43" t="s">
        <v>254</v>
      </c>
      <c r="K137" s="43" t="s">
        <v>254</v>
      </c>
      <c r="L137" s="43" t="s">
        <v>254</v>
      </c>
      <c r="M137" s="29" t="str">
        <f t="shared" ref="M137:R137" si="105">M136</f>
        <v>2025PK／菊地</v>
      </c>
      <c r="N137" s="29" t="str">
        <f t="shared" si="105"/>
        <v>2267PK／畑澤</v>
      </c>
      <c r="O137" s="39" t="s">
        <v>254</v>
      </c>
      <c r="P137" s="29" t="str">
        <f t="shared" si="105"/>
        <v>5122PK／片山</v>
      </c>
      <c r="Q137" s="29" t="str">
        <f t="shared" si="105"/>
        <v>1㌧6902／吉田</v>
      </c>
      <c r="R137" s="29" t="str">
        <f t="shared" si="105"/>
        <v>該当なし</v>
      </c>
    </row>
    <row r="138" spans="1:18">
      <c r="A138" s="53">
        <f t="shared" si="83"/>
        <v>45609</v>
      </c>
      <c r="B138" s="41">
        <f t="shared" si="103"/>
        <v>45609</v>
      </c>
      <c r="C138" s="42" t="str">
        <f t="shared" ref="C138:C203" si="106">"第"&amp;ROUNDUP(DAY(B138)/7,0)  &amp;"  "&amp;TEXT(B138,"aaaa")</f>
        <v>第2  水曜日</v>
      </c>
      <c r="D138" s="4" t="str">
        <f>_xlfn.XLOOKUP(B138,syukujitsu[国民の祝日・休日月日],syukujitsu[国民の祝日・休日名称],"",0,1)</f>
        <v/>
      </c>
      <c r="E138" s="43" t="s">
        <v>664</v>
      </c>
      <c r="G138" s="43" t="s">
        <v>254</v>
      </c>
      <c r="H138" s="43" t="s">
        <v>254</v>
      </c>
      <c r="I138" s="43" t="s">
        <v>254</v>
      </c>
      <c r="J138" s="43" t="s">
        <v>254</v>
      </c>
      <c r="K138" s="43" t="s">
        <v>254</v>
      </c>
      <c r="L138" s="43" t="s">
        <v>254</v>
      </c>
      <c r="M138" s="29" t="str">
        <f t="shared" ref="M138:R138" si="107">M136</f>
        <v>2025PK／菊地</v>
      </c>
      <c r="N138" s="29" t="str">
        <f t="shared" si="107"/>
        <v>2267PK／畑澤</v>
      </c>
      <c r="O138" s="39" t="s">
        <v>254</v>
      </c>
      <c r="P138" s="29" t="str">
        <f t="shared" si="107"/>
        <v>5122PK／片山</v>
      </c>
      <c r="Q138" s="29" t="str">
        <f t="shared" si="107"/>
        <v>1㌧6902／吉田</v>
      </c>
      <c r="R138" s="29" t="str">
        <f t="shared" si="107"/>
        <v>該当なし</v>
      </c>
    </row>
    <row r="139" spans="1:18">
      <c r="A139" s="53">
        <f t="shared" si="83"/>
        <v>45610</v>
      </c>
      <c r="B139" s="41">
        <f t="shared" si="103"/>
        <v>45610</v>
      </c>
      <c r="C139" s="42" t="str">
        <f t="shared" si="106"/>
        <v>第2  木曜日</v>
      </c>
      <c r="D139" s="4" t="str">
        <f>_xlfn.XLOOKUP(B139,syukujitsu[国民の祝日・休日月日],syukujitsu[国民の祝日・休日名称],"",0,1)</f>
        <v/>
      </c>
      <c r="E139" s="43" t="s">
        <v>664</v>
      </c>
      <c r="G139" s="43" t="s">
        <v>254</v>
      </c>
      <c r="H139" s="43" t="s">
        <v>254</v>
      </c>
      <c r="I139" s="43" t="s">
        <v>254</v>
      </c>
      <c r="J139" s="43" t="s">
        <v>254</v>
      </c>
      <c r="K139" s="43" t="s">
        <v>254</v>
      </c>
      <c r="L139" s="43" t="s">
        <v>254</v>
      </c>
      <c r="M139" s="29" t="str">
        <f t="shared" ref="M139:R139" si="108">M136</f>
        <v>2025PK／菊地</v>
      </c>
      <c r="N139" s="29" t="str">
        <f t="shared" si="108"/>
        <v>2267PK／畑澤</v>
      </c>
      <c r="O139" s="39" t="s">
        <v>254</v>
      </c>
      <c r="P139" s="29" t="str">
        <f t="shared" si="108"/>
        <v>5122PK／片山</v>
      </c>
      <c r="Q139" s="29" t="str">
        <f t="shared" si="108"/>
        <v>1㌧6902／吉田</v>
      </c>
      <c r="R139" s="29" t="str">
        <f t="shared" si="108"/>
        <v>該当なし</v>
      </c>
    </row>
    <row r="140" spans="1:18">
      <c r="A140" s="53">
        <f t="shared" si="83"/>
        <v>45611</v>
      </c>
      <c r="B140" s="41">
        <f t="shared" si="103"/>
        <v>45611</v>
      </c>
      <c r="C140" s="42" t="str">
        <f t="shared" si="106"/>
        <v>第3  金曜日</v>
      </c>
      <c r="D140" s="4" t="str">
        <f>_xlfn.XLOOKUP(B140,syukujitsu[国民の祝日・休日月日],syukujitsu[国民の祝日・休日名称],"",0,1)</f>
        <v/>
      </c>
      <c r="E140" s="43" t="s">
        <v>670</v>
      </c>
      <c r="F140" s="43" t="s">
        <v>657</v>
      </c>
      <c r="G140" s="43" t="s">
        <v>254</v>
      </c>
      <c r="H140" s="43" t="s">
        <v>254</v>
      </c>
      <c r="I140" s="43" t="s">
        <v>254</v>
      </c>
      <c r="J140" s="43" t="s">
        <v>254</v>
      </c>
      <c r="K140" s="43" t="s">
        <v>254</v>
      </c>
      <c r="L140" s="43" t="s">
        <v>254</v>
      </c>
      <c r="M140" s="29" t="str">
        <f t="shared" ref="M140:R140" si="109">M136</f>
        <v>2025PK／菊地</v>
      </c>
      <c r="N140" s="29" t="str">
        <f t="shared" si="109"/>
        <v>2267PK／畑澤</v>
      </c>
      <c r="O140" s="39" t="s">
        <v>254</v>
      </c>
      <c r="P140" s="29" t="str">
        <f t="shared" si="109"/>
        <v>5122PK／片山</v>
      </c>
      <c r="Q140" s="29" t="str">
        <f t="shared" si="109"/>
        <v>1㌧6902／吉田</v>
      </c>
      <c r="R140" s="29" t="str">
        <f t="shared" si="109"/>
        <v>該当なし</v>
      </c>
    </row>
    <row r="141" spans="1:18">
      <c r="A141" s="53">
        <f t="shared" si="83"/>
        <v>45612</v>
      </c>
      <c r="B141" s="41">
        <f t="shared" si="103"/>
        <v>45612</v>
      </c>
      <c r="C141" s="42" t="str">
        <f t="shared" si="106"/>
        <v>第3  土曜日</v>
      </c>
      <c r="D141" s="4" t="str">
        <f>_xlfn.XLOOKUP(B141,syukujitsu[国民の祝日・休日月日],syukujitsu[国民の祝日・休日名称],"",0,1)</f>
        <v/>
      </c>
      <c r="E141" s="43" t="s">
        <v>667</v>
      </c>
      <c r="G141" s="43" t="s">
        <v>254</v>
      </c>
      <c r="H141" s="43" t="s">
        <v>254</v>
      </c>
      <c r="I141" s="43" t="s">
        <v>254</v>
      </c>
      <c r="J141" s="43" t="s">
        <v>254</v>
      </c>
      <c r="K141" s="43" t="s">
        <v>254</v>
      </c>
      <c r="L141" s="43" t="s">
        <v>254</v>
      </c>
      <c r="M141" s="39" t="s">
        <v>254</v>
      </c>
      <c r="N141" s="39" t="s">
        <v>254</v>
      </c>
      <c r="O141" s="39" t="s">
        <v>254</v>
      </c>
      <c r="P141" s="39" t="s">
        <v>254</v>
      </c>
      <c r="Q141" s="39" t="s">
        <v>254</v>
      </c>
      <c r="R141" s="39" t="s">
        <v>254</v>
      </c>
    </row>
    <row r="142" spans="1:18">
      <c r="A142" s="53">
        <f t="shared" si="83"/>
        <v>45613</v>
      </c>
      <c r="B142" s="41">
        <f t="shared" si="103"/>
        <v>45613</v>
      </c>
      <c r="C142" s="42" t="str">
        <f t="shared" si="106"/>
        <v>第3  日曜日</v>
      </c>
      <c r="D142" s="4" t="str">
        <f>_xlfn.XLOOKUP(B142,syukujitsu[国民の祝日・休日月日],syukujitsu[国民の祝日・休日名称],"",0,1)</f>
        <v/>
      </c>
      <c r="E142" s="43" t="s">
        <v>254</v>
      </c>
      <c r="G142" s="43" t="s">
        <v>254</v>
      </c>
      <c r="H142" s="43" t="s">
        <v>254</v>
      </c>
      <c r="I142" s="43" t="s">
        <v>254</v>
      </c>
      <c r="J142" s="43" t="s">
        <v>254</v>
      </c>
      <c r="K142" s="43" t="s">
        <v>254</v>
      </c>
      <c r="L142" s="43" t="s">
        <v>254</v>
      </c>
      <c r="M142" s="39" t="s">
        <v>254</v>
      </c>
      <c r="N142" s="39" t="s">
        <v>254</v>
      </c>
      <c r="O142" s="39" t="s">
        <v>254</v>
      </c>
      <c r="P142" s="39" t="s">
        <v>254</v>
      </c>
      <c r="Q142" s="39" t="s">
        <v>254</v>
      </c>
      <c r="R142" s="39" t="s">
        <v>254</v>
      </c>
    </row>
    <row r="143" spans="1:18">
      <c r="A143" s="53">
        <f t="shared" si="83"/>
        <v>45614</v>
      </c>
      <c r="B143" s="41">
        <f t="shared" si="103"/>
        <v>45614</v>
      </c>
      <c r="C143" s="42" t="str">
        <f t="shared" si="106"/>
        <v>第3  月曜日</v>
      </c>
      <c r="D143" s="4" t="str">
        <f>_xlfn.XLOOKUP(B143,syukujitsu[国民の祝日・休日月日],syukujitsu[国民の祝日・休日名称],"",0,1)</f>
        <v/>
      </c>
      <c r="E143" s="43" t="s">
        <v>674</v>
      </c>
      <c r="G143" s="43" t="s">
        <v>254</v>
      </c>
      <c r="H143" s="43" t="s">
        <v>254</v>
      </c>
      <c r="I143" s="43" t="s">
        <v>254</v>
      </c>
      <c r="J143" s="43" t="s">
        <v>254</v>
      </c>
      <c r="K143" s="43" t="s">
        <v>254</v>
      </c>
      <c r="L143" s="43" t="s">
        <v>254</v>
      </c>
      <c r="M143" s="29" t="str">
        <f>_xlfn.XLOOKUP($B143,シフトスケジュール!$C:$C,シフトスケジュール!D:D,"該当なし",0,1)</f>
        <v>2025PK／畑澤</v>
      </c>
      <c r="N143" s="29" t="str">
        <f>_xlfn.XLOOKUP($B143,シフトスケジュール!$C:$C,シフトスケジュール!E:E,"該当なし",0,1)</f>
        <v>2267PK／片山</v>
      </c>
      <c r="O143" s="39" t="s">
        <v>254</v>
      </c>
      <c r="P143" s="29" t="str">
        <f>_xlfn.XLOOKUP($B143,シフトスケジュール!$C:$C,シフトスケジュール!G:G,"該当なし",0,1)</f>
        <v>5122PK／菊地</v>
      </c>
      <c r="Q143" s="29" t="str">
        <f>_xlfn.XLOOKUP($B143,シフトスケジュール!$C:$C,シフトスケジュール!H:H,"該当なし",0,1)</f>
        <v>1㌧6902／吉田</v>
      </c>
      <c r="R143" s="29" t="s">
        <v>742</v>
      </c>
    </row>
    <row r="144" spans="1:18">
      <c r="A144" s="53">
        <f t="shared" si="83"/>
        <v>45615</v>
      </c>
      <c r="B144" s="41">
        <f t="shared" si="103"/>
        <v>45615</v>
      </c>
      <c r="C144" s="42" t="str">
        <f t="shared" si="106"/>
        <v>第3  火曜日</v>
      </c>
      <c r="D144" s="4" t="str">
        <f>_xlfn.XLOOKUP(B144,syukujitsu[国民の祝日・休日月日],syukujitsu[国民の祝日・休日名称],"",0,1)</f>
        <v/>
      </c>
      <c r="E144" s="43" t="s">
        <v>254</v>
      </c>
      <c r="G144" s="43" t="s">
        <v>254</v>
      </c>
      <c r="H144" s="43" t="s">
        <v>254</v>
      </c>
      <c r="I144" s="43" t="s">
        <v>254</v>
      </c>
      <c r="J144" s="43" t="s">
        <v>254</v>
      </c>
      <c r="K144" s="43" t="s">
        <v>254</v>
      </c>
      <c r="L144" s="43" t="s">
        <v>254</v>
      </c>
      <c r="M144" s="29" t="str">
        <f t="shared" ref="M144:R144" si="110">M143</f>
        <v>2025PK／畑澤</v>
      </c>
      <c r="N144" s="29" t="str">
        <f t="shared" si="110"/>
        <v>2267PK／片山</v>
      </c>
      <c r="O144" s="39" t="s">
        <v>254</v>
      </c>
      <c r="P144" s="29" t="str">
        <f t="shared" si="110"/>
        <v>5122PK／菊地</v>
      </c>
      <c r="Q144" s="29" t="str">
        <f t="shared" si="110"/>
        <v>1㌧6902／吉田</v>
      </c>
      <c r="R144" s="29" t="str">
        <f t="shared" si="110"/>
        <v>該当なし</v>
      </c>
    </row>
    <row r="145" spans="1:18">
      <c r="A145" s="53">
        <f t="shared" si="83"/>
        <v>45616</v>
      </c>
      <c r="B145" s="41">
        <f t="shared" si="103"/>
        <v>45616</v>
      </c>
      <c r="C145" s="42" t="str">
        <f t="shared" si="106"/>
        <v>第3  水曜日</v>
      </c>
      <c r="D145" s="4" t="str">
        <f>_xlfn.XLOOKUP(B145,syukujitsu[国民の祝日・休日月日],syukujitsu[国民の祝日・休日名称],"",0,1)</f>
        <v/>
      </c>
      <c r="E145" s="43" t="s">
        <v>677</v>
      </c>
      <c r="F145" s="43" t="s">
        <v>678</v>
      </c>
      <c r="G145" s="43" t="s">
        <v>254</v>
      </c>
      <c r="H145" s="43" t="s">
        <v>254</v>
      </c>
      <c r="I145" s="43" t="s">
        <v>254</v>
      </c>
      <c r="J145" s="43" t="s">
        <v>254</v>
      </c>
      <c r="K145" s="43" t="s">
        <v>254</v>
      </c>
      <c r="L145" s="43" t="s">
        <v>254</v>
      </c>
      <c r="M145" s="29" t="str">
        <f t="shared" ref="M145:R145" si="111">M143</f>
        <v>2025PK／畑澤</v>
      </c>
      <c r="N145" s="29" t="str">
        <f t="shared" si="111"/>
        <v>2267PK／片山</v>
      </c>
      <c r="O145" s="39" t="s">
        <v>254</v>
      </c>
      <c r="P145" s="29" t="str">
        <f t="shared" si="111"/>
        <v>5122PK／菊地</v>
      </c>
      <c r="Q145" s="29" t="str">
        <f t="shared" si="111"/>
        <v>1㌧6902／吉田</v>
      </c>
      <c r="R145" s="29" t="str">
        <f t="shared" si="111"/>
        <v>該当なし</v>
      </c>
    </row>
    <row r="146" spans="1:18">
      <c r="A146" s="53">
        <f t="shared" si="83"/>
        <v>45617</v>
      </c>
      <c r="B146" s="41">
        <f t="shared" si="103"/>
        <v>45617</v>
      </c>
      <c r="C146" s="42" t="str">
        <f t="shared" si="106"/>
        <v>第3  木曜日</v>
      </c>
      <c r="D146" s="4" t="str">
        <f>_xlfn.XLOOKUP(B146,syukujitsu[国民の祝日・休日月日],syukujitsu[国民の祝日・休日名称],"",0,1)</f>
        <v/>
      </c>
      <c r="E146" s="43" t="s">
        <v>254</v>
      </c>
      <c r="G146" s="43" t="s">
        <v>254</v>
      </c>
      <c r="H146" s="43" t="s">
        <v>254</v>
      </c>
      <c r="I146" s="43" t="s">
        <v>254</v>
      </c>
      <c r="J146" s="43" t="s">
        <v>254</v>
      </c>
      <c r="K146" s="43" t="s">
        <v>254</v>
      </c>
      <c r="L146" s="43" t="s">
        <v>254</v>
      </c>
      <c r="M146" s="29" t="str">
        <f t="shared" ref="M146:R146" si="112">M143</f>
        <v>2025PK／畑澤</v>
      </c>
      <c r="N146" s="29" t="str">
        <f t="shared" si="112"/>
        <v>2267PK／片山</v>
      </c>
      <c r="O146" s="39" t="s">
        <v>254</v>
      </c>
      <c r="P146" s="29" t="str">
        <f t="shared" si="112"/>
        <v>5122PK／菊地</v>
      </c>
      <c r="Q146" s="29" t="str">
        <f t="shared" si="112"/>
        <v>1㌧6902／吉田</v>
      </c>
      <c r="R146" s="29" t="str">
        <f t="shared" si="112"/>
        <v>該当なし</v>
      </c>
    </row>
    <row r="147" spans="1:18">
      <c r="A147" s="53">
        <f t="shared" si="83"/>
        <v>45618</v>
      </c>
      <c r="B147" s="41">
        <f t="shared" si="103"/>
        <v>45618</v>
      </c>
      <c r="C147" s="42" t="str">
        <f t="shared" si="106"/>
        <v>第4  金曜日</v>
      </c>
      <c r="D147" s="4" t="str">
        <f>_xlfn.XLOOKUP(B147,syukujitsu[国民の祝日・休日月日],syukujitsu[国民の祝日・休日名称],"",0,1)</f>
        <v/>
      </c>
      <c r="E147" s="43" t="s">
        <v>679</v>
      </c>
      <c r="G147" s="43" t="s">
        <v>254</v>
      </c>
      <c r="H147" s="43" t="s">
        <v>254</v>
      </c>
      <c r="I147" s="43" t="s">
        <v>254</v>
      </c>
      <c r="J147" s="43" t="s">
        <v>254</v>
      </c>
      <c r="K147" s="43" t="s">
        <v>254</v>
      </c>
      <c r="L147" s="43" t="s">
        <v>254</v>
      </c>
      <c r="M147" s="29" t="str">
        <f t="shared" ref="M147:R147" si="113">M143</f>
        <v>2025PK／畑澤</v>
      </c>
      <c r="N147" s="29" t="str">
        <f t="shared" si="113"/>
        <v>2267PK／片山</v>
      </c>
      <c r="O147" s="39" t="s">
        <v>254</v>
      </c>
      <c r="P147" s="29" t="str">
        <f t="shared" si="113"/>
        <v>5122PK／菊地</v>
      </c>
      <c r="Q147" s="29" t="str">
        <f t="shared" si="113"/>
        <v>1㌧6902／吉田</v>
      </c>
      <c r="R147" s="29" t="str">
        <f t="shared" si="113"/>
        <v>該当なし</v>
      </c>
    </row>
    <row r="148" spans="1:18">
      <c r="A148" s="53">
        <f t="shared" ref="A148:A154" si="114">B148</f>
        <v>45619</v>
      </c>
      <c r="B148" s="41">
        <f t="shared" si="103"/>
        <v>45619</v>
      </c>
      <c r="C148" s="42" t="str">
        <f t="shared" si="106"/>
        <v>第4  土曜日</v>
      </c>
      <c r="D148" s="4" t="str">
        <f>_xlfn.XLOOKUP(B148,syukujitsu[国民の祝日・休日月日],syukujitsu[国民の祝日・休日名称],"",0,1)</f>
        <v/>
      </c>
      <c r="E148" s="43" t="s">
        <v>254</v>
      </c>
      <c r="G148" s="43" t="s">
        <v>254</v>
      </c>
      <c r="H148" s="43" t="s">
        <v>254</v>
      </c>
      <c r="I148" s="43" t="s">
        <v>254</v>
      </c>
      <c r="J148" s="43" t="s">
        <v>254</v>
      </c>
      <c r="K148" s="43" t="s">
        <v>254</v>
      </c>
      <c r="L148" s="43" t="s">
        <v>254</v>
      </c>
      <c r="M148" s="39" t="s">
        <v>254</v>
      </c>
      <c r="N148" s="39" t="s">
        <v>254</v>
      </c>
      <c r="O148" s="39" t="s">
        <v>254</v>
      </c>
      <c r="P148" s="39" t="s">
        <v>254</v>
      </c>
      <c r="Q148" s="39" t="s">
        <v>254</v>
      </c>
      <c r="R148" s="39" t="s">
        <v>254</v>
      </c>
    </row>
    <row r="149" spans="1:18">
      <c r="A149" s="53">
        <f t="shared" si="114"/>
        <v>45620</v>
      </c>
      <c r="B149" s="41">
        <f t="shared" si="103"/>
        <v>45620</v>
      </c>
      <c r="C149" s="42" t="str">
        <f t="shared" si="106"/>
        <v>第4  日曜日</v>
      </c>
      <c r="D149" s="4" t="str">
        <f>_xlfn.XLOOKUP(B149,syukujitsu[国民の祝日・休日月日],syukujitsu[国民の祝日・休日名称],"",0,1)</f>
        <v/>
      </c>
      <c r="E149" s="43" t="s">
        <v>254</v>
      </c>
      <c r="G149" s="43" t="s">
        <v>254</v>
      </c>
      <c r="H149" s="43" t="s">
        <v>254</v>
      </c>
      <c r="I149" s="43" t="s">
        <v>254</v>
      </c>
      <c r="J149" s="43" t="s">
        <v>254</v>
      </c>
      <c r="K149" s="43" t="s">
        <v>254</v>
      </c>
      <c r="L149" s="43" t="s">
        <v>254</v>
      </c>
      <c r="M149" s="39" t="s">
        <v>254</v>
      </c>
      <c r="N149" s="39" t="s">
        <v>254</v>
      </c>
      <c r="O149" s="39" t="s">
        <v>254</v>
      </c>
      <c r="P149" s="39" t="s">
        <v>254</v>
      </c>
      <c r="Q149" s="39" t="s">
        <v>254</v>
      </c>
      <c r="R149" s="39" t="s">
        <v>254</v>
      </c>
    </row>
    <row r="150" spans="1:18">
      <c r="A150" s="53">
        <f t="shared" si="114"/>
        <v>45621</v>
      </c>
      <c r="B150" s="41">
        <f t="shared" si="103"/>
        <v>45621</v>
      </c>
      <c r="C150" s="42" t="str">
        <f t="shared" si="106"/>
        <v>第4  月曜日</v>
      </c>
      <c r="D150" s="4" t="str">
        <f>_xlfn.XLOOKUP(B150,syukujitsu[国民の祝日・休日月日],syukujitsu[国民の祝日・休日名称],"",0,1)</f>
        <v/>
      </c>
      <c r="E150" s="43" t="s">
        <v>254</v>
      </c>
      <c r="G150" s="43" t="s">
        <v>254</v>
      </c>
      <c r="H150" s="43" t="s">
        <v>254</v>
      </c>
      <c r="I150" s="43" t="s">
        <v>254</v>
      </c>
      <c r="J150" s="43" t="s">
        <v>254</v>
      </c>
      <c r="K150" s="43" t="s">
        <v>254</v>
      </c>
      <c r="L150" s="43" t="s">
        <v>254</v>
      </c>
      <c r="M150" s="29" t="str">
        <f>_xlfn.XLOOKUP($B150,シフトスケジュール!$C:$C,シフトスケジュール!D:D,"該当なし",0,1)</f>
        <v>2025PK／片山</v>
      </c>
      <c r="N150" s="29" t="str">
        <f>_xlfn.XLOOKUP($B150,シフトスケジュール!$C:$C,シフトスケジュール!E:E,"該当なし",0,1)</f>
        <v>2267PK／菊地</v>
      </c>
      <c r="O150" s="39" t="s">
        <v>254</v>
      </c>
      <c r="P150" s="29" t="str">
        <f>_xlfn.XLOOKUP($B150,シフトスケジュール!$C:$C,シフトスケジュール!G:G,"該当なし",0,1)</f>
        <v>5122PK／畑澤</v>
      </c>
      <c r="Q150" s="29" t="str">
        <f>_xlfn.XLOOKUP($B150,シフトスケジュール!$C:$C,シフトスケジュール!H:H,"該当なし",0,1)</f>
        <v>1㌧6902／吉田</v>
      </c>
      <c r="R150" s="29" t="s">
        <v>742</v>
      </c>
    </row>
    <row r="151" spans="1:18">
      <c r="A151" s="53">
        <f t="shared" si="114"/>
        <v>45622</v>
      </c>
      <c r="B151" s="41">
        <f t="shared" si="103"/>
        <v>45622</v>
      </c>
      <c r="C151" s="42" t="str">
        <f t="shared" si="106"/>
        <v>第4  火曜日</v>
      </c>
      <c r="D151" s="4" t="str">
        <f>_xlfn.XLOOKUP(B151,syukujitsu[国民の祝日・休日月日],syukujitsu[国民の祝日・休日名称],"",0,1)</f>
        <v/>
      </c>
      <c r="E151" s="43" t="s">
        <v>254</v>
      </c>
      <c r="G151" s="43" t="s">
        <v>254</v>
      </c>
      <c r="H151" s="43" t="s">
        <v>254</v>
      </c>
      <c r="I151" s="43" t="s">
        <v>254</v>
      </c>
      <c r="J151" s="43" t="s">
        <v>254</v>
      </c>
      <c r="K151" s="43" t="s">
        <v>254</v>
      </c>
      <c r="L151" s="43" t="s">
        <v>254</v>
      </c>
      <c r="M151" s="29" t="str">
        <f t="shared" ref="M151:R151" si="115">M150</f>
        <v>2025PK／片山</v>
      </c>
      <c r="N151" s="29" t="str">
        <f t="shared" si="115"/>
        <v>2267PK／菊地</v>
      </c>
      <c r="O151" s="39" t="s">
        <v>254</v>
      </c>
      <c r="P151" s="29" t="str">
        <f t="shared" si="115"/>
        <v>5122PK／畑澤</v>
      </c>
      <c r="Q151" s="29" t="str">
        <f t="shared" si="115"/>
        <v>1㌧6902／吉田</v>
      </c>
      <c r="R151" s="29" t="str">
        <f t="shared" si="115"/>
        <v>該当なし</v>
      </c>
    </row>
    <row r="152" spans="1:18">
      <c r="A152" s="53">
        <f t="shared" si="114"/>
        <v>45623</v>
      </c>
      <c r="B152" s="41">
        <f t="shared" si="103"/>
        <v>45623</v>
      </c>
      <c r="C152" s="42" t="str">
        <f t="shared" si="106"/>
        <v>第4  水曜日</v>
      </c>
      <c r="D152" s="4" t="str">
        <f>_xlfn.XLOOKUP(B152,syukujitsu[国民の祝日・休日月日],syukujitsu[国民の祝日・休日名称],"",0,1)</f>
        <v/>
      </c>
      <c r="E152" s="43" t="s">
        <v>254</v>
      </c>
      <c r="G152" s="43" t="s">
        <v>254</v>
      </c>
      <c r="H152" s="43" t="s">
        <v>254</v>
      </c>
      <c r="I152" s="43" t="s">
        <v>254</v>
      </c>
      <c r="J152" s="43" t="s">
        <v>254</v>
      </c>
      <c r="K152" s="43" t="s">
        <v>254</v>
      </c>
      <c r="L152" s="43" t="s">
        <v>254</v>
      </c>
      <c r="M152" s="29" t="str">
        <f t="shared" ref="M152:R152" si="116">M150</f>
        <v>2025PK／片山</v>
      </c>
      <c r="N152" s="29" t="str">
        <f t="shared" si="116"/>
        <v>2267PK／菊地</v>
      </c>
      <c r="O152" s="39" t="s">
        <v>254</v>
      </c>
      <c r="P152" s="29" t="str">
        <f t="shared" si="116"/>
        <v>5122PK／畑澤</v>
      </c>
      <c r="Q152" s="29" t="str">
        <f t="shared" si="116"/>
        <v>1㌧6902／吉田</v>
      </c>
      <c r="R152" s="29" t="str">
        <f t="shared" si="116"/>
        <v>該当なし</v>
      </c>
    </row>
    <row r="153" spans="1:18">
      <c r="A153" s="53">
        <f t="shared" si="114"/>
        <v>45624</v>
      </c>
      <c r="B153" s="41">
        <f t="shared" si="103"/>
        <v>45624</v>
      </c>
      <c r="C153" s="42" t="str">
        <f t="shared" si="106"/>
        <v>第4  木曜日</v>
      </c>
      <c r="D153" s="4" t="str">
        <f>_xlfn.XLOOKUP(B153,syukujitsu[国民の祝日・休日月日],syukujitsu[国民の祝日・休日名称],"",0,1)</f>
        <v/>
      </c>
      <c r="E153" s="43" t="s">
        <v>254</v>
      </c>
      <c r="G153" s="43" t="s">
        <v>254</v>
      </c>
      <c r="H153" s="43" t="s">
        <v>254</v>
      </c>
      <c r="I153" s="43" t="s">
        <v>254</v>
      </c>
      <c r="J153" s="43" t="s">
        <v>254</v>
      </c>
      <c r="K153" s="43" t="s">
        <v>254</v>
      </c>
      <c r="L153" s="43" t="s">
        <v>254</v>
      </c>
      <c r="M153" s="29" t="str">
        <f t="shared" ref="M153:R153" si="117">M150</f>
        <v>2025PK／片山</v>
      </c>
      <c r="N153" s="29" t="str">
        <f t="shared" si="117"/>
        <v>2267PK／菊地</v>
      </c>
      <c r="O153" s="39" t="s">
        <v>254</v>
      </c>
      <c r="P153" s="29" t="str">
        <f t="shared" si="117"/>
        <v>5122PK／畑澤</v>
      </c>
      <c r="Q153" s="29" t="str">
        <f t="shared" si="117"/>
        <v>1㌧6902／吉田</v>
      </c>
      <c r="R153" s="29" t="str">
        <f t="shared" si="117"/>
        <v>該当なし</v>
      </c>
    </row>
    <row r="154" spans="1:18">
      <c r="A154" s="53">
        <f t="shared" si="114"/>
        <v>45625</v>
      </c>
      <c r="B154" s="41">
        <f t="shared" si="103"/>
        <v>45625</v>
      </c>
      <c r="C154" s="42" t="str">
        <f t="shared" si="106"/>
        <v>第5  金曜日</v>
      </c>
      <c r="D154" s="4" t="str">
        <f>_xlfn.XLOOKUP(B154,syukujitsu[国民の祝日・休日月日],syukujitsu[国民の祝日・休日名称],"",0,1)</f>
        <v/>
      </c>
      <c r="E154" s="43" t="s">
        <v>657</v>
      </c>
      <c r="F154" s="43" t="s">
        <v>680</v>
      </c>
      <c r="G154" s="43" t="s">
        <v>254</v>
      </c>
      <c r="H154" s="43" t="s">
        <v>254</v>
      </c>
      <c r="I154" s="43" t="s">
        <v>254</v>
      </c>
      <c r="J154" s="43" t="s">
        <v>254</v>
      </c>
      <c r="K154" s="43" t="s">
        <v>254</v>
      </c>
      <c r="L154" s="43" t="s">
        <v>254</v>
      </c>
      <c r="M154" s="29" t="str">
        <f t="shared" ref="M154:R154" si="118">M150</f>
        <v>2025PK／片山</v>
      </c>
      <c r="N154" s="29" t="str">
        <f t="shared" si="118"/>
        <v>2267PK／菊地</v>
      </c>
      <c r="O154" s="39" t="s">
        <v>254</v>
      </c>
      <c r="P154" s="29" t="str">
        <f t="shared" si="118"/>
        <v>5122PK／畑澤</v>
      </c>
      <c r="Q154" s="29" t="str">
        <f t="shared" si="118"/>
        <v>1㌧6902／吉田</v>
      </c>
      <c r="R154" s="29" t="str">
        <f t="shared" si="118"/>
        <v>該当なし</v>
      </c>
    </row>
    <row r="155" spans="1:18">
      <c r="A155" s="53">
        <f t="shared" ref="A155:A161" si="119">B155</f>
        <v>45626</v>
      </c>
      <c r="B155" s="41">
        <f t="shared" si="103"/>
        <v>45626</v>
      </c>
      <c r="C155" s="42" t="str">
        <f t="shared" si="106"/>
        <v>第5  土曜日</v>
      </c>
      <c r="D155" s="4" t="str">
        <f>_xlfn.XLOOKUP(B155,syukujitsu[国民の祝日・休日月日],syukujitsu[国民の祝日・休日名称],"",0,1)</f>
        <v/>
      </c>
      <c r="E155" s="43" t="s">
        <v>667</v>
      </c>
      <c r="G155" s="43" t="s">
        <v>254</v>
      </c>
      <c r="H155" s="43" t="s">
        <v>254</v>
      </c>
      <c r="I155" s="43" t="s">
        <v>254</v>
      </c>
      <c r="J155" s="43" t="s">
        <v>254</v>
      </c>
      <c r="K155" s="43" t="s">
        <v>254</v>
      </c>
      <c r="L155" s="43" t="s">
        <v>254</v>
      </c>
      <c r="M155" s="39" t="s">
        <v>254</v>
      </c>
      <c r="N155" s="39" t="s">
        <v>254</v>
      </c>
      <c r="O155" s="39" t="s">
        <v>254</v>
      </c>
      <c r="P155" s="39" t="s">
        <v>254</v>
      </c>
      <c r="Q155" s="39" t="s">
        <v>254</v>
      </c>
      <c r="R155" s="39" t="s">
        <v>254</v>
      </c>
    </row>
    <row r="156" spans="1:18">
      <c r="A156" s="53">
        <f t="shared" si="119"/>
        <v>45627</v>
      </c>
      <c r="B156" s="41">
        <f t="shared" si="103"/>
        <v>45627</v>
      </c>
      <c r="C156" s="42" t="str">
        <f t="shared" si="106"/>
        <v>第1  日曜日</v>
      </c>
      <c r="D156" s="4" t="str">
        <f>_xlfn.XLOOKUP(B156,syukujitsu[国民の祝日・休日月日],syukujitsu[国民の祝日・休日名称],"",0,1)</f>
        <v/>
      </c>
      <c r="E156" s="43" t="s">
        <v>254</v>
      </c>
      <c r="G156" s="43" t="s">
        <v>254</v>
      </c>
      <c r="H156" s="43" t="s">
        <v>254</v>
      </c>
      <c r="I156" s="43" t="s">
        <v>254</v>
      </c>
      <c r="J156" s="43" t="s">
        <v>254</v>
      </c>
      <c r="K156" s="43" t="s">
        <v>254</v>
      </c>
      <c r="L156" s="43" t="s">
        <v>254</v>
      </c>
      <c r="M156" s="39" t="s">
        <v>254</v>
      </c>
      <c r="N156" s="39" t="s">
        <v>254</v>
      </c>
      <c r="O156" s="39" t="s">
        <v>254</v>
      </c>
      <c r="P156" s="39" t="s">
        <v>254</v>
      </c>
      <c r="Q156" s="39" t="s">
        <v>254</v>
      </c>
      <c r="R156" s="39" t="s">
        <v>254</v>
      </c>
    </row>
    <row r="157" spans="1:18">
      <c r="A157" s="53">
        <f t="shared" si="119"/>
        <v>45628</v>
      </c>
      <c r="B157" s="41">
        <f t="shared" si="103"/>
        <v>45628</v>
      </c>
      <c r="C157" s="42" t="str">
        <f t="shared" si="106"/>
        <v>第1  月曜日</v>
      </c>
      <c r="D157" s="4" t="str">
        <f>_xlfn.XLOOKUP(B157,syukujitsu[国民の祝日・休日月日],syukujitsu[国民の祝日・休日名称],"",0,1)</f>
        <v/>
      </c>
      <c r="E157" s="43" t="s">
        <v>254</v>
      </c>
      <c r="G157" s="43" t="s">
        <v>254</v>
      </c>
      <c r="H157" s="43" t="s">
        <v>254</v>
      </c>
      <c r="I157" s="43" t="s">
        <v>254</v>
      </c>
      <c r="J157" s="43" t="s">
        <v>254</v>
      </c>
      <c r="K157" s="43" t="s">
        <v>254</v>
      </c>
      <c r="L157" s="43" t="s">
        <v>254</v>
      </c>
      <c r="M157" s="29" t="str">
        <f>_xlfn.XLOOKUP($B157,シフトスケジュール!$C:$C,シフトスケジュール!D:D,"該当なし",0,1)</f>
        <v>2025PK／菊地</v>
      </c>
      <c r="N157" s="29" t="str">
        <f>_xlfn.XLOOKUP($B157,シフトスケジュール!$C:$C,シフトスケジュール!E:E,"該当なし",0,1)</f>
        <v>2267PK／畑澤</v>
      </c>
      <c r="O157" s="39" t="s">
        <v>254</v>
      </c>
      <c r="P157" s="29" t="str">
        <f>_xlfn.XLOOKUP($B157,シフトスケジュール!$C:$C,シフトスケジュール!G:G,"該当なし",0,1)</f>
        <v>5122PK／片山</v>
      </c>
      <c r="Q157" s="29" t="str">
        <f>_xlfn.XLOOKUP($B157,シフトスケジュール!$C:$C,シフトスケジュール!H:H,"該当なし",0,1)</f>
        <v>1㌧6902／吉田</v>
      </c>
      <c r="R157" s="29" t="s">
        <v>742</v>
      </c>
    </row>
    <row r="158" spans="1:18">
      <c r="A158" s="53">
        <f t="shared" si="119"/>
        <v>45629</v>
      </c>
      <c r="B158" s="41">
        <f t="shared" si="103"/>
        <v>45629</v>
      </c>
      <c r="C158" s="42" t="str">
        <f t="shared" si="106"/>
        <v>第1  火曜日</v>
      </c>
      <c r="D158" s="4" t="str">
        <f>_xlfn.XLOOKUP(B158,syukujitsu[国民の祝日・休日月日],syukujitsu[国民の祝日・休日名称],"",0,1)</f>
        <v/>
      </c>
      <c r="E158" s="43" t="s">
        <v>254</v>
      </c>
      <c r="G158" s="43" t="s">
        <v>254</v>
      </c>
      <c r="H158" s="43" t="s">
        <v>254</v>
      </c>
      <c r="I158" s="43" t="s">
        <v>254</v>
      </c>
      <c r="J158" s="43" t="s">
        <v>254</v>
      </c>
      <c r="K158" s="43" t="s">
        <v>254</v>
      </c>
      <c r="L158" s="43" t="s">
        <v>254</v>
      </c>
      <c r="M158" s="29" t="str">
        <f t="shared" ref="M158:R158" si="120">M157</f>
        <v>2025PK／菊地</v>
      </c>
      <c r="N158" s="29" t="str">
        <f t="shared" si="120"/>
        <v>2267PK／畑澤</v>
      </c>
      <c r="O158" s="39" t="s">
        <v>254</v>
      </c>
      <c r="P158" s="29" t="str">
        <f t="shared" si="120"/>
        <v>5122PK／片山</v>
      </c>
      <c r="Q158" s="29" t="str">
        <f t="shared" si="120"/>
        <v>1㌧6902／吉田</v>
      </c>
      <c r="R158" s="29" t="str">
        <f t="shared" si="120"/>
        <v>該当なし</v>
      </c>
    </row>
    <row r="159" spans="1:18">
      <c r="A159" s="53">
        <f t="shared" si="119"/>
        <v>45630</v>
      </c>
      <c r="B159" s="41">
        <f t="shared" si="103"/>
        <v>45630</v>
      </c>
      <c r="C159" s="42" t="str">
        <f t="shared" si="106"/>
        <v>第1  水曜日</v>
      </c>
      <c r="D159" s="4" t="str">
        <f>_xlfn.XLOOKUP(B159,syukujitsu[国民の祝日・休日月日],syukujitsu[国民の祝日・休日名称],"",0,1)</f>
        <v/>
      </c>
      <c r="E159" s="43" t="s">
        <v>254</v>
      </c>
      <c r="G159" s="43" t="s">
        <v>254</v>
      </c>
      <c r="H159" s="43" t="s">
        <v>254</v>
      </c>
      <c r="I159" s="43" t="s">
        <v>254</v>
      </c>
      <c r="J159" s="43" t="s">
        <v>254</v>
      </c>
      <c r="K159" s="43" t="s">
        <v>254</v>
      </c>
      <c r="L159" s="43" t="s">
        <v>254</v>
      </c>
      <c r="M159" s="29" t="str">
        <f t="shared" ref="M159:R159" si="121">M157</f>
        <v>2025PK／菊地</v>
      </c>
      <c r="N159" s="29" t="str">
        <f t="shared" si="121"/>
        <v>2267PK／畑澤</v>
      </c>
      <c r="O159" s="39" t="s">
        <v>254</v>
      </c>
      <c r="P159" s="29" t="str">
        <f t="shared" si="121"/>
        <v>5122PK／片山</v>
      </c>
      <c r="Q159" s="29" t="str">
        <f t="shared" si="121"/>
        <v>1㌧6902／吉田</v>
      </c>
      <c r="R159" s="29" t="str">
        <f t="shared" si="121"/>
        <v>該当なし</v>
      </c>
    </row>
    <row r="160" spans="1:18">
      <c r="A160" s="53">
        <f t="shared" si="119"/>
        <v>45631</v>
      </c>
      <c r="B160" s="41">
        <f t="shared" si="103"/>
        <v>45631</v>
      </c>
      <c r="C160" s="42" t="str">
        <f t="shared" si="106"/>
        <v>第1  木曜日</v>
      </c>
      <c r="D160" s="4" t="str">
        <f>_xlfn.XLOOKUP(B160,syukujitsu[国民の祝日・休日月日],syukujitsu[国民の祝日・休日名称],"",0,1)</f>
        <v/>
      </c>
      <c r="E160" s="43" t="s">
        <v>254</v>
      </c>
      <c r="G160" s="43" t="s">
        <v>254</v>
      </c>
      <c r="H160" s="43" t="s">
        <v>254</v>
      </c>
      <c r="I160" s="43" t="s">
        <v>254</v>
      </c>
      <c r="J160" s="43" t="s">
        <v>254</v>
      </c>
      <c r="K160" s="43" t="s">
        <v>254</v>
      </c>
      <c r="L160" s="43" t="s">
        <v>254</v>
      </c>
      <c r="M160" s="29" t="str">
        <f t="shared" ref="M160:R160" si="122">M157</f>
        <v>2025PK／菊地</v>
      </c>
      <c r="N160" s="29" t="str">
        <f t="shared" si="122"/>
        <v>2267PK／畑澤</v>
      </c>
      <c r="O160" s="39" t="s">
        <v>254</v>
      </c>
      <c r="P160" s="29" t="str">
        <f t="shared" si="122"/>
        <v>5122PK／片山</v>
      </c>
      <c r="Q160" s="29" t="str">
        <f t="shared" si="122"/>
        <v>1㌧6902／吉田</v>
      </c>
      <c r="R160" s="29" t="str">
        <f t="shared" si="122"/>
        <v>該当なし</v>
      </c>
    </row>
    <row r="161" spans="1:18">
      <c r="A161" s="53">
        <f t="shared" si="119"/>
        <v>45632</v>
      </c>
      <c r="B161" s="41">
        <f t="shared" si="103"/>
        <v>45632</v>
      </c>
      <c r="C161" s="42" t="str">
        <f t="shared" si="106"/>
        <v>第1  金曜日</v>
      </c>
      <c r="D161" s="4" t="str">
        <f>_xlfn.XLOOKUP(B161,syukujitsu[国民の祝日・休日月日],syukujitsu[国民の祝日・休日名称],"",0,1)</f>
        <v/>
      </c>
      <c r="E161" s="43" t="s">
        <v>678</v>
      </c>
      <c r="G161" s="43" t="s">
        <v>254</v>
      </c>
      <c r="H161" s="43" t="s">
        <v>254</v>
      </c>
      <c r="I161" s="43" t="s">
        <v>254</v>
      </c>
      <c r="J161" s="43" t="s">
        <v>254</v>
      </c>
      <c r="K161" s="43" t="s">
        <v>254</v>
      </c>
      <c r="L161" s="43" t="s">
        <v>254</v>
      </c>
      <c r="M161" s="29" t="str">
        <f t="shared" ref="M161:R161" si="123">M157</f>
        <v>2025PK／菊地</v>
      </c>
      <c r="N161" s="29" t="str">
        <f t="shared" si="123"/>
        <v>2267PK／畑澤</v>
      </c>
      <c r="O161" s="39" t="s">
        <v>254</v>
      </c>
      <c r="P161" s="29" t="str">
        <f t="shared" si="123"/>
        <v>5122PK／片山</v>
      </c>
      <c r="Q161" s="29" t="str">
        <f t="shared" si="123"/>
        <v>1㌧6902／吉田</v>
      </c>
      <c r="R161" s="29" t="str">
        <f t="shared" si="123"/>
        <v>該当なし</v>
      </c>
    </row>
    <row r="162" spans="1:18">
      <c r="A162" s="53">
        <f t="shared" ref="A162:A198" si="124">B162</f>
        <v>45633</v>
      </c>
      <c r="B162" s="41">
        <f t="shared" si="103"/>
        <v>45633</v>
      </c>
      <c r="C162" s="42" t="str">
        <f t="shared" si="106"/>
        <v>第1  土曜日</v>
      </c>
      <c r="D162" s="4" t="str">
        <f>_xlfn.XLOOKUP(B162,syukujitsu[国民の祝日・休日月日],syukujitsu[国民の祝日・休日名称],"",0,1)</f>
        <v/>
      </c>
      <c r="E162" s="43" t="s">
        <v>254</v>
      </c>
      <c r="G162" s="43" t="s">
        <v>254</v>
      </c>
      <c r="H162" s="43" t="s">
        <v>254</v>
      </c>
      <c r="I162" s="43" t="s">
        <v>254</v>
      </c>
      <c r="J162" s="43" t="s">
        <v>254</v>
      </c>
      <c r="K162" s="43" t="s">
        <v>254</v>
      </c>
      <c r="L162" s="43" t="s">
        <v>254</v>
      </c>
      <c r="M162" s="39" t="s">
        <v>254</v>
      </c>
      <c r="N162" s="39" t="s">
        <v>254</v>
      </c>
      <c r="O162" s="39" t="s">
        <v>254</v>
      </c>
      <c r="P162" s="39" t="s">
        <v>254</v>
      </c>
      <c r="Q162" s="39" t="s">
        <v>254</v>
      </c>
      <c r="R162" s="39" t="s">
        <v>254</v>
      </c>
    </row>
    <row r="163" spans="1:18">
      <c r="A163" s="53">
        <f t="shared" si="124"/>
        <v>45634</v>
      </c>
      <c r="B163" s="41">
        <f t="shared" si="103"/>
        <v>45634</v>
      </c>
      <c r="C163" s="42" t="str">
        <f t="shared" si="106"/>
        <v>第2  日曜日</v>
      </c>
      <c r="D163" s="4" t="str">
        <f>_xlfn.XLOOKUP(B163,syukujitsu[国民の祝日・休日月日],syukujitsu[国民の祝日・休日名称],"",0,1)</f>
        <v/>
      </c>
      <c r="E163" s="43" t="s">
        <v>254</v>
      </c>
      <c r="G163" s="43" t="s">
        <v>254</v>
      </c>
      <c r="H163" s="43" t="s">
        <v>254</v>
      </c>
      <c r="I163" s="43" t="s">
        <v>254</v>
      </c>
      <c r="J163" s="43" t="s">
        <v>254</v>
      </c>
      <c r="K163" s="43" t="s">
        <v>254</v>
      </c>
      <c r="L163" s="43" t="s">
        <v>254</v>
      </c>
      <c r="M163" s="39" t="s">
        <v>254</v>
      </c>
      <c r="N163" s="39" t="s">
        <v>254</v>
      </c>
      <c r="O163" s="39" t="s">
        <v>254</v>
      </c>
      <c r="P163" s="39" t="s">
        <v>254</v>
      </c>
      <c r="Q163" s="39" t="s">
        <v>254</v>
      </c>
      <c r="R163" s="39" t="s">
        <v>254</v>
      </c>
    </row>
    <row r="164" spans="1:18">
      <c r="A164" s="53">
        <f t="shared" si="124"/>
        <v>45635</v>
      </c>
      <c r="B164" s="41">
        <f t="shared" si="103"/>
        <v>45635</v>
      </c>
      <c r="C164" s="42" t="str">
        <f t="shared" si="106"/>
        <v>第2  月曜日</v>
      </c>
      <c r="D164" s="4" t="str">
        <f>_xlfn.XLOOKUP(B164,syukujitsu[国民の祝日・休日月日],syukujitsu[国民の祝日・休日名称],"",0,1)</f>
        <v/>
      </c>
      <c r="E164" s="43" t="s">
        <v>254</v>
      </c>
      <c r="G164" s="43" t="s">
        <v>254</v>
      </c>
      <c r="H164" s="43" t="s">
        <v>254</v>
      </c>
      <c r="I164" s="43" t="s">
        <v>254</v>
      </c>
      <c r="J164" s="43" t="s">
        <v>254</v>
      </c>
      <c r="K164" s="43" t="s">
        <v>254</v>
      </c>
      <c r="L164" s="43" t="s">
        <v>254</v>
      </c>
      <c r="M164" s="29" t="str">
        <f>_xlfn.XLOOKUP($B164,シフトスケジュール!$C:$C,シフトスケジュール!D:D,"該当なし",0,1)</f>
        <v>2025PK／畑澤</v>
      </c>
      <c r="N164" s="29" t="str">
        <f>_xlfn.XLOOKUP($B164,シフトスケジュール!$C:$C,シフトスケジュール!E:E,"該当なし",0,1)</f>
        <v>2267PK／片山</v>
      </c>
      <c r="O164" s="39" t="s">
        <v>254</v>
      </c>
      <c r="P164" s="29" t="str">
        <f>_xlfn.XLOOKUP($B164,シフトスケジュール!$C:$C,シフトスケジュール!G:G,"該当なし",0,1)</f>
        <v>5122PK／菊地</v>
      </c>
      <c r="Q164" s="29" t="str">
        <f>_xlfn.XLOOKUP($B164,シフトスケジュール!$C:$C,シフトスケジュール!H:H,"該当なし",0,1)</f>
        <v>1㌧6902／吉田</v>
      </c>
      <c r="R164" s="29" t="s">
        <v>742</v>
      </c>
    </row>
    <row r="165" spans="1:18">
      <c r="A165" s="53">
        <f t="shared" si="124"/>
        <v>45636</v>
      </c>
      <c r="B165" s="41">
        <f t="shared" si="103"/>
        <v>45636</v>
      </c>
      <c r="C165" s="42" t="str">
        <f t="shared" si="106"/>
        <v>第2  火曜日</v>
      </c>
      <c r="D165" s="4" t="str">
        <f>_xlfn.XLOOKUP(B165,syukujitsu[国民の祝日・休日月日],syukujitsu[国民の祝日・休日名称],"",0,1)</f>
        <v/>
      </c>
      <c r="E165" s="43" t="s">
        <v>254</v>
      </c>
      <c r="G165" s="43" t="s">
        <v>254</v>
      </c>
      <c r="H165" s="43" t="s">
        <v>254</v>
      </c>
      <c r="I165" s="43" t="s">
        <v>254</v>
      </c>
      <c r="J165" s="43" t="s">
        <v>254</v>
      </c>
      <c r="K165" s="43" t="s">
        <v>254</v>
      </c>
      <c r="L165" s="43" t="s">
        <v>254</v>
      </c>
      <c r="M165" s="29" t="str">
        <f t="shared" ref="M165:R165" si="125">M164</f>
        <v>2025PK／畑澤</v>
      </c>
      <c r="N165" s="29" t="str">
        <f t="shared" si="125"/>
        <v>2267PK／片山</v>
      </c>
      <c r="O165" s="39" t="s">
        <v>254</v>
      </c>
      <c r="P165" s="29" t="str">
        <f t="shared" si="125"/>
        <v>5122PK／菊地</v>
      </c>
      <c r="Q165" s="29" t="str">
        <f t="shared" si="125"/>
        <v>1㌧6902／吉田</v>
      </c>
      <c r="R165" s="29" t="str">
        <f t="shared" si="125"/>
        <v>該当なし</v>
      </c>
    </row>
    <row r="166" spans="1:18">
      <c r="A166" s="53">
        <f t="shared" si="124"/>
        <v>45637</v>
      </c>
      <c r="B166" s="41">
        <f t="shared" si="103"/>
        <v>45637</v>
      </c>
      <c r="C166" s="42" t="str">
        <f t="shared" si="106"/>
        <v>第2  水曜日</v>
      </c>
      <c r="D166" s="4" t="str">
        <f>_xlfn.XLOOKUP(B166,syukujitsu[国民の祝日・休日月日],syukujitsu[国民の祝日・休日名称],"",0,1)</f>
        <v/>
      </c>
      <c r="E166" s="43" t="s">
        <v>681</v>
      </c>
      <c r="G166" s="43" t="s">
        <v>254</v>
      </c>
      <c r="H166" s="43" t="s">
        <v>254</v>
      </c>
      <c r="I166" s="43" t="s">
        <v>254</v>
      </c>
      <c r="J166" s="43" t="s">
        <v>254</v>
      </c>
      <c r="K166" s="43" t="s">
        <v>254</v>
      </c>
      <c r="L166" s="43" t="s">
        <v>254</v>
      </c>
      <c r="M166" s="29" t="str">
        <f t="shared" ref="M166:R166" si="126">M164</f>
        <v>2025PK／畑澤</v>
      </c>
      <c r="N166" s="29" t="str">
        <f t="shared" si="126"/>
        <v>2267PK／片山</v>
      </c>
      <c r="O166" s="39" t="s">
        <v>254</v>
      </c>
      <c r="P166" s="29" t="str">
        <f t="shared" si="126"/>
        <v>5122PK／菊地</v>
      </c>
      <c r="Q166" s="29" t="str">
        <f t="shared" si="126"/>
        <v>1㌧6902／吉田</v>
      </c>
      <c r="R166" s="29" t="str">
        <f t="shared" si="126"/>
        <v>該当なし</v>
      </c>
    </row>
    <row r="167" spans="1:18">
      <c r="A167" s="53">
        <f t="shared" si="124"/>
        <v>45638</v>
      </c>
      <c r="B167" s="41">
        <f t="shared" si="103"/>
        <v>45638</v>
      </c>
      <c r="C167" s="42" t="str">
        <f t="shared" si="106"/>
        <v>第2  木曜日</v>
      </c>
      <c r="D167" s="4" t="str">
        <f>_xlfn.XLOOKUP(B167,syukujitsu[国民の祝日・休日月日],syukujitsu[国民の祝日・休日名称],"",0,1)</f>
        <v/>
      </c>
      <c r="E167" s="43" t="s">
        <v>254</v>
      </c>
      <c r="G167" s="43" t="s">
        <v>254</v>
      </c>
      <c r="H167" s="43" t="s">
        <v>254</v>
      </c>
      <c r="I167" s="43" t="s">
        <v>254</v>
      </c>
      <c r="J167" s="43" t="s">
        <v>254</v>
      </c>
      <c r="K167" s="43" t="s">
        <v>254</v>
      </c>
      <c r="L167" s="43" t="s">
        <v>254</v>
      </c>
      <c r="M167" s="29" t="str">
        <f t="shared" ref="M167:R167" si="127">M164</f>
        <v>2025PK／畑澤</v>
      </c>
      <c r="N167" s="29" t="str">
        <f t="shared" si="127"/>
        <v>2267PK／片山</v>
      </c>
      <c r="O167" s="39" t="s">
        <v>254</v>
      </c>
      <c r="P167" s="29" t="str">
        <f t="shared" si="127"/>
        <v>5122PK／菊地</v>
      </c>
      <c r="Q167" s="29" t="str">
        <f t="shared" si="127"/>
        <v>1㌧6902／吉田</v>
      </c>
      <c r="R167" s="29" t="str">
        <f t="shared" si="127"/>
        <v>該当なし</v>
      </c>
    </row>
    <row r="168" spans="1:18">
      <c r="A168" s="53">
        <f t="shared" si="124"/>
        <v>45639</v>
      </c>
      <c r="B168" s="41">
        <f t="shared" si="103"/>
        <v>45639</v>
      </c>
      <c r="C168" s="42" t="str">
        <f t="shared" si="106"/>
        <v>第2  金曜日</v>
      </c>
      <c r="D168" s="4" t="str">
        <f>_xlfn.XLOOKUP(B168,syukujitsu[国民の祝日・休日月日],syukujitsu[国民の祝日・休日名称],"",0,1)</f>
        <v/>
      </c>
      <c r="E168" s="43" t="s">
        <v>254</v>
      </c>
      <c r="G168" s="43" t="s">
        <v>254</v>
      </c>
      <c r="H168" s="43" t="s">
        <v>254</v>
      </c>
      <c r="I168" s="43" t="s">
        <v>254</v>
      </c>
      <c r="J168" s="43" t="s">
        <v>254</v>
      </c>
      <c r="K168" s="43" t="s">
        <v>254</v>
      </c>
      <c r="L168" s="43" t="s">
        <v>254</v>
      </c>
      <c r="M168" s="29" t="str">
        <f t="shared" ref="M168:R168" si="128">M164</f>
        <v>2025PK／畑澤</v>
      </c>
      <c r="N168" s="29" t="str">
        <f t="shared" si="128"/>
        <v>2267PK／片山</v>
      </c>
      <c r="O168" s="39" t="s">
        <v>254</v>
      </c>
      <c r="P168" s="29" t="str">
        <f t="shared" si="128"/>
        <v>5122PK／菊地</v>
      </c>
      <c r="Q168" s="29" t="str">
        <f t="shared" si="128"/>
        <v>1㌧6902／吉田</v>
      </c>
      <c r="R168" s="29" t="str">
        <f t="shared" si="128"/>
        <v>該当なし</v>
      </c>
    </row>
    <row r="169" spans="1:18">
      <c r="A169" s="53">
        <f t="shared" si="124"/>
        <v>45640</v>
      </c>
      <c r="B169" s="41">
        <f t="shared" si="103"/>
        <v>45640</v>
      </c>
      <c r="C169" s="42" t="str">
        <f t="shared" si="106"/>
        <v>第2  土曜日</v>
      </c>
      <c r="D169" s="4" t="str">
        <f>_xlfn.XLOOKUP(B169,syukujitsu[国民の祝日・休日月日],syukujitsu[国民の祝日・休日名称],"",0,1)</f>
        <v/>
      </c>
      <c r="E169" s="43" t="s">
        <v>254</v>
      </c>
      <c r="G169" s="43" t="s">
        <v>254</v>
      </c>
      <c r="H169" s="43" t="s">
        <v>254</v>
      </c>
      <c r="I169" s="43" t="s">
        <v>254</v>
      </c>
      <c r="J169" s="43" t="s">
        <v>254</v>
      </c>
      <c r="K169" s="43" t="s">
        <v>254</v>
      </c>
      <c r="L169" s="43" t="s">
        <v>254</v>
      </c>
      <c r="M169" s="39" t="s">
        <v>254</v>
      </c>
      <c r="N169" s="39" t="s">
        <v>254</v>
      </c>
      <c r="O169" s="39" t="s">
        <v>254</v>
      </c>
      <c r="P169" s="39" t="s">
        <v>254</v>
      </c>
      <c r="Q169" s="39" t="s">
        <v>254</v>
      </c>
      <c r="R169" s="39" t="s">
        <v>254</v>
      </c>
    </row>
    <row r="170" spans="1:18">
      <c r="A170" s="53">
        <f t="shared" si="124"/>
        <v>45641</v>
      </c>
      <c r="B170" s="41">
        <f t="shared" si="103"/>
        <v>45641</v>
      </c>
      <c r="C170" s="42" t="str">
        <f t="shared" si="106"/>
        <v>第3  日曜日</v>
      </c>
      <c r="D170" s="4" t="str">
        <f>_xlfn.XLOOKUP(B170,syukujitsu[国民の祝日・休日月日],syukujitsu[国民の祝日・休日名称],"",0,1)</f>
        <v/>
      </c>
      <c r="E170" s="43" t="s">
        <v>254</v>
      </c>
      <c r="G170" s="43" t="s">
        <v>254</v>
      </c>
      <c r="H170" s="43" t="s">
        <v>254</v>
      </c>
      <c r="I170" s="43" t="s">
        <v>254</v>
      </c>
      <c r="J170" s="43" t="s">
        <v>254</v>
      </c>
      <c r="K170" s="43" t="s">
        <v>254</v>
      </c>
      <c r="L170" s="43" t="s">
        <v>254</v>
      </c>
      <c r="M170" s="39" t="s">
        <v>254</v>
      </c>
      <c r="N170" s="39" t="s">
        <v>254</v>
      </c>
      <c r="O170" s="39" t="s">
        <v>254</v>
      </c>
      <c r="P170" s="39" t="s">
        <v>254</v>
      </c>
      <c r="Q170" s="39" t="s">
        <v>254</v>
      </c>
      <c r="R170" s="39" t="s">
        <v>254</v>
      </c>
    </row>
    <row r="171" spans="1:18">
      <c r="A171" s="53">
        <f t="shared" si="124"/>
        <v>45642</v>
      </c>
      <c r="B171" s="41">
        <f t="shared" si="103"/>
        <v>45642</v>
      </c>
      <c r="C171" s="42" t="str">
        <f t="shared" si="106"/>
        <v>第3  月曜日</v>
      </c>
      <c r="D171" s="4" t="str">
        <f>_xlfn.XLOOKUP(B171,syukujitsu[国民の祝日・休日月日],syukujitsu[国民の祝日・休日名称],"",0,1)</f>
        <v/>
      </c>
      <c r="E171" s="43" t="s">
        <v>254</v>
      </c>
      <c r="G171" s="43" t="s">
        <v>254</v>
      </c>
      <c r="H171" s="43" t="s">
        <v>254</v>
      </c>
      <c r="I171" s="43" t="s">
        <v>254</v>
      </c>
      <c r="J171" s="43" t="s">
        <v>254</v>
      </c>
      <c r="K171" s="43" t="s">
        <v>254</v>
      </c>
      <c r="L171" s="43" t="s">
        <v>254</v>
      </c>
      <c r="M171" s="29" t="str">
        <f>_xlfn.XLOOKUP($B171,シフトスケジュール!$C:$C,シフトスケジュール!D:D,"該当なし",0,1)</f>
        <v>2025PK／片山</v>
      </c>
      <c r="N171" s="29" t="str">
        <f>_xlfn.XLOOKUP($B171,シフトスケジュール!$C:$C,シフトスケジュール!E:E,"該当なし",0,1)</f>
        <v>2267PK／菊地</v>
      </c>
      <c r="O171" s="39" t="s">
        <v>254</v>
      </c>
      <c r="P171" s="29" t="str">
        <f>_xlfn.XLOOKUP($B171,シフトスケジュール!$C:$C,シフトスケジュール!G:G,"該当なし",0,1)</f>
        <v>5122PK／畑澤</v>
      </c>
      <c r="Q171" s="29" t="str">
        <f>_xlfn.XLOOKUP($B171,シフトスケジュール!$C:$C,シフトスケジュール!H:H,"該当なし",0,1)</f>
        <v>1㌧6902／吉田</v>
      </c>
      <c r="R171" s="29" t="s">
        <v>742</v>
      </c>
    </row>
    <row r="172" spans="1:18">
      <c r="A172" s="53">
        <f t="shared" si="124"/>
        <v>45643</v>
      </c>
      <c r="B172" s="41">
        <f t="shared" si="103"/>
        <v>45643</v>
      </c>
      <c r="C172" s="42" t="str">
        <f t="shared" si="106"/>
        <v>第3  火曜日</v>
      </c>
      <c r="D172" s="4" t="str">
        <f>_xlfn.XLOOKUP(B172,syukujitsu[国民の祝日・休日月日],syukujitsu[国民の祝日・休日名称],"",0,1)</f>
        <v/>
      </c>
      <c r="E172" s="43" t="s">
        <v>680</v>
      </c>
      <c r="G172" s="43" t="s">
        <v>254</v>
      </c>
      <c r="H172" s="43" t="s">
        <v>254</v>
      </c>
      <c r="I172" s="43" t="s">
        <v>254</v>
      </c>
      <c r="J172" s="43" t="s">
        <v>254</v>
      </c>
      <c r="K172" s="43" t="s">
        <v>254</v>
      </c>
      <c r="L172" s="43" t="s">
        <v>254</v>
      </c>
      <c r="M172" s="29" t="str">
        <f t="shared" ref="M172:R172" si="129">M171</f>
        <v>2025PK／片山</v>
      </c>
      <c r="N172" s="29" t="str">
        <f t="shared" si="129"/>
        <v>2267PK／菊地</v>
      </c>
      <c r="O172" s="39" t="s">
        <v>254</v>
      </c>
      <c r="P172" s="29" t="str">
        <f t="shared" si="129"/>
        <v>5122PK／畑澤</v>
      </c>
      <c r="Q172" s="29" t="str">
        <f t="shared" si="129"/>
        <v>1㌧6902／吉田</v>
      </c>
      <c r="R172" s="29" t="str">
        <f t="shared" si="129"/>
        <v>該当なし</v>
      </c>
    </row>
    <row r="173" spans="1:18">
      <c r="A173" s="53">
        <f t="shared" si="124"/>
        <v>45644</v>
      </c>
      <c r="B173" s="41">
        <f t="shared" si="103"/>
        <v>45644</v>
      </c>
      <c r="C173" s="42" t="str">
        <f t="shared" si="106"/>
        <v>第3  水曜日</v>
      </c>
      <c r="D173" s="4" t="str">
        <f>_xlfn.XLOOKUP(B173,syukujitsu[国民の祝日・休日月日],syukujitsu[国民の祝日・休日名称],"",0,1)</f>
        <v/>
      </c>
      <c r="E173" s="43" t="s">
        <v>254</v>
      </c>
      <c r="G173" s="43" t="s">
        <v>254</v>
      </c>
      <c r="H173" s="43" t="s">
        <v>254</v>
      </c>
      <c r="I173" s="43" t="s">
        <v>254</v>
      </c>
      <c r="J173" s="43" t="s">
        <v>254</v>
      </c>
      <c r="K173" s="43" t="s">
        <v>254</v>
      </c>
      <c r="L173" s="43" t="s">
        <v>254</v>
      </c>
      <c r="M173" s="29" t="str">
        <f t="shared" ref="M173:R173" si="130">M171</f>
        <v>2025PK／片山</v>
      </c>
      <c r="N173" s="29" t="str">
        <f t="shared" si="130"/>
        <v>2267PK／菊地</v>
      </c>
      <c r="O173" s="39" t="s">
        <v>254</v>
      </c>
      <c r="P173" s="29" t="str">
        <f t="shared" si="130"/>
        <v>5122PK／畑澤</v>
      </c>
      <c r="Q173" s="29" t="str">
        <f t="shared" si="130"/>
        <v>1㌧6902／吉田</v>
      </c>
      <c r="R173" s="29" t="str">
        <f t="shared" si="130"/>
        <v>該当なし</v>
      </c>
    </row>
    <row r="174" spans="1:18">
      <c r="A174" s="53">
        <f t="shared" si="124"/>
        <v>45645</v>
      </c>
      <c r="B174" s="41">
        <f t="shared" si="103"/>
        <v>45645</v>
      </c>
      <c r="C174" s="42" t="str">
        <f t="shared" si="106"/>
        <v>第3  木曜日</v>
      </c>
      <c r="D174" s="4" t="str">
        <f>_xlfn.XLOOKUP(B174,syukujitsu[国民の祝日・休日月日],syukujitsu[国民の祝日・休日名称],"",0,1)</f>
        <v/>
      </c>
      <c r="E174" s="43" t="s">
        <v>459</v>
      </c>
      <c r="G174" s="43" t="s">
        <v>254</v>
      </c>
      <c r="H174" s="43" t="s">
        <v>254</v>
      </c>
      <c r="I174" s="43" t="s">
        <v>254</v>
      </c>
      <c r="J174" s="43" t="s">
        <v>254</v>
      </c>
      <c r="K174" s="43" t="s">
        <v>254</v>
      </c>
      <c r="L174" s="43" t="s">
        <v>254</v>
      </c>
      <c r="M174" s="29" t="str">
        <f t="shared" ref="M174:R174" si="131">M171</f>
        <v>2025PK／片山</v>
      </c>
      <c r="N174" s="29" t="str">
        <f t="shared" si="131"/>
        <v>2267PK／菊地</v>
      </c>
      <c r="O174" s="39" t="s">
        <v>254</v>
      </c>
      <c r="P174" s="29" t="str">
        <f t="shared" si="131"/>
        <v>5122PK／畑澤</v>
      </c>
      <c r="Q174" s="29" t="str">
        <f t="shared" si="131"/>
        <v>1㌧6902／吉田</v>
      </c>
      <c r="R174" s="29" t="str">
        <f t="shared" si="131"/>
        <v>該当なし</v>
      </c>
    </row>
    <row r="175" spans="1:18">
      <c r="A175" s="53">
        <f t="shared" si="124"/>
        <v>45646</v>
      </c>
      <c r="B175" s="41">
        <f t="shared" si="103"/>
        <v>45646</v>
      </c>
      <c r="C175" s="42" t="str">
        <f t="shared" si="106"/>
        <v>第3  金曜日</v>
      </c>
      <c r="D175" s="4" t="str">
        <f>_xlfn.XLOOKUP(B175,syukujitsu[国民の祝日・休日月日],syukujitsu[国民の祝日・休日名称],"",0,1)</f>
        <v/>
      </c>
      <c r="E175" s="43" t="s">
        <v>254</v>
      </c>
      <c r="G175" s="43" t="s">
        <v>254</v>
      </c>
      <c r="H175" s="43" t="s">
        <v>254</v>
      </c>
      <c r="I175" s="43" t="s">
        <v>254</v>
      </c>
      <c r="J175" s="43" t="s">
        <v>254</v>
      </c>
      <c r="K175" s="43" t="s">
        <v>254</v>
      </c>
      <c r="L175" s="43" t="s">
        <v>254</v>
      </c>
      <c r="M175" s="29" t="str">
        <f t="shared" ref="M175:R175" si="132">M171</f>
        <v>2025PK／片山</v>
      </c>
      <c r="N175" s="29" t="str">
        <f t="shared" si="132"/>
        <v>2267PK／菊地</v>
      </c>
      <c r="O175" s="39" t="s">
        <v>254</v>
      </c>
      <c r="P175" s="29" t="str">
        <f t="shared" si="132"/>
        <v>5122PK／畑澤</v>
      </c>
      <c r="Q175" s="29" t="str">
        <f t="shared" si="132"/>
        <v>1㌧6902／吉田</v>
      </c>
      <c r="R175" s="29" t="str">
        <f t="shared" si="132"/>
        <v>該当なし</v>
      </c>
    </row>
    <row r="176" spans="1:18">
      <c r="A176" s="53">
        <f t="shared" si="124"/>
        <v>45647</v>
      </c>
      <c r="B176" s="41">
        <f t="shared" si="103"/>
        <v>45647</v>
      </c>
      <c r="C176" s="42" t="str">
        <f t="shared" si="106"/>
        <v>第3  土曜日</v>
      </c>
      <c r="D176" s="4" t="str">
        <f>_xlfn.XLOOKUP(B176,syukujitsu[国民の祝日・休日月日],syukujitsu[国民の祝日・休日名称],"",0,1)</f>
        <v/>
      </c>
      <c r="E176" s="43" t="s">
        <v>684</v>
      </c>
      <c r="G176" s="43" t="s">
        <v>254</v>
      </c>
      <c r="H176" s="43" t="s">
        <v>254</v>
      </c>
      <c r="I176" s="43" t="s">
        <v>254</v>
      </c>
      <c r="J176" s="43" t="s">
        <v>254</v>
      </c>
      <c r="K176" s="43" t="s">
        <v>254</v>
      </c>
      <c r="L176" s="43" t="s">
        <v>254</v>
      </c>
      <c r="M176" s="39" t="s">
        <v>254</v>
      </c>
      <c r="N176" s="39" t="s">
        <v>254</v>
      </c>
      <c r="O176" s="39" t="s">
        <v>254</v>
      </c>
      <c r="P176" s="39" t="s">
        <v>254</v>
      </c>
      <c r="Q176" s="39" t="s">
        <v>254</v>
      </c>
      <c r="R176" s="39" t="s">
        <v>254</v>
      </c>
    </row>
    <row r="177" spans="1:18">
      <c r="A177" s="53">
        <f t="shared" si="124"/>
        <v>45648</v>
      </c>
      <c r="B177" s="41">
        <f t="shared" si="103"/>
        <v>45648</v>
      </c>
      <c r="C177" s="42" t="str">
        <f t="shared" si="106"/>
        <v>第4  日曜日</v>
      </c>
      <c r="D177" s="4" t="str">
        <f>_xlfn.XLOOKUP(B177,syukujitsu[国民の祝日・休日月日],syukujitsu[国民の祝日・休日名称],"",0,1)</f>
        <v/>
      </c>
      <c r="E177" s="43" t="s">
        <v>254</v>
      </c>
      <c r="G177" s="43" t="s">
        <v>254</v>
      </c>
      <c r="H177" s="43" t="s">
        <v>254</v>
      </c>
      <c r="I177" s="43" t="s">
        <v>254</v>
      </c>
      <c r="J177" s="43" t="s">
        <v>254</v>
      </c>
      <c r="K177" s="43" t="s">
        <v>254</v>
      </c>
      <c r="L177" s="43" t="s">
        <v>254</v>
      </c>
      <c r="M177" s="39" t="s">
        <v>254</v>
      </c>
      <c r="N177" s="39" t="s">
        <v>254</v>
      </c>
      <c r="O177" s="39" t="s">
        <v>254</v>
      </c>
      <c r="P177" s="39" t="s">
        <v>254</v>
      </c>
      <c r="Q177" s="39" t="s">
        <v>254</v>
      </c>
      <c r="R177" s="39" t="s">
        <v>254</v>
      </c>
    </row>
    <row r="178" spans="1:18">
      <c r="A178" s="53">
        <f t="shared" si="124"/>
        <v>45649</v>
      </c>
      <c r="B178" s="41">
        <f t="shared" si="103"/>
        <v>45649</v>
      </c>
      <c r="C178" s="42" t="str">
        <f t="shared" si="106"/>
        <v>第4  月曜日</v>
      </c>
      <c r="D178" s="4" t="str">
        <f>_xlfn.XLOOKUP(B178,syukujitsu[国民の祝日・休日月日],syukujitsu[国民の祝日・休日名称],"",0,1)</f>
        <v/>
      </c>
      <c r="E178" s="43" t="s">
        <v>681</v>
      </c>
      <c r="F178" s="43" t="s">
        <v>666</v>
      </c>
      <c r="G178" s="43" t="s">
        <v>254</v>
      </c>
      <c r="H178" s="43" t="s">
        <v>254</v>
      </c>
      <c r="I178" s="43" t="s">
        <v>254</v>
      </c>
      <c r="J178" s="43" t="s">
        <v>254</v>
      </c>
      <c r="K178" s="43" t="s">
        <v>254</v>
      </c>
      <c r="L178" s="43" t="s">
        <v>254</v>
      </c>
      <c r="M178" s="29" t="str">
        <f>_xlfn.XLOOKUP($B178,シフトスケジュール!$C:$C,シフトスケジュール!D:D,"該当なし",0,1)</f>
        <v>2025PK／菊地</v>
      </c>
      <c r="N178" s="29" t="str">
        <f>_xlfn.XLOOKUP($B178,シフトスケジュール!$C:$C,シフトスケジュール!E:E,"該当なし",0,1)</f>
        <v>2267PK／畑澤</v>
      </c>
      <c r="O178" s="39" t="s">
        <v>254</v>
      </c>
      <c r="P178" s="29" t="str">
        <f>_xlfn.XLOOKUP($B178,シフトスケジュール!$C:$C,シフトスケジュール!G:G,"該当なし",0,1)</f>
        <v>5122PK／片山</v>
      </c>
      <c r="Q178" s="29" t="str">
        <f>_xlfn.XLOOKUP($B178,シフトスケジュール!$C:$C,シフトスケジュール!H:H,"該当なし",0,1)</f>
        <v>1㌧6902／吉田</v>
      </c>
      <c r="R178" s="29" t="s">
        <v>742</v>
      </c>
    </row>
    <row r="179" spans="1:18">
      <c r="A179" s="53">
        <f t="shared" si="124"/>
        <v>45650</v>
      </c>
      <c r="B179" s="41">
        <f t="shared" si="103"/>
        <v>45650</v>
      </c>
      <c r="C179" s="42" t="str">
        <f t="shared" si="106"/>
        <v>第4  火曜日</v>
      </c>
      <c r="D179" s="4" t="str">
        <f>_xlfn.XLOOKUP(B179,syukujitsu[国民の祝日・休日月日],syukujitsu[国民の祝日・休日名称],"",0,1)</f>
        <v/>
      </c>
      <c r="E179" s="43" t="s">
        <v>637</v>
      </c>
      <c r="G179" s="43" t="s">
        <v>254</v>
      </c>
      <c r="H179" s="43" t="s">
        <v>254</v>
      </c>
      <c r="I179" s="43" t="s">
        <v>254</v>
      </c>
      <c r="J179" s="43" t="s">
        <v>254</v>
      </c>
      <c r="K179" s="43" t="s">
        <v>254</v>
      </c>
      <c r="L179" s="43" t="s">
        <v>254</v>
      </c>
      <c r="M179" s="29" t="str">
        <f t="shared" ref="M179:R179" si="133">M178</f>
        <v>2025PK／菊地</v>
      </c>
      <c r="N179" s="29" t="str">
        <f t="shared" si="133"/>
        <v>2267PK／畑澤</v>
      </c>
      <c r="O179" s="39" t="s">
        <v>254</v>
      </c>
      <c r="P179" s="29" t="str">
        <f t="shared" si="133"/>
        <v>5122PK／片山</v>
      </c>
      <c r="Q179" s="29" t="str">
        <f t="shared" si="133"/>
        <v>1㌧6902／吉田</v>
      </c>
      <c r="R179" s="29" t="str">
        <f t="shared" si="133"/>
        <v>該当なし</v>
      </c>
    </row>
    <row r="180" spans="1:18">
      <c r="A180" s="53">
        <f t="shared" si="124"/>
        <v>45651</v>
      </c>
      <c r="B180" s="41">
        <f t="shared" si="103"/>
        <v>45651</v>
      </c>
      <c r="C180" s="42" t="str">
        <f t="shared" si="106"/>
        <v>第4  水曜日</v>
      </c>
      <c r="D180" s="4" t="str">
        <f>_xlfn.XLOOKUP(B180,syukujitsu[国民の祝日・休日月日],syukujitsu[国民の祝日・休日名称],"",0,1)</f>
        <v/>
      </c>
      <c r="G180" s="43" t="s">
        <v>254</v>
      </c>
      <c r="H180" s="43" t="s">
        <v>254</v>
      </c>
      <c r="I180" s="43" t="s">
        <v>254</v>
      </c>
      <c r="J180" s="43" t="s">
        <v>254</v>
      </c>
      <c r="K180" s="43" t="s">
        <v>254</v>
      </c>
      <c r="L180" s="43" t="s">
        <v>254</v>
      </c>
      <c r="M180" s="29" t="str">
        <f t="shared" ref="M180:R180" si="134">M178</f>
        <v>2025PK／菊地</v>
      </c>
      <c r="N180" s="29" t="str">
        <f t="shared" si="134"/>
        <v>2267PK／畑澤</v>
      </c>
      <c r="O180" s="39" t="s">
        <v>254</v>
      </c>
      <c r="P180" s="29" t="str">
        <f t="shared" si="134"/>
        <v>5122PK／片山</v>
      </c>
      <c r="Q180" s="29" t="str">
        <f t="shared" si="134"/>
        <v>1㌧6902／吉田</v>
      </c>
      <c r="R180" s="29" t="str">
        <f t="shared" si="134"/>
        <v>該当なし</v>
      </c>
    </row>
    <row r="181" spans="1:18">
      <c r="A181" s="53">
        <f t="shared" si="124"/>
        <v>45652</v>
      </c>
      <c r="B181" s="41">
        <f t="shared" si="103"/>
        <v>45652</v>
      </c>
      <c r="C181" s="42" t="str">
        <f t="shared" si="106"/>
        <v>第4  木曜日</v>
      </c>
      <c r="D181" s="4" t="str">
        <f>_xlfn.XLOOKUP(B181,syukujitsu[国民の祝日・休日月日],syukujitsu[国民の祝日・休日名称],"",0,1)</f>
        <v/>
      </c>
      <c r="E181" s="43" t="s">
        <v>254</v>
      </c>
      <c r="G181" s="43" t="s">
        <v>254</v>
      </c>
      <c r="H181" s="43" t="s">
        <v>254</v>
      </c>
      <c r="I181" s="43" t="s">
        <v>254</v>
      </c>
      <c r="J181" s="43" t="s">
        <v>254</v>
      </c>
      <c r="K181" s="43" t="s">
        <v>254</v>
      </c>
      <c r="L181" s="43" t="s">
        <v>254</v>
      </c>
      <c r="M181" s="29" t="str">
        <f t="shared" ref="M181:R181" si="135">M178</f>
        <v>2025PK／菊地</v>
      </c>
      <c r="N181" s="29" t="str">
        <f t="shared" si="135"/>
        <v>2267PK／畑澤</v>
      </c>
      <c r="O181" s="39" t="s">
        <v>254</v>
      </c>
      <c r="P181" s="29" t="str">
        <f t="shared" si="135"/>
        <v>5122PK／片山</v>
      </c>
      <c r="Q181" s="29" t="str">
        <f t="shared" si="135"/>
        <v>1㌧6902／吉田</v>
      </c>
      <c r="R181" s="29" t="str">
        <f t="shared" si="135"/>
        <v>該当なし</v>
      </c>
    </row>
    <row r="182" spans="1:18">
      <c r="A182" s="53">
        <f t="shared" si="124"/>
        <v>45653</v>
      </c>
      <c r="B182" s="41">
        <f t="shared" si="103"/>
        <v>45653</v>
      </c>
      <c r="C182" s="42" t="str">
        <f t="shared" si="106"/>
        <v>第4  金曜日</v>
      </c>
      <c r="D182" s="4" t="str">
        <f>_xlfn.XLOOKUP(B182,syukujitsu[国民の祝日・休日月日],syukujitsu[国民の祝日・休日名称],"",0,1)</f>
        <v/>
      </c>
      <c r="E182" s="43" t="s">
        <v>657</v>
      </c>
      <c r="F182" s="43" t="s">
        <v>680</v>
      </c>
      <c r="G182" s="43" t="s">
        <v>683</v>
      </c>
      <c r="H182" s="43" t="s">
        <v>685</v>
      </c>
      <c r="I182" s="43" t="s">
        <v>254</v>
      </c>
      <c r="J182" s="43" t="s">
        <v>254</v>
      </c>
      <c r="K182" s="43" t="s">
        <v>254</v>
      </c>
      <c r="L182" s="43" t="s">
        <v>254</v>
      </c>
      <c r="M182" s="29" t="str">
        <f t="shared" ref="M182:R182" si="136">M178</f>
        <v>2025PK／菊地</v>
      </c>
      <c r="N182" s="29" t="str">
        <f t="shared" si="136"/>
        <v>2267PK／畑澤</v>
      </c>
      <c r="O182" s="39" t="s">
        <v>254</v>
      </c>
      <c r="P182" s="29" t="str">
        <f t="shared" si="136"/>
        <v>5122PK／片山</v>
      </c>
      <c r="Q182" s="29" t="str">
        <f t="shared" si="136"/>
        <v>1㌧6902／吉田</v>
      </c>
      <c r="R182" s="29" t="str">
        <f t="shared" si="136"/>
        <v>該当なし</v>
      </c>
    </row>
    <row r="183" spans="1:18">
      <c r="A183" s="53">
        <f t="shared" si="124"/>
        <v>45654</v>
      </c>
      <c r="B183" s="41">
        <f t="shared" si="103"/>
        <v>45654</v>
      </c>
      <c r="C183" s="42" t="str">
        <f t="shared" si="106"/>
        <v>第4  土曜日</v>
      </c>
      <c r="D183" s="4" t="str">
        <f>_xlfn.XLOOKUP(B183,syukujitsu[国民の祝日・休日月日],syukujitsu[国民の祝日・休日名称],"",0,1)</f>
        <v/>
      </c>
      <c r="E183" s="43" t="s">
        <v>684</v>
      </c>
      <c r="F183" s="43" t="s">
        <v>685</v>
      </c>
      <c r="G183" s="43" t="s">
        <v>254</v>
      </c>
      <c r="H183" s="43" t="s">
        <v>254</v>
      </c>
      <c r="I183" s="43" t="s">
        <v>254</v>
      </c>
      <c r="J183" s="43" t="s">
        <v>254</v>
      </c>
      <c r="K183" s="43" t="s">
        <v>254</v>
      </c>
      <c r="L183" s="43" t="s">
        <v>254</v>
      </c>
      <c r="M183" s="39" t="s">
        <v>254</v>
      </c>
      <c r="N183" s="39" t="s">
        <v>254</v>
      </c>
      <c r="O183" s="39" t="s">
        <v>254</v>
      </c>
      <c r="P183" s="39" t="s">
        <v>254</v>
      </c>
      <c r="Q183" s="39" t="s">
        <v>254</v>
      </c>
      <c r="R183" s="39" t="s">
        <v>254</v>
      </c>
    </row>
    <row r="184" spans="1:18">
      <c r="A184" s="53">
        <f t="shared" si="124"/>
        <v>45655</v>
      </c>
      <c r="B184" s="41">
        <f t="shared" si="103"/>
        <v>45655</v>
      </c>
      <c r="C184" s="42" t="str">
        <f t="shared" si="106"/>
        <v>第5  日曜日</v>
      </c>
      <c r="D184" s="4" t="str">
        <f>_xlfn.XLOOKUP(B184,syukujitsu[国民の祝日・休日月日],syukujitsu[国民の祝日・休日名称],"",0,1)</f>
        <v/>
      </c>
      <c r="E184" s="43" t="s">
        <v>254</v>
      </c>
      <c r="G184" s="43" t="s">
        <v>254</v>
      </c>
      <c r="H184" s="43" t="s">
        <v>254</v>
      </c>
      <c r="I184" s="43" t="s">
        <v>254</v>
      </c>
      <c r="J184" s="43" t="s">
        <v>254</v>
      </c>
      <c r="K184" s="43" t="s">
        <v>254</v>
      </c>
      <c r="L184" s="43" t="s">
        <v>254</v>
      </c>
      <c r="M184" s="39" t="s">
        <v>254</v>
      </c>
      <c r="N184" s="39" t="s">
        <v>254</v>
      </c>
      <c r="O184" s="39" t="s">
        <v>254</v>
      </c>
      <c r="P184" s="39" t="s">
        <v>254</v>
      </c>
      <c r="Q184" s="39" t="s">
        <v>254</v>
      </c>
      <c r="R184" s="39" t="s">
        <v>254</v>
      </c>
    </row>
    <row r="185" spans="1:18">
      <c r="A185" s="53">
        <f t="shared" si="124"/>
        <v>45656</v>
      </c>
      <c r="B185" s="41">
        <f t="shared" si="103"/>
        <v>45656</v>
      </c>
      <c r="C185" s="42" t="str">
        <f t="shared" si="106"/>
        <v>第5  月曜日</v>
      </c>
      <c r="D185" s="4" t="str">
        <f>_xlfn.XLOOKUP(B185,syukujitsu[国民の祝日・休日月日],syukujitsu[国民の祝日・休日名称],"",0,1)</f>
        <v/>
      </c>
      <c r="E185" s="43" t="s">
        <v>254</v>
      </c>
      <c r="G185" s="43" t="s">
        <v>254</v>
      </c>
      <c r="H185" s="43" t="s">
        <v>254</v>
      </c>
      <c r="I185" s="43" t="s">
        <v>254</v>
      </c>
      <c r="J185" s="43" t="s">
        <v>254</v>
      </c>
      <c r="K185" s="43" t="s">
        <v>254</v>
      </c>
      <c r="L185" s="43" t="s">
        <v>254</v>
      </c>
      <c r="M185" s="29" t="str">
        <f>_xlfn.XLOOKUP($B185,シフトスケジュール!$C:$C,シフトスケジュール!D:D,"該当なし",0,1)</f>
        <v>2025PK／畑澤</v>
      </c>
      <c r="N185" s="29" t="str">
        <f>_xlfn.XLOOKUP($B185,シフトスケジュール!$C:$C,シフトスケジュール!E:E,"該当なし",0,1)</f>
        <v>2267PK／片山</v>
      </c>
      <c r="O185" s="39" t="s">
        <v>254</v>
      </c>
      <c r="P185" s="29" t="str">
        <f>_xlfn.XLOOKUP($B185,シフトスケジュール!$C:$C,シフトスケジュール!G:G,"該当なし",0,1)</f>
        <v>5122PK／菊地</v>
      </c>
      <c r="Q185" s="29" t="str">
        <f>_xlfn.XLOOKUP($B185,シフトスケジュール!$C:$C,シフトスケジュール!H:H,"該当なし",0,1)</f>
        <v>1㌧6902／吉田</v>
      </c>
      <c r="R185" s="29" t="s">
        <v>742</v>
      </c>
    </row>
    <row r="186" spans="1:18">
      <c r="A186" s="53">
        <f t="shared" si="124"/>
        <v>45657</v>
      </c>
      <c r="B186" s="41">
        <f t="shared" si="103"/>
        <v>45657</v>
      </c>
      <c r="C186" s="42" t="str">
        <f t="shared" si="106"/>
        <v>第5  火曜日</v>
      </c>
      <c r="D186" s="4" t="str">
        <f>_xlfn.XLOOKUP(B186,syukujitsu[国民の祝日・休日月日],syukujitsu[国民の祝日・休日名称],"",0,1)</f>
        <v/>
      </c>
      <c r="E186" s="43" t="s">
        <v>254</v>
      </c>
      <c r="G186" s="43" t="s">
        <v>254</v>
      </c>
      <c r="H186" s="43" t="s">
        <v>254</v>
      </c>
      <c r="I186" s="43" t="s">
        <v>254</v>
      </c>
      <c r="J186" s="43" t="s">
        <v>254</v>
      </c>
      <c r="K186" s="43" t="s">
        <v>254</v>
      </c>
      <c r="L186" s="43" t="s">
        <v>254</v>
      </c>
      <c r="M186" s="29" t="str">
        <f t="shared" ref="M186:R186" si="137">M185</f>
        <v>2025PK／畑澤</v>
      </c>
      <c r="N186" s="29" t="str">
        <f t="shared" si="137"/>
        <v>2267PK／片山</v>
      </c>
      <c r="O186" s="39" t="s">
        <v>254</v>
      </c>
      <c r="P186" s="29" t="str">
        <f t="shared" si="137"/>
        <v>5122PK／菊地</v>
      </c>
      <c r="Q186" s="29" t="str">
        <f t="shared" si="137"/>
        <v>1㌧6902／吉田</v>
      </c>
      <c r="R186" s="29" t="str">
        <f t="shared" si="137"/>
        <v>該当なし</v>
      </c>
    </row>
    <row r="187" spans="1:18">
      <c r="A187" s="53">
        <f t="shared" si="124"/>
        <v>45658</v>
      </c>
      <c r="B187" s="41">
        <f t="shared" si="103"/>
        <v>45658</v>
      </c>
      <c r="C187" s="42" t="str">
        <f t="shared" si="106"/>
        <v>第1  水曜日</v>
      </c>
      <c r="D187" s="4" t="str">
        <f>_xlfn.XLOOKUP(B187,syukujitsu[国民の祝日・休日月日],syukujitsu[国民の祝日・休日名称],"",0,1)</f>
        <v>元日</v>
      </c>
      <c r="E187" s="43" t="s">
        <v>254</v>
      </c>
      <c r="G187" s="43" t="s">
        <v>254</v>
      </c>
      <c r="H187" s="43" t="s">
        <v>254</v>
      </c>
      <c r="I187" s="43" t="s">
        <v>254</v>
      </c>
      <c r="J187" s="43" t="s">
        <v>254</v>
      </c>
      <c r="K187" s="43" t="s">
        <v>254</v>
      </c>
      <c r="L187" s="43" t="s">
        <v>254</v>
      </c>
      <c r="M187" s="29" t="str">
        <f t="shared" ref="M187:R187" si="138">M185</f>
        <v>2025PK／畑澤</v>
      </c>
      <c r="N187" s="29" t="str">
        <f t="shared" si="138"/>
        <v>2267PK／片山</v>
      </c>
      <c r="O187" s="39" t="s">
        <v>254</v>
      </c>
      <c r="P187" s="29" t="str">
        <f t="shared" si="138"/>
        <v>5122PK／菊地</v>
      </c>
      <c r="Q187" s="29" t="str">
        <f t="shared" si="138"/>
        <v>1㌧6902／吉田</v>
      </c>
      <c r="R187" s="29" t="str">
        <f t="shared" si="138"/>
        <v>該当なし</v>
      </c>
    </row>
    <row r="188" spans="1:18">
      <c r="A188" s="53">
        <f t="shared" si="124"/>
        <v>45659</v>
      </c>
      <c r="B188" s="41">
        <f t="shared" si="103"/>
        <v>45659</v>
      </c>
      <c r="C188" s="42" t="str">
        <f t="shared" si="106"/>
        <v>第1  木曜日</v>
      </c>
      <c r="D188" s="4" t="str">
        <f>_xlfn.XLOOKUP(B188,syukujitsu[国民の祝日・休日月日],syukujitsu[国民の祝日・休日名称],"",0,1)</f>
        <v/>
      </c>
      <c r="E188" s="43" t="s">
        <v>254</v>
      </c>
      <c r="G188" s="43" t="s">
        <v>254</v>
      </c>
      <c r="H188" s="43" t="s">
        <v>254</v>
      </c>
      <c r="I188" s="43" t="s">
        <v>254</v>
      </c>
      <c r="J188" s="43" t="s">
        <v>254</v>
      </c>
      <c r="K188" s="43" t="s">
        <v>254</v>
      </c>
      <c r="L188" s="43" t="s">
        <v>254</v>
      </c>
      <c r="M188" s="29" t="str">
        <f t="shared" ref="M188:R188" si="139">M185</f>
        <v>2025PK／畑澤</v>
      </c>
      <c r="N188" s="29" t="str">
        <f t="shared" si="139"/>
        <v>2267PK／片山</v>
      </c>
      <c r="O188" s="39" t="s">
        <v>254</v>
      </c>
      <c r="P188" s="29" t="str">
        <f t="shared" si="139"/>
        <v>5122PK／菊地</v>
      </c>
      <c r="Q188" s="29" t="str">
        <f t="shared" si="139"/>
        <v>1㌧6902／吉田</v>
      </c>
      <c r="R188" s="29" t="str">
        <f t="shared" si="139"/>
        <v>該当なし</v>
      </c>
    </row>
    <row r="189" spans="1:18">
      <c r="A189" s="53">
        <f t="shared" si="124"/>
        <v>45660</v>
      </c>
      <c r="B189" s="41">
        <f t="shared" si="103"/>
        <v>45660</v>
      </c>
      <c r="C189" s="42" t="str">
        <f t="shared" si="106"/>
        <v>第1  金曜日</v>
      </c>
      <c r="D189" s="4" t="str">
        <f>_xlfn.XLOOKUP(B189,syukujitsu[国民の祝日・休日月日],syukujitsu[国民の祝日・休日名称],"",0,1)</f>
        <v/>
      </c>
      <c r="E189" s="43" t="s">
        <v>254</v>
      </c>
      <c r="G189" s="43" t="s">
        <v>254</v>
      </c>
      <c r="H189" s="43" t="s">
        <v>254</v>
      </c>
      <c r="I189" s="43" t="s">
        <v>254</v>
      </c>
      <c r="J189" s="43" t="s">
        <v>254</v>
      </c>
      <c r="K189" s="43" t="s">
        <v>254</v>
      </c>
      <c r="L189" s="43" t="s">
        <v>254</v>
      </c>
      <c r="M189" s="29" t="str">
        <f t="shared" ref="M189:R189" si="140">M185</f>
        <v>2025PK／畑澤</v>
      </c>
      <c r="N189" s="29" t="str">
        <f t="shared" si="140"/>
        <v>2267PK／片山</v>
      </c>
      <c r="O189" s="39" t="s">
        <v>254</v>
      </c>
      <c r="P189" s="29" t="str">
        <f t="shared" si="140"/>
        <v>5122PK／菊地</v>
      </c>
      <c r="Q189" s="29" t="str">
        <f t="shared" si="140"/>
        <v>1㌧6902／吉田</v>
      </c>
      <c r="R189" s="29" t="str">
        <f t="shared" si="140"/>
        <v>該当なし</v>
      </c>
    </row>
    <row r="190" spans="1:18">
      <c r="A190" s="53">
        <f t="shared" si="124"/>
        <v>45661</v>
      </c>
      <c r="B190" s="41">
        <f t="shared" si="103"/>
        <v>45661</v>
      </c>
      <c r="C190" s="42" t="str">
        <f t="shared" si="106"/>
        <v>第1  土曜日</v>
      </c>
      <c r="D190" s="4" t="str">
        <f>_xlfn.XLOOKUP(B190,syukujitsu[国民の祝日・休日月日],syukujitsu[国民の祝日・休日名称],"",0,1)</f>
        <v/>
      </c>
      <c r="E190" s="43" t="s">
        <v>254</v>
      </c>
      <c r="G190" s="43" t="s">
        <v>254</v>
      </c>
      <c r="H190" s="43" t="s">
        <v>254</v>
      </c>
      <c r="I190" s="43" t="s">
        <v>254</v>
      </c>
      <c r="J190" s="43" t="s">
        <v>254</v>
      </c>
      <c r="K190" s="43" t="s">
        <v>254</v>
      </c>
      <c r="L190" s="43" t="s">
        <v>254</v>
      </c>
      <c r="M190" s="39" t="s">
        <v>254</v>
      </c>
      <c r="N190" s="39" t="s">
        <v>254</v>
      </c>
      <c r="O190" s="39" t="s">
        <v>254</v>
      </c>
      <c r="P190" s="39" t="s">
        <v>254</v>
      </c>
      <c r="Q190" s="39" t="s">
        <v>254</v>
      </c>
      <c r="R190" s="39" t="s">
        <v>254</v>
      </c>
    </row>
    <row r="191" spans="1:18">
      <c r="A191" s="53">
        <f t="shared" si="124"/>
        <v>45662</v>
      </c>
      <c r="B191" s="41">
        <f t="shared" si="103"/>
        <v>45662</v>
      </c>
      <c r="C191" s="42" t="str">
        <f t="shared" si="106"/>
        <v>第1  日曜日</v>
      </c>
      <c r="D191" s="4" t="str">
        <f>_xlfn.XLOOKUP(B191,syukujitsu[国民の祝日・休日月日],syukujitsu[国民の祝日・休日名称],"",0,1)</f>
        <v/>
      </c>
      <c r="E191" s="43" t="s">
        <v>254</v>
      </c>
      <c r="G191" s="43" t="s">
        <v>254</v>
      </c>
      <c r="H191" s="43" t="s">
        <v>254</v>
      </c>
      <c r="I191" s="43" t="s">
        <v>254</v>
      </c>
      <c r="J191" s="43" t="s">
        <v>254</v>
      </c>
      <c r="K191" s="43" t="s">
        <v>254</v>
      </c>
      <c r="L191" s="43" t="s">
        <v>254</v>
      </c>
      <c r="M191" s="39" t="s">
        <v>254</v>
      </c>
      <c r="N191" s="39" t="s">
        <v>254</v>
      </c>
      <c r="O191" s="39" t="s">
        <v>254</v>
      </c>
      <c r="P191" s="39" t="s">
        <v>254</v>
      </c>
      <c r="Q191" s="39" t="s">
        <v>254</v>
      </c>
      <c r="R191" s="39" t="s">
        <v>254</v>
      </c>
    </row>
    <row r="192" spans="1:18">
      <c r="A192" s="53">
        <f t="shared" si="124"/>
        <v>45663</v>
      </c>
      <c r="B192" s="41">
        <f t="shared" si="103"/>
        <v>45663</v>
      </c>
      <c r="C192" s="42" t="str">
        <f t="shared" si="106"/>
        <v>第1  月曜日</v>
      </c>
      <c r="D192" s="4" t="str">
        <f>_xlfn.XLOOKUP(B192,syukujitsu[国民の祝日・休日月日],syukujitsu[国民の祝日・休日名称],"",0,1)</f>
        <v/>
      </c>
      <c r="E192" s="43" t="s">
        <v>688</v>
      </c>
      <c r="F192" s="43" t="s">
        <v>681</v>
      </c>
      <c r="G192" s="43" t="s">
        <v>254</v>
      </c>
      <c r="H192" s="43" t="s">
        <v>254</v>
      </c>
      <c r="I192" s="43" t="s">
        <v>254</v>
      </c>
      <c r="J192" s="43" t="s">
        <v>254</v>
      </c>
      <c r="K192" s="43" t="s">
        <v>254</v>
      </c>
      <c r="L192" s="43" t="s">
        <v>254</v>
      </c>
      <c r="M192" s="29" t="str">
        <f>_xlfn.XLOOKUP($B192,シフトスケジュール!$C:$C,シフトスケジュール!D:D,"該当なし",0,1)</f>
        <v>2025PK／片山</v>
      </c>
      <c r="N192" s="29" t="str">
        <f>_xlfn.XLOOKUP($B192,シフトスケジュール!$C:$C,シフトスケジュール!E:E,"該当なし",0,1)</f>
        <v>2267PK／菊地</v>
      </c>
      <c r="O192" s="39" t="s">
        <v>254</v>
      </c>
      <c r="P192" s="29" t="str">
        <f>_xlfn.XLOOKUP($B192,シフトスケジュール!$C:$C,シフトスケジュール!G:G,"該当なし",0,1)</f>
        <v>5122PK／畑澤</v>
      </c>
      <c r="Q192" s="29" t="str">
        <f>_xlfn.XLOOKUP($B192,シフトスケジュール!$C:$C,シフトスケジュール!H:H,"該当なし",0,1)</f>
        <v>1㌧6902／吉田</v>
      </c>
      <c r="R192" s="29" t="s">
        <v>742</v>
      </c>
    </row>
    <row r="193" spans="1:18">
      <c r="A193" s="53">
        <f t="shared" si="124"/>
        <v>45664</v>
      </c>
      <c r="B193" s="41">
        <f t="shared" si="103"/>
        <v>45664</v>
      </c>
      <c r="C193" s="42" t="str">
        <f t="shared" si="106"/>
        <v>第1  火曜日</v>
      </c>
      <c r="D193" s="4" t="str">
        <f>_xlfn.XLOOKUP(B193,syukujitsu[国民の祝日・休日月日],syukujitsu[国民の祝日・休日名称],"",0,1)</f>
        <v/>
      </c>
      <c r="E193" s="43" t="s">
        <v>254</v>
      </c>
      <c r="G193" s="43" t="s">
        <v>254</v>
      </c>
      <c r="H193" s="43" t="s">
        <v>254</v>
      </c>
      <c r="I193" s="43" t="s">
        <v>254</v>
      </c>
      <c r="J193" s="43" t="s">
        <v>254</v>
      </c>
      <c r="K193" s="43" t="s">
        <v>254</v>
      </c>
      <c r="L193" s="43" t="s">
        <v>254</v>
      </c>
      <c r="M193" s="29" t="str">
        <f t="shared" ref="M193:R193" si="141">M192</f>
        <v>2025PK／片山</v>
      </c>
      <c r="N193" s="29" t="str">
        <f t="shared" si="141"/>
        <v>2267PK／菊地</v>
      </c>
      <c r="O193" s="39" t="s">
        <v>254</v>
      </c>
      <c r="P193" s="29" t="str">
        <f t="shared" si="141"/>
        <v>5122PK／畑澤</v>
      </c>
      <c r="Q193" s="29" t="str">
        <f t="shared" si="141"/>
        <v>1㌧6902／吉田</v>
      </c>
      <c r="R193" s="29" t="str">
        <f t="shared" si="141"/>
        <v>該当なし</v>
      </c>
    </row>
    <row r="194" spans="1:18">
      <c r="A194" s="53">
        <f t="shared" si="124"/>
        <v>45665</v>
      </c>
      <c r="B194" s="41">
        <f t="shared" si="103"/>
        <v>45665</v>
      </c>
      <c r="C194" s="42" t="str">
        <f t="shared" si="106"/>
        <v>第2  水曜日</v>
      </c>
      <c r="D194" s="4" t="str">
        <f>_xlfn.XLOOKUP(B194,syukujitsu[国民の祝日・休日月日],syukujitsu[国民の祝日・休日名称],"",0,1)</f>
        <v/>
      </c>
      <c r="E194" s="43" t="s">
        <v>254</v>
      </c>
      <c r="G194" s="43" t="s">
        <v>254</v>
      </c>
      <c r="H194" s="43" t="s">
        <v>254</v>
      </c>
      <c r="I194" s="43" t="s">
        <v>254</v>
      </c>
      <c r="J194" s="43" t="s">
        <v>254</v>
      </c>
      <c r="K194" s="43" t="s">
        <v>254</v>
      </c>
      <c r="L194" s="43" t="s">
        <v>254</v>
      </c>
      <c r="M194" s="29" t="str">
        <f t="shared" ref="M194:R194" si="142">M192</f>
        <v>2025PK／片山</v>
      </c>
      <c r="N194" s="29" t="str">
        <f t="shared" si="142"/>
        <v>2267PK／菊地</v>
      </c>
      <c r="O194" s="39" t="s">
        <v>254</v>
      </c>
      <c r="P194" s="29" t="str">
        <f t="shared" si="142"/>
        <v>5122PK／畑澤</v>
      </c>
      <c r="Q194" s="29" t="str">
        <f t="shared" si="142"/>
        <v>1㌧6902／吉田</v>
      </c>
      <c r="R194" s="29" t="str">
        <f t="shared" si="142"/>
        <v>該当なし</v>
      </c>
    </row>
    <row r="195" spans="1:18">
      <c r="A195" s="53">
        <f t="shared" si="124"/>
        <v>45666</v>
      </c>
      <c r="B195" s="41">
        <f t="shared" si="103"/>
        <v>45666</v>
      </c>
      <c r="C195" s="42" t="str">
        <f t="shared" si="106"/>
        <v>第2  木曜日</v>
      </c>
      <c r="D195" s="4" t="str">
        <f>_xlfn.XLOOKUP(B195,syukujitsu[国民の祝日・休日月日],syukujitsu[国民の祝日・休日名称],"",0,1)</f>
        <v/>
      </c>
      <c r="E195" s="43" t="s">
        <v>682</v>
      </c>
      <c r="G195" s="43" t="s">
        <v>254</v>
      </c>
      <c r="H195" s="43" t="s">
        <v>254</v>
      </c>
      <c r="I195" s="43" t="s">
        <v>254</v>
      </c>
      <c r="J195" s="43" t="s">
        <v>254</v>
      </c>
      <c r="K195" s="43" t="s">
        <v>254</v>
      </c>
      <c r="L195" s="43" t="s">
        <v>254</v>
      </c>
      <c r="M195" s="29" t="str">
        <f t="shared" ref="M195:R195" si="143">M192</f>
        <v>2025PK／片山</v>
      </c>
      <c r="N195" s="29" t="str">
        <f t="shared" si="143"/>
        <v>2267PK／菊地</v>
      </c>
      <c r="O195" s="39" t="s">
        <v>254</v>
      </c>
      <c r="P195" s="29" t="str">
        <f t="shared" si="143"/>
        <v>5122PK／畑澤</v>
      </c>
      <c r="Q195" s="29" t="str">
        <f t="shared" si="143"/>
        <v>1㌧6902／吉田</v>
      </c>
      <c r="R195" s="29" t="str">
        <f t="shared" si="143"/>
        <v>該当なし</v>
      </c>
    </row>
    <row r="196" spans="1:18">
      <c r="A196" s="53">
        <f t="shared" si="124"/>
        <v>45667</v>
      </c>
      <c r="B196" s="41">
        <f t="shared" si="103"/>
        <v>45667</v>
      </c>
      <c r="C196" s="42" t="str">
        <f t="shared" si="106"/>
        <v>第2  金曜日</v>
      </c>
      <c r="D196" s="4" t="str">
        <f>_xlfn.XLOOKUP(B196,syukujitsu[国民の祝日・休日月日],syukujitsu[国民の祝日・休日名称],"",0,1)</f>
        <v/>
      </c>
      <c r="E196" s="43" t="s">
        <v>657</v>
      </c>
      <c r="G196" s="43" t="s">
        <v>254</v>
      </c>
      <c r="H196" s="43" t="s">
        <v>254</v>
      </c>
      <c r="I196" s="43" t="s">
        <v>254</v>
      </c>
      <c r="J196" s="43" t="s">
        <v>254</v>
      </c>
      <c r="K196" s="43" t="s">
        <v>254</v>
      </c>
      <c r="L196" s="43" t="s">
        <v>254</v>
      </c>
      <c r="M196" s="29" t="str">
        <f t="shared" ref="M196:R196" si="144">M192</f>
        <v>2025PK／片山</v>
      </c>
      <c r="N196" s="29" t="str">
        <f t="shared" si="144"/>
        <v>2267PK／菊地</v>
      </c>
      <c r="O196" s="39" t="s">
        <v>254</v>
      </c>
      <c r="P196" s="29" t="str">
        <f t="shared" si="144"/>
        <v>5122PK／畑澤</v>
      </c>
      <c r="Q196" s="29" t="str">
        <f t="shared" si="144"/>
        <v>1㌧6902／吉田</v>
      </c>
      <c r="R196" s="29" t="str">
        <f t="shared" si="144"/>
        <v>該当なし</v>
      </c>
    </row>
    <row r="197" spans="1:18">
      <c r="A197" s="53">
        <f t="shared" si="124"/>
        <v>45668</v>
      </c>
      <c r="B197" s="41">
        <f t="shared" ref="B197:B246" si="145">B196+1</f>
        <v>45668</v>
      </c>
      <c r="C197" s="42" t="str">
        <f t="shared" si="106"/>
        <v>第2  土曜日</v>
      </c>
      <c r="D197" s="4" t="str">
        <f>_xlfn.XLOOKUP(B197,syukujitsu[国民の祝日・休日月日],syukujitsu[国民の祝日・休日名称],"",0,1)</f>
        <v/>
      </c>
      <c r="E197" s="43" t="s">
        <v>254</v>
      </c>
      <c r="G197" s="43" t="s">
        <v>254</v>
      </c>
      <c r="H197" s="43" t="s">
        <v>254</v>
      </c>
      <c r="I197" s="43" t="s">
        <v>254</v>
      </c>
      <c r="J197" s="43" t="s">
        <v>254</v>
      </c>
      <c r="K197" s="43" t="s">
        <v>254</v>
      </c>
      <c r="L197" s="43" t="s">
        <v>254</v>
      </c>
      <c r="M197" s="39" t="s">
        <v>254</v>
      </c>
      <c r="N197" s="39" t="s">
        <v>254</v>
      </c>
      <c r="O197" s="39" t="s">
        <v>254</v>
      </c>
      <c r="P197" s="39" t="s">
        <v>254</v>
      </c>
      <c r="Q197" s="39" t="s">
        <v>254</v>
      </c>
      <c r="R197" s="39" t="s">
        <v>254</v>
      </c>
    </row>
    <row r="198" spans="1:18">
      <c r="A198" s="53">
        <f t="shared" si="124"/>
        <v>45669</v>
      </c>
      <c r="B198" s="41">
        <f t="shared" si="145"/>
        <v>45669</v>
      </c>
      <c r="C198" s="42" t="str">
        <f t="shared" si="106"/>
        <v>第2  日曜日</v>
      </c>
      <c r="D198" s="4" t="str">
        <f>_xlfn.XLOOKUP(B198,syukujitsu[国民の祝日・休日月日],syukujitsu[国民の祝日・休日名称],"",0,1)</f>
        <v/>
      </c>
      <c r="E198" s="43" t="s">
        <v>254</v>
      </c>
      <c r="G198" s="43" t="s">
        <v>254</v>
      </c>
      <c r="H198" s="43" t="s">
        <v>254</v>
      </c>
      <c r="I198" s="43" t="s">
        <v>254</v>
      </c>
      <c r="J198" s="43" t="s">
        <v>254</v>
      </c>
      <c r="K198" s="43" t="s">
        <v>254</v>
      </c>
      <c r="L198" s="43" t="s">
        <v>254</v>
      </c>
      <c r="M198" s="39" t="s">
        <v>254</v>
      </c>
      <c r="N198" s="39" t="s">
        <v>254</v>
      </c>
      <c r="O198" s="39" t="s">
        <v>254</v>
      </c>
      <c r="P198" s="39" t="s">
        <v>254</v>
      </c>
      <c r="Q198" s="39" t="s">
        <v>254</v>
      </c>
      <c r="R198" s="39" t="s">
        <v>254</v>
      </c>
    </row>
    <row r="199" spans="1:18">
      <c r="A199" s="53">
        <f t="shared" ref="A199:A262" si="146">B199</f>
        <v>45670</v>
      </c>
      <c r="B199" s="41">
        <f t="shared" si="145"/>
        <v>45670</v>
      </c>
      <c r="C199" s="42" t="str">
        <f t="shared" si="106"/>
        <v>第2  月曜日</v>
      </c>
      <c r="D199" s="4" t="str">
        <f>_xlfn.XLOOKUP(B199,syukujitsu[国民の祝日・休日月日],syukujitsu[国民の祝日・休日名称],"",0,1)</f>
        <v>成人の日</v>
      </c>
      <c r="E199" s="43" t="s">
        <v>681</v>
      </c>
      <c r="F199" s="43" t="s">
        <v>471</v>
      </c>
      <c r="I199" s="43" t="s">
        <v>254</v>
      </c>
      <c r="J199" s="43" t="s">
        <v>254</v>
      </c>
      <c r="K199" s="43" t="s">
        <v>254</v>
      </c>
      <c r="L199" s="43" t="s">
        <v>254</v>
      </c>
    </row>
    <row r="200" spans="1:18">
      <c r="A200" s="53">
        <f t="shared" si="146"/>
        <v>45671</v>
      </c>
      <c r="B200" s="41">
        <f t="shared" si="145"/>
        <v>45671</v>
      </c>
      <c r="C200" s="42" t="str">
        <f t="shared" si="106"/>
        <v>第2  火曜日</v>
      </c>
      <c r="D200" s="4" t="str">
        <f>_xlfn.XLOOKUP(B200,syukujitsu[国民の祝日・休日月日],syukujitsu[国民の祝日・休日名称],"",0,1)</f>
        <v/>
      </c>
      <c r="I200" s="43" t="s">
        <v>254</v>
      </c>
      <c r="J200" s="43" t="s">
        <v>254</v>
      </c>
      <c r="K200" s="43" t="s">
        <v>254</v>
      </c>
      <c r="L200" s="43" t="s">
        <v>254</v>
      </c>
    </row>
    <row r="201" spans="1:18">
      <c r="A201" s="53">
        <f t="shared" si="146"/>
        <v>45672</v>
      </c>
      <c r="B201" s="41">
        <f t="shared" si="145"/>
        <v>45672</v>
      </c>
      <c r="C201" s="42" t="str">
        <f t="shared" si="106"/>
        <v>第3  水曜日</v>
      </c>
      <c r="D201" s="4" t="str">
        <f>_xlfn.XLOOKUP(B201,syukujitsu[国民の祝日・休日月日],syukujitsu[国民の祝日・休日名称],"",0,1)</f>
        <v/>
      </c>
      <c r="E201" s="43" t="s">
        <v>680</v>
      </c>
      <c r="I201" s="43" t="s">
        <v>254</v>
      </c>
      <c r="J201" s="43" t="s">
        <v>254</v>
      </c>
      <c r="K201" s="43" t="s">
        <v>254</v>
      </c>
      <c r="L201" s="43" t="s">
        <v>254</v>
      </c>
    </row>
    <row r="202" spans="1:18">
      <c r="A202" s="53">
        <f t="shared" si="146"/>
        <v>45673</v>
      </c>
      <c r="B202" s="41">
        <f t="shared" si="145"/>
        <v>45673</v>
      </c>
      <c r="C202" s="42" t="str">
        <f t="shared" ref="C202" si="147">"第"&amp;ROUNDUP(DAY(B202)/7,0)  &amp;"  "&amp;TEXT(B202,"aaaa")</f>
        <v>第3  木曜日</v>
      </c>
      <c r="D202" s="4" t="str">
        <f>_xlfn.XLOOKUP(B202,syukujitsu[国民の祝日・休日月日],syukujitsu[国民の祝日・休日名称],"",0,1)</f>
        <v/>
      </c>
      <c r="E202" s="43" t="s">
        <v>689</v>
      </c>
      <c r="I202" s="43" t="s">
        <v>254</v>
      </c>
      <c r="J202" s="43" t="s">
        <v>254</v>
      </c>
      <c r="K202" s="43" t="s">
        <v>254</v>
      </c>
      <c r="L202" s="43" t="s">
        <v>254</v>
      </c>
    </row>
    <row r="203" spans="1:18">
      <c r="A203" s="53">
        <f t="shared" si="146"/>
        <v>45674</v>
      </c>
      <c r="B203" s="41">
        <f t="shared" si="145"/>
        <v>45674</v>
      </c>
      <c r="C203" s="42" t="str">
        <f t="shared" si="106"/>
        <v>第3  金曜日</v>
      </c>
      <c r="D203" s="4" t="str">
        <f>_xlfn.XLOOKUP(B203,syukujitsu[国民の祝日・休日月日],syukujitsu[国民の祝日・休日名称],"",0,1)</f>
        <v/>
      </c>
      <c r="I203" s="43" t="s">
        <v>254</v>
      </c>
      <c r="J203" s="43" t="s">
        <v>254</v>
      </c>
      <c r="K203" s="43" t="s">
        <v>254</v>
      </c>
      <c r="L203" s="43" t="s">
        <v>254</v>
      </c>
    </row>
    <row r="204" spans="1:18">
      <c r="A204" s="53">
        <f t="shared" si="146"/>
        <v>45675</v>
      </c>
      <c r="B204" s="41">
        <f t="shared" si="145"/>
        <v>45675</v>
      </c>
      <c r="C204" s="42" t="str">
        <f t="shared" ref="C204:C267" si="148">"第"&amp;ROUNDUP(DAY(B204)/7,0)  &amp;"  "&amp;TEXT(B204,"aaaa")</f>
        <v>第3  土曜日</v>
      </c>
      <c r="D204" s="4" t="str">
        <f>_xlfn.XLOOKUP(B204,syukujitsu[国民の祝日・休日月日],syukujitsu[国民の祝日・休日名称],"",0,1)</f>
        <v/>
      </c>
      <c r="I204" s="43" t="s">
        <v>254</v>
      </c>
      <c r="J204" s="43" t="s">
        <v>254</v>
      </c>
      <c r="K204" s="43" t="s">
        <v>254</v>
      </c>
      <c r="L204" s="43" t="s">
        <v>254</v>
      </c>
    </row>
    <row r="205" spans="1:18">
      <c r="A205" s="53">
        <f t="shared" si="146"/>
        <v>45676</v>
      </c>
      <c r="B205" s="41">
        <f t="shared" si="145"/>
        <v>45676</v>
      </c>
      <c r="C205" s="42" t="str">
        <f t="shared" si="148"/>
        <v>第3  日曜日</v>
      </c>
      <c r="D205" s="4" t="str">
        <f>_xlfn.XLOOKUP(B205,syukujitsu[国民の祝日・休日月日],syukujitsu[国民の祝日・休日名称],"",0,1)</f>
        <v/>
      </c>
      <c r="I205" s="43" t="s">
        <v>254</v>
      </c>
      <c r="J205" s="43" t="s">
        <v>254</v>
      </c>
      <c r="K205" s="43" t="s">
        <v>254</v>
      </c>
      <c r="L205" s="43" t="s">
        <v>254</v>
      </c>
    </row>
    <row r="206" spans="1:18">
      <c r="A206" s="53">
        <f t="shared" si="146"/>
        <v>45677</v>
      </c>
      <c r="B206" s="41">
        <f t="shared" si="145"/>
        <v>45677</v>
      </c>
      <c r="C206" s="42" t="str">
        <f t="shared" si="148"/>
        <v>第3  月曜日</v>
      </c>
      <c r="D206" s="4" t="str">
        <f>_xlfn.XLOOKUP(B206,syukujitsu[国民の祝日・休日月日],syukujitsu[国民の祝日・休日名称],"",0,1)</f>
        <v/>
      </c>
      <c r="I206" s="43" t="s">
        <v>254</v>
      </c>
      <c r="J206" s="43" t="s">
        <v>254</v>
      </c>
      <c r="K206" s="43" t="s">
        <v>254</v>
      </c>
      <c r="L206" s="43" t="s">
        <v>254</v>
      </c>
    </row>
    <row r="207" spans="1:18">
      <c r="A207" s="53">
        <f t="shared" si="146"/>
        <v>45678</v>
      </c>
      <c r="B207" s="41">
        <f t="shared" si="145"/>
        <v>45678</v>
      </c>
      <c r="C207" s="42" t="str">
        <f t="shared" si="148"/>
        <v>第3  火曜日</v>
      </c>
      <c r="D207" s="4" t="str">
        <f>_xlfn.XLOOKUP(B207,syukujitsu[国民の祝日・休日月日],syukujitsu[国民の祝日・休日名称],"",0,1)</f>
        <v/>
      </c>
      <c r="I207" s="43" t="s">
        <v>254</v>
      </c>
      <c r="J207" s="43" t="s">
        <v>254</v>
      </c>
      <c r="K207" s="43" t="s">
        <v>254</v>
      </c>
      <c r="L207" s="43" t="s">
        <v>254</v>
      </c>
    </row>
    <row r="208" spans="1:18">
      <c r="A208" s="53">
        <f t="shared" si="146"/>
        <v>45679</v>
      </c>
      <c r="B208" s="41">
        <f t="shared" si="145"/>
        <v>45679</v>
      </c>
      <c r="C208" s="42" t="str">
        <f t="shared" si="148"/>
        <v>第4  水曜日</v>
      </c>
      <c r="D208" s="4" t="str">
        <f>_xlfn.XLOOKUP(B208,syukujitsu[国民の祝日・休日月日],syukujitsu[国民の祝日・休日名称],"",0,1)</f>
        <v/>
      </c>
      <c r="I208" s="43" t="s">
        <v>254</v>
      </c>
      <c r="J208" s="43" t="s">
        <v>254</v>
      </c>
      <c r="K208" s="43" t="s">
        <v>254</v>
      </c>
      <c r="L208" s="43" t="s">
        <v>254</v>
      </c>
    </row>
    <row r="209" spans="1:12">
      <c r="A209" s="53">
        <f t="shared" si="146"/>
        <v>45680</v>
      </c>
      <c r="B209" s="41">
        <f t="shared" si="145"/>
        <v>45680</v>
      </c>
      <c r="C209" s="42" t="str">
        <f t="shared" si="148"/>
        <v>第4  木曜日</v>
      </c>
      <c r="D209" s="4" t="str">
        <f>_xlfn.XLOOKUP(B209,syukujitsu[国民の祝日・休日月日],syukujitsu[国民の祝日・休日名称],"",0,1)</f>
        <v/>
      </c>
      <c r="I209" s="43" t="s">
        <v>254</v>
      </c>
      <c r="J209" s="43" t="s">
        <v>254</v>
      </c>
      <c r="K209" s="43" t="s">
        <v>254</v>
      </c>
      <c r="L209" s="43" t="s">
        <v>254</v>
      </c>
    </row>
    <row r="210" spans="1:12">
      <c r="A210" s="53">
        <f t="shared" si="146"/>
        <v>45681</v>
      </c>
      <c r="B210" s="41">
        <f t="shared" si="145"/>
        <v>45681</v>
      </c>
      <c r="C210" s="42" t="str">
        <f t="shared" si="148"/>
        <v>第4  金曜日</v>
      </c>
      <c r="D210" s="4" t="str">
        <f>_xlfn.XLOOKUP(B210,syukujitsu[国民の祝日・休日月日],syukujitsu[国民の祝日・休日名称],"",0,1)</f>
        <v/>
      </c>
      <c r="E210" s="43" t="s">
        <v>657</v>
      </c>
      <c r="F210" s="43" t="s">
        <v>680</v>
      </c>
      <c r="G210" s="43" t="s">
        <v>692</v>
      </c>
      <c r="I210" s="43" t="s">
        <v>254</v>
      </c>
      <c r="J210" s="43" t="s">
        <v>254</v>
      </c>
      <c r="K210" s="43" t="s">
        <v>254</v>
      </c>
      <c r="L210" s="43" t="s">
        <v>254</v>
      </c>
    </row>
    <row r="211" spans="1:12">
      <c r="A211" s="53">
        <f t="shared" si="146"/>
        <v>45682</v>
      </c>
      <c r="B211" s="41">
        <f t="shared" si="145"/>
        <v>45682</v>
      </c>
      <c r="C211" s="42" t="str">
        <f t="shared" si="148"/>
        <v>第4  土曜日</v>
      </c>
      <c r="D211" s="4" t="str">
        <f>_xlfn.XLOOKUP(B211,syukujitsu[国民の祝日・休日月日],syukujitsu[国民の祝日・休日名称],"",0,1)</f>
        <v/>
      </c>
      <c r="I211" s="43" t="s">
        <v>254</v>
      </c>
      <c r="J211" s="43" t="s">
        <v>254</v>
      </c>
      <c r="K211" s="43" t="s">
        <v>254</v>
      </c>
      <c r="L211" s="43" t="s">
        <v>254</v>
      </c>
    </row>
    <row r="212" spans="1:12">
      <c r="A212" s="53">
        <f t="shared" si="146"/>
        <v>45683</v>
      </c>
      <c r="B212" s="41">
        <f t="shared" si="145"/>
        <v>45683</v>
      </c>
      <c r="C212" s="42" t="str">
        <f t="shared" si="148"/>
        <v>第4  日曜日</v>
      </c>
      <c r="D212" s="4" t="str">
        <f>_xlfn.XLOOKUP(B212,syukujitsu[国民の祝日・休日月日],syukujitsu[国民の祝日・休日名称],"",0,1)</f>
        <v/>
      </c>
      <c r="I212" s="43" t="s">
        <v>254</v>
      </c>
      <c r="J212" s="43" t="s">
        <v>254</v>
      </c>
      <c r="K212" s="43" t="s">
        <v>254</v>
      </c>
      <c r="L212" s="43" t="s">
        <v>254</v>
      </c>
    </row>
    <row r="213" spans="1:12">
      <c r="A213" s="53">
        <f t="shared" si="146"/>
        <v>45684</v>
      </c>
      <c r="B213" s="41">
        <f t="shared" si="145"/>
        <v>45684</v>
      </c>
      <c r="C213" s="42" t="str">
        <f t="shared" si="148"/>
        <v>第4  月曜日</v>
      </c>
      <c r="D213" s="4" t="str">
        <f>_xlfn.XLOOKUP(B213,syukujitsu[国民の祝日・休日月日],syukujitsu[国民の祝日・休日名称],"",0,1)</f>
        <v/>
      </c>
      <c r="E213" s="43" t="s">
        <v>693</v>
      </c>
      <c r="I213" s="43" t="s">
        <v>254</v>
      </c>
      <c r="J213" s="43" t="s">
        <v>254</v>
      </c>
      <c r="K213" s="43" t="s">
        <v>254</v>
      </c>
      <c r="L213" s="43" t="s">
        <v>254</v>
      </c>
    </row>
    <row r="214" spans="1:12">
      <c r="A214" s="53">
        <f t="shared" si="146"/>
        <v>45685</v>
      </c>
      <c r="B214" s="41">
        <f t="shared" si="145"/>
        <v>45685</v>
      </c>
      <c r="C214" s="42" t="str">
        <f t="shared" si="148"/>
        <v>第4  火曜日</v>
      </c>
      <c r="D214" s="4" t="str">
        <f>_xlfn.XLOOKUP(B214,syukujitsu[国民の祝日・休日月日],syukujitsu[国民の祝日・休日名称],"",0,1)</f>
        <v/>
      </c>
      <c r="I214" s="43" t="s">
        <v>254</v>
      </c>
      <c r="J214" s="43" t="s">
        <v>254</v>
      </c>
      <c r="K214" s="43" t="s">
        <v>254</v>
      </c>
      <c r="L214" s="43" t="s">
        <v>254</v>
      </c>
    </row>
    <row r="215" spans="1:12">
      <c r="A215" s="53">
        <f t="shared" si="146"/>
        <v>45686</v>
      </c>
      <c r="B215" s="41">
        <f t="shared" si="145"/>
        <v>45686</v>
      </c>
      <c r="C215" s="42" t="str">
        <f t="shared" si="148"/>
        <v>第5  水曜日</v>
      </c>
      <c r="D215" s="4" t="str">
        <f>_xlfn.XLOOKUP(B215,syukujitsu[国民の祝日・休日月日],syukujitsu[国民の祝日・休日名称],"",0,1)</f>
        <v/>
      </c>
      <c r="I215" s="43" t="s">
        <v>254</v>
      </c>
      <c r="J215" s="43" t="s">
        <v>254</v>
      </c>
      <c r="K215" s="43" t="s">
        <v>254</v>
      </c>
      <c r="L215" s="43" t="s">
        <v>254</v>
      </c>
    </row>
    <row r="216" spans="1:12">
      <c r="A216" s="53">
        <f t="shared" si="146"/>
        <v>45687</v>
      </c>
      <c r="B216" s="41">
        <f t="shared" si="145"/>
        <v>45687</v>
      </c>
      <c r="C216" s="42" t="str">
        <f t="shared" si="148"/>
        <v>第5  木曜日</v>
      </c>
      <c r="D216" s="4" t="str">
        <f>_xlfn.XLOOKUP(B216,syukujitsu[国民の祝日・休日月日],syukujitsu[国民の祝日・休日名称],"",0,1)</f>
        <v/>
      </c>
      <c r="E216" s="43" t="s">
        <v>459</v>
      </c>
      <c r="I216" s="43" t="s">
        <v>254</v>
      </c>
      <c r="J216" s="43" t="s">
        <v>254</v>
      </c>
      <c r="K216" s="43" t="s">
        <v>254</v>
      </c>
      <c r="L216" s="43" t="s">
        <v>254</v>
      </c>
    </row>
    <row r="217" spans="1:12">
      <c r="A217" s="53">
        <f t="shared" si="146"/>
        <v>45688</v>
      </c>
      <c r="B217" s="41">
        <f t="shared" si="145"/>
        <v>45688</v>
      </c>
      <c r="C217" s="42" t="str">
        <f t="shared" si="148"/>
        <v>第5  金曜日</v>
      </c>
      <c r="D217" s="4" t="str">
        <f>_xlfn.XLOOKUP(B217,syukujitsu[国民の祝日・休日月日],syukujitsu[国民の祝日・休日名称],"",0,1)</f>
        <v/>
      </c>
      <c r="E217" s="43" t="s">
        <v>694</v>
      </c>
      <c r="F217" s="43" t="s">
        <v>680</v>
      </c>
      <c r="I217" s="43" t="s">
        <v>254</v>
      </c>
      <c r="J217" s="43" t="s">
        <v>254</v>
      </c>
      <c r="K217" s="43" t="s">
        <v>254</v>
      </c>
      <c r="L217" s="43" t="s">
        <v>254</v>
      </c>
    </row>
    <row r="218" spans="1:12">
      <c r="A218" s="53">
        <f t="shared" si="146"/>
        <v>45689</v>
      </c>
      <c r="B218" s="41">
        <f t="shared" si="145"/>
        <v>45689</v>
      </c>
      <c r="C218" s="42" t="str">
        <f t="shared" si="148"/>
        <v>第1  土曜日</v>
      </c>
      <c r="D218" s="4" t="str">
        <f>_xlfn.XLOOKUP(B218,syukujitsu[国民の祝日・休日月日],syukujitsu[国民の祝日・休日名称],"",0,1)</f>
        <v/>
      </c>
      <c r="I218" s="43" t="s">
        <v>254</v>
      </c>
      <c r="J218" s="43" t="s">
        <v>254</v>
      </c>
      <c r="K218" s="43" t="s">
        <v>254</v>
      </c>
      <c r="L218" s="43" t="s">
        <v>254</v>
      </c>
    </row>
    <row r="219" spans="1:12">
      <c r="A219" s="53">
        <f t="shared" si="146"/>
        <v>45690</v>
      </c>
      <c r="B219" s="41">
        <f t="shared" si="145"/>
        <v>45690</v>
      </c>
      <c r="C219" s="42" t="str">
        <f t="shared" si="148"/>
        <v>第1  日曜日</v>
      </c>
      <c r="D219" s="4" t="str">
        <f>_xlfn.XLOOKUP(B219,syukujitsu[国民の祝日・休日月日],syukujitsu[国民の祝日・休日名称],"",0,1)</f>
        <v/>
      </c>
      <c r="I219" s="43" t="s">
        <v>254</v>
      </c>
      <c r="J219" s="43" t="s">
        <v>254</v>
      </c>
      <c r="K219" s="43" t="s">
        <v>254</v>
      </c>
      <c r="L219" s="43" t="s">
        <v>254</v>
      </c>
    </row>
    <row r="220" spans="1:12">
      <c r="A220" s="53">
        <f t="shared" si="146"/>
        <v>45691</v>
      </c>
      <c r="B220" s="41">
        <f t="shared" si="145"/>
        <v>45691</v>
      </c>
      <c r="C220" s="42" t="str">
        <f t="shared" si="148"/>
        <v>第1  月曜日</v>
      </c>
      <c r="D220" s="4" t="str">
        <f>_xlfn.XLOOKUP(B220,syukujitsu[国民の祝日・休日月日],syukujitsu[国民の祝日・休日名称],"",0,1)</f>
        <v/>
      </c>
      <c r="E220" s="43" t="s">
        <v>471</v>
      </c>
      <c r="I220" s="43" t="s">
        <v>254</v>
      </c>
      <c r="J220" s="43" t="s">
        <v>254</v>
      </c>
      <c r="K220" s="43" t="s">
        <v>254</v>
      </c>
      <c r="L220" s="43" t="s">
        <v>254</v>
      </c>
    </row>
    <row r="221" spans="1:12">
      <c r="A221" s="53">
        <f t="shared" si="146"/>
        <v>45692</v>
      </c>
      <c r="B221" s="41">
        <f t="shared" si="145"/>
        <v>45692</v>
      </c>
      <c r="C221" s="42" t="str">
        <f t="shared" si="148"/>
        <v>第1  火曜日</v>
      </c>
      <c r="D221" s="4" t="str">
        <f>_xlfn.XLOOKUP(B221,syukujitsu[国民の祝日・休日月日],syukujitsu[国民の祝日・休日名称],"",0,1)</f>
        <v/>
      </c>
      <c r="I221" s="43" t="s">
        <v>254</v>
      </c>
      <c r="J221" s="43" t="s">
        <v>254</v>
      </c>
      <c r="K221" s="43" t="s">
        <v>254</v>
      </c>
      <c r="L221" s="43" t="s">
        <v>254</v>
      </c>
    </row>
    <row r="222" spans="1:12">
      <c r="A222" s="53">
        <f t="shared" si="146"/>
        <v>45693</v>
      </c>
      <c r="B222" s="41">
        <f t="shared" si="145"/>
        <v>45693</v>
      </c>
      <c r="C222" s="42" t="str">
        <f t="shared" si="148"/>
        <v>第1  水曜日</v>
      </c>
      <c r="D222" s="4" t="str">
        <f>_xlfn.XLOOKUP(B222,syukujitsu[国民の祝日・休日月日],syukujitsu[国民の祝日・休日名称],"",0,1)</f>
        <v/>
      </c>
      <c r="E222" s="43" t="s">
        <v>695</v>
      </c>
      <c r="F222" s="43" t="s">
        <v>696</v>
      </c>
      <c r="I222" s="43" t="s">
        <v>254</v>
      </c>
      <c r="J222" s="43" t="s">
        <v>254</v>
      </c>
      <c r="K222" s="43" t="s">
        <v>254</v>
      </c>
      <c r="L222" s="43" t="s">
        <v>254</v>
      </c>
    </row>
    <row r="223" spans="1:12">
      <c r="A223" s="53">
        <f t="shared" si="146"/>
        <v>45694</v>
      </c>
      <c r="B223" s="41">
        <f t="shared" si="145"/>
        <v>45694</v>
      </c>
      <c r="C223" s="42" t="str">
        <f t="shared" si="148"/>
        <v>第1  木曜日</v>
      </c>
      <c r="D223" s="4" t="str">
        <f>_xlfn.XLOOKUP(B223,syukujitsu[国民の祝日・休日月日],syukujitsu[国民の祝日・休日名称],"",0,1)</f>
        <v/>
      </c>
      <c r="E223" s="43" t="s">
        <v>680</v>
      </c>
      <c r="I223" s="43" t="s">
        <v>254</v>
      </c>
      <c r="J223" s="43" t="s">
        <v>254</v>
      </c>
      <c r="K223" s="43" t="s">
        <v>254</v>
      </c>
      <c r="L223" s="43" t="s">
        <v>254</v>
      </c>
    </row>
    <row r="224" spans="1:12">
      <c r="A224" s="53">
        <f t="shared" si="146"/>
        <v>45695</v>
      </c>
      <c r="B224" s="41">
        <f t="shared" si="145"/>
        <v>45695</v>
      </c>
      <c r="C224" s="42" t="str">
        <f t="shared" si="148"/>
        <v>第1  金曜日</v>
      </c>
      <c r="D224" s="4" t="str">
        <f>_xlfn.XLOOKUP(B224,syukujitsu[国民の祝日・休日月日],syukujitsu[国民の祝日・休日名称],"",0,1)</f>
        <v/>
      </c>
      <c r="E224" s="43" t="s">
        <v>657</v>
      </c>
      <c r="I224" s="43" t="s">
        <v>254</v>
      </c>
      <c r="J224" s="43" t="s">
        <v>254</v>
      </c>
      <c r="K224" s="43" t="s">
        <v>254</v>
      </c>
      <c r="L224" s="43" t="s">
        <v>254</v>
      </c>
    </row>
    <row r="225" spans="1:12">
      <c r="A225" s="53">
        <f t="shared" si="146"/>
        <v>45696</v>
      </c>
      <c r="B225" s="41">
        <f t="shared" si="145"/>
        <v>45696</v>
      </c>
      <c r="C225" s="42" t="str">
        <f t="shared" si="148"/>
        <v>第2  土曜日</v>
      </c>
      <c r="D225" s="4" t="str">
        <f>_xlfn.XLOOKUP(B225,syukujitsu[国民の祝日・休日月日],syukujitsu[国民の祝日・休日名称],"",0,1)</f>
        <v/>
      </c>
      <c r="I225" s="43" t="s">
        <v>254</v>
      </c>
      <c r="J225" s="43" t="s">
        <v>254</v>
      </c>
      <c r="K225" s="43" t="s">
        <v>254</v>
      </c>
      <c r="L225" s="43" t="s">
        <v>254</v>
      </c>
    </row>
    <row r="226" spans="1:12">
      <c r="A226" s="53">
        <f t="shared" si="146"/>
        <v>45697</v>
      </c>
      <c r="B226" s="41">
        <f t="shared" si="145"/>
        <v>45697</v>
      </c>
      <c r="C226" s="42" t="str">
        <f t="shared" si="148"/>
        <v>第2  日曜日</v>
      </c>
      <c r="D226" s="4" t="str">
        <f>_xlfn.XLOOKUP(B226,syukujitsu[国民の祝日・休日月日],syukujitsu[国民の祝日・休日名称],"",0,1)</f>
        <v/>
      </c>
      <c r="I226" s="43" t="s">
        <v>254</v>
      </c>
      <c r="J226" s="43" t="s">
        <v>254</v>
      </c>
      <c r="K226" s="43" t="s">
        <v>254</v>
      </c>
      <c r="L226" s="43" t="s">
        <v>254</v>
      </c>
    </row>
    <row r="227" spans="1:12">
      <c r="A227" s="53">
        <f t="shared" si="146"/>
        <v>45698</v>
      </c>
      <c r="B227" s="41">
        <f t="shared" si="145"/>
        <v>45698</v>
      </c>
      <c r="C227" s="42" t="str">
        <f t="shared" si="148"/>
        <v>第2  月曜日</v>
      </c>
      <c r="D227" s="4" t="str">
        <f>_xlfn.XLOOKUP(B227,syukujitsu[国民の祝日・休日月日],syukujitsu[国民の祝日・休日名称],"",0,1)</f>
        <v/>
      </c>
      <c r="I227" s="43" t="s">
        <v>254</v>
      </c>
      <c r="J227" s="43" t="s">
        <v>254</v>
      </c>
      <c r="K227" s="43" t="s">
        <v>254</v>
      </c>
      <c r="L227" s="43" t="s">
        <v>254</v>
      </c>
    </row>
    <row r="228" spans="1:12">
      <c r="A228" s="53">
        <f t="shared" si="146"/>
        <v>45699</v>
      </c>
      <c r="B228" s="41">
        <f t="shared" si="145"/>
        <v>45699</v>
      </c>
      <c r="C228" s="42" t="str">
        <f t="shared" si="148"/>
        <v>第2  火曜日</v>
      </c>
      <c r="D228" s="4" t="str">
        <f>_xlfn.XLOOKUP(B228,syukujitsu[国民の祝日・休日月日],syukujitsu[国民の祝日・休日名称],"",0,1)</f>
        <v>建国記念の日</v>
      </c>
      <c r="I228" s="43" t="s">
        <v>254</v>
      </c>
      <c r="J228" s="43" t="s">
        <v>254</v>
      </c>
      <c r="K228" s="43" t="s">
        <v>254</v>
      </c>
      <c r="L228" s="43" t="s">
        <v>254</v>
      </c>
    </row>
    <row r="229" spans="1:12">
      <c r="A229" s="53">
        <f t="shared" si="146"/>
        <v>45700</v>
      </c>
      <c r="B229" s="41">
        <f t="shared" si="145"/>
        <v>45700</v>
      </c>
      <c r="C229" s="42" t="str">
        <f t="shared" si="148"/>
        <v>第2  水曜日</v>
      </c>
      <c r="D229" s="4" t="str">
        <f>_xlfn.XLOOKUP(B229,syukujitsu[国民の祝日・休日月日],syukujitsu[国民の祝日・休日名称],"",0,1)</f>
        <v/>
      </c>
      <c r="I229" s="43" t="s">
        <v>254</v>
      </c>
      <c r="J229" s="43" t="s">
        <v>254</v>
      </c>
      <c r="K229" s="43" t="s">
        <v>254</v>
      </c>
      <c r="L229" s="43" t="s">
        <v>254</v>
      </c>
    </row>
    <row r="230" spans="1:12">
      <c r="A230" s="53">
        <f t="shared" si="146"/>
        <v>45701</v>
      </c>
      <c r="B230" s="41">
        <f t="shared" si="145"/>
        <v>45701</v>
      </c>
      <c r="C230" s="42" t="str">
        <f t="shared" si="148"/>
        <v>第2  木曜日</v>
      </c>
      <c r="D230" s="4" t="str">
        <f>_xlfn.XLOOKUP(B230,syukujitsu[国民の祝日・休日月日],syukujitsu[国民の祝日・休日名称],"",0,1)</f>
        <v/>
      </c>
      <c r="I230" s="43" t="s">
        <v>254</v>
      </c>
      <c r="J230" s="43" t="s">
        <v>254</v>
      </c>
      <c r="K230" s="43" t="s">
        <v>254</v>
      </c>
      <c r="L230" s="43" t="s">
        <v>254</v>
      </c>
    </row>
    <row r="231" spans="1:12">
      <c r="A231" s="53">
        <f t="shared" si="146"/>
        <v>45702</v>
      </c>
      <c r="B231" s="41">
        <f t="shared" si="145"/>
        <v>45702</v>
      </c>
      <c r="C231" s="42" t="str">
        <f t="shared" si="148"/>
        <v>第2  金曜日</v>
      </c>
      <c r="D231" s="4" t="str">
        <f>_xlfn.XLOOKUP(B231,syukujitsu[国民の祝日・休日月日],syukujitsu[国民の祝日・休日名称],"",0,1)</f>
        <v/>
      </c>
      <c r="E231" s="43" t="s">
        <v>701</v>
      </c>
      <c r="I231" s="43" t="s">
        <v>254</v>
      </c>
      <c r="J231" s="43" t="s">
        <v>254</v>
      </c>
      <c r="K231" s="43" t="s">
        <v>254</v>
      </c>
      <c r="L231" s="43" t="s">
        <v>254</v>
      </c>
    </row>
    <row r="232" spans="1:12">
      <c r="A232" s="53">
        <f t="shared" si="146"/>
        <v>45703</v>
      </c>
      <c r="B232" s="41">
        <f t="shared" si="145"/>
        <v>45703</v>
      </c>
      <c r="C232" s="42" t="str">
        <f t="shared" si="148"/>
        <v>第3  土曜日</v>
      </c>
      <c r="D232" s="4" t="str">
        <f>_xlfn.XLOOKUP(B232,syukujitsu[国民の祝日・休日月日],syukujitsu[国民の祝日・休日名称],"",0,1)</f>
        <v/>
      </c>
      <c r="I232" s="43" t="s">
        <v>254</v>
      </c>
      <c r="J232" s="43" t="s">
        <v>254</v>
      </c>
      <c r="K232" s="43" t="s">
        <v>254</v>
      </c>
      <c r="L232" s="43" t="s">
        <v>254</v>
      </c>
    </row>
    <row r="233" spans="1:12">
      <c r="A233" s="53">
        <f t="shared" si="146"/>
        <v>45704</v>
      </c>
      <c r="B233" s="41">
        <f t="shared" si="145"/>
        <v>45704</v>
      </c>
      <c r="C233" s="42" t="str">
        <f t="shared" si="148"/>
        <v>第3  日曜日</v>
      </c>
      <c r="D233" s="4" t="str">
        <f>_xlfn.XLOOKUP(B233,syukujitsu[国民の祝日・休日月日],syukujitsu[国民の祝日・休日名称],"",0,1)</f>
        <v/>
      </c>
      <c r="I233" s="43" t="s">
        <v>254</v>
      </c>
      <c r="J233" s="43" t="s">
        <v>254</v>
      </c>
      <c r="K233" s="43" t="s">
        <v>254</v>
      </c>
      <c r="L233" s="43" t="s">
        <v>254</v>
      </c>
    </row>
    <row r="234" spans="1:12">
      <c r="A234" s="53">
        <f t="shared" si="146"/>
        <v>45705</v>
      </c>
      <c r="B234" s="41">
        <f t="shared" si="145"/>
        <v>45705</v>
      </c>
      <c r="C234" s="42" t="str">
        <f t="shared" si="148"/>
        <v>第3  月曜日</v>
      </c>
      <c r="D234" s="4" t="str">
        <f>_xlfn.XLOOKUP(B234,syukujitsu[国民の祝日・休日月日],syukujitsu[国民の祝日・休日名称],"",0,1)</f>
        <v/>
      </c>
      <c r="I234" s="43" t="s">
        <v>254</v>
      </c>
      <c r="J234" s="43" t="s">
        <v>254</v>
      </c>
      <c r="K234" s="43" t="s">
        <v>254</v>
      </c>
      <c r="L234" s="43" t="s">
        <v>254</v>
      </c>
    </row>
    <row r="235" spans="1:12">
      <c r="A235" s="53">
        <f t="shared" si="146"/>
        <v>45706</v>
      </c>
      <c r="B235" s="41">
        <f t="shared" si="145"/>
        <v>45706</v>
      </c>
      <c r="C235" s="42" t="str">
        <f t="shared" si="148"/>
        <v>第3  火曜日</v>
      </c>
      <c r="D235" s="4" t="str">
        <f>_xlfn.XLOOKUP(B235,syukujitsu[国民の祝日・休日月日],syukujitsu[国民の祝日・休日名称],"",0,1)</f>
        <v/>
      </c>
      <c r="I235" s="43" t="s">
        <v>254</v>
      </c>
      <c r="J235" s="43" t="s">
        <v>254</v>
      </c>
      <c r="K235" s="43" t="s">
        <v>254</v>
      </c>
      <c r="L235" s="43" t="s">
        <v>254</v>
      </c>
    </row>
    <row r="236" spans="1:12">
      <c r="A236" s="53">
        <f t="shared" si="146"/>
        <v>45707</v>
      </c>
      <c r="B236" s="41">
        <f t="shared" si="145"/>
        <v>45707</v>
      </c>
      <c r="C236" s="42" t="str">
        <f t="shared" si="148"/>
        <v>第3  水曜日</v>
      </c>
      <c r="D236" s="4" t="str">
        <f>_xlfn.XLOOKUP(B236,syukujitsu[国民の祝日・休日月日],syukujitsu[国民の祝日・休日名称],"",0,1)</f>
        <v/>
      </c>
      <c r="E236" s="43" t="s">
        <v>696</v>
      </c>
      <c r="I236" s="43" t="s">
        <v>254</v>
      </c>
      <c r="J236" s="43" t="s">
        <v>254</v>
      </c>
      <c r="K236" s="43" t="s">
        <v>254</v>
      </c>
      <c r="L236" s="43" t="s">
        <v>254</v>
      </c>
    </row>
    <row r="237" spans="1:12">
      <c r="A237" s="53">
        <f t="shared" si="146"/>
        <v>45708</v>
      </c>
      <c r="B237" s="41">
        <f t="shared" si="145"/>
        <v>45708</v>
      </c>
      <c r="C237" s="42" t="str">
        <f t="shared" si="148"/>
        <v>第3  木曜日</v>
      </c>
      <c r="D237" s="4" t="str">
        <f>_xlfn.XLOOKUP(B237,syukujitsu[国民の祝日・休日月日],syukujitsu[国民の祝日・休日名称],"",0,1)</f>
        <v/>
      </c>
      <c r="I237" s="43" t="s">
        <v>254</v>
      </c>
      <c r="J237" s="43" t="s">
        <v>254</v>
      </c>
      <c r="K237" s="43" t="s">
        <v>254</v>
      </c>
      <c r="L237" s="43" t="s">
        <v>254</v>
      </c>
    </row>
    <row r="238" spans="1:12">
      <c r="A238" s="53">
        <f t="shared" si="146"/>
        <v>45709</v>
      </c>
      <c r="B238" s="41">
        <f t="shared" si="145"/>
        <v>45709</v>
      </c>
      <c r="C238" s="42" t="str">
        <f t="shared" si="148"/>
        <v>第3  金曜日</v>
      </c>
      <c r="D238" s="4" t="str">
        <f>_xlfn.XLOOKUP(B238,syukujitsu[国民の祝日・休日月日],syukujitsu[国民の祝日・休日名称],"",0,1)</f>
        <v/>
      </c>
      <c r="E238" s="43" t="s">
        <v>657</v>
      </c>
      <c r="F238" s="43" t="s">
        <v>680</v>
      </c>
      <c r="I238" s="43" t="s">
        <v>254</v>
      </c>
      <c r="J238" s="43" t="s">
        <v>254</v>
      </c>
      <c r="K238" s="43" t="s">
        <v>254</v>
      </c>
      <c r="L238" s="43" t="s">
        <v>254</v>
      </c>
    </row>
    <row r="239" spans="1:12">
      <c r="A239" s="53">
        <f t="shared" si="146"/>
        <v>45710</v>
      </c>
      <c r="B239" s="41">
        <f t="shared" si="145"/>
        <v>45710</v>
      </c>
      <c r="C239" s="42" t="str">
        <f t="shared" si="148"/>
        <v>第4  土曜日</v>
      </c>
      <c r="D239" s="4" t="str">
        <f>_xlfn.XLOOKUP(B239,syukujitsu[国民の祝日・休日月日],syukujitsu[国民の祝日・休日名称],"",0,1)</f>
        <v/>
      </c>
      <c r="I239" s="43" t="s">
        <v>254</v>
      </c>
      <c r="J239" s="43" t="s">
        <v>254</v>
      </c>
      <c r="K239" s="43" t="s">
        <v>254</v>
      </c>
      <c r="L239" s="43" t="s">
        <v>254</v>
      </c>
    </row>
    <row r="240" spans="1:12">
      <c r="A240" s="53">
        <f t="shared" si="146"/>
        <v>45711</v>
      </c>
      <c r="B240" s="41">
        <f t="shared" si="145"/>
        <v>45711</v>
      </c>
      <c r="C240" s="42" t="str">
        <f t="shared" si="148"/>
        <v>第4  日曜日</v>
      </c>
      <c r="D240" s="4" t="str">
        <f>_xlfn.XLOOKUP(B240,syukujitsu[国民の祝日・休日月日],syukujitsu[国民の祝日・休日名称],"",0,1)</f>
        <v>天皇誕生日</v>
      </c>
      <c r="I240" s="43" t="s">
        <v>254</v>
      </c>
      <c r="J240" s="43" t="s">
        <v>254</v>
      </c>
      <c r="K240" s="43" t="s">
        <v>254</v>
      </c>
      <c r="L240" s="43" t="s">
        <v>254</v>
      </c>
    </row>
    <row r="241" spans="1:12">
      <c r="A241" s="53">
        <f t="shared" si="146"/>
        <v>45712</v>
      </c>
      <c r="B241" s="41">
        <f t="shared" si="145"/>
        <v>45712</v>
      </c>
      <c r="C241" s="42" t="str">
        <f t="shared" si="148"/>
        <v>第4  月曜日</v>
      </c>
      <c r="D241" s="4" t="str">
        <f>_xlfn.XLOOKUP(B241,syukujitsu[国民の祝日・休日月日],syukujitsu[国民の祝日・休日名称],"",0,1)</f>
        <v>振替休日</v>
      </c>
      <c r="I241" s="43" t="s">
        <v>254</v>
      </c>
      <c r="J241" s="43" t="s">
        <v>254</v>
      </c>
      <c r="K241" s="43" t="s">
        <v>254</v>
      </c>
      <c r="L241" s="43" t="s">
        <v>254</v>
      </c>
    </row>
    <row r="242" spans="1:12">
      <c r="A242" s="53">
        <f t="shared" si="146"/>
        <v>45713</v>
      </c>
      <c r="B242" s="41">
        <f t="shared" si="145"/>
        <v>45713</v>
      </c>
      <c r="C242" s="42" t="str">
        <f t="shared" si="148"/>
        <v>第4  火曜日</v>
      </c>
      <c r="D242" s="4" t="str">
        <f>_xlfn.XLOOKUP(B242,syukujitsu[国民の祝日・休日月日],syukujitsu[国民の祝日・休日名称],"",0,1)</f>
        <v/>
      </c>
      <c r="I242" s="43" t="s">
        <v>254</v>
      </c>
      <c r="J242" s="43" t="s">
        <v>254</v>
      </c>
      <c r="K242" s="43" t="s">
        <v>254</v>
      </c>
      <c r="L242" s="43" t="s">
        <v>254</v>
      </c>
    </row>
    <row r="243" spans="1:12">
      <c r="A243" s="53">
        <f t="shared" si="146"/>
        <v>45714</v>
      </c>
      <c r="B243" s="41">
        <f t="shared" si="145"/>
        <v>45714</v>
      </c>
      <c r="C243" s="42" t="str">
        <f t="shared" si="148"/>
        <v>第4  水曜日</v>
      </c>
      <c r="D243" s="4" t="str">
        <f>_xlfn.XLOOKUP(B243,syukujitsu[国民の祝日・休日月日],syukujitsu[国民の祝日・休日名称],"",0,1)</f>
        <v/>
      </c>
      <c r="I243" s="43" t="s">
        <v>254</v>
      </c>
      <c r="J243" s="43" t="s">
        <v>254</v>
      </c>
      <c r="K243" s="43" t="s">
        <v>254</v>
      </c>
      <c r="L243" s="43" t="s">
        <v>254</v>
      </c>
    </row>
    <row r="244" spans="1:12">
      <c r="A244" s="53">
        <f t="shared" si="146"/>
        <v>45715</v>
      </c>
      <c r="B244" s="41">
        <f t="shared" si="145"/>
        <v>45715</v>
      </c>
      <c r="C244" s="42" t="str">
        <f t="shared" si="148"/>
        <v>第4  木曜日</v>
      </c>
      <c r="D244" s="4" t="str">
        <f>_xlfn.XLOOKUP(B244,syukujitsu[国民の祝日・休日月日],syukujitsu[国民の祝日・休日名称],"",0,1)</f>
        <v/>
      </c>
      <c r="E244" s="43" t="s">
        <v>459</v>
      </c>
      <c r="I244" s="43" t="s">
        <v>254</v>
      </c>
      <c r="J244" s="43" t="s">
        <v>254</v>
      </c>
      <c r="K244" s="43" t="s">
        <v>254</v>
      </c>
      <c r="L244" s="43" t="s">
        <v>254</v>
      </c>
    </row>
    <row r="245" spans="1:12">
      <c r="A245" s="53">
        <f t="shared" si="146"/>
        <v>45716</v>
      </c>
      <c r="B245" s="41">
        <f t="shared" si="145"/>
        <v>45716</v>
      </c>
      <c r="C245" s="42" t="str">
        <f t="shared" si="148"/>
        <v>第4  金曜日</v>
      </c>
      <c r="D245" s="4" t="str">
        <f>_xlfn.XLOOKUP(B245,syukujitsu[国民の祝日・休日月日],syukujitsu[国民の祝日・休日名称],"",0,1)</f>
        <v/>
      </c>
      <c r="E245" s="43" t="s">
        <v>707</v>
      </c>
      <c r="F245" s="43" t="s">
        <v>680</v>
      </c>
      <c r="I245" s="43" t="s">
        <v>254</v>
      </c>
      <c r="J245" s="43" t="s">
        <v>254</v>
      </c>
      <c r="K245" s="43" t="s">
        <v>254</v>
      </c>
      <c r="L245" s="43" t="s">
        <v>254</v>
      </c>
    </row>
    <row r="246" spans="1:12">
      <c r="A246" s="53">
        <f t="shared" si="146"/>
        <v>45717</v>
      </c>
      <c r="B246" s="41">
        <f t="shared" si="145"/>
        <v>45717</v>
      </c>
      <c r="C246" s="42" t="str">
        <f t="shared" si="148"/>
        <v>第1  土曜日</v>
      </c>
      <c r="D246" s="4" t="str">
        <f>_xlfn.XLOOKUP(B246,syukujitsu[国民の祝日・休日月日],syukujitsu[国民の祝日・休日名称],"",0,1)</f>
        <v/>
      </c>
      <c r="E246" s="43" t="s">
        <v>702</v>
      </c>
      <c r="I246" s="43" t="s">
        <v>254</v>
      </c>
      <c r="J246" s="43" t="s">
        <v>254</v>
      </c>
      <c r="K246" s="43" t="s">
        <v>254</v>
      </c>
      <c r="L246" s="43" t="s">
        <v>254</v>
      </c>
    </row>
    <row r="247" spans="1:12">
      <c r="A247" s="53">
        <f t="shared" si="146"/>
        <v>45718</v>
      </c>
      <c r="B247" s="41">
        <f t="shared" ref="B247:B310" si="149">B246+1</f>
        <v>45718</v>
      </c>
      <c r="C247" s="42" t="str">
        <f t="shared" si="148"/>
        <v>第1  日曜日</v>
      </c>
      <c r="D247" s="4" t="str">
        <f>_xlfn.XLOOKUP(B247,syukujitsu[国民の祝日・休日月日],syukujitsu[国民の祝日・休日名称],"",0,1)</f>
        <v/>
      </c>
      <c r="E247" s="43" t="s">
        <v>702</v>
      </c>
      <c r="I247" s="43" t="s">
        <v>254</v>
      </c>
      <c r="J247" s="43" t="s">
        <v>254</v>
      </c>
      <c r="K247" s="43" t="s">
        <v>254</v>
      </c>
      <c r="L247" s="43" t="s">
        <v>254</v>
      </c>
    </row>
    <row r="248" spans="1:12">
      <c r="A248" s="53">
        <f t="shared" si="146"/>
        <v>45719</v>
      </c>
      <c r="B248" s="41">
        <f t="shared" si="149"/>
        <v>45719</v>
      </c>
      <c r="C248" s="42" t="str">
        <f t="shared" si="148"/>
        <v>第1  月曜日</v>
      </c>
      <c r="D248" s="4" t="str">
        <f>_xlfn.XLOOKUP(B248,syukujitsu[国民の祝日・休日月日],syukujitsu[国民の祝日・休日名称],"",0,1)</f>
        <v/>
      </c>
      <c r="E248" s="43" t="s">
        <v>702</v>
      </c>
      <c r="F248" s="43" t="s">
        <v>706</v>
      </c>
      <c r="I248" s="43" t="s">
        <v>254</v>
      </c>
      <c r="J248" s="43" t="s">
        <v>254</v>
      </c>
      <c r="K248" s="43" t="s">
        <v>254</v>
      </c>
      <c r="L248" s="43" t="s">
        <v>254</v>
      </c>
    </row>
    <row r="249" spans="1:12">
      <c r="A249" s="53">
        <f t="shared" si="146"/>
        <v>45720</v>
      </c>
      <c r="B249" s="41">
        <f t="shared" si="149"/>
        <v>45720</v>
      </c>
      <c r="C249" s="42" t="str">
        <f t="shared" si="148"/>
        <v>第1  火曜日</v>
      </c>
      <c r="D249" s="4" t="str">
        <f>_xlfn.XLOOKUP(B249,syukujitsu[国民の祝日・休日月日],syukujitsu[国民の祝日・休日名称],"",0,1)</f>
        <v/>
      </c>
      <c r="I249" s="43" t="s">
        <v>254</v>
      </c>
      <c r="J249" s="43" t="s">
        <v>254</v>
      </c>
      <c r="K249" s="43" t="s">
        <v>254</v>
      </c>
      <c r="L249" s="43" t="s">
        <v>254</v>
      </c>
    </row>
    <row r="250" spans="1:12">
      <c r="A250" s="53">
        <f t="shared" si="146"/>
        <v>45721</v>
      </c>
      <c r="B250" s="41">
        <f t="shared" si="149"/>
        <v>45721</v>
      </c>
      <c r="C250" s="42" t="str">
        <f t="shared" si="148"/>
        <v>第1  水曜日</v>
      </c>
      <c r="D250" s="4" t="str">
        <f>_xlfn.XLOOKUP(B250,syukujitsu[国民の祝日・休日月日],syukujitsu[国民の祝日・休日名称],"",0,1)</f>
        <v/>
      </c>
      <c r="E250" s="43" t="s">
        <v>703</v>
      </c>
      <c r="F250" s="43" t="s">
        <v>696</v>
      </c>
      <c r="G250" s="43" t="s">
        <v>709</v>
      </c>
      <c r="I250" s="43" t="s">
        <v>254</v>
      </c>
      <c r="J250" s="43" t="s">
        <v>254</v>
      </c>
      <c r="K250" s="43" t="s">
        <v>254</v>
      </c>
      <c r="L250" s="43" t="s">
        <v>254</v>
      </c>
    </row>
    <row r="251" spans="1:12">
      <c r="A251" s="53">
        <f t="shared" si="146"/>
        <v>45722</v>
      </c>
      <c r="B251" s="41">
        <f t="shared" si="149"/>
        <v>45722</v>
      </c>
      <c r="C251" s="42" t="str">
        <f t="shared" si="148"/>
        <v>第1  木曜日</v>
      </c>
      <c r="D251" s="4" t="str">
        <f>_xlfn.XLOOKUP(B251,syukujitsu[国民の祝日・休日月日],syukujitsu[国民の祝日・休日名称],"",0,1)</f>
        <v/>
      </c>
      <c r="E251" s="43" t="s">
        <v>703</v>
      </c>
      <c r="I251" s="43" t="s">
        <v>254</v>
      </c>
      <c r="J251" s="43" t="s">
        <v>254</v>
      </c>
      <c r="K251" s="43" t="s">
        <v>254</v>
      </c>
      <c r="L251" s="43" t="s">
        <v>254</v>
      </c>
    </row>
    <row r="252" spans="1:12">
      <c r="A252" s="53">
        <f t="shared" si="146"/>
        <v>45723</v>
      </c>
      <c r="B252" s="41">
        <f t="shared" si="149"/>
        <v>45723</v>
      </c>
      <c r="C252" s="42" t="str">
        <f t="shared" si="148"/>
        <v>第1  金曜日</v>
      </c>
      <c r="D252" s="4" t="str">
        <f>_xlfn.XLOOKUP(B252,syukujitsu[国民の祝日・休日月日],syukujitsu[国民の祝日・休日名称],"",0,1)</f>
        <v/>
      </c>
      <c r="E252" s="43" t="s">
        <v>657</v>
      </c>
      <c r="I252" s="43" t="s">
        <v>254</v>
      </c>
      <c r="J252" s="43" t="s">
        <v>254</v>
      </c>
      <c r="K252" s="43" t="s">
        <v>254</v>
      </c>
      <c r="L252" s="43" t="s">
        <v>254</v>
      </c>
    </row>
    <row r="253" spans="1:12">
      <c r="A253" s="53">
        <f t="shared" si="146"/>
        <v>45724</v>
      </c>
      <c r="B253" s="41">
        <f t="shared" si="149"/>
        <v>45724</v>
      </c>
      <c r="C253" s="42" t="str">
        <f t="shared" si="148"/>
        <v>第2  土曜日</v>
      </c>
      <c r="D253" s="4" t="str">
        <f>_xlfn.XLOOKUP(B253,syukujitsu[国民の祝日・休日月日],syukujitsu[国民の祝日・休日名称],"",0,1)</f>
        <v/>
      </c>
      <c r="I253" s="43" t="s">
        <v>254</v>
      </c>
      <c r="J253" s="43" t="s">
        <v>254</v>
      </c>
      <c r="K253" s="43" t="s">
        <v>254</v>
      </c>
      <c r="L253" s="43" t="s">
        <v>254</v>
      </c>
    </row>
    <row r="254" spans="1:12">
      <c r="A254" s="53">
        <f t="shared" si="146"/>
        <v>45725</v>
      </c>
      <c r="B254" s="41">
        <f t="shared" si="149"/>
        <v>45725</v>
      </c>
      <c r="C254" s="42" t="str">
        <f t="shared" si="148"/>
        <v>第2  日曜日</v>
      </c>
      <c r="D254" s="4" t="str">
        <f>_xlfn.XLOOKUP(B254,syukujitsu[国民の祝日・休日月日],syukujitsu[国民の祝日・休日名称],"",0,1)</f>
        <v/>
      </c>
      <c r="I254" s="43" t="s">
        <v>254</v>
      </c>
      <c r="J254" s="43" t="s">
        <v>254</v>
      </c>
      <c r="K254" s="43" t="s">
        <v>254</v>
      </c>
      <c r="L254" s="43" t="s">
        <v>254</v>
      </c>
    </row>
    <row r="255" spans="1:12">
      <c r="A255" s="53">
        <f t="shared" si="146"/>
        <v>45726</v>
      </c>
      <c r="B255" s="41">
        <f t="shared" si="149"/>
        <v>45726</v>
      </c>
      <c r="C255" s="42" t="str">
        <f t="shared" si="148"/>
        <v>第2  月曜日</v>
      </c>
      <c r="D255" s="4" t="str">
        <f>_xlfn.XLOOKUP(B255,syukujitsu[国民の祝日・休日月日],syukujitsu[国民の祝日・休日名称],"",0,1)</f>
        <v/>
      </c>
      <c r="I255" s="43" t="s">
        <v>254</v>
      </c>
      <c r="J255" s="43" t="s">
        <v>254</v>
      </c>
      <c r="K255" s="43" t="s">
        <v>254</v>
      </c>
      <c r="L255" s="43" t="s">
        <v>254</v>
      </c>
    </row>
    <row r="256" spans="1:12">
      <c r="A256" s="53">
        <f t="shared" si="146"/>
        <v>45727</v>
      </c>
      <c r="B256" s="41">
        <f t="shared" si="149"/>
        <v>45727</v>
      </c>
      <c r="C256" s="42" t="str">
        <f t="shared" si="148"/>
        <v>第2  火曜日</v>
      </c>
      <c r="D256" s="4" t="str">
        <f>_xlfn.XLOOKUP(B256,syukujitsu[国民の祝日・休日月日],syukujitsu[国民の祝日・休日名称],"",0,1)</f>
        <v/>
      </c>
      <c r="I256" s="43" t="s">
        <v>254</v>
      </c>
      <c r="J256" s="43" t="s">
        <v>254</v>
      </c>
      <c r="K256" s="43" t="s">
        <v>254</v>
      </c>
      <c r="L256" s="43" t="s">
        <v>254</v>
      </c>
    </row>
    <row r="257" spans="1:12">
      <c r="A257" s="53">
        <f t="shared" si="146"/>
        <v>45728</v>
      </c>
      <c r="B257" s="41">
        <f t="shared" si="149"/>
        <v>45728</v>
      </c>
      <c r="C257" s="42" t="str">
        <f t="shared" si="148"/>
        <v>第2  水曜日</v>
      </c>
      <c r="D257" s="4" t="str">
        <f>_xlfn.XLOOKUP(B257,syukujitsu[国民の祝日・休日月日],syukujitsu[国民の祝日・休日名称],"",0,1)</f>
        <v/>
      </c>
      <c r="I257" s="43" t="s">
        <v>254</v>
      </c>
      <c r="J257" s="43" t="s">
        <v>254</v>
      </c>
      <c r="K257" s="43" t="s">
        <v>254</v>
      </c>
      <c r="L257" s="43" t="s">
        <v>254</v>
      </c>
    </row>
    <row r="258" spans="1:12">
      <c r="A258" s="53">
        <f t="shared" si="146"/>
        <v>45729</v>
      </c>
      <c r="B258" s="41">
        <f t="shared" si="149"/>
        <v>45729</v>
      </c>
      <c r="C258" s="42" t="str">
        <f t="shared" si="148"/>
        <v>第2  木曜日</v>
      </c>
      <c r="D258" s="4" t="str">
        <f>_xlfn.XLOOKUP(B258,syukujitsu[国民の祝日・休日月日],syukujitsu[国民の祝日・休日名称],"",0,1)</f>
        <v/>
      </c>
      <c r="I258" s="43" t="s">
        <v>254</v>
      </c>
      <c r="J258" s="43" t="s">
        <v>254</v>
      </c>
      <c r="K258" s="43" t="s">
        <v>254</v>
      </c>
      <c r="L258" s="43" t="s">
        <v>254</v>
      </c>
    </row>
    <row r="259" spans="1:12">
      <c r="A259" s="53">
        <f t="shared" si="146"/>
        <v>45730</v>
      </c>
      <c r="B259" s="41">
        <f t="shared" si="149"/>
        <v>45730</v>
      </c>
      <c r="C259" s="42" t="str">
        <f t="shared" si="148"/>
        <v>第2  金曜日</v>
      </c>
      <c r="D259" s="4" t="str">
        <f>_xlfn.XLOOKUP(B259,syukujitsu[国民の祝日・休日月日],syukujitsu[国民の祝日・休日名称],"",0,1)</f>
        <v/>
      </c>
      <c r="I259" s="43" t="s">
        <v>254</v>
      </c>
      <c r="J259" s="43" t="s">
        <v>254</v>
      </c>
      <c r="K259" s="43" t="s">
        <v>254</v>
      </c>
      <c r="L259" s="43" t="s">
        <v>254</v>
      </c>
    </row>
    <row r="260" spans="1:12">
      <c r="A260" s="53">
        <f t="shared" si="146"/>
        <v>45731</v>
      </c>
      <c r="B260" s="41">
        <f t="shared" si="149"/>
        <v>45731</v>
      </c>
      <c r="C260" s="42" t="str">
        <f t="shared" si="148"/>
        <v>第3  土曜日</v>
      </c>
      <c r="D260" s="4" t="str">
        <f>_xlfn.XLOOKUP(B260,syukujitsu[国民の祝日・休日月日],syukujitsu[国民の祝日・休日名称],"",0,1)</f>
        <v/>
      </c>
      <c r="I260" s="43" t="s">
        <v>254</v>
      </c>
      <c r="J260" s="43" t="s">
        <v>254</v>
      </c>
      <c r="K260" s="43" t="s">
        <v>254</v>
      </c>
      <c r="L260" s="43" t="s">
        <v>254</v>
      </c>
    </row>
    <row r="261" spans="1:12">
      <c r="A261" s="53">
        <f t="shared" si="146"/>
        <v>45732</v>
      </c>
      <c r="B261" s="41">
        <f t="shared" si="149"/>
        <v>45732</v>
      </c>
      <c r="C261" s="42" t="str">
        <f t="shared" si="148"/>
        <v>第3  日曜日</v>
      </c>
      <c r="D261" s="4" t="str">
        <f>_xlfn.XLOOKUP(B261,syukujitsu[国民の祝日・休日月日],syukujitsu[国民の祝日・休日名称],"",0,1)</f>
        <v/>
      </c>
      <c r="I261" s="43" t="s">
        <v>254</v>
      </c>
      <c r="J261" s="43" t="s">
        <v>254</v>
      </c>
      <c r="K261" s="43" t="s">
        <v>254</v>
      </c>
      <c r="L261" s="43" t="s">
        <v>254</v>
      </c>
    </row>
    <row r="262" spans="1:12">
      <c r="A262" s="53">
        <f t="shared" si="146"/>
        <v>45733</v>
      </c>
      <c r="B262" s="41">
        <f t="shared" si="149"/>
        <v>45733</v>
      </c>
      <c r="C262" s="42" t="str">
        <f t="shared" si="148"/>
        <v>第3  月曜日</v>
      </c>
      <c r="D262" s="4" t="str">
        <f>_xlfn.XLOOKUP(B262,syukujitsu[国民の祝日・休日月日],syukujitsu[国民の祝日・休日名称],"",0,1)</f>
        <v/>
      </c>
      <c r="I262" s="43" t="s">
        <v>254</v>
      </c>
      <c r="J262" s="43" t="s">
        <v>254</v>
      </c>
      <c r="K262" s="43" t="s">
        <v>254</v>
      </c>
      <c r="L262" s="43" t="s">
        <v>254</v>
      </c>
    </row>
    <row r="263" spans="1:12">
      <c r="A263" s="53">
        <f t="shared" ref="A263:A326" si="150">B263</f>
        <v>45734</v>
      </c>
      <c r="B263" s="41">
        <f t="shared" si="149"/>
        <v>45734</v>
      </c>
      <c r="C263" s="42" t="str">
        <f t="shared" si="148"/>
        <v>第3  火曜日</v>
      </c>
      <c r="D263" s="4" t="str">
        <f>_xlfn.XLOOKUP(B263,syukujitsu[国民の祝日・休日月日],syukujitsu[国民の祝日・休日名称],"",0,1)</f>
        <v/>
      </c>
      <c r="I263" s="43" t="s">
        <v>254</v>
      </c>
      <c r="J263" s="43" t="s">
        <v>254</v>
      </c>
      <c r="K263" s="43" t="s">
        <v>254</v>
      </c>
      <c r="L263" s="43" t="s">
        <v>254</v>
      </c>
    </row>
    <row r="264" spans="1:12">
      <c r="A264" s="53">
        <f t="shared" si="150"/>
        <v>45735</v>
      </c>
      <c r="B264" s="41">
        <f t="shared" si="149"/>
        <v>45735</v>
      </c>
      <c r="C264" s="42" t="str">
        <f t="shared" si="148"/>
        <v>第3  水曜日</v>
      </c>
      <c r="D264" s="4" t="str">
        <f>_xlfn.XLOOKUP(B264,syukujitsu[国民の祝日・休日月日],syukujitsu[国民の祝日・休日名称],"",0,1)</f>
        <v/>
      </c>
      <c r="E264" s="43" t="s">
        <v>696</v>
      </c>
      <c r="I264" s="43" t="s">
        <v>254</v>
      </c>
      <c r="J264" s="43" t="s">
        <v>254</v>
      </c>
      <c r="K264" s="43" t="s">
        <v>254</v>
      </c>
      <c r="L264" s="43" t="s">
        <v>254</v>
      </c>
    </row>
    <row r="265" spans="1:12">
      <c r="A265" s="53">
        <f t="shared" si="150"/>
        <v>45736</v>
      </c>
      <c r="B265" s="41">
        <f t="shared" si="149"/>
        <v>45736</v>
      </c>
      <c r="C265" s="42" t="str">
        <f t="shared" si="148"/>
        <v>第3  木曜日</v>
      </c>
      <c r="D265" s="4" t="str">
        <f>_xlfn.XLOOKUP(B265,syukujitsu[国民の祝日・休日月日],syukujitsu[国民の祝日・休日名称],"",0,1)</f>
        <v>春分の日</v>
      </c>
      <c r="E265" s="43" t="s">
        <v>459</v>
      </c>
      <c r="I265" s="43" t="s">
        <v>254</v>
      </c>
      <c r="J265" s="43" t="s">
        <v>254</v>
      </c>
      <c r="K265" s="43" t="s">
        <v>254</v>
      </c>
      <c r="L265" s="43" t="s">
        <v>254</v>
      </c>
    </row>
    <row r="266" spans="1:12">
      <c r="A266" s="53">
        <f t="shared" si="150"/>
        <v>45737</v>
      </c>
      <c r="B266" s="41">
        <f t="shared" si="149"/>
        <v>45737</v>
      </c>
      <c r="C266" s="42" t="str">
        <f t="shared" si="148"/>
        <v>第3  金曜日</v>
      </c>
      <c r="D266" s="4" t="str">
        <f>_xlfn.XLOOKUP(B266,syukujitsu[国民の祝日・休日月日],syukujitsu[国民の祝日・休日名称],"",0,1)</f>
        <v/>
      </c>
      <c r="E266" s="43" t="s">
        <v>657</v>
      </c>
      <c r="I266" s="43" t="s">
        <v>254</v>
      </c>
      <c r="J266" s="43" t="s">
        <v>254</v>
      </c>
      <c r="K266" s="43" t="s">
        <v>254</v>
      </c>
      <c r="L266" s="43" t="s">
        <v>254</v>
      </c>
    </row>
    <row r="267" spans="1:12">
      <c r="A267" s="53">
        <f t="shared" si="150"/>
        <v>45738</v>
      </c>
      <c r="B267" s="41">
        <f t="shared" si="149"/>
        <v>45738</v>
      </c>
      <c r="C267" s="42" t="str">
        <f t="shared" si="148"/>
        <v>第4  土曜日</v>
      </c>
      <c r="D267" s="4" t="str">
        <f>_xlfn.XLOOKUP(B267,syukujitsu[国民の祝日・休日月日],syukujitsu[国民の祝日・休日名称],"",0,1)</f>
        <v/>
      </c>
      <c r="I267" s="43" t="s">
        <v>254</v>
      </c>
      <c r="J267" s="43" t="s">
        <v>254</v>
      </c>
      <c r="K267" s="43" t="s">
        <v>254</v>
      </c>
      <c r="L267" s="43" t="s">
        <v>254</v>
      </c>
    </row>
    <row r="268" spans="1:12">
      <c r="A268" s="53">
        <f t="shared" si="150"/>
        <v>45739</v>
      </c>
      <c r="B268" s="41">
        <f t="shared" si="149"/>
        <v>45739</v>
      </c>
      <c r="C268" s="42" t="str">
        <f t="shared" ref="C268:C331" si="151">"第"&amp;ROUNDUP(DAY(B268)/7,0)  &amp;"  "&amp;TEXT(B268,"aaaa")</f>
        <v>第4  日曜日</v>
      </c>
      <c r="D268" s="4" t="str">
        <f>_xlfn.XLOOKUP(B268,syukujitsu[国民の祝日・休日月日],syukujitsu[国民の祝日・休日名称],"",0,1)</f>
        <v/>
      </c>
      <c r="I268" s="43" t="s">
        <v>254</v>
      </c>
      <c r="J268" s="43" t="s">
        <v>254</v>
      </c>
      <c r="K268" s="43" t="s">
        <v>254</v>
      </c>
      <c r="L268" s="43" t="s">
        <v>254</v>
      </c>
    </row>
    <row r="269" spans="1:12">
      <c r="A269" s="53">
        <f t="shared" si="150"/>
        <v>45740</v>
      </c>
      <c r="B269" s="41">
        <f t="shared" si="149"/>
        <v>45740</v>
      </c>
      <c r="C269" s="42" t="str">
        <f t="shared" si="151"/>
        <v>第4  月曜日</v>
      </c>
      <c r="D269" s="4" t="str">
        <f>_xlfn.XLOOKUP(B269,syukujitsu[国民の祝日・休日月日],syukujitsu[国民の祝日・休日名称],"",0,1)</f>
        <v/>
      </c>
      <c r="I269" s="43" t="s">
        <v>254</v>
      </c>
      <c r="J269" s="43" t="s">
        <v>254</v>
      </c>
      <c r="K269" s="43" t="s">
        <v>254</v>
      </c>
      <c r="L269" s="43" t="s">
        <v>254</v>
      </c>
    </row>
    <row r="270" spans="1:12">
      <c r="A270" s="53">
        <f t="shared" si="150"/>
        <v>45741</v>
      </c>
      <c r="B270" s="41">
        <f t="shared" si="149"/>
        <v>45741</v>
      </c>
      <c r="C270" s="42" t="str">
        <f t="shared" si="151"/>
        <v>第4  火曜日</v>
      </c>
      <c r="D270" s="4" t="str">
        <f>_xlfn.XLOOKUP(B270,syukujitsu[国民の祝日・休日月日],syukujitsu[国民の祝日・休日名称],"",0,1)</f>
        <v/>
      </c>
      <c r="I270" s="43" t="s">
        <v>254</v>
      </c>
      <c r="J270" s="43" t="s">
        <v>254</v>
      </c>
      <c r="K270" s="43" t="s">
        <v>254</v>
      </c>
      <c r="L270" s="43" t="s">
        <v>254</v>
      </c>
    </row>
    <row r="271" spans="1:12">
      <c r="A271" s="53">
        <f t="shared" si="150"/>
        <v>45742</v>
      </c>
      <c r="B271" s="41">
        <f t="shared" si="149"/>
        <v>45742</v>
      </c>
      <c r="C271" s="42" t="str">
        <f t="shared" si="151"/>
        <v>第4  水曜日</v>
      </c>
      <c r="D271" s="4" t="str">
        <f>_xlfn.XLOOKUP(B271,syukujitsu[国民の祝日・休日月日],syukujitsu[国民の祝日・休日名称],"",0,1)</f>
        <v/>
      </c>
      <c r="I271" s="43" t="s">
        <v>254</v>
      </c>
      <c r="J271" s="43" t="s">
        <v>254</v>
      </c>
      <c r="K271" s="43" t="s">
        <v>254</v>
      </c>
      <c r="L271" s="43" t="s">
        <v>254</v>
      </c>
    </row>
    <row r="272" spans="1:12">
      <c r="A272" s="53">
        <f t="shared" si="150"/>
        <v>45743</v>
      </c>
      <c r="B272" s="41">
        <f t="shared" si="149"/>
        <v>45743</v>
      </c>
      <c r="C272" s="42" t="str">
        <f t="shared" si="151"/>
        <v>第4  木曜日</v>
      </c>
      <c r="D272" s="4" t="str">
        <f>_xlfn.XLOOKUP(B272,syukujitsu[国民の祝日・休日月日],syukujitsu[国民の祝日・休日名称],"",0,1)</f>
        <v/>
      </c>
      <c r="I272" s="43" t="s">
        <v>254</v>
      </c>
      <c r="J272" s="43" t="s">
        <v>254</v>
      </c>
      <c r="K272" s="43" t="s">
        <v>254</v>
      </c>
      <c r="L272" s="43" t="s">
        <v>254</v>
      </c>
    </row>
    <row r="273" spans="1:12">
      <c r="A273" s="53">
        <f t="shared" si="150"/>
        <v>45744</v>
      </c>
      <c r="B273" s="41">
        <f t="shared" si="149"/>
        <v>45744</v>
      </c>
      <c r="C273" s="42" t="str">
        <f t="shared" si="151"/>
        <v>第4  金曜日</v>
      </c>
      <c r="D273" s="4" t="str">
        <f>_xlfn.XLOOKUP(B273,syukujitsu[国民の祝日・休日月日],syukujitsu[国民の祝日・休日名称],"",0,1)</f>
        <v/>
      </c>
      <c r="I273" s="43" t="s">
        <v>254</v>
      </c>
      <c r="J273" s="43" t="s">
        <v>254</v>
      </c>
      <c r="K273" s="43" t="s">
        <v>254</v>
      </c>
      <c r="L273" s="43" t="s">
        <v>254</v>
      </c>
    </row>
    <row r="274" spans="1:12">
      <c r="A274" s="53">
        <f t="shared" si="150"/>
        <v>45745</v>
      </c>
      <c r="B274" s="41">
        <f t="shared" si="149"/>
        <v>45745</v>
      </c>
      <c r="C274" s="42" t="str">
        <f t="shared" si="151"/>
        <v>第5  土曜日</v>
      </c>
      <c r="D274" s="4" t="str">
        <f>_xlfn.XLOOKUP(B274,syukujitsu[国民の祝日・休日月日],syukujitsu[国民の祝日・休日名称],"",0,1)</f>
        <v/>
      </c>
      <c r="I274" s="43" t="s">
        <v>254</v>
      </c>
      <c r="J274" s="43" t="s">
        <v>254</v>
      </c>
      <c r="K274" s="43" t="s">
        <v>254</v>
      </c>
      <c r="L274" s="43" t="s">
        <v>254</v>
      </c>
    </row>
    <row r="275" spans="1:12">
      <c r="A275" s="53">
        <f t="shared" si="150"/>
        <v>45746</v>
      </c>
      <c r="B275" s="41">
        <f t="shared" si="149"/>
        <v>45746</v>
      </c>
      <c r="C275" s="42" t="str">
        <f t="shared" si="151"/>
        <v>第5  日曜日</v>
      </c>
      <c r="D275" s="4" t="str">
        <f>_xlfn.XLOOKUP(B275,syukujitsu[国民の祝日・休日月日],syukujitsu[国民の祝日・休日名称],"",0,1)</f>
        <v/>
      </c>
      <c r="I275" s="43" t="s">
        <v>254</v>
      </c>
      <c r="J275" s="43" t="s">
        <v>254</v>
      </c>
      <c r="K275" s="43" t="s">
        <v>254</v>
      </c>
      <c r="L275" s="43" t="s">
        <v>254</v>
      </c>
    </row>
    <row r="276" spans="1:12">
      <c r="A276" s="53">
        <f t="shared" si="150"/>
        <v>45747</v>
      </c>
      <c r="B276" s="41">
        <f t="shared" si="149"/>
        <v>45747</v>
      </c>
      <c r="C276" s="42" t="str">
        <f t="shared" si="151"/>
        <v>第5  月曜日</v>
      </c>
      <c r="D276" s="4" t="str">
        <f>_xlfn.XLOOKUP(B276,syukujitsu[国民の祝日・休日月日],syukujitsu[国民の祝日・休日名称],"",0,1)</f>
        <v/>
      </c>
      <c r="I276" s="43" t="s">
        <v>254</v>
      </c>
      <c r="J276" s="43" t="s">
        <v>254</v>
      </c>
      <c r="K276" s="43" t="s">
        <v>254</v>
      </c>
      <c r="L276" s="43" t="s">
        <v>254</v>
      </c>
    </row>
    <row r="277" spans="1:12">
      <c r="A277" s="53">
        <f t="shared" si="150"/>
        <v>45748</v>
      </c>
      <c r="B277" s="41">
        <f t="shared" si="149"/>
        <v>45748</v>
      </c>
      <c r="C277" s="42" t="str">
        <f t="shared" si="151"/>
        <v>第1  火曜日</v>
      </c>
      <c r="D277" s="4" t="str">
        <f>_xlfn.XLOOKUP(B277,syukujitsu[国民の祝日・休日月日],syukujitsu[国民の祝日・休日名称],"",0,1)</f>
        <v/>
      </c>
      <c r="E277" s="43" t="s">
        <v>716</v>
      </c>
      <c r="I277" s="43" t="s">
        <v>254</v>
      </c>
      <c r="J277" s="43" t="s">
        <v>254</v>
      </c>
      <c r="K277" s="43" t="s">
        <v>254</v>
      </c>
      <c r="L277" s="43" t="s">
        <v>254</v>
      </c>
    </row>
    <row r="278" spans="1:12">
      <c r="A278" s="53">
        <f t="shared" si="150"/>
        <v>45749</v>
      </c>
      <c r="B278" s="41">
        <f t="shared" si="149"/>
        <v>45749</v>
      </c>
      <c r="C278" s="42" t="str">
        <f t="shared" si="151"/>
        <v>第1  水曜日</v>
      </c>
      <c r="D278" s="4" t="str">
        <f>_xlfn.XLOOKUP(B278,syukujitsu[国民の祝日・休日月日],syukujitsu[国民の祝日・休日名称],"",0,1)</f>
        <v/>
      </c>
      <c r="I278" s="43" t="s">
        <v>254</v>
      </c>
      <c r="J278" s="43" t="s">
        <v>254</v>
      </c>
      <c r="K278" s="43" t="s">
        <v>254</v>
      </c>
      <c r="L278" s="43" t="s">
        <v>254</v>
      </c>
    </row>
    <row r="279" spans="1:12">
      <c r="A279" s="53">
        <f t="shared" si="150"/>
        <v>45750</v>
      </c>
      <c r="B279" s="41">
        <f t="shared" si="149"/>
        <v>45750</v>
      </c>
      <c r="C279" s="42" t="str">
        <f t="shared" si="151"/>
        <v>第1  木曜日</v>
      </c>
      <c r="D279" s="4" t="str">
        <f>_xlfn.XLOOKUP(B279,syukujitsu[国民の祝日・休日月日],syukujitsu[国民の祝日・休日名称],"",0,1)</f>
        <v/>
      </c>
      <c r="I279" s="43" t="s">
        <v>254</v>
      </c>
      <c r="J279" s="43" t="s">
        <v>254</v>
      </c>
      <c r="K279" s="43" t="s">
        <v>254</v>
      </c>
      <c r="L279" s="43" t="s">
        <v>254</v>
      </c>
    </row>
    <row r="280" spans="1:12">
      <c r="A280" s="53">
        <f t="shared" si="150"/>
        <v>45751</v>
      </c>
      <c r="B280" s="41">
        <f t="shared" si="149"/>
        <v>45751</v>
      </c>
      <c r="C280" s="42" t="str">
        <f t="shared" si="151"/>
        <v>第1  金曜日</v>
      </c>
      <c r="D280" s="4" t="str">
        <f>_xlfn.XLOOKUP(B280,syukujitsu[国民の祝日・休日月日],syukujitsu[国民の祝日・休日名称],"",0,1)</f>
        <v/>
      </c>
      <c r="E280" s="43" t="s">
        <v>657</v>
      </c>
      <c r="F280" s="43" t="s">
        <v>717</v>
      </c>
      <c r="I280" s="43" t="s">
        <v>254</v>
      </c>
      <c r="J280" s="43" t="s">
        <v>254</v>
      </c>
      <c r="K280" s="43" t="s">
        <v>254</v>
      </c>
      <c r="L280" s="43" t="s">
        <v>254</v>
      </c>
    </row>
    <row r="281" spans="1:12">
      <c r="A281" s="53">
        <f t="shared" si="150"/>
        <v>45752</v>
      </c>
      <c r="B281" s="41">
        <f t="shared" si="149"/>
        <v>45752</v>
      </c>
      <c r="C281" s="42" t="str">
        <f t="shared" si="151"/>
        <v>第1  土曜日</v>
      </c>
      <c r="D281" s="4" t="str">
        <f>_xlfn.XLOOKUP(B281,syukujitsu[国民の祝日・休日月日],syukujitsu[国民の祝日・休日名称],"",0,1)</f>
        <v/>
      </c>
      <c r="I281" s="43" t="s">
        <v>254</v>
      </c>
      <c r="J281" s="43" t="s">
        <v>254</v>
      </c>
      <c r="K281" s="43" t="s">
        <v>254</v>
      </c>
      <c r="L281" s="43" t="s">
        <v>254</v>
      </c>
    </row>
    <row r="282" spans="1:12">
      <c r="A282" s="53">
        <f t="shared" si="150"/>
        <v>45753</v>
      </c>
      <c r="B282" s="41">
        <f t="shared" si="149"/>
        <v>45753</v>
      </c>
      <c r="C282" s="42" t="str">
        <f t="shared" si="151"/>
        <v>第1  日曜日</v>
      </c>
      <c r="D282" s="4" t="str">
        <f>_xlfn.XLOOKUP(B282,syukujitsu[国民の祝日・休日月日],syukujitsu[国民の祝日・休日名称],"",0,1)</f>
        <v/>
      </c>
      <c r="I282" s="43" t="s">
        <v>254</v>
      </c>
      <c r="J282" s="43" t="s">
        <v>254</v>
      </c>
      <c r="K282" s="43" t="s">
        <v>254</v>
      </c>
      <c r="L282" s="43" t="s">
        <v>254</v>
      </c>
    </row>
    <row r="283" spans="1:12">
      <c r="A283" s="53">
        <f t="shared" si="150"/>
        <v>45754</v>
      </c>
      <c r="B283" s="41">
        <f t="shared" si="149"/>
        <v>45754</v>
      </c>
      <c r="C283" s="42" t="str">
        <f t="shared" si="151"/>
        <v>第1  月曜日</v>
      </c>
      <c r="D283" s="4" t="str">
        <f>_xlfn.XLOOKUP(B283,syukujitsu[国民の祝日・休日月日],syukujitsu[国民の祝日・休日名称],"",0,1)</f>
        <v/>
      </c>
      <c r="I283" s="43" t="s">
        <v>254</v>
      </c>
      <c r="J283" s="43" t="s">
        <v>254</v>
      </c>
      <c r="K283" s="43" t="s">
        <v>254</v>
      </c>
      <c r="L283" s="43" t="s">
        <v>254</v>
      </c>
    </row>
    <row r="284" spans="1:12">
      <c r="A284" s="53">
        <f t="shared" si="150"/>
        <v>45755</v>
      </c>
      <c r="B284" s="41">
        <f t="shared" si="149"/>
        <v>45755</v>
      </c>
      <c r="C284" s="42" t="str">
        <f t="shared" si="151"/>
        <v>第2  火曜日</v>
      </c>
      <c r="D284" s="4" t="str">
        <f>_xlfn.XLOOKUP(B284,syukujitsu[国民の祝日・休日月日],syukujitsu[国民の祝日・休日名称],"",0,1)</f>
        <v/>
      </c>
      <c r="E284" s="43" t="s">
        <v>714</v>
      </c>
      <c r="I284" s="43" t="s">
        <v>254</v>
      </c>
      <c r="J284" s="43" t="s">
        <v>254</v>
      </c>
      <c r="K284" s="43" t="s">
        <v>254</v>
      </c>
      <c r="L284" s="43" t="s">
        <v>254</v>
      </c>
    </row>
    <row r="285" spans="1:12">
      <c r="A285" s="53">
        <f t="shared" si="150"/>
        <v>45756</v>
      </c>
      <c r="B285" s="41">
        <f t="shared" si="149"/>
        <v>45756</v>
      </c>
      <c r="C285" s="42" t="str">
        <f t="shared" si="151"/>
        <v>第2  水曜日</v>
      </c>
      <c r="D285" s="4" t="str">
        <f>_xlfn.XLOOKUP(B285,syukujitsu[国民の祝日・休日月日],syukujitsu[国民の祝日・休日名称],"",0,1)</f>
        <v/>
      </c>
      <c r="E285" s="43" t="s">
        <v>715</v>
      </c>
      <c r="I285" s="43" t="s">
        <v>254</v>
      </c>
      <c r="J285" s="43" t="s">
        <v>254</v>
      </c>
      <c r="K285" s="43" t="s">
        <v>254</v>
      </c>
      <c r="L285" s="43" t="s">
        <v>254</v>
      </c>
    </row>
    <row r="286" spans="1:12">
      <c r="A286" s="53">
        <f t="shared" si="150"/>
        <v>45757</v>
      </c>
      <c r="B286" s="41">
        <f t="shared" si="149"/>
        <v>45757</v>
      </c>
      <c r="C286" s="42" t="str">
        <f t="shared" si="151"/>
        <v>第2  木曜日</v>
      </c>
      <c r="D286" s="4" t="str">
        <f>_xlfn.XLOOKUP(B286,syukujitsu[国民の祝日・休日月日],syukujitsu[国民の祝日・休日名称],"",0,1)</f>
        <v/>
      </c>
      <c r="I286" s="43" t="s">
        <v>254</v>
      </c>
      <c r="J286" s="43" t="s">
        <v>254</v>
      </c>
      <c r="K286" s="43" t="s">
        <v>254</v>
      </c>
      <c r="L286" s="43" t="s">
        <v>254</v>
      </c>
    </row>
    <row r="287" spans="1:12">
      <c r="A287" s="53">
        <f t="shared" si="150"/>
        <v>45758</v>
      </c>
      <c r="B287" s="41">
        <f t="shared" si="149"/>
        <v>45758</v>
      </c>
      <c r="C287" s="42" t="str">
        <f t="shared" si="151"/>
        <v>第2  金曜日</v>
      </c>
      <c r="D287" s="4" t="str">
        <f>_xlfn.XLOOKUP(B287,syukujitsu[国民の祝日・休日月日],syukujitsu[国民の祝日・休日名称],"",0,1)</f>
        <v/>
      </c>
      <c r="I287" s="43" t="s">
        <v>254</v>
      </c>
      <c r="J287" s="43" t="s">
        <v>254</v>
      </c>
      <c r="K287" s="43" t="s">
        <v>254</v>
      </c>
      <c r="L287" s="43" t="s">
        <v>254</v>
      </c>
    </row>
    <row r="288" spans="1:12">
      <c r="A288" s="53">
        <f t="shared" si="150"/>
        <v>45759</v>
      </c>
      <c r="B288" s="41">
        <f t="shared" si="149"/>
        <v>45759</v>
      </c>
      <c r="C288" s="42" t="str">
        <f t="shared" si="151"/>
        <v>第2  土曜日</v>
      </c>
      <c r="D288" s="4" t="str">
        <f>_xlfn.XLOOKUP(B288,syukujitsu[国民の祝日・休日月日],syukujitsu[国民の祝日・休日名称],"",0,1)</f>
        <v/>
      </c>
      <c r="I288" s="43" t="s">
        <v>254</v>
      </c>
      <c r="J288" s="43" t="s">
        <v>254</v>
      </c>
      <c r="K288" s="43" t="s">
        <v>254</v>
      </c>
      <c r="L288" s="43" t="s">
        <v>254</v>
      </c>
    </row>
    <row r="289" spans="1:12">
      <c r="A289" s="53">
        <f t="shared" si="150"/>
        <v>45760</v>
      </c>
      <c r="B289" s="41">
        <f t="shared" si="149"/>
        <v>45760</v>
      </c>
      <c r="C289" s="42" t="str">
        <f t="shared" si="151"/>
        <v>第2  日曜日</v>
      </c>
      <c r="D289" s="4" t="str">
        <f>_xlfn.XLOOKUP(B289,syukujitsu[国民の祝日・休日月日],syukujitsu[国民の祝日・休日名称],"",0,1)</f>
        <v/>
      </c>
      <c r="I289" s="43" t="s">
        <v>254</v>
      </c>
      <c r="J289" s="43" t="s">
        <v>254</v>
      </c>
      <c r="K289" s="43" t="s">
        <v>254</v>
      </c>
      <c r="L289" s="43" t="s">
        <v>254</v>
      </c>
    </row>
    <row r="290" spans="1:12">
      <c r="A290" s="53">
        <f t="shared" si="150"/>
        <v>45761</v>
      </c>
      <c r="B290" s="41">
        <f t="shared" si="149"/>
        <v>45761</v>
      </c>
      <c r="C290" s="42" t="str">
        <f t="shared" si="151"/>
        <v>第2  月曜日</v>
      </c>
      <c r="D290" s="4" t="str">
        <f>_xlfn.XLOOKUP(B290,syukujitsu[国民の祝日・休日月日],syukujitsu[国民の祝日・休日名称],"",0,1)</f>
        <v/>
      </c>
      <c r="E290" s="43" t="s">
        <v>713</v>
      </c>
      <c r="I290" s="43" t="s">
        <v>254</v>
      </c>
      <c r="J290" s="43" t="s">
        <v>254</v>
      </c>
      <c r="K290" s="43" t="s">
        <v>254</v>
      </c>
      <c r="L290" s="43" t="s">
        <v>254</v>
      </c>
    </row>
    <row r="291" spans="1:12">
      <c r="A291" s="53">
        <f t="shared" si="150"/>
        <v>45762</v>
      </c>
      <c r="B291" s="41">
        <f t="shared" si="149"/>
        <v>45762</v>
      </c>
      <c r="C291" s="42" t="str">
        <f t="shared" si="151"/>
        <v>第3  火曜日</v>
      </c>
      <c r="D291" s="4" t="str">
        <f>_xlfn.XLOOKUP(B291,syukujitsu[国民の祝日・休日月日],syukujitsu[国民の祝日・休日名称],"",0,1)</f>
        <v/>
      </c>
      <c r="I291" s="43" t="s">
        <v>254</v>
      </c>
      <c r="J291" s="43" t="s">
        <v>254</v>
      </c>
      <c r="K291" s="43" t="s">
        <v>254</v>
      </c>
      <c r="L291" s="43" t="s">
        <v>254</v>
      </c>
    </row>
    <row r="292" spans="1:12">
      <c r="A292" s="53">
        <f t="shared" si="150"/>
        <v>45763</v>
      </c>
      <c r="B292" s="41">
        <f t="shared" si="149"/>
        <v>45763</v>
      </c>
      <c r="C292" s="42" t="str">
        <f t="shared" si="151"/>
        <v>第3  水曜日</v>
      </c>
      <c r="D292" s="4" t="str">
        <f>_xlfn.XLOOKUP(B292,syukujitsu[国民の祝日・休日月日],syukujitsu[国民の祝日・休日名称],"",0,1)</f>
        <v/>
      </c>
      <c r="I292" s="43" t="s">
        <v>254</v>
      </c>
      <c r="J292" s="43" t="s">
        <v>254</v>
      </c>
      <c r="K292" s="43" t="s">
        <v>254</v>
      </c>
      <c r="L292" s="43" t="s">
        <v>254</v>
      </c>
    </row>
    <row r="293" spans="1:12">
      <c r="A293" s="53">
        <f t="shared" si="150"/>
        <v>45764</v>
      </c>
      <c r="B293" s="41">
        <f t="shared" si="149"/>
        <v>45764</v>
      </c>
      <c r="C293" s="42" t="str">
        <f t="shared" si="151"/>
        <v>第3  木曜日</v>
      </c>
      <c r="D293" s="4" t="str">
        <f>_xlfn.XLOOKUP(B293,syukujitsu[国民の祝日・休日月日],syukujitsu[国民の祝日・休日名称],"",0,1)</f>
        <v/>
      </c>
      <c r="I293" s="43" t="s">
        <v>254</v>
      </c>
      <c r="J293" s="43" t="s">
        <v>254</v>
      </c>
      <c r="K293" s="43" t="s">
        <v>254</v>
      </c>
      <c r="L293" s="43" t="s">
        <v>254</v>
      </c>
    </row>
    <row r="294" spans="1:12">
      <c r="A294" s="53">
        <f t="shared" si="150"/>
        <v>45765</v>
      </c>
      <c r="B294" s="41">
        <f t="shared" si="149"/>
        <v>45765</v>
      </c>
      <c r="C294" s="42" t="str">
        <f t="shared" si="151"/>
        <v>第3  金曜日</v>
      </c>
      <c r="D294" s="4" t="str">
        <f>_xlfn.XLOOKUP(B294,syukujitsu[国民の祝日・休日月日],syukujitsu[国民の祝日・休日名称],"",0,1)</f>
        <v/>
      </c>
      <c r="E294" s="43" t="s">
        <v>657</v>
      </c>
      <c r="I294" s="43" t="s">
        <v>254</v>
      </c>
      <c r="J294" s="43" t="s">
        <v>254</v>
      </c>
      <c r="K294" s="43" t="s">
        <v>254</v>
      </c>
      <c r="L294" s="43" t="s">
        <v>254</v>
      </c>
    </row>
    <row r="295" spans="1:12">
      <c r="A295" s="53">
        <f t="shared" si="150"/>
        <v>45766</v>
      </c>
      <c r="B295" s="41">
        <f t="shared" si="149"/>
        <v>45766</v>
      </c>
      <c r="C295" s="42" t="str">
        <f t="shared" si="151"/>
        <v>第3  土曜日</v>
      </c>
      <c r="D295" s="4" t="str">
        <f>_xlfn.XLOOKUP(B295,syukujitsu[国民の祝日・休日月日],syukujitsu[国民の祝日・休日名称],"",0,1)</f>
        <v/>
      </c>
      <c r="I295" s="43" t="s">
        <v>254</v>
      </c>
      <c r="J295" s="43" t="s">
        <v>254</v>
      </c>
      <c r="K295" s="43" t="s">
        <v>254</v>
      </c>
      <c r="L295" s="43" t="s">
        <v>254</v>
      </c>
    </row>
    <row r="296" spans="1:12">
      <c r="A296" s="53">
        <f t="shared" si="150"/>
        <v>45767</v>
      </c>
      <c r="B296" s="41">
        <f t="shared" si="149"/>
        <v>45767</v>
      </c>
      <c r="C296" s="42" t="str">
        <f t="shared" si="151"/>
        <v>第3  日曜日</v>
      </c>
      <c r="D296" s="4" t="str">
        <f>_xlfn.XLOOKUP(B296,syukujitsu[国民の祝日・休日月日],syukujitsu[国民の祝日・休日名称],"",0,1)</f>
        <v/>
      </c>
      <c r="I296" s="43" t="s">
        <v>254</v>
      </c>
      <c r="J296" s="43" t="s">
        <v>254</v>
      </c>
      <c r="K296" s="43" t="s">
        <v>254</v>
      </c>
      <c r="L296" s="43" t="s">
        <v>254</v>
      </c>
    </row>
    <row r="297" spans="1:12">
      <c r="A297" s="53">
        <f t="shared" si="150"/>
        <v>45768</v>
      </c>
      <c r="B297" s="41">
        <f t="shared" si="149"/>
        <v>45768</v>
      </c>
      <c r="C297" s="42" t="str">
        <f t="shared" si="151"/>
        <v>第3  月曜日</v>
      </c>
      <c r="D297" s="4" t="str">
        <f>_xlfn.XLOOKUP(B297,syukujitsu[国民の祝日・休日月日],syukujitsu[国民の祝日・休日名称],"",0,1)</f>
        <v/>
      </c>
      <c r="I297" s="43" t="s">
        <v>254</v>
      </c>
      <c r="J297" s="43" t="s">
        <v>254</v>
      </c>
      <c r="K297" s="43" t="s">
        <v>254</v>
      </c>
      <c r="L297" s="43" t="s">
        <v>254</v>
      </c>
    </row>
    <row r="298" spans="1:12">
      <c r="A298" s="53">
        <f t="shared" si="150"/>
        <v>45769</v>
      </c>
      <c r="B298" s="41">
        <f t="shared" si="149"/>
        <v>45769</v>
      </c>
      <c r="C298" s="42" t="str">
        <f t="shared" si="151"/>
        <v>第4  火曜日</v>
      </c>
      <c r="D298" s="4" t="str">
        <f>_xlfn.XLOOKUP(B298,syukujitsu[国民の祝日・休日月日],syukujitsu[国民の祝日・休日名称],"",0,1)</f>
        <v/>
      </c>
      <c r="I298" s="43" t="s">
        <v>254</v>
      </c>
      <c r="J298" s="43" t="s">
        <v>254</v>
      </c>
      <c r="K298" s="43" t="s">
        <v>254</v>
      </c>
      <c r="L298" s="43" t="s">
        <v>254</v>
      </c>
    </row>
    <row r="299" spans="1:12">
      <c r="A299" s="53">
        <f t="shared" si="150"/>
        <v>45770</v>
      </c>
      <c r="B299" s="41">
        <f t="shared" si="149"/>
        <v>45770</v>
      </c>
      <c r="C299" s="42" t="str">
        <f t="shared" si="151"/>
        <v>第4  水曜日</v>
      </c>
      <c r="D299" s="4" t="str">
        <f>_xlfn.XLOOKUP(B299,syukujitsu[国民の祝日・休日月日],syukujitsu[国民の祝日・休日名称],"",0,1)</f>
        <v/>
      </c>
      <c r="E299" s="43" t="s">
        <v>719</v>
      </c>
      <c r="I299" s="43" t="s">
        <v>254</v>
      </c>
      <c r="J299" s="43" t="s">
        <v>254</v>
      </c>
      <c r="K299" s="43" t="s">
        <v>254</v>
      </c>
      <c r="L299" s="43" t="s">
        <v>254</v>
      </c>
    </row>
    <row r="300" spans="1:12">
      <c r="A300" s="53">
        <f t="shared" si="150"/>
        <v>45771</v>
      </c>
      <c r="B300" s="41">
        <f t="shared" si="149"/>
        <v>45771</v>
      </c>
      <c r="C300" s="42" t="str">
        <f t="shared" si="151"/>
        <v>第4  木曜日</v>
      </c>
      <c r="D300" s="4" t="str">
        <f>_xlfn.XLOOKUP(B300,syukujitsu[国民の祝日・休日月日],syukujitsu[国民の祝日・休日名称],"",0,1)</f>
        <v/>
      </c>
      <c r="I300" s="43" t="s">
        <v>254</v>
      </c>
      <c r="J300" s="43" t="s">
        <v>254</v>
      </c>
      <c r="K300" s="43" t="s">
        <v>254</v>
      </c>
      <c r="L300" s="43" t="s">
        <v>254</v>
      </c>
    </row>
    <row r="301" spans="1:12">
      <c r="A301" s="53">
        <f t="shared" si="150"/>
        <v>45772</v>
      </c>
      <c r="B301" s="41">
        <f t="shared" si="149"/>
        <v>45772</v>
      </c>
      <c r="C301" s="42" t="str">
        <f t="shared" si="151"/>
        <v>第4  金曜日</v>
      </c>
      <c r="D301" s="4" t="str">
        <f>_xlfn.XLOOKUP(B301,syukujitsu[国民の祝日・休日月日],syukujitsu[国民の祝日・休日名称],"",0,1)</f>
        <v/>
      </c>
      <c r="I301" s="43" t="s">
        <v>254</v>
      </c>
      <c r="J301" s="43" t="s">
        <v>254</v>
      </c>
      <c r="K301" s="43" t="s">
        <v>254</v>
      </c>
      <c r="L301" s="43" t="s">
        <v>254</v>
      </c>
    </row>
    <row r="302" spans="1:12">
      <c r="A302" s="53">
        <f t="shared" si="150"/>
        <v>45773</v>
      </c>
      <c r="B302" s="41">
        <f t="shared" si="149"/>
        <v>45773</v>
      </c>
      <c r="C302" s="42" t="str">
        <f t="shared" si="151"/>
        <v>第4  土曜日</v>
      </c>
      <c r="D302" s="4" t="str">
        <f>_xlfn.XLOOKUP(B302,syukujitsu[国民の祝日・休日月日],syukujitsu[国民の祝日・休日名称],"",0,1)</f>
        <v/>
      </c>
      <c r="I302" s="43" t="s">
        <v>254</v>
      </c>
      <c r="J302" s="43" t="s">
        <v>254</v>
      </c>
      <c r="K302" s="43" t="s">
        <v>254</v>
      </c>
      <c r="L302" s="43" t="s">
        <v>254</v>
      </c>
    </row>
    <row r="303" spans="1:12">
      <c r="A303" s="53">
        <f t="shared" si="150"/>
        <v>45774</v>
      </c>
      <c r="B303" s="41">
        <f t="shared" si="149"/>
        <v>45774</v>
      </c>
      <c r="C303" s="42" t="str">
        <f t="shared" si="151"/>
        <v>第4  日曜日</v>
      </c>
      <c r="D303" s="4" t="str">
        <f>_xlfn.XLOOKUP(B303,syukujitsu[国民の祝日・休日月日],syukujitsu[国民の祝日・休日名称],"",0,1)</f>
        <v/>
      </c>
      <c r="I303" s="43" t="s">
        <v>254</v>
      </c>
      <c r="J303" s="43" t="s">
        <v>254</v>
      </c>
      <c r="K303" s="43" t="s">
        <v>254</v>
      </c>
      <c r="L303" s="43" t="s">
        <v>254</v>
      </c>
    </row>
    <row r="304" spans="1:12">
      <c r="A304" s="53">
        <f t="shared" si="150"/>
        <v>45775</v>
      </c>
      <c r="B304" s="41">
        <f t="shared" si="149"/>
        <v>45775</v>
      </c>
      <c r="C304" s="42" t="str">
        <f t="shared" si="151"/>
        <v>第4  月曜日</v>
      </c>
      <c r="D304" s="4" t="str">
        <f>_xlfn.XLOOKUP(B304,syukujitsu[国民の祝日・休日月日],syukujitsu[国民の祝日・休日名称],"",0,1)</f>
        <v/>
      </c>
      <c r="I304" s="43" t="s">
        <v>254</v>
      </c>
      <c r="J304" s="43" t="s">
        <v>254</v>
      </c>
      <c r="K304" s="43" t="s">
        <v>254</v>
      </c>
      <c r="L304" s="43" t="s">
        <v>254</v>
      </c>
    </row>
    <row r="305" spans="1:12">
      <c r="A305" s="53">
        <f t="shared" si="150"/>
        <v>45776</v>
      </c>
      <c r="B305" s="41">
        <f t="shared" si="149"/>
        <v>45776</v>
      </c>
      <c r="C305" s="42" t="str">
        <f t="shared" si="151"/>
        <v>第5  火曜日</v>
      </c>
      <c r="D305" s="4" t="str">
        <f>_xlfn.XLOOKUP(B305,syukujitsu[国民の祝日・休日月日],syukujitsu[国民の祝日・休日名称],"",0,1)</f>
        <v>昭和の日</v>
      </c>
      <c r="I305" s="43" t="s">
        <v>254</v>
      </c>
      <c r="J305" s="43" t="s">
        <v>254</v>
      </c>
      <c r="K305" s="43" t="s">
        <v>254</v>
      </c>
      <c r="L305" s="43" t="s">
        <v>254</v>
      </c>
    </row>
    <row r="306" spans="1:12">
      <c r="A306" s="53">
        <f t="shared" si="150"/>
        <v>45777</v>
      </c>
      <c r="B306" s="41">
        <f t="shared" si="149"/>
        <v>45777</v>
      </c>
      <c r="C306" s="42" t="str">
        <f t="shared" si="151"/>
        <v>第5  水曜日</v>
      </c>
      <c r="D306" s="4" t="str">
        <f>_xlfn.XLOOKUP(B306,syukujitsu[国民の祝日・休日月日],syukujitsu[国民の祝日・休日名称],"",0,1)</f>
        <v/>
      </c>
      <c r="I306" s="43" t="s">
        <v>254</v>
      </c>
      <c r="J306" s="43" t="s">
        <v>254</v>
      </c>
      <c r="K306" s="43" t="s">
        <v>254</v>
      </c>
      <c r="L306" s="43" t="s">
        <v>254</v>
      </c>
    </row>
    <row r="307" spans="1:12">
      <c r="A307" s="53">
        <f t="shared" si="150"/>
        <v>45778</v>
      </c>
      <c r="B307" s="41">
        <f t="shared" si="149"/>
        <v>45778</v>
      </c>
      <c r="C307" s="42" t="str">
        <f t="shared" si="151"/>
        <v>第1  木曜日</v>
      </c>
      <c r="D307" s="4" t="str">
        <f>_xlfn.XLOOKUP(B307,syukujitsu[国民の祝日・休日月日],syukujitsu[国民の祝日・休日名称],"",0,1)</f>
        <v/>
      </c>
      <c r="I307" s="43" t="s">
        <v>254</v>
      </c>
      <c r="J307" s="43" t="s">
        <v>254</v>
      </c>
      <c r="K307" s="43" t="s">
        <v>254</v>
      </c>
      <c r="L307" s="43" t="s">
        <v>254</v>
      </c>
    </row>
    <row r="308" spans="1:12">
      <c r="A308" s="53">
        <f t="shared" si="150"/>
        <v>45779</v>
      </c>
      <c r="B308" s="41">
        <f t="shared" si="149"/>
        <v>45779</v>
      </c>
      <c r="C308" s="42" t="str">
        <f t="shared" si="151"/>
        <v>第1  金曜日</v>
      </c>
      <c r="D308" s="4" t="str">
        <f>_xlfn.XLOOKUP(B308,syukujitsu[国民の祝日・休日月日],syukujitsu[国民の祝日・休日名称],"",0,1)</f>
        <v/>
      </c>
      <c r="E308" s="43" t="s">
        <v>657</v>
      </c>
      <c r="I308" s="43" t="s">
        <v>254</v>
      </c>
      <c r="J308" s="43" t="s">
        <v>254</v>
      </c>
      <c r="K308" s="43" t="s">
        <v>254</v>
      </c>
      <c r="L308" s="43" t="s">
        <v>254</v>
      </c>
    </row>
    <row r="309" spans="1:12">
      <c r="A309" s="53">
        <f t="shared" si="150"/>
        <v>45780</v>
      </c>
      <c r="B309" s="41">
        <f t="shared" si="149"/>
        <v>45780</v>
      </c>
      <c r="C309" s="42" t="str">
        <f t="shared" si="151"/>
        <v>第1  土曜日</v>
      </c>
      <c r="D309" s="4" t="str">
        <f>_xlfn.XLOOKUP(B309,syukujitsu[国民の祝日・休日月日],syukujitsu[国民の祝日・休日名称],"",0,1)</f>
        <v>憲法記念日</v>
      </c>
      <c r="I309" s="43" t="s">
        <v>254</v>
      </c>
      <c r="J309" s="43" t="s">
        <v>254</v>
      </c>
      <c r="K309" s="43" t="s">
        <v>254</v>
      </c>
      <c r="L309" s="43" t="s">
        <v>254</v>
      </c>
    </row>
    <row r="310" spans="1:12">
      <c r="A310" s="53">
        <f t="shared" si="150"/>
        <v>45781</v>
      </c>
      <c r="B310" s="41">
        <f t="shared" si="149"/>
        <v>45781</v>
      </c>
      <c r="C310" s="42" t="str">
        <f t="shared" si="151"/>
        <v>第1  日曜日</v>
      </c>
      <c r="D310" s="4" t="str">
        <f>_xlfn.XLOOKUP(B310,syukujitsu[国民の祝日・休日月日],syukujitsu[国民の祝日・休日名称],"",0,1)</f>
        <v>みどりの日</v>
      </c>
      <c r="I310" s="43" t="s">
        <v>254</v>
      </c>
      <c r="J310" s="43" t="s">
        <v>254</v>
      </c>
      <c r="K310" s="43" t="s">
        <v>254</v>
      </c>
      <c r="L310" s="43" t="s">
        <v>254</v>
      </c>
    </row>
    <row r="311" spans="1:12">
      <c r="A311" s="53">
        <f t="shared" si="150"/>
        <v>45782</v>
      </c>
      <c r="B311" s="41">
        <f t="shared" ref="B311:B374" si="152">B310+1</f>
        <v>45782</v>
      </c>
      <c r="C311" s="42" t="str">
        <f t="shared" si="151"/>
        <v>第1  月曜日</v>
      </c>
      <c r="D311" s="4" t="str">
        <f>_xlfn.XLOOKUP(B311,syukujitsu[国民の祝日・休日月日],syukujitsu[国民の祝日・休日名称],"",0,1)</f>
        <v>こどもの日</v>
      </c>
      <c r="I311" s="43" t="s">
        <v>254</v>
      </c>
      <c r="J311" s="43" t="s">
        <v>254</v>
      </c>
      <c r="K311" s="43" t="s">
        <v>254</v>
      </c>
      <c r="L311" s="43" t="s">
        <v>254</v>
      </c>
    </row>
    <row r="312" spans="1:12">
      <c r="A312" s="53">
        <f t="shared" si="150"/>
        <v>45783</v>
      </c>
      <c r="B312" s="41">
        <f t="shared" si="152"/>
        <v>45783</v>
      </c>
      <c r="C312" s="42" t="str">
        <f t="shared" si="151"/>
        <v>第1  火曜日</v>
      </c>
      <c r="D312" s="4" t="str">
        <f>_xlfn.XLOOKUP(B312,syukujitsu[国民の祝日・休日月日],syukujitsu[国民の祝日・休日名称],"",0,1)</f>
        <v>振替休日</v>
      </c>
      <c r="I312" s="43" t="s">
        <v>254</v>
      </c>
      <c r="J312" s="43" t="s">
        <v>254</v>
      </c>
      <c r="K312" s="43" t="s">
        <v>254</v>
      </c>
      <c r="L312" s="43" t="s">
        <v>254</v>
      </c>
    </row>
    <row r="313" spans="1:12">
      <c r="A313" s="53">
        <f t="shared" si="150"/>
        <v>45784</v>
      </c>
      <c r="B313" s="41">
        <f t="shared" si="152"/>
        <v>45784</v>
      </c>
      <c r="C313" s="42" t="str">
        <f t="shared" si="151"/>
        <v>第1  水曜日</v>
      </c>
      <c r="D313" s="4" t="str">
        <f>_xlfn.XLOOKUP(B313,syukujitsu[国民の祝日・休日月日],syukujitsu[国民の祝日・休日名称],"",0,1)</f>
        <v/>
      </c>
      <c r="I313" s="43" t="s">
        <v>254</v>
      </c>
      <c r="J313" s="43" t="s">
        <v>254</v>
      </c>
      <c r="K313" s="43" t="s">
        <v>254</v>
      </c>
      <c r="L313" s="43" t="s">
        <v>254</v>
      </c>
    </row>
    <row r="314" spans="1:12">
      <c r="A314" s="53">
        <f t="shared" si="150"/>
        <v>45785</v>
      </c>
      <c r="B314" s="41">
        <f t="shared" si="152"/>
        <v>45785</v>
      </c>
      <c r="C314" s="42" t="str">
        <f t="shared" si="151"/>
        <v>第2  木曜日</v>
      </c>
      <c r="D314" s="4" t="str">
        <f>_xlfn.XLOOKUP(B314,syukujitsu[国民の祝日・休日月日],syukujitsu[国民の祝日・休日名称],"",0,1)</f>
        <v/>
      </c>
      <c r="I314" s="43" t="s">
        <v>254</v>
      </c>
      <c r="J314" s="43" t="s">
        <v>254</v>
      </c>
      <c r="K314" s="43" t="s">
        <v>254</v>
      </c>
      <c r="L314" s="43" t="s">
        <v>254</v>
      </c>
    </row>
    <row r="315" spans="1:12">
      <c r="A315" s="53">
        <f t="shared" si="150"/>
        <v>45786</v>
      </c>
      <c r="B315" s="41">
        <f t="shared" si="152"/>
        <v>45786</v>
      </c>
      <c r="C315" s="42" t="str">
        <f t="shared" si="151"/>
        <v>第2  金曜日</v>
      </c>
      <c r="D315" s="4" t="str">
        <f>_xlfn.XLOOKUP(B315,syukujitsu[国民の祝日・休日月日],syukujitsu[国民の祝日・休日名称],"",0,1)</f>
        <v/>
      </c>
      <c r="E315" s="43" t="s">
        <v>724</v>
      </c>
      <c r="I315" s="43" t="s">
        <v>254</v>
      </c>
      <c r="J315" s="43" t="s">
        <v>254</v>
      </c>
      <c r="K315" s="43" t="s">
        <v>254</v>
      </c>
      <c r="L315" s="43" t="s">
        <v>254</v>
      </c>
    </row>
    <row r="316" spans="1:12">
      <c r="A316" s="53">
        <f t="shared" si="150"/>
        <v>45787</v>
      </c>
      <c r="B316" s="41">
        <f t="shared" si="152"/>
        <v>45787</v>
      </c>
      <c r="C316" s="42" t="str">
        <f t="shared" si="151"/>
        <v>第2  土曜日</v>
      </c>
      <c r="D316" s="4" t="str">
        <f>_xlfn.XLOOKUP(B316,syukujitsu[国民の祝日・休日月日],syukujitsu[国民の祝日・休日名称],"",0,1)</f>
        <v/>
      </c>
      <c r="E316" s="43" t="s">
        <v>723</v>
      </c>
      <c r="I316" s="43" t="s">
        <v>254</v>
      </c>
      <c r="J316" s="43" t="s">
        <v>254</v>
      </c>
      <c r="K316" s="43" t="s">
        <v>254</v>
      </c>
      <c r="L316" s="43" t="s">
        <v>254</v>
      </c>
    </row>
    <row r="317" spans="1:12">
      <c r="A317" s="53">
        <f t="shared" si="150"/>
        <v>45788</v>
      </c>
      <c r="B317" s="41">
        <f t="shared" si="152"/>
        <v>45788</v>
      </c>
      <c r="C317" s="42" t="str">
        <f t="shared" si="151"/>
        <v>第2  日曜日</v>
      </c>
      <c r="D317" s="4" t="str">
        <f>_xlfn.XLOOKUP(B317,syukujitsu[国民の祝日・休日月日],syukujitsu[国民の祝日・休日名称],"",0,1)</f>
        <v/>
      </c>
      <c r="E317" s="43" t="s">
        <v>723</v>
      </c>
      <c r="I317" s="43" t="s">
        <v>254</v>
      </c>
      <c r="J317" s="43" t="s">
        <v>254</v>
      </c>
      <c r="K317" s="43" t="s">
        <v>254</v>
      </c>
      <c r="L317" s="43" t="s">
        <v>254</v>
      </c>
    </row>
    <row r="318" spans="1:12">
      <c r="A318" s="53">
        <f t="shared" si="150"/>
        <v>45789</v>
      </c>
      <c r="B318" s="41">
        <f t="shared" si="152"/>
        <v>45789</v>
      </c>
      <c r="C318" s="42" t="str">
        <f t="shared" si="151"/>
        <v>第2  月曜日</v>
      </c>
      <c r="D318" s="4" t="str">
        <f>_xlfn.XLOOKUP(B318,syukujitsu[国民の祝日・休日月日],syukujitsu[国民の祝日・休日名称],"",0,1)</f>
        <v/>
      </c>
      <c r="E318" s="43" t="s">
        <v>723</v>
      </c>
      <c r="F318" s="43" t="s">
        <v>725</v>
      </c>
      <c r="I318" s="43" t="s">
        <v>254</v>
      </c>
      <c r="J318" s="43" t="s">
        <v>254</v>
      </c>
      <c r="K318" s="43" t="s">
        <v>254</v>
      </c>
      <c r="L318" s="43" t="s">
        <v>254</v>
      </c>
    </row>
    <row r="319" spans="1:12">
      <c r="A319" s="53">
        <f t="shared" si="150"/>
        <v>45790</v>
      </c>
      <c r="B319" s="41">
        <f t="shared" si="152"/>
        <v>45790</v>
      </c>
      <c r="C319" s="42" t="str">
        <f t="shared" si="151"/>
        <v>第2  火曜日</v>
      </c>
      <c r="D319" s="4" t="str">
        <f>_xlfn.XLOOKUP(B319,syukujitsu[国民の祝日・休日月日],syukujitsu[国民の祝日・休日名称],"",0,1)</f>
        <v/>
      </c>
      <c r="I319" s="43" t="s">
        <v>254</v>
      </c>
      <c r="J319" s="43" t="s">
        <v>254</v>
      </c>
      <c r="K319" s="43" t="s">
        <v>254</v>
      </c>
      <c r="L319" s="43" t="s">
        <v>254</v>
      </c>
    </row>
    <row r="320" spans="1:12">
      <c r="A320" s="53">
        <f t="shared" si="150"/>
        <v>45791</v>
      </c>
      <c r="B320" s="41">
        <f t="shared" si="152"/>
        <v>45791</v>
      </c>
      <c r="C320" s="42" t="str">
        <f t="shared" si="151"/>
        <v>第2  水曜日</v>
      </c>
      <c r="D320" s="4" t="str">
        <f>_xlfn.XLOOKUP(B320,syukujitsu[国民の祝日・休日月日],syukujitsu[国民の祝日・休日名称],"",0,1)</f>
        <v/>
      </c>
      <c r="I320" s="43" t="s">
        <v>254</v>
      </c>
      <c r="J320" s="43" t="s">
        <v>254</v>
      </c>
      <c r="K320" s="43" t="s">
        <v>254</v>
      </c>
      <c r="L320" s="43" t="s">
        <v>254</v>
      </c>
    </row>
    <row r="321" spans="1:12">
      <c r="A321" s="53">
        <f t="shared" si="150"/>
        <v>45792</v>
      </c>
      <c r="B321" s="41">
        <f t="shared" si="152"/>
        <v>45792</v>
      </c>
      <c r="C321" s="42" t="str">
        <f t="shared" si="151"/>
        <v>第3  木曜日</v>
      </c>
      <c r="D321" s="4" t="str">
        <f>_xlfn.XLOOKUP(B321,syukujitsu[国民の祝日・休日月日],syukujitsu[国民の祝日・休日名称],"",0,1)</f>
        <v/>
      </c>
      <c r="I321" s="43" t="s">
        <v>254</v>
      </c>
      <c r="J321" s="43" t="s">
        <v>254</v>
      </c>
      <c r="K321" s="43" t="s">
        <v>254</v>
      </c>
      <c r="L321" s="43" t="s">
        <v>254</v>
      </c>
    </row>
    <row r="322" spans="1:12">
      <c r="A322" s="53">
        <f t="shared" si="150"/>
        <v>45793</v>
      </c>
      <c r="B322" s="41">
        <f t="shared" si="152"/>
        <v>45793</v>
      </c>
      <c r="C322" s="42" t="str">
        <f t="shared" si="151"/>
        <v>第3  金曜日</v>
      </c>
      <c r="D322" s="4" t="str">
        <f>_xlfn.XLOOKUP(B322,syukujitsu[国民の祝日・休日月日],syukujitsu[国民の祝日・休日名称],"",0,1)</f>
        <v/>
      </c>
      <c r="E322" s="43" t="s">
        <v>657</v>
      </c>
      <c r="F322" s="43" t="s">
        <v>733</v>
      </c>
      <c r="I322" s="43" t="s">
        <v>254</v>
      </c>
      <c r="J322" s="43" t="s">
        <v>254</v>
      </c>
      <c r="K322" s="43" t="s">
        <v>254</v>
      </c>
      <c r="L322" s="43" t="s">
        <v>254</v>
      </c>
    </row>
    <row r="323" spans="1:12">
      <c r="A323" s="53">
        <f t="shared" si="150"/>
        <v>45794</v>
      </c>
      <c r="B323" s="41">
        <f t="shared" si="152"/>
        <v>45794</v>
      </c>
      <c r="C323" s="42" t="str">
        <f t="shared" si="151"/>
        <v>第3  土曜日</v>
      </c>
      <c r="D323" s="4" t="str">
        <f>_xlfn.XLOOKUP(B323,syukujitsu[国民の祝日・休日月日],syukujitsu[国民の祝日・休日名称],"",0,1)</f>
        <v/>
      </c>
      <c r="I323" s="43" t="s">
        <v>254</v>
      </c>
      <c r="J323" s="43" t="s">
        <v>254</v>
      </c>
      <c r="K323" s="43" t="s">
        <v>254</v>
      </c>
      <c r="L323" s="43" t="s">
        <v>254</v>
      </c>
    </row>
    <row r="324" spans="1:12">
      <c r="A324" s="53">
        <f t="shared" si="150"/>
        <v>45795</v>
      </c>
      <c r="B324" s="41">
        <f t="shared" si="152"/>
        <v>45795</v>
      </c>
      <c r="C324" s="42" t="str">
        <f t="shared" si="151"/>
        <v>第3  日曜日</v>
      </c>
      <c r="D324" s="4" t="str">
        <f>_xlfn.XLOOKUP(B324,syukujitsu[国民の祝日・休日月日],syukujitsu[国民の祝日・休日名称],"",0,1)</f>
        <v/>
      </c>
      <c r="I324" s="43" t="s">
        <v>254</v>
      </c>
      <c r="J324" s="43" t="s">
        <v>254</v>
      </c>
      <c r="K324" s="43" t="s">
        <v>254</v>
      </c>
      <c r="L324" s="43" t="s">
        <v>254</v>
      </c>
    </row>
    <row r="325" spans="1:12">
      <c r="A325" s="53">
        <f t="shared" si="150"/>
        <v>45796</v>
      </c>
      <c r="B325" s="41">
        <f t="shared" si="152"/>
        <v>45796</v>
      </c>
      <c r="C325" s="42" t="str">
        <f t="shared" si="151"/>
        <v>第3  月曜日</v>
      </c>
      <c r="D325" s="4" t="str">
        <f>_xlfn.XLOOKUP(B325,syukujitsu[国民の祝日・休日月日],syukujitsu[国民の祝日・休日名称],"",0,1)</f>
        <v/>
      </c>
      <c r="I325" s="43" t="s">
        <v>254</v>
      </c>
      <c r="J325" s="43" t="s">
        <v>254</v>
      </c>
      <c r="K325" s="43" t="s">
        <v>254</v>
      </c>
      <c r="L325" s="43" t="s">
        <v>254</v>
      </c>
    </row>
    <row r="326" spans="1:12">
      <c r="A326" s="53">
        <f t="shared" si="150"/>
        <v>45797</v>
      </c>
      <c r="B326" s="41">
        <f t="shared" si="152"/>
        <v>45797</v>
      </c>
      <c r="C326" s="42" t="str">
        <f t="shared" si="151"/>
        <v>第3  火曜日</v>
      </c>
      <c r="D326" s="4" t="str">
        <f>_xlfn.XLOOKUP(B326,syukujitsu[国民の祝日・休日月日],syukujitsu[国民の祝日・休日名称],"",0,1)</f>
        <v/>
      </c>
      <c r="I326" s="43" t="s">
        <v>254</v>
      </c>
      <c r="J326" s="43" t="s">
        <v>254</v>
      </c>
      <c r="K326" s="43" t="s">
        <v>254</v>
      </c>
      <c r="L326" s="43" t="s">
        <v>254</v>
      </c>
    </row>
    <row r="327" spans="1:12">
      <c r="A327" s="53">
        <f t="shared" ref="A327:A390" si="153">B327</f>
        <v>45798</v>
      </c>
      <c r="B327" s="41">
        <f t="shared" si="152"/>
        <v>45798</v>
      </c>
      <c r="C327" s="42" t="str">
        <f t="shared" si="151"/>
        <v>第3  水曜日</v>
      </c>
      <c r="D327" s="4" t="str">
        <f>_xlfn.XLOOKUP(B327,syukujitsu[国民の祝日・休日月日],syukujitsu[国民の祝日・休日名称],"",0,1)</f>
        <v/>
      </c>
      <c r="I327" s="43" t="s">
        <v>254</v>
      </c>
      <c r="J327" s="43" t="s">
        <v>254</v>
      </c>
      <c r="K327" s="43" t="s">
        <v>254</v>
      </c>
      <c r="L327" s="43" t="s">
        <v>254</v>
      </c>
    </row>
    <row r="328" spans="1:12">
      <c r="A328" s="53">
        <f t="shared" si="153"/>
        <v>45799</v>
      </c>
      <c r="B328" s="41">
        <f t="shared" si="152"/>
        <v>45799</v>
      </c>
      <c r="C328" s="42" t="str">
        <f t="shared" si="151"/>
        <v>第4  木曜日</v>
      </c>
      <c r="D328" s="4" t="str">
        <f>_xlfn.XLOOKUP(B328,syukujitsu[国民の祝日・休日月日],syukujitsu[国民の祝日・休日名称],"",0,1)</f>
        <v/>
      </c>
      <c r="I328" s="43" t="s">
        <v>254</v>
      </c>
      <c r="J328" s="43" t="s">
        <v>254</v>
      </c>
      <c r="K328" s="43" t="s">
        <v>254</v>
      </c>
      <c r="L328" s="43" t="s">
        <v>254</v>
      </c>
    </row>
    <row r="329" spans="1:12">
      <c r="A329" s="53">
        <f t="shared" si="153"/>
        <v>45800</v>
      </c>
      <c r="B329" s="41">
        <f t="shared" si="152"/>
        <v>45800</v>
      </c>
      <c r="C329" s="42" t="str">
        <f t="shared" si="151"/>
        <v>第4  金曜日</v>
      </c>
      <c r="D329" s="4" t="str">
        <f>_xlfn.XLOOKUP(B329,syukujitsu[国民の祝日・休日月日],syukujitsu[国民の祝日・休日名称],"",0,1)</f>
        <v/>
      </c>
      <c r="E329" s="43" t="s">
        <v>722</v>
      </c>
      <c r="I329" s="43" t="s">
        <v>254</v>
      </c>
      <c r="J329" s="43" t="s">
        <v>254</v>
      </c>
      <c r="K329" s="43" t="s">
        <v>254</v>
      </c>
      <c r="L329" s="43" t="s">
        <v>254</v>
      </c>
    </row>
    <row r="330" spans="1:12">
      <c r="A330" s="53">
        <f t="shared" si="153"/>
        <v>45801</v>
      </c>
      <c r="B330" s="41">
        <f t="shared" si="152"/>
        <v>45801</v>
      </c>
      <c r="C330" s="42" t="str">
        <f t="shared" si="151"/>
        <v>第4  土曜日</v>
      </c>
      <c r="D330" s="4" t="str">
        <f>_xlfn.XLOOKUP(B330,syukujitsu[国民の祝日・休日月日],syukujitsu[国民の祝日・休日名称],"",0,1)</f>
        <v/>
      </c>
      <c r="E330" s="43" t="s">
        <v>721</v>
      </c>
      <c r="I330" s="43" t="s">
        <v>254</v>
      </c>
      <c r="J330" s="43" t="s">
        <v>254</v>
      </c>
      <c r="K330" s="43" t="s">
        <v>254</v>
      </c>
      <c r="L330" s="43" t="s">
        <v>254</v>
      </c>
    </row>
    <row r="331" spans="1:12">
      <c r="A331" s="53">
        <f t="shared" si="153"/>
        <v>45802</v>
      </c>
      <c r="B331" s="41">
        <f t="shared" si="152"/>
        <v>45802</v>
      </c>
      <c r="C331" s="42" t="str">
        <f t="shared" si="151"/>
        <v>第4  日曜日</v>
      </c>
      <c r="D331" s="4" t="str">
        <f>_xlfn.XLOOKUP(B331,syukujitsu[国民の祝日・休日月日],syukujitsu[国民の祝日・休日名称],"",0,1)</f>
        <v/>
      </c>
      <c r="E331" s="43" t="s">
        <v>721</v>
      </c>
      <c r="I331" s="43" t="s">
        <v>254</v>
      </c>
      <c r="J331" s="43" t="s">
        <v>254</v>
      </c>
      <c r="K331" s="43" t="s">
        <v>254</v>
      </c>
      <c r="L331" s="43" t="s">
        <v>254</v>
      </c>
    </row>
    <row r="332" spans="1:12">
      <c r="A332" s="53">
        <f t="shared" si="153"/>
        <v>45803</v>
      </c>
      <c r="B332" s="41">
        <f t="shared" si="152"/>
        <v>45803</v>
      </c>
      <c r="C332" s="42" t="str">
        <f t="shared" ref="C332:C395" si="154">"第"&amp;ROUNDUP(DAY(B332)/7,0)  &amp;"  "&amp;TEXT(B332,"aaaa")</f>
        <v>第4  月曜日</v>
      </c>
      <c r="D332" s="4" t="str">
        <f>_xlfn.XLOOKUP(B332,syukujitsu[国民の祝日・休日月日],syukujitsu[国民の祝日・休日名称],"",0,1)</f>
        <v/>
      </c>
      <c r="E332" s="43" t="s">
        <v>722</v>
      </c>
      <c r="F332" s="43" t="s">
        <v>725</v>
      </c>
      <c r="I332" s="43" t="s">
        <v>254</v>
      </c>
      <c r="J332" s="43" t="s">
        <v>254</v>
      </c>
      <c r="K332" s="43" t="s">
        <v>254</v>
      </c>
      <c r="L332" s="43" t="s">
        <v>254</v>
      </c>
    </row>
    <row r="333" spans="1:12">
      <c r="A333" s="53">
        <f t="shared" si="153"/>
        <v>45804</v>
      </c>
      <c r="B333" s="41">
        <f t="shared" si="152"/>
        <v>45804</v>
      </c>
      <c r="C333" s="42" t="str">
        <f t="shared" si="154"/>
        <v>第4  火曜日</v>
      </c>
      <c r="D333" s="4" t="str">
        <f>_xlfn.XLOOKUP(B333,syukujitsu[国民の祝日・休日月日],syukujitsu[国民の祝日・休日名称],"",0,1)</f>
        <v/>
      </c>
      <c r="I333" s="43" t="s">
        <v>254</v>
      </c>
      <c r="J333" s="43" t="s">
        <v>254</v>
      </c>
      <c r="K333" s="43" t="s">
        <v>254</v>
      </c>
      <c r="L333" s="43" t="s">
        <v>254</v>
      </c>
    </row>
    <row r="334" spans="1:12">
      <c r="A334" s="53">
        <f t="shared" si="153"/>
        <v>45805</v>
      </c>
      <c r="B334" s="41">
        <f t="shared" si="152"/>
        <v>45805</v>
      </c>
      <c r="C334" s="42" t="str">
        <f t="shared" si="154"/>
        <v>第4  水曜日</v>
      </c>
      <c r="D334" s="4" t="str">
        <f>_xlfn.XLOOKUP(B334,syukujitsu[国民の祝日・休日月日],syukujitsu[国民の祝日・休日名称],"",0,1)</f>
        <v/>
      </c>
      <c r="I334" s="43" t="s">
        <v>254</v>
      </c>
      <c r="J334" s="43" t="s">
        <v>254</v>
      </c>
      <c r="K334" s="43" t="s">
        <v>254</v>
      </c>
      <c r="L334" s="43" t="s">
        <v>254</v>
      </c>
    </row>
    <row r="335" spans="1:12">
      <c r="A335" s="53">
        <f t="shared" si="153"/>
        <v>45806</v>
      </c>
      <c r="B335" s="41">
        <f t="shared" si="152"/>
        <v>45806</v>
      </c>
      <c r="C335" s="42" t="str">
        <f t="shared" si="154"/>
        <v>第5  木曜日</v>
      </c>
      <c r="D335" s="4" t="str">
        <f>_xlfn.XLOOKUP(B335,syukujitsu[国民の祝日・休日月日],syukujitsu[国民の祝日・休日名称],"",0,1)</f>
        <v/>
      </c>
      <c r="I335" s="43" t="s">
        <v>254</v>
      </c>
      <c r="J335" s="43" t="s">
        <v>254</v>
      </c>
      <c r="K335" s="43" t="s">
        <v>254</v>
      </c>
      <c r="L335" s="43" t="s">
        <v>254</v>
      </c>
    </row>
    <row r="336" spans="1:12">
      <c r="A336" s="53">
        <f t="shared" si="153"/>
        <v>45807</v>
      </c>
      <c r="B336" s="41">
        <f t="shared" si="152"/>
        <v>45807</v>
      </c>
      <c r="C336" s="42" t="str">
        <f t="shared" si="154"/>
        <v>第5  金曜日</v>
      </c>
      <c r="D336" s="4" t="str">
        <f>_xlfn.XLOOKUP(B336,syukujitsu[国民の祝日・休日月日],syukujitsu[国民の祝日・休日名称],"",0,1)</f>
        <v/>
      </c>
      <c r="E336" s="43" t="s">
        <v>657</v>
      </c>
      <c r="I336" s="43" t="s">
        <v>254</v>
      </c>
      <c r="J336" s="43" t="s">
        <v>254</v>
      </c>
      <c r="K336" s="43" t="s">
        <v>254</v>
      </c>
      <c r="L336" s="43" t="s">
        <v>254</v>
      </c>
    </row>
    <row r="337" spans="1:12">
      <c r="A337" s="53">
        <f t="shared" si="153"/>
        <v>45808</v>
      </c>
      <c r="B337" s="41">
        <f t="shared" si="152"/>
        <v>45808</v>
      </c>
      <c r="C337" s="42" t="str">
        <f t="shared" si="154"/>
        <v>第5  土曜日</v>
      </c>
      <c r="D337" s="4" t="str">
        <f>_xlfn.XLOOKUP(B337,syukujitsu[国民の祝日・休日月日],syukujitsu[国民の祝日・休日名称],"",0,1)</f>
        <v/>
      </c>
      <c r="I337" s="43" t="s">
        <v>254</v>
      </c>
      <c r="J337" s="43" t="s">
        <v>254</v>
      </c>
      <c r="K337" s="43" t="s">
        <v>254</v>
      </c>
      <c r="L337" s="43" t="s">
        <v>254</v>
      </c>
    </row>
    <row r="338" spans="1:12">
      <c r="A338" s="53">
        <f t="shared" si="153"/>
        <v>45809</v>
      </c>
      <c r="B338" s="41">
        <f t="shared" si="152"/>
        <v>45809</v>
      </c>
      <c r="C338" s="42" t="str">
        <f t="shared" si="154"/>
        <v>第1  日曜日</v>
      </c>
      <c r="D338" s="4" t="str">
        <f>_xlfn.XLOOKUP(B338,syukujitsu[国民の祝日・休日月日],syukujitsu[国民の祝日・休日名称],"",0,1)</f>
        <v/>
      </c>
      <c r="I338" s="43" t="s">
        <v>254</v>
      </c>
      <c r="J338" s="43" t="s">
        <v>254</v>
      </c>
      <c r="K338" s="43" t="s">
        <v>254</v>
      </c>
      <c r="L338" s="43" t="s">
        <v>254</v>
      </c>
    </row>
    <row r="339" spans="1:12">
      <c r="A339" s="53">
        <f t="shared" si="153"/>
        <v>45810</v>
      </c>
      <c r="B339" s="41">
        <f t="shared" si="152"/>
        <v>45810</v>
      </c>
      <c r="C339" s="42" t="str">
        <f t="shared" si="154"/>
        <v>第1  月曜日</v>
      </c>
      <c r="D339" s="4" t="str">
        <f>_xlfn.XLOOKUP(B339,syukujitsu[国民の祝日・休日月日],syukujitsu[国民の祝日・休日名称],"",0,1)</f>
        <v/>
      </c>
      <c r="I339" s="43" t="s">
        <v>254</v>
      </c>
      <c r="J339" s="43" t="s">
        <v>254</v>
      </c>
      <c r="K339" s="43" t="s">
        <v>254</v>
      </c>
      <c r="L339" s="43" t="s">
        <v>254</v>
      </c>
    </row>
    <row r="340" spans="1:12">
      <c r="A340" s="53">
        <f t="shared" si="153"/>
        <v>45811</v>
      </c>
      <c r="B340" s="41">
        <f t="shared" si="152"/>
        <v>45811</v>
      </c>
      <c r="C340" s="42" t="str">
        <f t="shared" si="154"/>
        <v>第1  火曜日</v>
      </c>
      <c r="D340" s="4" t="str">
        <f>_xlfn.XLOOKUP(B340,syukujitsu[国民の祝日・休日月日],syukujitsu[国民の祝日・休日名称],"",0,1)</f>
        <v/>
      </c>
      <c r="E340" s="43" t="s">
        <v>441</v>
      </c>
      <c r="I340" s="43" t="s">
        <v>254</v>
      </c>
      <c r="J340" s="43" t="s">
        <v>254</v>
      </c>
      <c r="K340" s="43" t="s">
        <v>254</v>
      </c>
      <c r="L340" s="43" t="s">
        <v>254</v>
      </c>
    </row>
    <row r="341" spans="1:12">
      <c r="A341" s="53">
        <f t="shared" si="153"/>
        <v>45812</v>
      </c>
      <c r="B341" s="41">
        <f t="shared" si="152"/>
        <v>45812</v>
      </c>
      <c r="C341" s="42" t="str">
        <f t="shared" si="154"/>
        <v>第1  水曜日</v>
      </c>
      <c r="D341" s="4" t="str">
        <f>_xlfn.XLOOKUP(B341,syukujitsu[国民の祝日・休日月日],syukujitsu[国民の祝日・休日名称],"",0,1)</f>
        <v/>
      </c>
      <c r="I341" s="43" t="s">
        <v>254</v>
      </c>
      <c r="J341" s="43" t="s">
        <v>254</v>
      </c>
      <c r="K341" s="43" t="s">
        <v>254</v>
      </c>
      <c r="L341" s="43" t="s">
        <v>254</v>
      </c>
    </row>
    <row r="342" spans="1:12">
      <c r="A342" s="53">
        <f t="shared" si="153"/>
        <v>45813</v>
      </c>
      <c r="B342" s="41">
        <f t="shared" si="152"/>
        <v>45813</v>
      </c>
      <c r="C342" s="42" t="str">
        <f t="shared" si="154"/>
        <v>第1  木曜日</v>
      </c>
      <c r="D342" s="4" t="str">
        <f>_xlfn.XLOOKUP(B342,syukujitsu[国民の祝日・休日月日],syukujitsu[国民の祝日・休日名称],"",0,1)</f>
        <v/>
      </c>
      <c r="I342" s="43" t="s">
        <v>254</v>
      </c>
      <c r="J342" s="43" t="s">
        <v>254</v>
      </c>
      <c r="K342" s="43" t="s">
        <v>254</v>
      </c>
      <c r="L342" s="43" t="s">
        <v>254</v>
      </c>
    </row>
    <row r="343" spans="1:12">
      <c r="A343" s="53">
        <f t="shared" si="153"/>
        <v>45814</v>
      </c>
      <c r="B343" s="41">
        <f t="shared" si="152"/>
        <v>45814</v>
      </c>
      <c r="C343" s="42" t="str">
        <f t="shared" si="154"/>
        <v>第1  金曜日</v>
      </c>
      <c r="D343" s="4" t="str">
        <f>_xlfn.XLOOKUP(B343,syukujitsu[国民の祝日・休日月日],syukujitsu[国民の祝日・休日名称],"",0,1)</f>
        <v/>
      </c>
      <c r="I343" s="43" t="s">
        <v>254</v>
      </c>
      <c r="J343" s="43" t="s">
        <v>254</v>
      </c>
      <c r="K343" s="43" t="s">
        <v>254</v>
      </c>
      <c r="L343" s="43" t="s">
        <v>254</v>
      </c>
    </row>
    <row r="344" spans="1:12">
      <c r="A344" s="53">
        <f t="shared" si="153"/>
        <v>45815</v>
      </c>
      <c r="B344" s="41">
        <f t="shared" si="152"/>
        <v>45815</v>
      </c>
      <c r="C344" s="42" t="str">
        <f t="shared" si="154"/>
        <v>第1  土曜日</v>
      </c>
      <c r="D344" s="4" t="str">
        <f>_xlfn.XLOOKUP(B344,syukujitsu[国民の祝日・休日月日],syukujitsu[国民の祝日・休日名称],"",0,1)</f>
        <v/>
      </c>
      <c r="I344" s="43" t="s">
        <v>254</v>
      </c>
      <c r="J344" s="43" t="s">
        <v>254</v>
      </c>
      <c r="K344" s="43" t="s">
        <v>254</v>
      </c>
      <c r="L344" s="43" t="s">
        <v>254</v>
      </c>
    </row>
    <row r="345" spans="1:12">
      <c r="A345" s="53">
        <f t="shared" si="153"/>
        <v>45816</v>
      </c>
      <c r="B345" s="41">
        <f t="shared" si="152"/>
        <v>45816</v>
      </c>
      <c r="C345" s="42" t="str">
        <f t="shared" si="154"/>
        <v>第2  日曜日</v>
      </c>
      <c r="D345" s="4" t="str">
        <f>_xlfn.XLOOKUP(B345,syukujitsu[国民の祝日・休日月日],syukujitsu[国民の祝日・休日名称],"",0,1)</f>
        <v/>
      </c>
      <c r="I345" s="43" t="s">
        <v>254</v>
      </c>
      <c r="J345" s="43" t="s">
        <v>254</v>
      </c>
      <c r="K345" s="43" t="s">
        <v>254</v>
      </c>
      <c r="L345" s="43" t="s">
        <v>254</v>
      </c>
    </row>
    <row r="346" spans="1:12">
      <c r="A346" s="53">
        <f t="shared" si="153"/>
        <v>45817</v>
      </c>
      <c r="B346" s="41">
        <f t="shared" si="152"/>
        <v>45817</v>
      </c>
      <c r="C346" s="42" t="str">
        <f t="shared" si="154"/>
        <v>第2  月曜日</v>
      </c>
      <c r="D346" s="4" t="str">
        <f>_xlfn.XLOOKUP(B346,syukujitsu[国民の祝日・休日月日],syukujitsu[国民の祝日・休日名称],"",0,1)</f>
        <v/>
      </c>
      <c r="E346" s="43" t="s">
        <v>441</v>
      </c>
      <c r="F346" s="43" t="s">
        <v>725</v>
      </c>
      <c r="I346" s="43" t="s">
        <v>254</v>
      </c>
      <c r="J346" s="43" t="s">
        <v>254</v>
      </c>
      <c r="K346" s="43" t="s">
        <v>254</v>
      </c>
      <c r="L346" s="43" t="s">
        <v>254</v>
      </c>
    </row>
    <row r="347" spans="1:12">
      <c r="A347" s="53">
        <f t="shared" si="153"/>
        <v>45818</v>
      </c>
      <c r="B347" s="41">
        <f t="shared" si="152"/>
        <v>45818</v>
      </c>
      <c r="C347" s="42" t="str">
        <f t="shared" si="154"/>
        <v>第2  火曜日</v>
      </c>
      <c r="D347" s="4" t="str">
        <f>_xlfn.XLOOKUP(B347,syukujitsu[国民の祝日・休日月日],syukujitsu[国民の祝日・休日名称],"",0,1)</f>
        <v/>
      </c>
      <c r="E347" s="43" t="s">
        <v>732</v>
      </c>
      <c r="I347" s="43" t="s">
        <v>254</v>
      </c>
      <c r="J347" s="43" t="s">
        <v>254</v>
      </c>
      <c r="K347" s="43" t="s">
        <v>254</v>
      </c>
      <c r="L347" s="43" t="s">
        <v>254</v>
      </c>
    </row>
    <row r="348" spans="1:12">
      <c r="A348" s="53">
        <f t="shared" si="153"/>
        <v>45819</v>
      </c>
      <c r="B348" s="41">
        <f t="shared" si="152"/>
        <v>45819</v>
      </c>
      <c r="C348" s="42" t="str">
        <f t="shared" si="154"/>
        <v>第2  水曜日</v>
      </c>
      <c r="D348" s="4" t="str">
        <f>_xlfn.XLOOKUP(B348,syukujitsu[国民の祝日・休日月日],syukujitsu[国民の祝日・休日名称],"",0,1)</f>
        <v/>
      </c>
      <c r="I348" s="43" t="s">
        <v>254</v>
      </c>
      <c r="J348" s="43" t="s">
        <v>254</v>
      </c>
      <c r="K348" s="43" t="s">
        <v>254</v>
      </c>
      <c r="L348" s="43" t="s">
        <v>254</v>
      </c>
    </row>
    <row r="349" spans="1:12">
      <c r="A349" s="53">
        <f t="shared" si="153"/>
        <v>45820</v>
      </c>
      <c r="B349" s="41">
        <f t="shared" si="152"/>
        <v>45820</v>
      </c>
      <c r="C349" s="42" t="str">
        <f t="shared" si="154"/>
        <v>第2  木曜日</v>
      </c>
      <c r="D349" s="4" t="str">
        <f>_xlfn.XLOOKUP(B349,syukujitsu[国民の祝日・休日月日],syukujitsu[国民の祝日・休日名称],"",0,1)</f>
        <v/>
      </c>
      <c r="I349" s="43" t="s">
        <v>254</v>
      </c>
      <c r="J349" s="43" t="s">
        <v>254</v>
      </c>
      <c r="K349" s="43" t="s">
        <v>254</v>
      </c>
      <c r="L349" s="43" t="s">
        <v>254</v>
      </c>
    </row>
    <row r="350" spans="1:12">
      <c r="A350" s="53">
        <f t="shared" si="153"/>
        <v>45821</v>
      </c>
      <c r="B350" s="41">
        <f t="shared" si="152"/>
        <v>45821</v>
      </c>
      <c r="C350" s="42" t="str">
        <f t="shared" si="154"/>
        <v>第2  金曜日</v>
      </c>
      <c r="D350" s="4" t="str">
        <f>_xlfn.XLOOKUP(B350,syukujitsu[国民の祝日・休日月日],syukujitsu[国民の祝日・休日名称],"",0,1)</f>
        <v/>
      </c>
      <c r="E350" s="43" t="s">
        <v>657</v>
      </c>
      <c r="F350" s="43" t="s">
        <v>737</v>
      </c>
      <c r="G350" s="43" t="s">
        <v>734</v>
      </c>
      <c r="I350" s="43" t="s">
        <v>254</v>
      </c>
      <c r="J350" s="43" t="s">
        <v>254</v>
      </c>
      <c r="K350" s="43" t="s">
        <v>254</v>
      </c>
      <c r="L350" s="43" t="s">
        <v>254</v>
      </c>
    </row>
    <row r="351" spans="1:12">
      <c r="A351" s="53">
        <f t="shared" si="153"/>
        <v>45822</v>
      </c>
      <c r="B351" s="41">
        <f t="shared" si="152"/>
        <v>45822</v>
      </c>
      <c r="C351" s="42" t="str">
        <f t="shared" si="154"/>
        <v>第2  土曜日</v>
      </c>
      <c r="D351" s="4" t="str">
        <f>_xlfn.XLOOKUP(B351,syukujitsu[国民の祝日・休日月日],syukujitsu[国民の祝日・休日名称],"",0,1)</f>
        <v/>
      </c>
      <c r="E351" s="43" t="s">
        <v>738</v>
      </c>
      <c r="I351" s="43" t="s">
        <v>254</v>
      </c>
      <c r="J351" s="43" t="s">
        <v>254</v>
      </c>
      <c r="K351" s="43" t="s">
        <v>254</v>
      </c>
      <c r="L351" s="43" t="s">
        <v>254</v>
      </c>
    </row>
    <row r="352" spans="1:12">
      <c r="A352" s="53">
        <f t="shared" si="153"/>
        <v>45823</v>
      </c>
      <c r="B352" s="41">
        <f t="shared" si="152"/>
        <v>45823</v>
      </c>
      <c r="C352" s="42" t="str">
        <f t="shared" si="154"/>
        <v>第3  日曜日</v>
      </c>
      <c r="D352" s="4" t="str">
        <f>_xlfn.XLOOKUP(B352,syukujitsu[国民の祝日・休日月日],syukujitsu[国民の祝日・休日名称],"",0,1)</f>
        <v/>
      </c>
      <c r="I352" s="43" t="s">
        <v>254</v>
      </c>
      <c r="J352" s="43" t="s">
        <v>254</v>
      </c>
      <c r="K352" s="43" t="s">
        <v>254</v>
      </c>
      <c r="L352" s="43" t="s">
        <v>254</v>
      </c>
    </row>
    <row r="353" spans="1:12">
      <c r="A353" s="53">
        <f t="shared" si="153"/>
        <v>45824</v>
      </c>
      <c r="B353" s="41">
        <f t="shared" si="152"/>
        <v>45824</v>
      </c>
      <c r="C353" s="42" t="str">
        <f t="shared" si="154"/>
        <v>第3  月曜日</v>
      </c>
      <c r="D353" s="4" t="str">
        <f>_xlfn.XLOOKUP(B353,syukujitsu[国民の祝日・休日月日],syukujitsu[国民の祝日・休日名称],"",0,1)</f>
        <v/>
      </c>
      <c r="I353" s="43" t="s">
        <v>254</v>
      </c>
      <c r="J353" s="43" t="s">
        <v>254</v>
      </c>
      <c r="K353" s="43" t="s">
        <v>254</v>
      </c>
      <c r="L353" s="43" t="s">
        <v>254</v>
      </c>
    </row>
    <row r="354" spans="1:12">
      <c r="A354" s="53">
        <f t="shared" si="153"/>
        <v>45825</v>
      </c>
      <c r="B354" s="41">
        <f t="shared" si="152"/>
        <v>45825</v>
      </c>
      <c r="C354" s="42" t="str">
        <f t="shared" si="154"/>
        <v>第3  火曜日</v>
      </c>
      <c r="D354" s="4" t="str">
        <f>_xlfn.XLOOKUP(B354,syukujitsu[国民の祝日・休日月日],syukujitsu[国民の祝日・休日名称],"",0,1)</f>
        <v/>
      </c>
      <c r="I354" s="43" t="s">
        <v>254</v>
      </c>
      <c r="J354" s="43" t="s">
        <v>254</v>
      </c>
      <c r="K354" s="43" t="s">
        <v>254</v>
      </c>
      <c r="L354" s="43" t="s">
        <v>254</v>
      </c>
    </row>
    <row r="355" spans="1:12">
      <c r="A355" s="53">
        <f t="shared" si="153"/>
        <v>45826</v>
      </c>
      <c r="B355" s="41">
        <f t="shared" si="152"/>
        <v>45826</v>
      </c>
      <c r="C355" s="42" t="str">
        <f t="shared" si="154"/>
        <v>第3  水曜日</v>
      </c>
      <c r="D355" s="4" t="str">
        <f>_xlfn.XLOOKUP(B355,syukujitsu[国民の祝日・休日月日],syukujitsu[国民の祝日・休日名称],"",0,1)</f>
        <v/>
      </c>
      <c r="E355" s="43" t="s">
        <v>735</v>
      </c>
      <c r="G355" s="43" t="s">
        <v>736</v>
      </c>
      <c r="I355" s="43" t="s">
        <v>254</v>
      </c>
      <c r="J355" s="43" t="s">
        <v>254</v>
      </c>
      <c r="K355" s="43" t="s">
        <v>254</v>
      </c>
      <c r="L355" s="43" t="s">
        <v>254</v>
      </c>
    </row>
    <row r="356" spans="1:12">
      <c r="A356" s="53">
        <f t="shared" si="153"/>
        <v>45827</v>
      </c>
      <c r="B356" s="41">
        <f t="shared" si="152"/>
        <v>45827</v>
      </c>
      <c r="C356" s="42" t="str">
        <f t="shared" si="154"/>
        <v>第3  木曜日</v>
      </c>
      <c r="D356" s="4" t="str">
        <f>_xlfn.XLOOKUP(B356,syukujitsu[国民の祝日・休日月日],syukujitsu[国民の祝日・休日名称],"",0,1)</f>
        <v/>
      </c>
      <c r="E356" s="43" t="s">
        <v>441</v>
      </c>
      <c r="I356" s="43" t="s">
        <v>254</v>
      </c>
      <c r="J356" s="43" t="s">
        <v>254</v>
      </c>
      <c r="K356" s="43" t="s">
        <v>254</v>
      </c>
      <c r="L356" s="43" t="s">
        <v>254</v>
      </c>
    </row>
    <row r="357" spans="1:12">
      <c r="A357" s="53">
        <f t="shared" si="153"/>
        <v>45828</v>
      </c>
      <c r="B357" s="41">
        <f t="shared" si="152"/>
        <v>45828</v>
      </c>
      <c r="C357" s="42" t="str">
        <f t="shared" si="154"/>
        <v>第3  金曜日</v>
      </c>
      <c r="D357" s="4" t="str">
        <f>_xlfn.XLOOKUP(B357,syukujitsu[国民の祝日・休日月日],syukujitsu[国民の祝日・休日名称],"",0,1)</f>
        <v/>
      </c>
      <c r="E357" s="43" t="s">
        <v>729</v>
      </c>
      <c r="I357" s="43" t="s">
        <v>254</v>
      </c>
      <c r="J357" s="43" t="s">
        <v>254</v>
      </c>
      <c r="K357" s="43" t="s">
        <v>254</v>
      </c>
      <c r="L357" s="43" t="s">
        <v>254</v>
      </c>
    </row>
    <row r="358" spans="1:12">
      <c r="A358" s="53">
        <f t="shared" si="153"/>
        <v>45829</v>
      </c>
      <c r="B358" s="41">
        <f t="shared" si="152"/>
        <v>45829</v>
      </c>
      <c r="C358" s="42" t="str">
        <f t="shared" si="154"/>
        <v>第3  土曜日</v>
      </c>
      <c r="D358" s="4" t="str">
        <f>_xlfn.XLOOKUP(B358,syukujitsu[国民の祝日・休日月日],syukujitsu[国民の祝日・休日名称],"",0,1)</f>
        <v/>
      </c>
      <c r="E358" s="43" t="s">
        <v>730</v>
      </c>
      <c r="I358" s="43" t="s">
        <v>254</v>
      </c>
      <c r="J358" s="43" t="s">
        <v>254</v>
      </c>
      <c r="K358" s="43" t="s">
        <v>254</v>
      </c>
      <c r="L358" s="43" t="s">
        <v>254</v>
      </c>
    </row>
    <row r="359" spans="1:12">
      <c r="A359" s="53">
        <f t="shared" si="153"/>
        <v>45830</v>
      </c>
      <c r="B359" s="41">
        <f t="shared" si="152"/>
        <v>45830</v>
      </c>
      <c r="C359" s="42" t="str">
        <f t="shared" si="154"/>
        <v>第4  日曜日</v>
      </c>
      <c r="D359" s="4" t="str">
        <f>_xlfn.XLOOKUP(B359,syukujitsu[国民の祝日・休日月日],syukujitsu[国民の祝日・休日名称],"",0,1)</f>
        <v/>
      </c>
      <c r="E359" s="43" t="s">
        <v>730</v>
      </c>
      <c r="I359" s="43" t="s">
        <v>254</v>
      </c>
      <c r="J359" s="43" t="s">
        <v>254</v>
      </c>
      <c r="K359" s="43" t="s">
        <v>254</v>
      </c>
      <c r="L359" s="43" t="s">
        <v>254</v>
      </c>
    </row>
    <row r="360" spans="1:12">
      <c r="A360" s="53">
        <f t="shared" si="153"/>
        <v>45831</v>
      </c>
      <c r="B360" s="41">
        <f t="shared" si="152"/>
        <v>45831</v>
      </c>
      <c r="C360" s="42" t="str">
        <f t="shared" si="154"/>
        <v>第4  月曜日</v>
      </c>
      <c r="D360" s="4" t="str">
        <f>_xlfn.XLOOKUP(B360,syukujitsu[国民の祝日・休日月日],syukujitsu[国民の祝日・休日名称],"",0,1)</f>
        <v/>
      </c>
      <c r="E360" s="43" t="s">
        <v>731</v>
      </c>
      <c r="F360" s="43" t="s">
        <v>725</v>
      </c>
      <c r="I360" s="43" t="s">
        <v>254</v>
      </c>
      <c r="J360" s="43" t="s">
        <v>254</v>
      </c>
      <c r="K360" s="43" t="s">
        <v>254</v>
      </c>
      <c r="L360" s="43" t="s">
        <v>254</v>
      </c>
    </row>
    <row r="361" spans="1:12">
      <c r="A361" s="53">
        <f t="shared" si="153"/>
        <v>45832</v>
      </c>
      <c r="B361" s="41">
        <f t="shared" si="152"/>
        <v>45832</v>
      </c>
      <c r="C361" s="42" t="str">
        <f t="shared" si="154"/>
        <v>第4  火曜日</v>
      </c>
      <c r="D361" s="4" t="str">
        <f>_xlfn.XLOOKUP(B361,syukujitsu[国民の祝日・休日月日],syukujitsu[国民の祝日・休日名称],"",0,1)</f>
        <v/>
      </c>
      <c r="H361" s="43" t="s">
        <v>741</v>
      </c>
      <c r="I361" s="43" t="s">
        <v>254</v>
      </c>
      <c r="J361" s="43" t="s">
        <v>254</v>
      </c>
      <c r="K361" s="43" t="s">
        <v>254</v>
      </c>
      <c r="L361" s="43" t="s">
        <v>254</v>
      </c>
    </row>
    <row r="362" spans="1:12">
      <c r="A362" s="53">
        <f t="shared" si="153"/>
        <v>45833</v>
      </c>
      <c r="B362" s="41">
        <f t="shared" si="152"/>
        <v>45833</v>
      </c>
      <c r="C362" s="42" t="str">
        <f t="shared" si="154"/>
        <v>第4  水曜日</v>
      </c>
      <c r="D362" s="4" t="str">
        <f>_xlfn.XLOOKUP(B362,syukujitsu[国民の祝日・休日月日],syukujitsu[国民の祝日・休日名称],"",0,1)</f>
        <v/>
      </c>
      <c r="I362" s="43" t="s">
        <v>254</v>
      </c>
      <c r="J362" s="43" t="s">
        <v>254</v>
      </c>
      <c r="K362" s="43" t="s">
        <v>254</v>
      </c>
      <c r="L362" s="43" t="s">
        <v>254</v>
      </c>
    </row>
    <row r="363" spans="1:12">
      <c r="A363" s="53">
        <f t="shared" si="153"/>
        <v>45834</v>
      </c>
      <c r="B363" s="41">
        <f t="shared" si="152"/>
        <v>45834</v>
      </c>
      <c r="C363" s="42" t="str">
        <f t="shared" si="154"/>
        <v>第4  木曜日</v>
      </c>
      <c r="D363" s="4" t="str">
        <f>_xlfn.XLOOKUP(B363,syukujitsu[国民の祝日・休日月日],syukujitsu[国民の祝日・休日名称],"",0,1)</f>
        <v/>
      </c>
      <c r="I363" s="43" t="s">
        <v>254</v>
      </c>
      <c r="J363" s="43" t="s">
        <v>254</v>
      </c>
      <c r="K363" s="43" t="s">
        <v>254</v>
      </c>
      <c r="L363" s="43" t="s">
        <v>254</v>
      </c>
    </row>
    <row r="364" spans="1:12">
      <c r="A364" s="53">
        <f t="shared" si="153"/>
        <v>45835</v>
      </c>
      <c r="B364" s="41">
        <f t="shared" si="152"/>
        <v>45835</v>
      </c>
      <c r="C364" s="42" t="str">
        <f t="shared" si="154"/>
        <v>第4  金曜日</v>
      </c>
      <c r="D364" s="4" t="str">
        <f>_xlfn.XLOOKUP(B364,syukujitsu[国民の祝日・休日月日],syukujitsu[国民の祝日・休日名称],"",0,1)</f>
        <v/>
      </c>
      <c r="E364" s="43" t="s">
        <v>657</v>
      </c>
      <c r="I364" s="43" t="s">
        <v>254</v>
      </c>
      <c r="J364" s="43" t="s">
        <v>254</v>
      </c>
      <c r="K364" s="43" t="s">
        <v>254</v>
      </c>
      <c r="L364" s="43" t="s">
        <v>254</v>
      </c>
    </row>
    <row r="365" spans="1:12">
      <c r="A365" s="53">
        <f t="shared" si="153"/>
        <v>45836</v>
      </c>
      <c r="B365" s="41">
        <f t="shared" si="152"/>
        <v>45836</v>
      </c>
      <c r="C365" s="42" t="str">
        <f t="shared" si="154"/>
        <v>第4  土曜日</v>
      </c>
      <c r="D365" s="4" t="str">
        <f>_xlfn.XLOOKUP(B365,syukujitsu[国民の祝日・休日月日],syukujitsu[国民の祝日・休日名称],"",0,1)</f>
        <v/>
      </c>
      <c r="I365" s="43" t="s">
        <v>254</v>
      </c>
      <c r="J365" s="43" t="s">
        <v>254</v>
      </c>
      <c r="K365" s="43" t="s">
        <v>254</v>
      </c>
      <c r="L365" s="43" t="s">
        <v>254</v>
      </c>
    </row>
    <row r="366" spans="1:12">
      <c r="A366" s="53">
        <f t="shared" si="153"/>
        <v>45837</v>
      </c>
      <c r="B366" s="41">
        <f t="shared" si="152"/>
        <v>45837</v>
      </c>
      <c r="C366" s="42" t="str">
        <f t="shared" si="154"/>
        <v>第5  日曜日</v>
      </c>
      <c r="D366" s="4" t="str">
        <f>_xlfn.XLOOKUP(B366,syukujitsu[国民の祝日・休日月日],syukujitsu[国民の祝日・休日名称],"",0,1)</f>
        <v/>
      </c>
      <c r="I366" s="43" t="s">
        <v>254</v>
      </c>
      <c r="J366" s="43" t="s">
        <v>254</v>
      </c>
      <c r="K366" s="43" t="s">
        <v>254</v>
      </c>
      <c r="L366" s="43" t="s">
        <v>254</v>
      </c>
    </row>
    <row r="367" spans="1:12">
      <c r="A367" s="53">
        <f t="shared" si="153"/>
        <v>45838</v>
      </c>
      <c r="B367" s="41">
        <f t="shared" si="152"/>
        <v>45838</v>
      </c>
      <c r="C367" s="42" t="str">
        <f t="shared" si="154"/>
        <v>第5  月曜日</v>
      </c>
      <c r="D367" s="4" t="str">
        <f>_xlfn.XLOOKUP(B367,syukujitsu[国民の祝日・休日月日],syukujitsu[国民の祝日・休日名称],"",0,1)</f>
        <v/>
      </c>
      <c r="I367" s="43" t="s">
        <v>254</v>
      </c>
      <c r="J367" s="43" t="s">
        <v>254</v>
      </c>
      <c r="K367" s="43" t="s">
        <v>254</v>
      </c>
      <c r="L367" s="43" t="s">
        <v>254</v>
      </c>
    </row>
    <row r="368" spans="1:12">
      <c r="A368" s="53">
        <f t="shared" si="153"/>
        <v>45839</v>
      </c>
      <c r="B368" s="41">
        <f t="shared" si="152"/>
        <v>45839</v>
      </c>
      <c r="C368" s="42" t="str">
        <f t="shared" si="154"/>
        <v>第1  火曜日</v>
      </c>
      <c r="D368" s="4" t="str">
        <f>_xlfn.XLOOKUP(B368,syukujitsu[国民の祝日・休日月日],syukujitsu[国民の祝日・休日名称],"",0,1)</f>
        <v/>
      </c>
      <c r="H368" s="43" t="s">
        <v>741</v>
      </c>
      <c r="I368" s="43" t="s">
        <v>254</v>
      </c>
      <c r="J368" s="43" t="s">
        <v>254</v>
      </c>
      <c r="K368" s="43" t="s">
        <v>254</v>
      </c>
      <c r="L368" s="43" t="s">
        <v>254</v>
      </c>
    </row>
    <row r="369" spans="1:12">
      <c r="A369" s="53">
        <f t="shared" si="153"/>
        <v>45840</v>
      </c>
      <c r="B369" s="41">
        <f t="shared" si="152"/>
        <v>45840</v>
      </c>
      <c r="C369" s="42" t="str">
        <f t="shared" si="154"/>
        <v>第1  水曜日</v>
      </c>
      <c r="D369" s="4" t="str">
        <f>_xlfn.XLOOKUP(B369,syukujitsu[国民の祝日・休日月日],syukujitsu[国民の祝日・休日名称],"",0,1)</f>
        <v/>
      </c>
      <c r="I369" s="43" t="s">
        <v>254</v>
      </c>
      <c r="J369" s="43" t="s">
        <v>254</v>
      </c>
      <c r="K369" s="43" t="s">
        <v>254</v>
      </c>
      <c r="L369" s="43" t="s">
        <v>254</v>
      </c>
    </row>
    <row r="370" spans="1:12">
      <c r="A370" s="53">
        <f t="shared" si="153"/>
        <v>45841</v>
      </c>
      <c r="B370" s="41">
        <f t="shared" si="152"/>
        <v>45841</v>
      </c>
      <c r="C370" s="42" t="str">
        <f t="shared" si="154"/>
        <v>第1  木曜日</v>
      </c>
      <c r="D370" s="4" t="str">
        <f>_xlfn.XLOOKUP(B370,syukujitsu[国民の祝日・休日月日],syukujitsu[国民の祝日・休日名称],"",0,1)</f>
        <v/>
      </c>
      <c r="E370" s="43" t="s">
        <v>743</v>
      </c>
      <c r="I370" s="43" t="s">
        <v>254</v>
      </c>
      <c r="J370" s="43" t="s">
        <v>254</v>
      </c>
      <c r="K370" s="43" t="s">
        <v>254</v>
      </c>
      <c r="L370" s="43" t="s">
        <v>254</v>
      </c>
    </row>
    <row r="371" spans="1:12">
      <c r="A371" s="53">
        <f t="shared" si="153"/>
        <v>45842</v>
      </c>
      <c r="B371" s="41">
        <f t="shared" si="152"/>
        <v>45842</v>
      </c>
      <c r="C371" s="42" t="str">
        <f t="shared" si="154"/>
        <v>第1  金曜日</v>
      </c>
      <c r="D371" s="4" t="str">
        <f>_xlfn.XLOOKUP(B371,syukujitsu[国民の祝日・休日月日],syukujitsu[国民の祝日・休日名称],"",0,1)</f>
        <v/>
      </c>
      <c r="E371" s="43" t="s">
        <v>744</v>
      </c>
      <c r="I371" s="43" t="s">
        <v>254</v>
      </c>
      <c r="J371" s="43" t="s">
        <v>254</v>
      </c>
      <c r="K371" s="43" t="s">
        <v>254</v>
      </c>
      <c r="L371" s="43" t="s">
        <v>254</v>
      </c>
    </row>
    <row r="372" spans="1:12">
      <c r="A372" s="53">
        <f t="shared" si="153"/>
        <v>45843</v>
      </c>
      <c r="B372" s="41">
        <f t="shared" si="152"/>
        <v>45843</v>
      </c>
      <c r="C372" s="42" t="str">
        <f t="shared" si="154"/>
        <v>第1  土曜日</v>
      </c>
      <c r="D372" s="4" t="str">
        <f>_xlfn.XLOOKUP(B372,syukujitsu[国民の祝日・休日月日],syukujitsu[国民の祝日・休日名称],"",0,1)</f>
        <v/>
      </c>
      <c r="I372" s="43" t="s">
        <v>254</v>
      </c>
      <c r="J372" s="43" t="s">
        <v>254</v>
      </c>
      <c r="K372" s="43" t="s">
        <v>254</v>
      </c>
      <c r="L372" s="43" t="s">
        <v>254</v>
      </c>
    </row>
    <row r="373" spans="1:12">
      <c r="A373" s="53">
        <f t="shared" si="153"/>
        <v>45844</v>
      </c>
      <c r="B373" s="41">
        <f t="shared" si="152"/>
        <v>45844</v>
      </c>
      <c r="C373" s="42" t="str">
        <f t="shared" si="154"/>
        <v>第1  日曜日</v>
      </c>
      <c r="D373" s="4" t="str">
        <f>_xlfn.XLOOKUP(B373,syukujitsu[国民の祝日・休日月日],syukujitsu[国民の祝日・休日名称],"",0,1)</f>
        <v/>
      </c>
      <c r="I373" s="43" t="s">
        <v>254</v>
      </c>
      <c r="J373" s="43" t="s">
        <v>254</v>
      </c>
      <c r="K373" s="43" t="s">
        <v>254</v>
      </c>
      <c r="L373" s="43" t="s">
        <v>254</v>
      </c>
    </row>
    <row r="374" spans="1:12">
      <c r="A374" s="53">
        <f t="shared" si="153"/>
        <v>45845</v>
      </c>
      <c r="B374" s="41">
        <f t="shared" si="152"/>
        <v>45845</v>
      </c>
      <c r="C374" s="42" t="str">
        <f t="shared" si="154"/>
        <v>第1  月曜日</v>
      </c>
      <c r="D374" s="4" t="str">
        <f>_xlfn.XLOOKUP(B374,syukujitsu[国民の祝日・休日月日],syukujitsu[国民の祝日・休日名称],"",0,1)</f>
        <v/>
      </c>
      <c r="F374" s="43" t="s">
        <v>725</v>
      </c>
      <c r="I374" s="43" t="s">
        <v>254</v>
      </c>
      <c r="J374" s="43" t="s">
        <v>254</v>
      </c>
      <c r="K374" s="43" t="s">
        <v>254</v>
      </c>
      <c r="L374" s="43" t="s">
        <v>254</v>
      </c>
    </row>
    <row r="375" spans="1:12">
      <c r="A375" s="53">
        <f t="shared" si="153"/>
        <v>45846</v>
      </c>
      <c r="B375" s="41">
        <f t="shared" ref="B375:B438" si="155">B374+1</f>
        <v>45846</v>
      </c>
      <c r="C375" s="42" t="str">
        <f t="shared" si="154"/>
        <v>第2  火曜日</v>
      </c>
      <c r="D375" s="4" t="str">
        <f>_xlfn.XLOOKUP(B375,syukujitsu[国民の祝日・休日月日],syukujitsu[国民の祝日・休日名称],"",0,1)</f>
        <v/>
      </c>
      <c r="H375" s="43" t="s">
        <v>741</v>
      </c>
      <c r="I375" s="43" t="s">
        <v>254</v>
      </c>
      <c r="J375" s="43" t="s">
        <v>254</v>
      </c>
      <c r="K375" s="43" t="s">
        <v>254</v>
      </c>
      <c r="L375" s="43" t="s">
        <v>254</v>
      </c>
    </row>
    <row r="376" spans="1:12">
      <c r="A376" s="53">
        <f t="shared" si="153"/>
        <v>45847</v>
      </c>
      <c r="B376" s="41">
        <f t="shared" si="155"/>
        <v>45847</v>
      </c>
      <c r="C376" s="42" t="str">
        <f t="shared" si="154"/>
        <v>第2  水曜日</v>
      </c>
      <c r="D376" s="4" t="str">
        <f>_xlfn.XLOOKUP(B376,syukujitsu[国民の祝日・休日月日],syukujitsu[国民の祝日・休日名称],"",0,1)</f>
        <v/>
      </c>
      <c r="I376" s="43" t="s">
        <v>254</v>
      </c>
      <c r="J376" s="43" t="s">
        <v>254</v>
      </c>
      <c r="K376" s="43" t="s">
        <v>254</v>
      </c>
      <c r="L376" s="43" t="s">
        <v>254</v>
      </c>
    </row>
    <row r="377" spans="1:12">
      <c r="A377" s="53">
        <f t="shared" si="153"/>
        <v>45848</v>
      </c>
      <c r="B377" s="41">
        <f t="shared" si="155"/>
        <v>45848</v>
      </c>
      <c r="C377" s="42" t="str">
        <f t="shared" si="154"/>
        <v>第2  木曜日</v>
      </c>
      <c r="D377" s="4" t="str">
        <f>_xlfn.XLOOKUP(B377,syukujitsu[国民の祝日・休日月日],syukujitsu[国民の祝日・休日名称],"",0,1)</f>
        <v/>
      </c>
      <c r="I377" s="43" t="s">
        <v>254</v>
      </c>
      <c r="J377" s="43" t="s">
        <v>254</v>
      </c>
      <c r="K377" s="43" t="s">
        <v>254</v>
      </c>
      <c r="L377" s="43" t="s">
        <v>254</v>
      </c>
    </row>
    <row r="378" spans="1:12">
      <c r="A378" s="53">
        <f t="shared" si="153"/>
        <v>45849</v>
      </c>
      <c r="B378" s="41">
        <f t="shared" si="155"/>
        <v>45849</v>
      </c>
      <c r="C378" s="42" t="str">
        <f t="shared" si="154"/>
        <v>第2  金曜日</v>
      </c>
      <c r="D378" s="4" t="str">
        <f>_xlfn.XLOOKUP(B378,syukujitsu[国民の祝日・休日月日],syukujitsu[国民の祝日・休日名称],"",0,1)</f>
        <v/>
      </c>
      <c r="E378" s="43" t="s">
        <v>657</v>
      </c>
      <c r="F378" s="43" t="s">
        <v>745</v>
      </c>
      <c r="I378" s="43" t="s">
        <v>254</v>
      </c>
      <c r="J378" s="43" t="s">
        <v>254</v>
      </c>
      <c r="K378" s="43" t="s">
        <v>254</v>
      </c>
      <c r="L378" s="43" t="s">
        <v>254</v>
      </c>
    </row>
    <row r="379" spans="1:12">
      <c r="A379" s="53">
        <f t="shared" si="153"/>
        <v>45850</v>
      </c>
      <c r="B379" s="41">
        <f t="shared" si="155"/>
        <v>45850</v>
      </c>
      <c r="C379" s="42" t="str">
        <f t="shared" si="154"/>
        <v>第2  土曜日</v>
      </c>
      <c r="D379" s="4" t="str">
        <f>_xlfn.XLOOKUP(B379,syukujitsu[国民の祝日・休日月日],syukujitsu[国民の祝日・休日名称],"",0,1)</f>
        <v/>
      </c>
      <c r="I379" s="43" t="s">
        <v>254</v>
      </c>
      <c r="J379" s="43" t="s">
        <v>254</v>
      </c>
      <c r="K379" s="43" t="s">
        <v>254</v>
      </c>
      <c r="L379" s="43" t="s">
        <v>254</v>
      </c>
    </row>
    <row r="380" spans="1:12">
      <c r="A380" s="53">
        <f t="shared" si="153"/>
        <v>45851</v>
      </c>
      <c r="B380" s="41">
        <f t="shared" si="155"/>
        <v>45851</v>
      </c>
      <c r="C380" s="42" t="str">
        <f t="shared" si="154"/>
        <v>第2  日曜日</v>
      </c>
      <c r="D380" s="4" t="str">
        <f>_xlfn.XLOOKUP(B380,syukujitsu[国民の祝日・休日月日],syukujitsu[国民の祝日・休日名称],"",0,1)</f>
        <v/>
      </c>
      <c r="I380" s="43" t="s">
        <v>254</v>
      </c>
      <c r="J380" s="43" t="s">
        <v>254</v>
      </c>
      <c r="K380" s="43" t="s">
        <v>254</v>
      </c>
      <c r="L380" s="43" t="s">
        <v>254</v>
      </c>
    </row>
    <row r="381" spans="1:12">
      <c r="A381" s="53">
        <f t="shared" si="153"/>
        <v>45852</v>
      </c>
      <c r="B381" s="41">
        <f t="shared" si="155"/>
        <v>45852</v>
      </c>
      <c r="C381" s="42" t="str">
        <f t="shared" si="154"/>
        <v>第2  月曜日</v>
      </c>
      <c r="D381" s="4" t="str">
        <f>_xlfn.XLOOKUP(B381,syukujitsu[国民の祝日・休日月日],syukujitsu[国民の祝日・休日名称],"",0,1)</f>
        <v/>
      </c>
      <c r="I381" s="43" t="s">
        <v>254</v>
      </c>
      <c r="J381" s="43" t="s">
        <v>254</v>
      </c>
      <c r="K381" s="43" t="s">
        <v>254</v>
      </c>
      <c r="L381" s="43" t="s">
        <v>254</v>
      </c>
    </row>
    <row r="382" spans="1:12">
      <c r="A382" s="53">
        <f t="shared" si="153"/>
        <v>45853</v>
      </c>
      <c r="B382" s="41">
        <f t="shared" si="155"/>
        <v>45853</v>
      </c>
      <c r="C382" s="42" t="str">
        <f t="shared" si="154"/>
        <v>第3  火曜日</v>
      </c>
      <c r="D382" s="4" t="str">
        <f>_xlfn.XLOOKUP(B382,syukujitsu[国民の祝日・休日月日],syukujitsu[国民の祝日・休日名称],"",0,1)</f>
        <v/>
      </c>
      <c r="E382" s="43" t="s">
        <v>746</v>
      </c>
      <c r="H382" s="43" t="s">
        <v>741</v>
      </c>
      <c r="I382" s="43" t="s">
        <v>254</v>
      </c>
      <c r="J382" s="43" t="s">
        <v>254</v>
      </c>
      <c r="K382" s="43" t="s">
        <v>254</v>
      </c>
      <c r="L382" s="43" t="s">
        <v>254</v>
      </c>
    </row>
    <row r="383" spans="1:12">
      <c r="A383" s="53">
        <f t="shared" si="153"/>
        <v>45854</v>
      </c>
      <c r="B383" s="41">
        <f t="shared" si="155"/>
        <v>45854</v>
      </c>
      <c r="C383" s="42" t="str">
        <f t="shared" si="154"/>
        <v>第3  水曜日</v>
      </c>
      <c r="D383" s="4" t="str">
        <f>_xlfn.XLOOKUP(B383,syukujitsu[国民の祝日・休日月日],syukujitsu[国民の祝日・休日名称],"",0,1)</f>
        <v/>
      </c>
      <c r="I383" s="43" t="s">
        <v>254</v>
      </c>
      <c r="J383" s="43" t="s">
        <v>254</v>
      </c>
      <c r="K383" s="43" t="s">
        <v>254</v>
      </c>
      <c r="L383" s="43" t="s">
        <v>254</v>
      </c>
    </row>
    <row r="384" spans="1:12">
      <c r="A384" s="53">
        <f t="shared" si="153"/>
        <v>45855</v>
      </c>
      <c r="B384" s="41">
        <f t="shared" si="155"/>
        <v>45855</v>
      </c>
      <c r="C384" s="42" t="str">
        <f t="shared" si="154"/>
        <v>第3  木曜日</v>
      </c>
      <c r="D384" s="4" t="str">
        <f>_xlfn.XLOOKUP(B384,syukujitsu[国民の祝日・休日月日],syukujitsu[国民の祝日・休日名称],"",0,1)</f>
        <v/>
      </c>
      <c r="I384" s="43" t="s">
        <v>254</v>
      </c>
      <c r="J384" s="43" t="s">
        <v>254</v>
      </c>
      <c r="K384" s="43" t="s">
        <v>254</v>
      </c>
      <c r="L384" s="43" t="s">
        <v>254</v>
      </c>
    </row>
    <row r="385" spans="1:12">
      <c r="A385" s="53">
        <f t="shared" si="153"/>
        <v>45856</v>
      </c>
      <c r="B385" s="41">
        <f t="shared" si="155"/>
        <v>45856</v>
      </c>
      <c r="C385" s="42" t="str">
        <f t="shared" si="154"/>
        <v>第3  金曜日</v>
      </c>
      <c r="D385" s="4" t="str">
        <f>_xlfn.XLOOKUP(B385,syukujitsu[国民の祝日・休日月日],syukujitsu[国民の祝日・休日名称],"",0,1)</f>
        <v/>
      </c>
      <c r="I385" s="43" t="s">
        <v>254</v>
      </c>
      <c r="J385" s="43" t="s">
        <v>254</v>
      </c>
      <c r="K385" s="43" t="s">
        <v>254</v>
      </c>
      <c r="L385" s="43" t="s">
        <v>254</v>
      </c>
    </row>
    <row r="386" spans="1:12">
      <c r="A386" s="53">
        <f t="shared" si="153"/>
        <v>45857</v>
      </c>
      <c r="B386" s="41">
        <f t="shared" si="155"/>
        <v>45857</v>
      </c>
      <c r="C386" s="42" t="str">
        <f t="shared" si="154"/>
        <v>第3  土曜日</v>
      </c>
      <c r="D386" s="4" t="str">
        <f>_xlfn.XLOOKUP(B386,syukujitsu[国民の祝日・休日月日],syukujitsu[国民の祝日・休日名称],"",0,1)</f>
        <v/>
      </c>
      <c r="I386" s="43" t="s">
        <v>254</v>
      </c>
      <c r="J386" s="43" t="s">
        <v>254</v>
      </c>
      <c r="K386" s="43" t="s">
        <v>254</v>
      </c>
      <c r="L386" s="43" t="s">
        <v>254</v>
      </c>
    </row>
    <row r="387" spans="1:12">
      <c r="A387" s="53">
        <f t="shared" si="153"/>
        <v>45858</v>
      </c>
      <c r="B387" s="41">
        <f t="shared" si="155"/>
        <v>45858</v>
      </c>
      <c r="C387" s="42" t="str">
        <f t="shared" si="154"/>
        <v>第3  日曜日</v>
      </c>
      <c r="D387" s="4" t="str">
        <f>_xlfn.XLOOKUP(B387,syukujitsu[国民の祝日・休日月日],syukujitsu[国民の祝日・休日名称],"",0,1)</f>
        <v/>
      </c>
      <c r="I387" s="43" t="s">
        <v>254</v>
      </c>
      <c r="J387" s="43" t="s">
        <v>254</v>
      </c>
      <c r="K387" s="43" t="s">
        <v>254</v>
      </c>
      <c r="L387" s="43" t="s">
        <v>254</v>
      </c>
    </row>
    <row r="388" spans="1:12">
      <c r="A388" s="53">
        <f t="shared" si="153"/>
        <v>45859</v>
      </c>
      <c r="B388" s="41">
        <f t="shared" si="155"/>
        <v>45859</v>
      </c>
      <c r="C388" s="42" t="str">
        <f t="shared" si="154"/>
        <v>第3  月曜日</v>
      </c>
      <c r="D388" s="4" t="str">
        <f>_xlfn.XLOOKUP(B388,syukujitsu[国民の祝日・休日月日],syukujitsu[国民の祝日・休日名称],"",0,1)</f>
        <v>海の日</v>
      </c>
      <c r="G388" s="43" t="s">
        <v>745</v>
      </c>
      <c r="I388" s="43" t="s">
        <v>254</v>
      </c>
      <c r="J388" s="43" t="s">
        <v>254</v>
      </c>
      <c r="K388" s="43" t="s">
        <v>254</v>
      </c>
      <c r="L388" s="43" t="s">
        <v>254</v>
      </c>
    </row>
    <row r="389" spans="1:12">
      <c r="A389" s="53">
        <f t="shared" si="153"/>
        <v>45860</v>
      </c>
      <c r="B389" s="41">
        <f t="shared" si="155"/>
        <v>45860</v>
      </c>
      <c r="C389" s="42" t="str">
        <f t="shared" si="154"/>
        <v>第4  火曜日</v>
      </c>
      <c r="D389" s="4" t="str">
        <f>_xlfn.XLOOKUP(B389,syukujitsu[国民の祝日・休日月日],syukujitsu[国民の祝日・休日名称],"",0,1)</f>
        <v/>
      </c>
      <c r="E389" s="43" t="s">
        <v>725</v>
      </c>
      <c r="H389" s="43" t="s">
        <v>741</v>
      </c>
      <c r="I389" s="43" t="s">
        <v>254</v>
      </c>
      <c r="J389" s="43" t="s">
        <v>254</v>
      </c>
      <c r="K389" s="43" t="s">
        <v>254</v>
      </c>
      <c r="L389" s="43" t="s">
        <v>254</v>
      </c>
    </row>
    <row r="390" spans="1:12">
      <c r="A390" s="53">
        <f t="shared" si="153"/>
        <v>45861</v>
      </c>
      <c r="B390" s="41">
        <f t="shared" si="155"/>
        <v>45861</v>
      </c>
      <c r="C390" s="42" t="str">
        <f t="shared" si="154"/>
        <v>第4  水曜日</v>
      </c>
      <c r="D390" s="4" t="str">
        <f>_xlfn.XLOOKUP(B390,syukujitsu[国民の祝日・休日月日],syukujitsu[国民の祝日・休日名称],"",0,1)</f>
        <v/>
      </c>
      <c r="E390" s="43" t="s">
        <v>70</v>
      </c>
      <c r="I390" s="43" t="s">
        <v>254</v>
      </c>
      <c r="J390" s="43" t="s">
        <v>254</v>
      </c>
      <c r="K390" s="43" t="s">
        <v>254</v>
      </c>
      <c r="L390" s="43" t="s">
        <v>254</v>
      </c>
    </row>
    <row r="391" spans="1:12">
      <c r="A391" s="53">
        <f t="shared" ref="A391:A445" si="156">B391</f>
        <v>45862</v>
      </c>
      <c r="B391" s="41">
        <f t="shared" si="155"/>
        <v>45862</v>
      </c>
      <c r="C391" s="42" t="str">
        <f t="shared" si="154"/>
        <v>第4  木曜日</v>
      </c>
      <c r="D391" s="4" t="str">
        <f>_xlfn.XLOOKUP(B391,syukujitsu[国民の祝日・休日月日],syukujitsu[国民の祝日・休日名称],"",0,1)</f>
        <v/>
      </c>
      <c r="I391" s="43" t="s">
        <v>254</v>
      </c>
      <c r="J391" s="43" t="s">
        <v>254</v>
      </c>
      <c r="K391" s="43" t="s">
        <v>254</v>
      </c>
      <c r="L391" s="43" t="s">
        <v>254</v>
      </c>
    </row>
    <row r="392" spans="1:12">
      <c r="A392" s="53">
        <f t="shared" si="156"/>
        <v>45863</v>
      </c>
      <c r="B392" s="41">
        <f t="shared" si="155"/>
        <v>45863</v>
      </c>
      <c r="C392" s="42" t="str">
        <f t="shared" si="154"/>
        <v>第4  金曜日</v>
      </c>
      <c r="D392" s="4" t="str">
        <f>_xlfn.XLOOKUP(B392,syukujitsu[国民の祝日・休日月日],syukujitsu[国民の祝日・休日名称],"",0,1)</f>
        <v/>
      </c>
      <c r="E392" s="43" t="s">
        <v>657</v>
      </c>
      <c r="F392" s="43" t="s">
        <v>745</v>
      </c>
      <c r="I392" s="43" t="s">
        <v>254</v>
      </c>
      <c r="J392" s="43" t="s">
        <v>254</v>
      </c>
      <c r="K392" s="43" t="s">
        <v>254</v>
      </c>
      <c r="L392" s="43" t="s">
        <v>254</v>
      </c>
    </row>
    <row r="393" spans="1:12">
      <c r="A393" s="53">
        <f t="shared" si="156"/>
        <v>45864</v>
      </c>
      <c r="B393" s="41">
        <f t="shared" si="155"/>
        <v>45864</v>
      </c>
      <c r="C393" s="42" t="str">
        <f t="shared" si="154"/>
        <v>第4  土曜日</v>
      </c>
      <c r="D393" s="4" t="str">
        <f>_xlfn.XLOOKUP(B393,syukujitsu[国民の祝日・休日月日],syukujitsu[国民の祝日・休日名称],"",0,1)</f>
        <v/>
      </c>
      <c r="I393" s="43" t="s">
        <v>254</v>
      </c>
      <c r="J393" s="43" t="s">
        <v>254</v>
      </c>
      <c r="K393" s="43" t="s">
        <v>254</v>
      </c>
      <c r="L393" s="43" t="s">
        <v>254</v>
      </c>
    </row>
    <row r="394" spans="1:12">
      <c r="A394" s="53">
        <f t="shared" si="156"/>
        <v>45865</v>
      </c>
      <c r="B394" s="41">
        <f t="shared" si="155"/>
        <v>45865</v>
      </c>
      <c r="C394" s="42" t="str">
        <f t="shared" si="154"/>
        <v>第4  日曜日</v>
      </c>
      <c r="D394" s="4" t="str">
        <f>_xlfn.XLOOKUP(B394,syukujitsu[国民の祝日・休日月日],syukujitsu[国民の祝日・休日名称],"",0,1)</f>
        <v/>
      </c>
      <c r="I394" s="43" t="s">
        <v>254</v>
      </c>
      <c r="J394" s="43" t="s">
        <v>254</v>
      </c>
      <c r="K394" s="43" t="s">
        <v>254</v>
      </c>
      <c r="L394" s="43" t="s">
        <v>254</v>
      </c>
    </row>
    <row r="395" spans="1:12">
      <c r="A395" s="53">
        <f t="shared" si="156"/>
        <v>45866</v>
      </c>
      <c r="B395" s="41">
        <f t="shared" si="155"/>
        <v>45866</v>
      </c>
      <c r="C395" s="42" t="str">
        <f t="shared" si="154"/>
        <v>第4  月曜日</v>
      </c>
      <c r="D395" s="4" t="str">
        <f>_xlfn.XLOOKUP(B395,syukujitsu[国民の祝日・休日月日],syukujitsu[国民の祝日・休日名称],"",0,1)</f>
        <v/>
      </c>
      <c r="I395" s="43" t="s">
        <v>254</v>
      </c>
      <c r="J395" s="43" t="s">
        <v>254</v>
      </c>
      <c r="K395" s="43" t="s">
        <v>254</v>
      </c>
      <c r="L395" s="43" t="s">
        <v>254</v>
      </c>
    </row>
    <row r="396" spans="1:12">
      <c r="A396" s="53">
        <f t="shared" si="156"/>
        <v>45867</v>
      </c>
      <c r="B396" s="41">
        <f t="shared" si="155"/>
        <v>45867</v>
      </c>
      <c r="C396" s="42" t="str">
        <f t="shared" ref="C396:C459" si="157">"第"&amp;ROUNDUP(DAY(B396)/7,0)  &amp;"  "&amp;TEXT(B396,"aaaa")</f>
        <v>第5  火曜日</v>
      </c>
      <c r="D396" s="4" t="str">
        <f>_xlfn.XLOOKUP(B396,syukujitsu[国民の祝日・休日月日],syukujitsu[国民の祝日・休日名称],"",0,1)</f>
        <v/>
      </c>
      <c r="H396" s="43" t="s">
        <v>741</v>
      </c>
      <c r="I396" s="43" t="s">
        <v>254</v>
      </c>
      <c r="J396" s="43" t="s">
        <v>254</v>
      </c>
      <c r="K396" s="43" t="s">
        <v>254</v>
      </c>
      <c r="L396" s="43" t="s">
        <v>254</v>
      </c>
    </row>
    <row r="397" spans="1:12">
      <c r="A397" s="53">
        <f t="shared" si="156"/>
        <v>45868</v>
      </c>
      <c r="B397" s="41">
        <f t="shared" si="155"/>
        <v>45868</v>
      </c>
      <c r="C397" s="42" t="str">
        <f t="shared" si="157"/>
        <v>第5  水曜日</v>
      </c>
      <c r="D397" s="4" t="str">
        <f>_xlfn.XLOOKUP(B397,syukujitsu[国民の祝日・休日月日],syukujitsu[国民の祝日・休日名称],"",0,1)</f>
        <v/>
      </c>
      <c r="I397" s="43" t="s">
        <v>254</v>
      </c>
      <c r="J397" s="43" t="s">
        <v>254</v>
      </c>
      <c r="K397" s="43" t="s">
        <v>254</v>
      </c>
      <c r="L397" s="43" t="s">
        <v>254</v>
      </c>
    </row>
    <row r="398" spans="1:12">
      <c r="A398" s="53">
        <f t="shared" si="156"/>
        <v>45869</v>
      </c>
      <c r="B398" s="41">
        <f t="shared" si="155"/>
        <v>45869</v>
      </c>
      <c r="C398" s="42" t="str">
        <f t="shared" si="157"/>
        <v>第5  木曜日</v>
      </c>
      <c r="D398" s="4" t="str">
        <f>_xlfn.XLOOKUP(B398,syukujitsu[国民の祝日・休日月日],syukujitsu[国民の祝日・休日名称],"",0,1)</f>
        <v/>
      </c>
      <c r="I398" s="43" t="s">
        <v>254</v>
      </c>
      <c r="J398" s="43" t="s">
        <v>254</v>
      </c>
      <c r="K398" s="43" t="s">
        <v>254</v>
      </c>
      <c r="L398" s="43" t="s">
        <v>254</v>
      </c>
    </row>
    <row r="399" spans="1:12">
      <c r="A399" s="53">
        <f t="shared" si="156"/>
        <v>45870</v>
      </c>
      <c r="B399" s="41">
        <f t="shared" si="155"/>
        <v>45870</v>
      </c>
      <c r="C399" s="42" t="str">
        <f t="shared" si="157"/>
        <v>第1  金曜日</v>
      </c>
      <c r="D399" s="4" t="str">
        <f>_xlfn.XLOOKUP(B399,syukujitsu[国民の祝日・休日月日],syukujitsu[国民の祝日・休日名称],"",0,1)</f>
        <v/>
      </c>
      <c r="I399" s="43" t="s">
        <v>254</v>
      </c>
      <c r="J399" s="43" t="s">
        <v>254</v>
      </c>
      <c r="K399" s="43" t="s">
        <v>254</v>
      </c>
      <c r="L399" s="43" t="s">
        <v>254</v>
      </c>
    </row>
    <row r="400" spans="1:12">
      <c r="A400" s="53">
        <f t="shared" si="156"/>
        <v>45871</v>
      </c>
      <c r="B400" s="41">
        <f t="shared" si="155"/>
        <v>45871</v>
      </c>
      <c r="C400" s="42" t="str">
        <f t="shared" si="157"/>
        <v>第1  土曜日</v>
      </c>
      <c r="D400" s="4" t="str">
        <f>_xlfn.XLOOKUP(B400,syukujitsu[国民の祝日・休日月日],syukujitsu[国民の祝日・休日名称],"",0,1)</f>
        <v/>
      </c>
      <c r="I400" s="43" t="s">
        <v>254</v>
      </c>
      <c r="J400" s="43" t="s">
        <v>254</v>
      </c>
      <c r="K400" s="43" t="s">
        <v>254</v>
      </c>
      <c r="L400" s="43" t="s">
        <v>254</v>
      </c>
    </row>
    <row r="401" spans="1:12">
      <c r="A401" s="53">
        <f t="shared" si="156"/>
        <v>45872</v>
      </c>
      <c r="B401" s="41">
        <f t="shared" si="155"/>
        <v>45872</v>
      </c>
      <c r="C401" s="42" t="str">
        <f t="shared" si="157"/>
        <v>第1  日曜日</v>
      </c>
      <c r="D401" s="4" t="str">
        <f>_xlfn.XLOOKUP(B401,syukujitsu[国民の祝日・休日月日],syukujitsu[国民の祝日・休日名称],"",0,1)</f>
        <v/>
      </c>
      <c r="I401" s="43" t="s">
        <v>254</v>
      </c>
      <c r="J401" s="43" t="s">
        <v>254</v>
      </c>
      <c r="K401" s="43" t="s">
        <v>254</v>
      </c>
      <c r="L401" s="43" t="s">
        <v>254</v>
      </c>
    </row>
    <row r="402" spans="1:12">
      <c r="A402" s="53">
        <f t="shared" si="156"/>
        <v>45873</v>
      </c>
      <c r="B402" s="41">
        <f t="shared" si="155"/>
        <v>45873</v>
      </c>
      <c r="C402" s="42" t="str">
        <f t="shared" si="157"/>
        <v>第1  月曜日</v>
      </c>
      <c r="D402" s="4" t="str">
        <f>_xlfn.XLOOKUP(B402,syukujitsu[国民の祝日・休日月日],syukujitsu[国民の祝日・休日名称],"",0,1)</f>
        <v/>
      </c>
      <c r="F402" s="43" t="s">
        <v>725</v>
      </c>
      <c r="I402" s="43" t="s">
        <v>254</v>
      </c>
      <c r="J402" s="43" t="s">
        <v>254</v>
      </c>
      <c r="K402" s="43" t="s">
        <v>254</v>
      </c>
      <c r="L402" s="43" t="s">
        <v>254</v>
      </c>
    </row>
    <row r="403" spans="1:12">
      <c r="A403" s="53">
        <f t="shared" si="156"/>
        <v>45874</v>
      </c>
      <c r="B403" s="41">
        <f t="shared" si="155"/>
        <v>45874</v>
      </c>
      <c r="C403" s="42" t="str">
        <f t="shared" si="157"/>
        <v>第1  火曜日</v>
      </c>
      <c r="D403" s="4" t="str">
        <f>_xlfn.XLOOKUP(B403,syukujitsu[国民の祝日・休日月日],syukujitsu[国民の祝日・休日名称],"",0,1)</f>
        <v/>
      </c>
      <c r="H403" s="43" t="s">
        <v>741</v>
      </c>
      <c r="I403" s="43" t="s">
        <v>254</v>
      </c>
      <c r="J403" s="43" t="s">
        <v>254</v>
      </c>
      <c r="K403" s="43" t="s">
        <v>254</v>
      </c>
      <c r="L403" s="43" t="s">
        <v>254</v>
      </c>
    </row>
    <row r="404" spans="1:12">
      <c r="A404" s="53">
        <f t="shared" si="156"/>
        <v>45875</v>
      </c>
      <c r="B404" s="41">
        <f t="shared" si="155"/>
        <v>45875</v>
      </c>
      <c r="C404" s="42" t="str">
        <f t="shared" si="157"/>
        <v>第1  水曜日</v>
      </c>
      <c r="D404" s="4" t="str">
        <f>_xlfn.XLOOKUP(B404,syukujitsu[国民の祝日・休日月日],syukujitsu[国民の祝日・休日名称],"",0,1)</f>
        <v/>
      </c>
      <c r="I404" s="43" t="s">
        <v>254</v>
      </c>
      <c r="J404" s="43" t="s">
        <v>254</v>
      </c>
      <c r="K404" s="43" t="s">
        <v>254</v>
      </c>
      <c r="L404" s="43" t="s">
        <v>254</v>
      </c>
    </row>
    <row r="405" spans="1:12">
      <c r="A405" s="53">
        <f t="shared" si="156"/>
        <v>45876</v>
      </c>
      <c r="B405" s="41">
        <f t="shared" si="155"/>
        <v>45876</v>
      </c>
      <c r="C405" s="42" t="str">
        <f t="shared" si="157"/>
        <v>第1  木曜日</v>
      </c>
      <c r="D405" s="4" t="str">
        <f>_xlfn.XLOOKUP(B405,syukujitsu[国民の祝日・休日月日],syukujitsu[国民の祝日・休日名称],"",0,1)</f>
        <v/>
      </c>
      <c r="I405" s="43" t="s">
        <v>254</v>
      </c>
      <c r="J405" s="43" t="s">
        <v>254</v>
      </c>
      <c r="K405" s="43" t="s">
        <v>254</v>
      </c>
      <c r="L405" s="43" t="s">
        <v>254</v>
      </c>
    </row>
    <row r="406" spans="1:12">
      <c r="A406" s="53">
        <f t="shared" si="156"/>
        <v>45877</v>
      </c>
      <c r="B406" s="41">
        <f t="shared" si="155"/>
        <v>45877</v>
      </c>
      <c r="C406" s="42" t="str">
        <f t="shared" si="157"/>
        <v>第2  金曜日</v>
      </c>
      <c r="D406" s="4" t="str">
        <f>_xlfn.XLOOKUP(B406,syukujitsu[国民の祝日・休日月日],syukujitsu[国民の祝日・休日名称],"",0,1)</f>
        <v/>
      </c>
      <c r="E406" s="43" t="s">
        <v>657</v>
      </c>
      <c r="I406" s="43" t="s">
        <v>254</v>
      </c>
      <c r="J406" s="43" t="s">
        <v>254</v>
      </c>
      <c r="K406" s="43" t="s">
        <v>254</v>
      </c>
      <c r="L406" s="43" t="s">
        <v>254</v>
      </c>
    </row>
    <row r="407" spans="1:12">
      <c r="A407" s="53">
        <f t="shared" si="156"/>
        <v>45878</v>
      </c>
      <c r="B407" s="41">
        <f t="shared" si="155"/>
        <v>45878</v>
      </c>
      <c r="C407" s="42" t="str">
        <f t="shared" si="157"/>
        <v>第2  土曜日</v>
      </c>
      <c r="D407" s="4" t="str">
        <f>_xlfn.XLOOKUP(B407,syukujitsu[国民の祝日・休日月日],syukujitsu[国民の祝日・休日名称],"",0,1)</f>
        <v/>
      </c>
      <c r="I407" s="43" t="s">
        <v>254</v>
      </c>
      <c r="J407" s="43" t="s">
        <v>254</v>
      </c>
      <c r="K407" s="43" t="s">
        <v>254</v>
      </c>
      <c r="L407" s="43" t="s">
        <v>254</v>
      </c>
    </row>
    <row r="408" spans="1:12">
      <c r="A408" s="53">
        <f t="shared" si="156"/>
        <v>45879</v>
      </c>
      <c r="B408" s="41">
        <f t="shared" si="155"/>
        <v>45879</v>
      </c>
      <c r="C408" s="42" t="str">
        <f t="shared" si="157"/>
        <v>第2  日曜日</v>
      </c>
      <c r="D408" s="4" t="str">
        <f>_xlfn.XLOOKUP(B408,syukujitsu[国民の祝日・休日月日],syukujitsu[国民の祝日・休日名称],"",0,1)</f>
        <v/>
      </c>
      <c r="I408" s="43" t="s">
        <v>254</v>
      </c>
      <c r="J408" s="43" t="s">
        <v>254</v>
      </c>
      <c r="K408" s="43" t="s">
        <v>254</v>
      </c>
      <c r="L408" s="43" t="s">
        <v>254</v>
      </c>
    </row>
    <row r="409" spans="1:12">
      <c r="A409" s="53">
        <f t="shared" si="156"/>
        <v>45880</v>
      </c>
      <c r="B409" s="41">
        <f t="shared" si="155"/>
        <v>45880</v>
      </c>
      <c r="C409" s="42" t="str">
        <f t="shared" si="157"/>
        <v>第2  月曜日</v>
      </c>
      <c r="D409" s="4" t="str">
        <f>_xlfn.XLOOKUP(B409,syukujitsu[国民の祝日・休日月日],syukujitsu[国民の祝日・休日名称],"",0,1)</f>
        <v>山の日</v>
      </c>
      <c r="I409" s="43" t="s">
        <v>254</v>
      </c>
      <c r="J409" s="43" t="s">
        <v>254</v>
      </c>
      <c r="K409" s="43" t="s">
        <v>254</v>
      </c>
      <c r="L409" s="43" t="s">
        <v>254</v>
      </c>
    </row>
    <row r="410" spans="1:12">
      <c r="A410" s="53">
        <f t="shared" si="156"/>
        <v>45881</v>
      </c>
      <c r="B410" s="41">
        <f t="shared" si="155"/>
        <v>45881</v>
      </c>
      <c r="C410" s="42" t="str">
        <f t="shared" si="157"/>
        <v>第2  火曜日</v>
      </c>
      <c r="D410" s="4" t="str">
        <f>_xlfn.XLOOKUP(B410,syukujitsu[国民の祝日・休日月日],syukujitsu[国民の祝日・休日名称],"",0,1)</f>
        <v/>
      </c>
      <c r="E410" s="43" t="s">
        <v>747</v>
      </c>
      <c r="H410" s="43" t="s">
        <v>741</v>
      </c>
      <c r="I410" s="43" t="s">
        <v>254</v>
      </c>
      <c r="J410" s="43" t="s">
        <v>254</v>
      </c>
      <c r="K410" s="43" t="s">
        <v>254</v>
      </c>
      <c r="L410" s="43" t="s">
        <v>254</v>
      </c>
    </row>
    <row r="411" spans="1:12">
      <c r="A411" s="53">
        <f t="shared" si="156"/>
        <v>45882</v>
      </c>
      <c r="B411" s="41">
        <f t="shared" si="155"/>
        <v>45882</v>
      </c>
      <c r="C411" s="42" t="str">
        <f t="shared" si="157"/>
        <v>第2  水曜日</v>
      </c>
      <c r="D411" s="4" t="str">
        <f>_xlfn.XLOOKUP(B411,syukujitsu[国民の祝日・休日月日],syukujitsu[国民の祝日・休日名称],"",0,1)</f>
        <v/>
      </c>
      <c r="I411" s="43" t="s">
        <v>254</v>
      </c>
      <c r="J411" s="43" t="s">
        <v>254</v>
      </c>
      <c r="K411" s="43" t="s">
        <v>254</v>
      </c>
      <c r="L411" s="43" t="s">
        <v>254</v>
      </c>
    </row>
    <row r="412" spans="1:12">
      <c r="A412" s="53">
        <f t="shared" si="156"/>
        <v>45883</v>
      </c>
      <c r="B412" s="41">
        <f t="shared" si="155"/>
        <v>45883</v>
      </c>
      <c r="C412" s="42" t="str">
        <f t="shared" si="157"/>
        <v>第2  木曜日</v>
      </c>
      <c r="D412" s="4" t="str">
        <f>_xlfn.XLOOKUP(B412,syukujitsu[国民の祝日・休日月日],syukujitsu[国民の祝日・休日名称],"",0,1)</f>
        <v/>
      </c>
      <c r="I412" s="43" t="s">
        <v>254</v>
      </c>
      <c r="J412" s="43" t="s">
        <v>254</v>
      </c>
      <c r="K412" s="43" t="s">
        <v>254</v>
      </c>
      <c r="L412" s="43" t="s">
        <v>254</v>
      </c>
    </row>
    <row r="413" spans="1:12">
      <c r="A413" s="53">
        <f t="shared" si="156"/>
        <v>45884</v>
      </c>
      <c r="B413" s="41">
        <f t="shared" si="155"/>
        <v>45884</v>
      </c>
      <c r="C413" s="42" t="str">
        <f t="shared" si="157"/>
        <v>第3  金曜日</v>
      </c>
      <c r="D413" s="4" t="str">
        <f>_xlfn.XLOOKUP(B413,syukujitsu[国民の祝日・休日月日],syukujitsu[国民の祝日・休日名称],"",0,1)</f>
        <v/>
      </c>
      <c r="I413" s="43" t="s">
        <v>254</v>
      </c>
      <c r="J413" s="43" t="s">
        <v>254</v>
      </c>
      <c r="K413" s="43" t="s">
        <v>254</v>
      </c>
      <c r="L413" s="43" t="s">
        <v>254</v>
      </c>
    </row>
    <row r="414" spans="1:12">
      <c r="A414" s="53">
        <f t="shared" si="156"/>
        <v>45885</v>
      </c>
      <c r="B414" s="41">
        <f t="shared" si="155"/>
        <v>45885</v>
      </c>
      <c r="C414" s="42" t="str">
        <f t="shared" si="157"/>
        <v>第3  土曜日</v>
      </c>
      <c r="D414" s="4" t="str">
        <f>_xlfn.XLOOKUP(B414,syukujitsu[国民の祝日・休日月日],syukujitsu[国民の祝日・休日名称],"",0,1)</f>
        <v/>
      </c>
      <c r="I414" s="43" t="s">
        <v>254</v>
      </c>
      <c r="J414" s="43" t="s">
        <v>254</v>
      </c>
      <c r="K414" s="43" t="s">
        <v>254</v>
      </c>
      <c r="L414" s="43" t="s">
        <v>254</v>
      </c>
    </row>
    <row r="415" spans="1:12">
      <c r="A415" s="53">
        <f t="shared" si="156"/>
        <v>45886</v>
      </c>
      <c r="B415" s="41">
        <f t="shared" si="155"/>
        <v>45886</v>
      </c>
      <c r="C415" s="42" t="str">
        <f t="shared" si="157"/>
        <v>第3  日曜日</v>
      </c>
      <c r="D415" s="4" t="str">
        <f>_xlfn.XLOOKUP(B415,syukujitsu[国民の祝日・休日月日],syukujitsu[国民の祝日・休日名称],"",0,1)</f>
        <v/>
      </c>
      <c r="I415" s="43" t="s">
        <v>254</v>
      </c>
      <c r="J415" s="43" t="s">
        <v>254</v>
      </c>
      <c r="K415" s="43" t="s">
        <v>254</v>
      </c>
      <c r="L415" s="43" t="s">
        <v>254</v>
      </c>
    </row>
    <row r="416" spans="1:12">
      <c r="A416" s="53">
        <f t="shared" si="156"/>
        <v>45887</v>
      </c>
      <c r="B416" s="41">
        <f t="shared" si="155"/>
        <v>45887</v>
      </c>
      <c r="C416" s="42" t="str">
        <f t="shared" si="157"/>
        <v>第3  月曜日</v>
      </c>
      <c r="D416" s="4" t="str">
        <f>_xlfn.XLOOKUP(B416,syukujitsu[国民の祝日・休日月日],syukujitsu[国民の祝日・休日名称],"",0,1)</f>
        <v/>
      </c>
      <c r="F416" s="43" t="s">
        <v>725</v>
      </c>
      <c r="I416" s="43" t="s">
        <v>254</v>
      </c>
      <c r="J416" s="43" t="s">
        <v>254</v>
      </c>
      <c r="K416" s="43" t="s">
        <v>254</v>
      </c>
      <c r="L416" s="43" t="s">
        <v>254</v>
      </c>
    </row>
    <row r="417" spans="1:12">
      <c r="A417" s="53">
        <f t="shared" si="156"/>
        <v>45888</v>
      </c>
      <c r="B417" s="41">
        <f t="shared" si="155"/>
        <v>45888</v>
      </c>
      <c r="C417" s="42" t="str">
        <f t="shared" si="157"/>
        <v>第3  火曜日</v>
      </c>
      <c r="D417" s="4" t="str">
        <f>_xlfn.XLOOKUP(B417,syukujitsu[国民の祝日・休日月日],syukujitsu[国民の祝日・休日名称],"",0,1)</f>
        <v/>
      </c>
      <c r="H417" s="43" t="s">
        <v>741</v>
      </c>
      <c r="I417" s="43" t="s">
        <v>254</v>
      </c>
      <c r="J417" s="43" t="s">
        <v>254</v>
      </c>
      <c r="K417" s="43" t="s">
        <v>254</v>
      </c>
      <c r="L417" s="43" t="s">
        <v>254</v>
      </c>
    </row>
    <row r="418" spans="1:12">
      <c r="A418" s="53">
        <f t="shared" si="156"/>
        <v>45889</v>
      </c>
      <c r="B418" s="41">
        <f t="shared" si="155"/>
        <v>45889</v>
      </c>
      <c r="C418" s="42" t="str">
        <f t="shared" si="157"/>
        <v>第3  水曜日</v>
      </c>
      <c r="D418" s="4" t="str">
        <f>_xlfn.XLOOKUP(B418,syukujitsu[国民の祝日・休日月日],syukujitsu[国民の祝日・休日名称],"",0,1)</f>
        <v/>
      </c>
      <c r="I418" s="43" t="s">
        <v>254</v>
      </c>
      <c r="J418" s="43" t="s">
        <v>254</v>
      </c>
      <c r="K418" s="43" t="s">
        <v>254</v>
      </c>
      <c r="L418" s="43" t="s">
        <v>254</v>
      </c>
    </row>
    <row r="419" spans="1:12">
      <c r="A419" s="53">
        <f t="shared" si="156"/>
        <v>45890</v>
      </c>
      <c r="B419" s="41">
        <f t="shared" si="155"/>
        <v>45890</v>
      </c>
      <c r="C419" s="42" t="str">
        <f t="shared" si="157"/>
        <v>第3  木曜日</v>
      </c>
      <c r="D419" s="4" t="str">
        <f>_xlfn.XLOOKUP(B419,syukujitsu[国民の祝日・休日月日],syukujitsu[国民の祝日・休日名称],"",0,1)</f>
        <v/>
      </c>
      <c r="I419" s="43" t="s">
        <v>254</v>
      </c>
      <c r="J419" s="43" t="s">
        <v>254</v>
      </c>
      <c r="K419" s="43" t="s">
        <v>254</v>
      </c>
      <c r="L419" s="43" t="s">
        <v>254</v>
      </c>
    </row>
    <row r="420" spans="1:12">
      <c r="A420" s="53">
        <f t="shared" si="156"/>
        <v>45891</v>
      </c>
      <c r="B420" s="41">
        <f t="shared" si="155"/>
        <v>45891</v>
      </c>
      <c r="C420" s="42" t="str">
        <f t="shared" si="157"/>
        <v>第4  金曜日</v>
      </c>
      <c r="D420" s="4" t="str">
        <f>_xlfn.XLOOKUP(B420,syukujitsu[国民の祝日・休日月日],syukujitsu[国民の祝日・休日名称],"",0,1)</f>
        <v/>
      </c>
      <c r="E420" s="43" t="s">
        <v>657</v>
      </c>
      <c r="I420" s="43" t="s">
        <v>254</v>
      </c>
      <c r="J420" s="43" t="s">
        <v>254</v>
      </c>
      <c r="K420" s="43" t="s">
        <v>254</v>
      </c>
      <c r="L420" s="43" t="s">
        <v>254</v>
      </c>
    </row>
    <row r="421" spans="1:12">
      <c r="A421" s="53">
        <f t="shared" si="156"/>
        <v>45892</v>
      </c>
      <c r="B421" s="41">
        <f t="shared" si="155"/>
        <v>45892</v>
      </c>
      <c r="C421" s="42" t="str">
        <f t="shared" si="157"/>
        <v>第4  土曜日</v>
      </c>
      <c r="D421" s="4" t="str">
        <f>_xlfn.XLOOKUP(B421,syukujitsu[国民の祝日・休日月日],syukujitsu[国民の祝日・休日名称],"",0,1)</f>
        <v/>
      </c>
      <c r="I421" s="43" t="s">
        <v>254</v>
      </c>
      <c r="J421" s="43" t="s">
        <v>254</v>
      </c>
      <c r="K421" s="43" t="s">
        <v>254</v>
      </c>
      <c r="L421" s="43" t="s">
        <v>254</v>
      </c>
    </row>
    <row r="422" spans="1:12">
      <c r="A422" s="53">
        <f t="shared" si="156"/>
        <v>45893</v>
      </c>
      <c r="B422" s="41">
        <f t="shared" si="155"/>
        <v>45893</v>
      </c>
      <c r="C422" s="42" t="str">
        <f t="shared" si="157"/>
        <v>第4  日曜日</v>
      </c>
      <c r="D422" s="4" t="str">
        <f>_xlfn.XLOOKUP(B422,syukujitsu[国民の祝日・休日月日],syukujitsu[国民の祝日・休日名称],"",0,1)</f>
        <v/>
      </c>
      <c r="I422" s="43" t="s">
        <v>254</v>
      </c>
      <c r="J422" s="43" t="s">
        <v>254</v>
      </c>
      <c r="K422" s="43" t="s">
        <v>254</v>
      </c>
      <c r="L422" s="43" t="s">
        <v>254</v>
      </c>
    </row>
    <row r="423" spans="1:12">
      <c r="A423" s="53">
        <f t="shared" si="156"/>
        <v>45894</v>
      </c>
      <c r="B423" s="41">
        <f t="shared" si="155"/>
        <v>45894</v>
      </c>
      <c r="C423" s="42" t="str">
        <f t="shared" si="157"/>
        <v>第4  月曜日</v>
      </c>
      <c r="D423" s="4" t="str">
        <f>_xlfn.XLOOKUP(B423,syukujitsu[国民の祝日・休日月日],syukujitsu[国民の祝日・休日名称],"",0,1)</f>
        <v/>
      </c>
      <c r="E423" s="43" t="s">
        <v>748</v>
      </c>
      <c r="I423" s="43" t="s">
        <v>254</v>
      </c>
      <c r="J423" s="43" t="s">
        <v>254</v>
      </c>
      <c r="K423" s="43" t="s">
        <v>254</v>
      </c>
      <c r="L423" s="43" t="s">
        <v>254</v>
      </c>
    </row>
    <row r="424" spans="1:12">
      <c r="A424" s="53">
        <f t="shared" si="156"/>
        <v>45895</v>
      </c>
      <c r="B424" s="41">
        <f t="shared" si="155"/>
        <v>45895</v>
      </c>
      <c r="C424" s="42" t="str">
        <f t="shared" si="157"/>
        <v>第4  火曜日</v>
      </c>
      <c r="D424" s="4" t="str">
        <f>_xlfn.XLOOKUP(B424,syukujitsu[国民の祝日・休日月日],syukujitsu[国民の祝日・休日名称],"",0,1)</f>
        <v/>
      </c>
      <c r="H424" s="43" t="s">
        <v>741</v>
      </c>
      <c r="I424" s="43" t="s">
        <v>254</v>
      </c>
      <c r="J424" s="43" t="s">
        <v>254</v>
      </c>
      <c r="K424" s="43" t="s">
        <v>254</v>
      </c>
      <c r="L424" s="43" t="s">
        <v>254</v>
      </c>
    </row>
    <row r="425" spans="1:12">
      <c r="A425" s="53">
        <f t="shared" si="156"/>
        <v>45896</v>
      </c>
      <c r="B425" s="41">
        <f t="shared" si="155"/>
        <v>45896</v>
      </c>
      <c r="C425" s="42" t="str">
        <f t="shared" si="157"/>
        <v>第4  水曜日</v>
      </c>
      <c r="D425" s="4" t="str">
        <f>_xlfn.XLOOKUP(B425,syukujitsu[国民の祝日・休日月日],syukujitsu[国民の祝日・休日名称],"",0,1)</f>
        <v/>
      </c>
      <c r="I425" s="43" t="s">
        <v>254</v>
      </c>
      <c r="J425" s="43" t="s">
        <v>254</v>
      </c>
      <c r="K425" s="43" t="s">
        <v>254</v>
      </c>
      <c r="L425" s="43" t="s">
        <v>254</v>
      </c>
    </row>
    <row r="426" spans="1:12">
      <c r="A426" s="53">
        <f t="shared" si="156"/>
        <v>45897</v>
      </c>
      <c r="B426" s="41">
        <f t="shared" si="155"/>
        <v>45897</v>
      </c>
      <c r="C426" s="42" t="str">
        <f t="shared" si="157"/>
        <v>第4  木曜日</v>
      </c>
      <c r="D426" s="4" t="str">
        <f>_xlfn.XLOOKUP(B426,syukujitsu[国民の祝日・休日月日],syukujitsu[国民の祝日・休日名称],"",0,1)</f>
        <v/>
      </c>
      <c r="I426" s="43" t="s">
        <v>254</v>
      </c>
      <c r="J426" s="43" t="s">
        <v>254</v>
      </c>
      <c r="K426" s="43" t="s">
        <v>254</v>
      </c>
      <c r="L426" s="43" t="s">
        <v>254</v>
      </c>
    </row>
    <row r="427" spans="1:12">
      <c r="A427" s="53">
        <f t="shared" si="156"/>
        <v>45898</v>
      </c>
      <c r="B427" s="41">
        <f t="shared" si="155"/>
        <v>45898</v>
      </c>
      <c r="C427" s="42" t="str">
        <f t="shared" si="157"/>
        <v>第5  金曜日</v>
      </c>
      <c r="D427" s="4" t="str">
        <f>_xlfn.XLOOKUP(B427,syukujitsu[国民の祝日・休日月日],syukujitsu[国民の祝日・休日名称],"",0,1)</f>
        <v/>
      </c>
      <c r="I427" s="43" t="s">
        <v>254</v>
      </c>
      <c r="J427" s="43" t="s">
        <v>254</v>
      </c>
      <c r="K427" s="43" t="s">
        <v>254</v>
      </c>
      <c r="L427" s="43" t="s">
        <v>254</v>
      </c>
    </row>
    <row r="428" spans="1:12">
      <c r="A428" s="53">
        <f t="shared" si="156"/>
        <v>45899</v>
      </c>
      <c r="B428" s="41">
        <f t="shared" si="155"/>
        <v>45899</v>
      </c>
      <c r="C428" s="42" t="str">
        <f t="shared" si="157"/>
        <v>第5  土曜日</v>
      </c>
      <c r="D428" s="4" t="str">
        <f>_xlfn.XLOOKUP(B428,syukujitsu[国民の祝日・休日月日],syukujitsu[国民の祝日・休日名称],"",0,1)</f>
        <v/>
      </c>
      <c r="I428" s="43" t="s">
        <v>254</v>
      </c>
      <c r="J428" s="43" t="s">
        <v>254</v>
      </c>
      <c r="K428" s="43" t="s">
        <v>254</v>
      </c>
      <c r="L428" s="43" t="s">
        <v>254</v>
      </c>
    </row>
    <row r="429" spans="1:12">
      <c r="A429" s="53">
        <f t="shared" si="156"/>
        <v>45900</v>
      </c>
      <c r="B429" s="41">
        <f t="shared" si="155"/>
        <v>45900</v>
      </c>
      <c r="C429" s="42" t="str">
        <f t="shared" si="157"/>
        <v>第5  日曜日</v>
      </c>
      <c r="D429" s="4" t="str">
        <f>_xlfn.XLOOKUP(B429,syukujitsu[国民の祝日・休日月日],syukujitsu[国民の祝日・休日名称],"",0,1)</f>
        <v/>
      </c>
      <c r="I429" s="43" t="s">
        <v>254</v>
      </c>
      <c r="J429" s="43" t="s">
        <v>254</v>
      </c>
      <c r="K429" s="43" t="s">
        <v>254</v>
      </c>
      <c r="L429" s="43" t="s">
        <v>254</v>
      </c>
    </row>
    <row r="430" spans="1:12">
      <c r="A430" s="53">
        <f t="shared" si="156"/>
        <v>45901</v>
      </c>
      <c r="B430" s="41">
        <f t="shared" si="155"/>
        <v>45901</v>
      </c>
      <c r="C430" s="42" t="str">
        <f t="shared" si="157"/>
        <v>第1  月曜日</v>
      </c>
      <c r="D430" s="4" t="str">
        <f>_xlfn.XLOOKUP(B430,syukujitsu[国民の祝日・休日月日],syukujitsu[国民の祝日・休日名称],"",0,1)</f>
        <v/>
      </c>
      <c r="F430" s="43" t="s">
        <v>725</v>
      </c>
      <c r="I430" s="43" t="s">
        <v>254</v>
      </c>
      <c r="J430" s="43" t="s">
        <v>254</v>
      </c>
      <c r="K430" s="43" t="s">
        <v>254</v>
      </c>
      <c r="L430" s="43" t="s">
        <v>254</v>
      </c>
    </row>
    <row r="431" spans="1:12">
      <c r="A431" s="53">
        <f t="shared" si="156"/>
        <v>45902</v>
      </c>
      <c r="B431" s="41">
        <f t="shared" si="155"/>
        <v>45902</v>
      </c>
      <c r="C431" s="42" t="str">
        <f t="shared" si="157"/>
        <v>第1  火曜日</v>
      </c>
      <c r="D431" s="4" t="str">
        <f>_xlfn.XLOOKUP(B431,syukujitsu[国民の祝日・休日月日],syukujitsu[国民の祝日・休日名称],"",0,1)</f>
        <v/>
      </c>
      <c r="H431" s="43" t="s">
        <v>741</v>
      </c>
      <c r="I431" s="43" t="s">
        <v>254</v>
      </c>
      <c r="J431" s="43" t="s">
        <v>254</v>
      </c>
      <c r="K431" s="43" t="s">
        <v>254</v>
      </c>
      <c r="L431" s="43" t="s">
        <v>254</v>
      </c>
    </row>
    <row r="432" spans="1:12">
      <c r="A432" s="53">
        <f t="shared" si="156"/>
        <v>45903</v>
      </c>
      <c r="B432" s="41">
        <f t="shared" si="155"/>
        <v>45903</v>
      </c>
      <c r="C432" s="42" t="str">
        <f t="shared" si="157"/>
        <v>第1  水曜日</v>
      </c>
      <c r="D432" s="4" t="str">
        <f>_xlfn.XLOOKUP(B432,syukujitsu[国民の祝日・休日月日],syukujitsu[国民の祝日・休日名称],"",0,1)</f>
        <v/>
      </c>
      <c r="I432" s="43" t="s">
        <v>254</v>
      </c>
      <c r="J432" s="43" t="s">
        <v>254</v>
      </c>
      <c r="K432" s="43" t="s">
        <v>254</v>
      </c>
      <c r="L432" s="43" t="s">
        <v>254</v>
      </c>
    </row>
    <row r="433" spans="1:12">
      <c r="A433" s="53">
        <f t="shared" si="156"/>
        <v>45904</v>
      </c>
      <c r="B433" s="41">
        <f t="shared" si="155"/>
        <v>45904</v>
      </c>
      <c r="C433" s="42" t="str">
        <f t="shared" si="157"/>
        <v>第1  木曜日</v>
      </c>
      <c r="D433" s="4" t="str">
        <f>_xlfn.XLOOKUP(B433,syukujitsu[国民の祝日・休日月日],syukujitsu[国民の祝日・休日名称],"",0,1)</f>
        <v/>
      </c>
      <c r="I433" s="43" t="s">
        <v>254</v>
      </c>
      <c r="J433" s="43" t="s">
        <v>254</v>
      </c>
      <c r="K433" s="43" t="s">
        <v>254</v>
      </c>
      <c r="L433" s="43" t="s">
        <v>254</v>
      </c>
    </row>
    <row r="434" spans="1:12">
      <c r="A434" s="53">
        <f t="shared" si="156"/>
        <v>45905</v>
      </c>
      <c r="B434" s="41">
        <f t="shared" si="155"/>
        <v>45905</v>
      </c>
      <c r="C434" s="42" t="str">
        <f t="shared" si="157"/>
        <v>第1  金曜日</v>
      </c>
      <c r="D434" s="4" t="str">
        <f>_xlfn.XLOOKUP(B434,syukujitsu[国民の祝日・休日月日],syukujitsu[国民の祝日・休日名称],"",0,1)</f>
        <v/>
      </c>
      <c r="E434" s="43" t="s">
        <v>657</v>
      </c>
      <c r="I434" s="43" t="s">
        <v>254</v>
      </c>
      <c r="J434" s="43" t="s">
        <v>254</v>
      </c>
      <c r="K434" s="43" t="s">
        <v>254</v>
      </c>
      <c r="L434" s="43" t="s">
        <v>254</v>
      </c>
    </row>
    <row r="435" spans="1:12">
      <c r="A435" s="53">
        <f t="shared" si="156"/>
        <v>45906</v>
      </c>
      <c r="B435" s="41">
        <f t="shared" si="155"/>
        <v>45906</v>
      </c>
      <c r="C435" s="42" t="str">
        <f t="shared" si="157"/>
        <v>第1  土曜日</v>
      </c>
      <c r="D435" s="4" t="str">
        <f>_xlfn.XLOOKUP(B435,syukujitsu[国民の祝日・休日月日],syukujitsu[国民の祝日・休日名称],"",0,1)</f>
        <v/>
      </c>
      <c r="I435" s="43" t="s">
        <v>254</v>
      </c>
      <c r="J435" s="43" t="s">
        <v>254</v>
      </c>
      <c r="K435" s="43" t="s">
        <v>254</v>
      </c>
      <c r="L435" s="43" t="s">
        <v>254</v>
      </c>
    </row>
    <row r="436" spans="1:12">
      <c r="A436" s="53">
        <f t="shared" si="156"/>
        <v>45907</v>
      </c>
      <c r="B436" s="41">
        <f t="shared" si="155"/>
        <v>45907</v>
      </c>
      <c r="C436" s="42" t="str">
        <f t="shared" si="157"/>
        <v>第1  日曜日</v>
      </c>
      <c r="D436" s="4" t="str">
        <f>_xlfn.XLOOKUP(B436,syukujitsu[国民の祝日・休日月日],syukujitsu[国民の祝日・休日名称],"",0,1)</f>
        <v/>
      </c>
      <c r="I436" s="43" t="s">
        <v>254</v>
      </c>
      <c r="J436" s="43" t="s">
        <v>254</v>
      </c>
      <c r="K436" s="43" t="s">
        <v>254</v>
      </c>
      <c r="L436" s="43" t="s">
        <v>254</v>
      </c>
    </row>
    <row r="437" spans="1:12">
      <c r="A437" s="53">
        <f t="shared" si="156"/>
        <v>45908</v>
      </c>
      <c r="B437" s="41">
        <f t="shared" si="155"/>
        <v>45908</v>
      </c>
      <c r="C437" s="42" t="str">
        <f t="shared" si="157"/>
        <v>第2  月曜日</v>
      </c>
      <c r="D437" s="4" t="str">
        <f>_xlfn.XLOOKUP(B437,syukujitsu[国民の祝日・休日月日],syukujitsu[国民の祝日・休日名称],"",0,1)</f>
        <v/>
      </c>
      <c r="I437" s="43" t="s">
        <v>254</v>
      </c>
      <c r="J437" s="43" t="s">
        <v>254</v>
      </c>
      <c r="K437" s="43" t="s">
        <v>254</v>
      </c>
      <c r="L437" s="43" t="s">
        <v>254</v>
      </c>
    </row>
    <row r="438" spans="1:12">
      <c r="A438" s="53">
        <f t="shared" si="156"/>
        <v>45909</v>
      </c>
      <c r="B438" s="41">
        <f t="shared" si="155"/>
        <v>45909</v>
      </c>
      <c r="C438" s="42" t="str">
        <f t="shared" si="157"/>
        <v>第2  火曜日</v>
      </c>
      <c r="D438" s="4" t="str">
        <f>_xlfn.XLOOKUP(B438,syukujitsu[国民の祝日・休日月日],syukujitsu[国民の祝日・休日名称],"",0,1)</f>
        <v/>
      </c>
      <c r="H438" s="43" t="s">
        <v>741</v>
      </c>
      <c r="I438" s="43" t="s">
        <v>254</v>
      </c>
      <c r="J438" s="43" t="s">
        <v>254</v>
      </c>
      <c r="K438" s="43" t="s">
        <v>254</v>
      </c>
      <c r="L438" s="43" t="s">
        <v>254</v>
      </c>
    </row>
    <row r="439" spans="1:12">
      <c r="A439" s="53">
        <f t="shared" si="156"/>
        <v>45910</v>
      </c>
      <c r="B439" s="41">
        <f t="shared" ref="B439:B502" si="158">B438+1</f>
        <v>45910</v>
      </c>
      <c r="C439" s="42" t="str">
        <f t="shared" si="157"/>
        <v>第2  水曜日</v>
      </c>
      <c r="D439" s="4" t="str">
        <f>_xlfn.XLOOKUP(B439,syukujitsu[国民の祝日・休日月日],syukujitsu[国民の祝日・休日名称],"",0,1)</f>
        <v/>
      </c>
      <c r="I439" s="43" t="s">
        <v>254</v>
      </c>
      <c r="J439" s="43" t="s">
        <v>254</v>
      </c>
      <c r="K439" s="43" t="s">
        <v>254</v>
      </c>
      <c r="L439" s="43" t="s">
        <v>254</v>
      </c>
    </row>
    <row r="440" spans="1:12">
      <c r="A440" s="53">
        <f t="shared" si="156"/>
        <v>45911</v>
      </c>
      <c r="B440" s="41">
        <f t="shared" si="158"/>
        <v>45911</v>
      </c>
      <c r="C440" s="42" t="str">
        <f t="shared" si="157"/>
        <v>第2  木曜日</v>
      </c>
      <c r="D440" s="4" t="str">
        <f>_xlfn.XLOOKUP(B440,syukujitsu[国民の祝日・休日月日],syukujitsu[国民の祝日・休日名称],"",0,1)</f>
        <v/>
      </c>
      <c r="F440" s="43" t="s">
        <v>362</v>
      </c>
      <c r="I440" s="43" t="s">
        <v>254</v>
      </c>
      <c r="J440" s="43" t="s">
        <v>254</v>
      </c>
      <c r="K440" s="43" t="s">
        <v>254</v>
      </c>
      <c r="L440" s="43" t="s">
        <v>254</v>
      </c>
    </row>
    <row r="441" spans="1:12">
      <c r="A441" s="53">
        <f t="shared" si="156"/>
        <v>45912</v>
      </c>
      <c r="B441" s="41">
        <f t="shared" si="158"/>
        <v>45912</v>
      </c>
      <c r="C441" s="42" t="str">
        <f t="shared" si="157"/>
        <v>第2  金曜日</v>
      </c>
      <c r="D441" s="4" t="str">
        <f>_xlfn.XLOOKUP(B441,syukujitsu[国民の祝日・休日月日],syukujitsu[国民の祝日・休日名称],"",0,1)</f>
        <v/>
      </c>
      <c r="I441" s="43" t="s">
        <v>254</v>
      </c>
      <c r="J441" s="43" t="s">
        <v>254</v>
      </c>
      <c r="K441" s="43" t="s">
        <v>254</v>
      </c>
      <c r="L441" s="43" t="s">
        <v>254</v>
      </c>
    </row>
    <row r="442" spans="1:12">
      <c r="A442" s="53">
        <f t="shared" si="156"/>
        <v>45913</v>
      </c>
      <c r="B442" s="41">
        <f t="shared" si="158"/>
        <v>45913</v>
      </c>
      <c r="C442" s="42" t="str">
        <f t="shared" si="157"/>
        <v>第2  土曜日</v>
      </c>
      <c r="D442" s="4" t="str">
        <f>_xlfn.XLOOKUP(B442,syukujitsu[国民の祝日・休日月日],syukujitsu[国民の祝日・休日名称],"",0,1)</f>
        <v/>
      </c>
      <c r="I442" s="43" t="s">
        <v>254</v>
      </c>
      <c r="J442" s="43" t="s">
        <v>254</v>
      </c>
      <c r="K442" s="43" t="s">
        <v>254</v>
      </c>
      <c r="L442" s="43" t="s">
        <v>254</v>
      </c>
    </row>
    <row r="443" spans="1:12">
      <c r="A443" s="53">
        <f t="shared" si="156"/>
        <v>45914</v>
      </c>
      <c r="B443" s="41">
        <f t="shared" si="158"/>
        <v>45914</v>
      </c>
      <c r="C443" s="42" t="str">
        <f t="shared" si="157"/>
        <v>第2  日曜日</v>
      </c>
      <c r="D443" s="4" t="str">
        <f>_xlfn.XLOOKUP(B443,syukujitsu[国民の祝日・休日月日],syukujitsu[国民の祝日・休日名称],"",0,1)</f>
        <v/>
      </c>
      <c r="I443" s="43" t="s">
        <v>254</v>
      </c>
      <c r="J443" s="43" t="s">
        <v>254</v>
      </c>
      <c r="K443" s="43" t="s">
        <v>254</v>
      </c>
      <c r="L443" s="43" t="s">
        <v>254</v>
      </c>
    </row>
    <row r="444" spans="1:12">
      <c r="A444" s="53">
        <f t="shared" si="156"/>
        <v>45915</v>
      </c>
      <c r="B444" s="41">
        <f t="shared" si="158"/>
        <v>45915</v>
      </c>
      <c r="C444" s="42" t="str">
        <f t="shared" si="157"/>
        <v>第3  月曜日</v>
      </c>
      <c r="D444" s="4" t="str">
        <f>_xlfn.XLOOKUP(B444,syukujitsu[国民の祝日・休日月日],syukujitsu[国民の祝日・休日名称],"",0,1)</f>
        <v>敬老の日</v>
      </c>
      <c r="F444" s="43" t="s">
        <v>725</v>
      </c>
      <c r="I444" s="43" t="s">
        <v>254</v>
      </c>
      <c r="J444" s="43" t="s">
        <v>254</v>
      </c>
      <c r="K444" s="43" t="s">
        <v>254</v>
      </c>
      <c r="L444" s="43" t="s">
        <v>254</v>
      </c>
    </row>
    <row r="445" spans="1:12">
      <c r="A445" s="53">
        <f t="shared" si="156"/>
        <v>45916</v>
      </c>
      <c r="B445" s="41">
        <f t="shared" si="158"/>
        <v>45916</v>
      </c>
      <c r="C445" s="42" t="str">
        <f t="shared" si="157"/>
        <v>第3  火曜日</v>
      </c>
      <c r="D445" s="4" t="str">
        <f>_xlfn.XLOOKUP(B445,syukujitsu[国民の祝日・休日月日],syukujitsu[国民の祝日・休日名称],"",0,1)</f>
        <v/>
      </c>
      <c r="H445" s="43" t="s">
        <v>741</v>
      </c>
      <c r="I445" s="43" t="s">
        <v>254</v>
      </c>
      <c r="J445" s="43" t="s">
        <v>254</v>
      </c>
      <c r="K445" s="43" t="s">
        <v>254</v>
      </c>
      <c r="L445" s="43" t="s">
        <v>254</v>
      </c>
    </row>
    <row r="446" spans="1:12">
      <c r="A446" s="53">
        <f t="shared" ref="A446:A509" si="159">B446</f>
        <v>45917</v>
      </c>
      <c r="B446" s="41">
        <f t="shared" si="158"/>
        <v>45917</v>
      </c>
      <c r="C446" s="42" t="str">
        <f t="shared" si="157"/>
        <v>第3  水曜日</v>
      </c>
      <c r="D446" s="4" t="str">
        <f>_xlfn.XLOOKUP(B446,syukujitsu[国民の祝日・休日月日],syukujitsu[国民の祝日・休日名称],"",0,1)</f>
        <v/>
      </c>
      <c r="I446" s="43" t="s">
        <v>254</v>
      </c>
      <c r="J446" s="43" t="s">
        <v>254</v>
      </c>
      <c r="K446" s="43" t="s">
        <v>254</v>
      </c>
      <c r="L446" s="43" t="s">
        <v>254</v>
      </c>
    </row>
    <row r="447" spans="1:12">
      <c r="A447" s="53">
        <f t="shared" si="159"/>
        <v>45918</v>
      </c>
      <c r="B447" s="41">
        <f t="shared" si="158"/>
        <v>45918</v>
      </c>
      <c r="C447" s="42" t="str">
        <f t="shared" si="157"/>
        <v>第3  木曜日</v>
      </c>
      <c r="D447" s="4" t="str">
        <f>_xlfn.XLOOKUP(B447,syukujitsu[国民の祝日・休日月日],syukujitsu[国民の祝日・休日名称],"",0,1)</f>
        <v/>
      </c>
      <c r="I447" s="43" t="s">
        <v>254</v>
      </c>
      <c r="J447" s="43" t="s">
        <v>254</v>
      </c>
      <c r="K447" s="43" t="s">
        <v>254</v>
      </c>
      <c r="L447" s="43" t="s">
        <v>254</v>
      </c>
    </row>
    <row r="448" spans="1:12">
      <c r="A448" s="53">
        <f t="shared" si="159"/>
        <v>45919</v>
      </c>
      <c r="B448" s="41">
        <f t="shared" si="158"/>
        <v>45919</v>
      </c>
      <c r="C448" s="42" t="str">
        <f t="shared" si="157"/>
        <v>第3  金曜日</v>
      </c>
      <c r="D448" s="4" t="str">
        <f>_xlfn.XLOOKUP(B448,syukujitsu[国民の祝日・休日月日],syukujitsu[国民の祝日・休日名称],"",0,1)</f>
        <v/>
      </c>
      <c r="E448" s="43" t="s">
        <v>657</v>
      </c>
      <c r="I448" s="43" t="s">
        <v>254</v>
      </c>
      <c r="J448" s="43" t="s">
        <v>254</v>
      </c>
      <c r="K448" s="43" t="s">
        <v>254</v>
      </c>
      <c r="L448" s="43" t="s">
        <v>254</v>
      </c>
    </row>
    <row r="449" spans="1:12">
      <c r="A449" s="53">
        <f t="shared" si="159"/>
        <v>45920</v>
      </c>
      <c r="B449" s="41">
        <f t="shared" si="158"/>
        <v>45920</v>
      </c>
      <c r="C449" s="42" t="str">
        <f t="shared" si="157"/>
        <v>第3  土曜日</v>
      </c>
      <c r="D449" s="4" t="str">
        <f>_xlfn.XLOOKUP(B449,syukujitsu[国民の祝日・休日月日],syukujitsu[国民の祝日・休日名称],"",0,1)</f>
        <v/>
      </c>
      <c r="I449" s="43" t="s">
        <v>254</v>
      </c>
      <c r="J449" s="43" t="s">
        <v>254</v>
      </c>
      <c r="K449" s="43" t="s">
        <v>254</v>
      </c>
      <c r="L449" s="43" t="s">
        <v>254</v>
      </c>
    </row>
    <row r="450" spans="1:12">
      <c r="A450" s="53">
        <f t="shared" si="159"/>
        <v>45921</v>
      </c>
      <c r="B450" s="41">
        <f t="shared" si="158"/>
        <v>45921</v>
      </c>
      <c r="C450" s="42" t="str">
        <f t="shared" si="157"/>
        <v>第3  日曜日</v>
      </c>
      <c r="D450" s="4" t="str">
        <f>_xlfn.XLOOKUP(B450,syukujitsu[国民の祝日・休日月日],syukujitsu[国民の祝日・休日名称],"",0,1)</f>
        <v/>
      </c>
      <c r="I450" s="43" t="s">
        <v>254</v>
      </c>
      <c r="J450" s="43" t="s">
        <v>254</v>
      </c>
      <c r="K450" s="43" t="s">
        <v>254</v>
      </c>
      <c r="L450" s="43" t="s">
        <v>254</v>
      </c>
    </row>
    <row r="451" spans="1:12">
      <c r="A451" s="53">
        <f t="shared" si="159"/>
        <v>45922</v>
      </c>
      <c r="B451" s="41">
        <f t="shared" si="158"/>
        <v>45922</v>
      </c>
      <c r="C451" s="42" t="str">
        <f t="shared" si="157"/>
        <v>第4  月曜日</v>
      </c>
      <c r="D451" s="4" t="str">
        <f>_xlfn.XLOOKUP(B451,syukujitsu[国民の祝日・休日月日],syukujitsu[国民の祝日・休日名称],"",0,1)</f>
        <v/>
      </c>
      <c r="I451" s="43" t="s">
        <v>254</v>
      </c>
      <c r="J451" s="43" t="s">
        <v>254</v>
      </c>
      <c r="K451" s="43" t="s">
        <v>254</v>
      </c>
      <c r="L451" s="43" t="s">
        <v>254</v>
      </c>
    </row>
    <row r="452" spans="1:12">
      <c r="A452" s="53">
        <f t="shared" si="159"/>
        <v>45923</v>
      </c>
      <c r="B452" s="41">
        <f t="shared" si="158"/>
        <v>45923</v>
      </c>
      <c r="C452" s="42" t="str">
        <f t="shared" si="157"/>
        <v>第4  火曜日</v>
      </c>
      <c r="D452" s="4" t="str">
        <f>_xlfn.XLOOKUP(B452,syukujitsu[国民の祝日・休日月日],syukujitsu[国民の祝日・休日名称],"",0,1)</f>
        <v>秋分の日</v>
      </c>
      <c r="H452" s="43" t="s">
        <v>741</v>
      </c>
      <c r="I452" s="43" t="s">
        <v>254</v>
      </c>
      <c r="J452" s="43" t="s">
        <v>254</v>
      </c>
      <c r="K452" s="43" t="s">
        <v>254</v>
      </c>
      <c r="L452" s="43" t="s">
        <v>254</v>
      </c>
    </row>
    <row r="453" spans="1:12">
      <c r="A453" s="53">
        <f t="shared" si="159"/>
        <v>45924</v>
      </c>
      <c r="B453" s="41">
        <f t="shared" si="158"/>
        <v>45924</v>
      </c>
      <c r="C453" s="42" t="str">
        <f t="shared" si="157"/>
        <v>第4  水曜日</v>
      </c>
      <c r="D453" s="4" t="str">
        <f>_xlfn.XLOOKUP(B453,syukujitsu[国民の祝日・休日月日],syukujitsu[国民の祝日・休日名称],"",0,1)</f>
        <v/>
      </c>
      <c r="E453" s="43" t="s">
        <v>754</v>
      </c>
      <c r="I453" s="43" t="s">
        <v>254</v>
      </c>
      <c r="J453" s="43" t="s">
        <v>254</v>
      </c>
      <c r="K453" s="43" t="s">
        <v>254</v>
      </c>
      <c r="L453" s="43" t="s">
        <v>254</v>
      </c>
    </row>
    <row r="454" spans="1:12">
      <c r="A454" s="53">
        <f t="shared" si="159"/>
        <v>45925</v>
      </c>
      <c r="B454" s="41">
        <f t="shared" si="158"/>
        <v>45925</v>
      </c>
      <c r="C454" s="42" t="str">
        <f t="shared" si="157"/>
        <v>第4  木曜日</v>
      </c>
      <c r="D454" s="4" t="str">
        <f>_xlfn.XLOOKUP(B454,syukujitsu[国民の祝日・休日月日],syukujitsu[国民の祝日・休日名称],"",0,1)</f>
        <v/>
      </c>
      <c r="E454" s="43" t="s">
        <v>753</v>
      </c>
      <c r="I454" s="43" t="s">
        <v>254</v>
      </c>
      <c r="J454" s="43" t="s">
        <v>254</v>
      </c>
      <c r="K454" s="43" t="s">
        <v>254</v>
      </c>
      <c r="L454" s="43" t="s">
        <v>254</v>
      </c>
    </row>
    <row r="455" spans="1:12">
      <c r="A455" s="53">
        <f t="shared" si="159"/>
        <v>45926</v>
      </c>
      <c r="B455" s="41">
        <f t="shared" si="158"/>
        <v>45926</v>
      </c>
      <c r="C455" s="42" t="str">
        <f t="shared" si="157"/>
        <v>第4  金曜日</v>
      </c>
      <c r="D455" s="4" t="str">
        <f>_xlfn.XLOOKUP(B455,syukujitsu[国民の祝日・休日月日],syukujitsu[国民の祝日・休日名称],"",0,1)</f>
        <v/>
      </c>
      <c r="I455" s="43" t="s">
        <v>254</v>
      </c>
      <c r="J455" s="43" t="s">
        <v>254</v>
      </c>
      <c r="K455" s="43" t="s">
        <v>254</v>
      </c>
      <c r="L455" s="43" t="s">
        <v>254</v>
      </c>
    </row>
    <row r="456" spans="1:12">
      <c r="A456" s="53">
        <f t="shared" si="159"/>
        <v>45927</v>
      </c>
      <c r="B456" s="41">
        <f t="shared" si="158"/>
        <v>45927</v>
      </c>
      <c r="C456" s="42" t="str">
        <f t="shared" si="157"/>
        <v>第4  土曜日</v>
      </c>
      <c r="D456" s="4" t="str">
        <f>_xlfn.XLOOKUP(B456,syukujitsu[国民の祝日・休日月日],syukujitsu[国民の祝日・休日名称],"",0,1)</f>
        <v/>
      </c>
      <c r="I456" s="43" t="s">
        <v>254</v>
      </c>
      <c r="J456" s="43" t="s">
        <v>254</v>
      </c>
      <c r="K456" s="43" t="s">
        <v>254</v>
      </c>
      <c r="L456" s="43" t="s">
        <v>254</v>
      </c>
    </row>
    <row r="457" spans="1:12">
      <c r="A457" s="53">
        <f t="shared" si="159"/>
        <v>45928</v>
      </c>
      <c r="B457" s="41">
        <f t="shared" si="158"/>
        <v>45928</v>
      </c>
      <c r="C457" s="42" t="str">
        <f t="shared" si="157"/>
        <v>第4  日曜日</v>
      </c>
      <c r="D457" s="4" t="str">
        <f>_xlfn.XLOOKUP(B457,syukujitsu[国民の祝日・休日月日],syukujitsu[国民の祝日・休日名称],"",0,1)</f>
        <v/>
      </c>
      <c r="I457" s="43" t="s">
        <v>254</v>
      </c>
      <c r="J457" s="43" t="s">
        <v>254</v>
      </c>
      <c r="K457" s="43" t="s">
        <v>254</v>
      </c>
      <c r="L457" s="43" t="s">
        <v>254</v>
      </c>
    </row>
    <row r="458" spans="1:12">
      <c r="A458" s="53">
        <f t="shared" si="159"/>
        <v>45929</v>
      </c>
      <c r="B458" s="41">
        <f t="shared" si="158"/>
        <v>45929</v>
      </c>
      <c r="C458" s="42" t="str">
        <f t="shared" si="157"/>
        <v>第5  月曜日</v>
      </c>
      <c r="D458" s="4" t="str">
        <f>_xlfn.XLOOKUP(B458,syukujitsu[国民の祝日・休日月日],syukujitsu[国民の祝日・休日名称],"",0,1)</f>
        <v/>
      </c>
      <c r="F458" s="43" t="s">
        <v>725</v>
      </c>
      <c r="I458" s="43" t="s">
        <v>254</v>
      </c>
      <c r="J458" s="43" t="s">
        <v>254</v>
      </c>
      <c r="K458" s="43" t="s">
        <v>254</v>
      </c>
      <c r="L458" s="43" t="s">
        <v>254</v>
      </c>
    </row>
    <row r="459" spans="1:12">
      <c r="A459" s="53">
        <f t="shared" si="159"/>
        <v>45930</v>
      </c>
      <c r="B459" s="41">
        <f t="shared" si="158"/>
        <v>45930</v>
      </c>
      <c r="C459" s="42" t="str">
        <f t="shared" si="157"/>
        <v>第5  火曜日</v>
      </c>
      <c r="D459" s="4" t="str">
        <f>_xlfn.XLOOKUP(B459,syukujitsu[国民の祝日・休日月日],syukujitsu[国民の祝日・休日名称],"",0,1)</f>
        <v/>
      </c>
      <c r="H459" s="43" t="s">
        <v>741</v>
      </c>
      <c r="I459" s="43" t="s">
        <v>254</v>
      </c>
      <c r="J459" s="43" t="s">
        <v>254</v>
      </c>
      <c r="K459" s="43" t="s">
        <v>254</v>
      </c>
      <c r="L459" s="43" t="s">
        <v>254</v>
      </c>
    </row>
    <row r="460" spans="1:12">
      <c r="A460" s="53">
        <f t="shared" si="159"/>
        <v>45931</v>
      </c>
      <c r="B460" s="41">
        <f t="shared" si="158"/>
        <v>45931</v>
      </c>
      <c r="C460" s="42" t="str">
        <f t="shared" ref="C460:C523" si="160">"第"&amp;ROUNDUP(DAY(B460)/7,0)  &amp;"  "&amp;TEXT(B460,"aaaa")</f>
        <v>第1  水曜日</v>
      </c>
      <c r="D460" s="4" t="str">
        <f>_xlfn.XLOOKUP(B460,syukujitsu[国民の祝日・休日月日],syukujitsu[国民の祝日・休日名称],"",0,1)</f>
        <v/>
      </c>
      <c r="E460" s="43" t="s">
        <v>755</v>
      </c>
      <c r="F460" s="43" t="s">
        <v>757</v>
      </c>
      <c r="I460" s="43" t="s">
        <v>254</v>
      </c>
      <c r="J460" s="43" t="s">
        <v>254</v>
      </c>
      <c r="K460" s="43" t="s">
        <v>254</v>
      </c>
      <c r="L460" s="43" t="s">
        <v>254</v>
      </c>
    </row>
    <row r="461" spans="1:12">
      <c r="A461" s="53">
        <f t="shared" si="159"/>
        <v>45932</v>
      </c>
      <c r="B461" s="41">
        <f t="shared" si="158"/>
        <v>45932</v>
      </c>
      <c r="C461" s="42" t="str">
        <f t="shared" si="160"/>
        <v>第1  木曜日</v>
      </c>
      <c r="D461" s="4" t="str">
        <f>_xlfn.XLOOKUP(B461,syukujitsu[国民の祝日・休日月日],syukujitsu[国民の祝日・休日名称],"",0,1)</f>
        <v/>
      </c>
      <c r="E461" s="43" t="s">
        <v>756</v>
      </c>
      <c r="F461" s="43" t="s">
        <v>758</v>
      </c>
      <c r="I461" s="43" t="s">
        <v>254</v>
      </c>
      <c r="J461" s="43" t="s">
        <v>254</v>
      </c>
      <c r="K461" s="43" t="s">
        <v>254</v>
      </c>
      <c r="L461" s="43" t="s">
        <v>254</v>
      </c>
    </row>
    <row r="462" spans="1:12">
      <c r="A462" s="53">
        <f t="shared" si="159"/>
        <v>45933</v>
      </c>
      <c r="B462" s="41">
        <f t="shared" si="158"/>
        <v>45933</v>
      </c>
      <c r="C462" s="42" t="str">
        <f t="shared" si="160"/>
        <v>第1  金曜日</v>
      </c>
      <c r="D462" s="4" t="str">
        <f>_xlfn.XLOOKUP(B462,syukujitsu[国民の祝日・休日月日],syukujitsu[国民の祝日・休日名称],"",0,1)</f>
        <v/>
      </c>
      <c r="E462" s="43" t="s">
        <v>657</v>
      </c>
      <c r="I462" s="43" t="s">
        <v>254</v>
      </c>
      <c r="J462" s="43" t="s">
        <v>254</v>
      </c>
      <c r="K462" s="43" t="s">
        <v>254</v>
      </c>
      <c r="L462" s="43" t="s">
        <v>254</v>
      </c>
    </row>
    <row r="463" spans="1:12">
      <c r="A463" s="53">
        <f t="shared" si="159"/>
        <v>45934</v>
      </c>
      <c r="B463" s="41">
        <f t="shared" si="158"/>
        <v>45934</v>
      </c>
      <c r="C463" s="42" t="str">
        <f t="shared" si="160"/>
        <v>第1  土曜日</v>
      </c>
      <c r="D463" s="4" t="str">
        <f>_xlfn.XLOOKUP(B463,syukujitsu[国民の祝日・休日月日],syukujitsu[国民の祝日・休日名称],"",0,1)</f>
        <v/>
      </c>
      <c r="I463" s="43" t="s">
        <v>254</v>
      </c>
      <c r="J463" s="43" t="s">
        <v>254</v>
      </c>
      <c r="K463" s="43" t="s">
        <v>254</v>
      </c>
      <c r="L463" s="43" t="s">
        <v>254</v>
      </c>
    </row>
    <row r="464" spans="1:12">
      <c r="A464" s="53">
        <f t="shared" si="159"/>
        <v>45935</v>
      </c>
      <c r="B464" s="41">
        <f t="shared" si="158"/>
        <v>45935</v>
      </c>
      <c r="C464" s="42" t="str">
        <f t="shared" si="160"/>
        <v>第1  日曜日</v>
      </c>
      <c r="D464" s="4" t="str">
        <f>_xlfn.XLOOKUP(B464,syukujitsu[国民の祝日・休日月日],syukujitsu[国民の祝日・休日名称],"",0,1)</f>
        <v/>
      </c>
      <c r="I464" s="43" t="s">
        <v>254</v>
      </c>
      <c r="J464" s="43" t="s">
        <v>254</v>
      </c>
      <c r="K464" s="43" t="s">
        <v>254</v>
      </c>
      <c r="L464" s="43" t="s">
        <v>254</v>
      </c>
    </row>
    <row r="465" spans="1:12">
      <c r="A465" s="53">
        <f t="shared" si="159"/>
        <v>45936</v>
      </c>
      <c r="B465" s="41">
        <f t="shared" si="158"/>
        <v>45936</v>
      </c>
      <c r="C465" s="42" t="str">
        <f t="shared" si="160"/>
        <v>第1  月曜日</v>
      </c>
      <c r="D465" s="4" t="str">
        <f>_xlfn.XLOOKUP(B465,syukujitsu[国民の祝日・休日月日],syukujitsu[国民の祝日・休日名称],"",0,1)</f>
        <v/>
      </c>
      <c r="E465" s="43" t="s">
        <v>755</v>
      </c>
      <c r="I465" s="43" t="s">
        <v>254</v>
      </c>
      <c r="J465" s="43" t="s">
        <v>254</v>
      </c>
      <c r="K465" s="43" t="s">
        <v>254</v>
      </c>
      <c r="L465" s="43" t="s">
        <v>254</v>
      </c>
    </row>
    <row r="466" spans="1:12">
      <c r="A466" s="53">
        <f t="shared" si="159"/>
        <v>45937</v>
      </c>
      <c r="B466" s="41">
        <f t="shared" si="158"/>
        <v>45937</v>
      </c>
      <c r="C466" s="42" t="str">
        <f t="shared" si="160"/>
        <v>第1  火曜日</v>
      </c>
      <c r="D466" s="4" t="str">
        <f>_xlfn.XLOOKUP(B466,syukujitsu[国民の祝日・休日月日],syukujitsu[国民の祝日・休日名称],"",0,1)</f>
        <v/>
      </c>
      <c r="E466" s="43" t="s">
        <v>758</v>
      </c>
      <c r="H466" s="43" t="s">
        <v>741</v>
      </c>
      <c r="I466" s="43" t="s">
        <v>254</v>
      </c>
      <c r="J466" s="43" t="s">
        <v>254</v>
      </c>
      <c r="K466" s="43" t="s">
        <v>254</v>
      </c>
      <c r="L466" s="43" t="s">
        <v>254</v>
      </c>
    </row>
    <row r="467" spans="1:12">
      <c r="A467" s="53">
        <f t="shared" si="159"/>
        <v>45938</v>
      </c>
      <c r="B467" s="41">
        <f t="shared" si="158"/>
        <v>45938</v>
      </c>
      <c r="C467" s="42" t="str">
        <f t="shared" si="160"/>
        <v>第2  水曜日</v>
      </c>
      <c r="D467" s="4" t="str">
        <f>_xlfn.XLOOKUP(B467,syukujitsu[国民の祝日・休日月日],syukujitsu[国民の祝日・休日名称],"",0,1)</f>
        <v/>
      </c>
      <c r="I467" s="43" t="s">
        <v>254</v>
      </c>
      <c r="J467" s="43" t="s">
        <v>254</v>
      </c>
      <c r="K467" s="43" t="s">
        <v>254</v>
      </c>
      <c r="L467" s="43" t="s">
        <v>254</v>
      </c>
    </row>
    <row r="468" spans="1:12">
      <c r="A468" s="53">
        <f t="shared" si="159"/>
        <v>45939</v>
      </c>
      <c r="B468" s="41">
        <f t="shared" si="158"/>
        <v>45939</v>
      </c>
      <c r="C468" s="42" t="str">
        <f t="shared" si="160"/>
        <v>第2  木曜日</v>
      </c>
      <c r="D468" s="4" t="str">
        <f>_xlfn.XLOOKUP(B468,syukujitsu[国民の祝日・休日月日],syukujitsu[国民の祝日・休日名称],"",0,1)</f>
        <v/>
      </c>
      <c r="I468" s="43" t="s">
        <v>254</v>
      </c>
      <c r="J468" s="43" t="s">
        <v>254</v>
      </c>
      <c r="K468" s="43" t="s">
        <v>254</v>
      </c>
      <c r="L468" s="43" t="s">
        <v>254</v>
      </c>
    </row>
    <row r="469" spans="1:12">
      <c r="A469" s="53">
        <f t="shared" si="159"/>
        <v>45940</v>
      </c>
      <c r="B469" s="41">
        <f t="shared" si="158"/>
        <v>45940</v>
      </c>
      <c r="C469" s="42" t="str">
        <f t="shared" si="160"/>
        <v>第2  金曜日</v>
      </c>
      <c r="D469" s="4" t="str">
        <f>_xlfn.XLOOKUP(B469,syukujitsu[国民の祝日・休日月日],syukujitsu[国民の祝日・休日名称],"",0,1)</f>
        <v/>
      </c>
      <c r="I469" s="43" t="s">
        <v>254</v>
      </c>
      <c r="J469" s="43" t="s">
        <v>254</v>
      </c>
      <c r="K469" s="43" t="s">
        <v>254</v>
      </c>
      <c r="L469" s="43" t="s">
        <v>254</v>
      </c>
    </row>
    <row r="470" spans="1:12">
      <c r="A470" s="53">
        <f t="shared" si="159"/>
        <v>45941</v>
      </c>
      <c r="B470" s="41">
        <f t="shared" si="158"/>
        <v>45941</v>
      </c>
      <c r="C470" s="42" t="str">
        <f t="shared" si="160"/>
        <v>第2  土曜日</v>
      </c>
      <c r="D470" s="4" t="str">
        <f>_xlfn.XLOOKUP(B470,syukujitsu[国民の祝日・休日月日],syukujitsu[国民の祝日・休日名称],"",0,1)</f>
        <v/>
      </c>
      <c r="I470" s="43" t="s">
        <v>254</v>
      </c>
      <c r="J470" s="43" t="s">
        <v>254</v>
      </c>
      <c r="K470" s="43" t="s">
        <v>254</v>
      </c>
      <c r="L470" s="43" t="s">
        <v>254</v>
      </c>
    </row>
    <row r="471" spans="1:12">
      <c r="A471" s="53">
        <f t="shared" si="159"/>
        <v>45942</v>
      </c>
      <c r="B471" s="41">
        <f t="shared" si="158"/>
        <v>45942</v>
      </c>
      <c r="C471" s="42" t="str">
        <f t="shared" si="160"/>
        <v>第2  日曜日</v>
      </c>
      <c r="D471" s="4" t="str">
        <f>_xlfn.XLOOKUP(B471,syukujitsu[国民の祝日・休日月日],syukujitsu[国民の祝日・休日名称],"",0,1)</f>
        <v/>
      </c>
      <c r="I471" s="43" t="s">
        <v>254</v>
      </c>
      <c r="J471" s="43" t="s">
        <v>254</v>
      </c>
      <c r="K471" s="43" t="s">
        <v>254</v>
      </c>
      <c r="L471" s="43" t="s">
        <v>254</v>
      </c>
    </row>
    <row r="472" spans="1:12">
      <c r="A472" s="53">
        <f t="shared" si="159"/>
        <v>45943</v>
      </c>
      <c r="B472" s="41">
        <f t="shared" si="158"/>
        <v>45943</v>
      </c>
      <c r="C472" s="42" t="str">
        <f t="shared" si="160"/>
        <v>第2  月曜日</v>
      </c>
      <c r="D472" s="4" t="str">
        <f>_xlfn.XLOOKUP(B472,syukujitsu[国民の祝日・休日月日],syukujitsu[国民の祝日・休日名称],"",0,1)</f>
        <v>スポーツの日</v>
      </c>
      <c r="F472" s="43" t="s">
        <v>725</v>
      </c>
      <c r="I472" s="43" t="s">
        <v>254</v>
      </c>
      <c r="J472" s="43" t="s">
        <v>254</v>
      </c>
      <c r="K472" s="43" t="s">
        <v>254</v>
      </c>
      <c r="L472" s="43" t="s">
        <v>254</v>
      </c>
    </row>
    <row r="473" spans="1:12">
      <c r="A473" s="53">
        <f t="shared" si="159"/>
        <v>45944</v>
      </c>
      <c r="B473" s="41">
        <f t="shared" si="158"/>
        <v>45944</v>
      </c>
      <c r="C473" s="42" t="str">
        <f t="shared" si="160"/>
        <v>第2  火曜日</v>
      </c>
      <c r="D473" s="4" t="str">
        <f>_xlfn.XLOOKUP(B473,syukujitsu[国民の祝日・休日月日],syukujitsu[国民の祝日・休日名称],"",0,1)</f>
        <v/>
      </c>
      <c r="H473" s="43" t="s">
        <v>741</v>
      </c>
      <c r="I473" s="43" t="s">
        <v>254</v>
      </c>
      <c r="J473" s="43" t="s">
        <v>254</v>
      </c>
      <c r="K473" s="43" t="s">
        <v>254</v>
      </c>
      <c r="L473" s="43" t="s">
        <v>254</v>
      </c>
    </row>
    <row r="474" spans="1:12">
      <c r="A474" s="53">
        <f t="shared" si="159"/>
        <v>45945</v>
      </c>
      <c r="B474" s="41">
        <f t="shared" si="158"/>
        <v>45945</v>
      </c>
      <c r="C474" s="42" t="str">
        <f t="shared" si="160"/>
        <v>第3  水曜日</v>
      </c>
      <c r="D474" s="4" t="str">
        <f>_xlfn.XLOOKUP(B474,syukujitsu[国民の祝日・休日月日],syukujitsu[国民の祝日・休日名称],"",0,1)</f>
        <v/>
      </c>
      <c r="I474" s="43" t="s">
        <v>254</v>
      </c>
      <c r="J474" s="43" t="s">
        <v>254</v>
      </c>
      <c r="K474" s="43" t="s">
        <v>254</v>
      </c>
      <c r="L474" s="43" t="s">
        <v>254</v>
      </c>
    </row>
    <row r="475" spans="1:12">
      <c r="A475" s="53">
        <f t="shared" si="159"/>
        <v>45946</v>
      </c>
      <c r="B475" s="41">
        <f t="shared" si="158"/>
        <v>45946</v>
      </c>
      <c r="C475" s="42" t="str">
        <f t="shared" si="160"/>
        <v>第3  木曜日</v>
      </c>
      <c r="D475" s="4" t="str">
        <f>_xlfn.XLOOKUP(B475,syukujitsu[国民の祝日・休日月日],syukujitsu[国民の祝日・休日名称],"",0,1)</f>
        <v/>
      </c>
      <c r="I475" s="43" t="s">
        <v>254</v>
      </c>
      <c r="J475" s="43" t="s">
        <v>254</v>
      </c>
      <c r="K475" s="43" t="s">
        <v>254</v>
      </c>
      <c r="L475" s="43" t="s">
        <v>254</v>
      </c>
    </row>
    <row r="476" spans="1:12">
      <c r="A476" s="53">
        <f t="shared" si="159"/>
        <v>45947</v>
      </c>
      <c r="B476" s="41">
        <f t="shared" si="158"/>
        <v>45947</v>
      </c>
      <c r="C476" s="42" t="str">
        <f t="shared" si="160"/>
        <v>第3  金曜日</v>
      </c>
      <c r="D476" s="4" t="str">
        <f>_xlfn.XLOOKUP(B476,syukujitsu[国民の祝日・休日月日],syukujitsu[国民の祝日・休日名称],"",0,1)</f>
        <v/>
      </c>
      <c r="E476" s="43" t="s">
        <v>657</v>
      </c>
      <c r="I476" s="43" t="s">
        <v>254</v>
      </c>
      <c r="J476" s="43" t="s">
        <v>254</v>
      </c>
      <c r="K476" s="43" t="s">
        <v>254</v>
      </c>
      <c r="L476" s="43" t="s">
        <v>254</v>
      </c>
    </row>
    <row r="477" spans="1:12">
      <c r="A477" s="53">
        <f t="shared" si="159"/>
        <v>45948</v>
      </c>
      <c r="B477" s="41">
        <f t="shared" si="158"/>
        <v>45948</v>
      </c>
      <c r="C477" s="42" t="str">
        <f t="shared" si="160"/>
        <v>第3  土曜日</v>
      </c>
      <c r="D477" s="4" t="str">
        <f>_xlfn.XLOOKUP(B477,syukujitsu[国民の祝日・休日月日],syukujitsu[国民の祝日・休日名称],"",0,1)</f>
        <v/>
      </c>
      <c r="I477" s="43" t="s">
        <v>254</v>
      </c>
      <c r="J477" s="43" t="s">
        <v>254</v>
      </c>
      <c r="K477" s="43" t="s">
        <v>254</v>
      </c>
      <c r="L477" s="43" t="s">
        <v>254</v>
      </c>
    </row>
    <row r="478" spans="1:12">
      <c r="A478" s="53">
        <f t="shared" si="159"/>
        <v>45949</v>
      </c>
      <c r="B478" s="41">
        <f t="shared" si="158"/>
        <v>45949</v>
      </c>
      <c r="C478" s="42" t="str">
        <f t="shared" si="160"/>
        <v>第3  日曜日</v>
      </c>
      <c r="D478" s="4" t="str">
        <f>_xlfn.XLOOKUP(B478,syukujitsu[国民の祝日・休日月日],syukujitsu[国民の祝日・休日名称],"",0,1)</f>
        <v/>
      </c>
      <c r="I478" s="43" t="s">
        <v>254</v>
      </c>
      <c r="J478" s="43" t="s">
        <v>254</v>
      </c>
      <c r="K478" s="43" t="s">
        <v>254</v>
      </c>
      <c r="L478" s="43" t="s">
        <v>254</v>
      </c>
    </row>
    <row r="479" spans="1:12">
      <c r="A479" s="53">
        <f t="shared" si="159"/>
        <v>45950</v>
      </c>
      <c r="B479" s="41">
        <f t="shared" si="158"/>
        <v>45950</v>
      </c>
      <c r="C479" s="42" t="str">
        <f t="shared" si="160"/>
        <v>第3  月曜日</v>
      </c>
      <c r="D479" s="4" t="str">
        <f>_xlfn.XLOOKUP(B479,syukujitsu[国民の祝日・休日月日],syukujitsu[国民の祝日・休日名称],"",0,1)</f>
        <v/>
      </c>
      <c r="I479" s="43" t="s">
        <v>254</v>
      </c>
      <c r="J479" s="43" t="s">
        <v>254</v>
      </c>
      <c r="K479" s="43" t="s">
        <v>254</v>
      </c>
      <c r="L479" s="43" t="s">
        <v>254</v>
      </c>
    </row>
    <row r="480" spans="1:12">
      <c r="A480" s="53">
        <f t="shared" si="159"/>
        <v>45951</v>
      </c>
      <c r="B480" s="41">
        <f t="shared" si="158"/>
        <v>45951</v>
      </c>
      <c r="C480" s="42" t="str">
        <f t="shared" si="160"/>
        <v>第3  火曜日</v>
      </c>
      <c r="D480" s="4" t="str">
        <f>_xlfn.XLOOKUP(B480,syukujitsu[国民の祝日・休日月日],syukujitsu[国民の祝日・休日名称],"",0,1)</f>
        <v/>
      </c>
      <c r="H480" s="43" t="s">
        <v>741</v>
      </c>
      <c r="I480" s="43" t="s">
        <v>254</v>
      </c>
      <c r="J480" s="43" t="s">
        <v>254</v>
      </c>
      <c r="K480" s="43" t="s">
        <v>254</v>
      </c>
      <c r="L480" s="43" t="s">
        <v>254</v>
      </c>
    </row>
    <row r="481" spans="1:12">
      <c r="A481" s="53">
        <f t="shared" si="159"/>
        <v>45952</v>
      </c>
      <c r="B481" s="41">
        <f t="shared" si="158"/>
        <v>45952</v>
      </c>
      <c r="C481" s="42" t="str">
        <f t="shared" si="160"/>
        <v>第4  水曜日</v>
      </c>
      <c r="D481" s="4" t="str">
        <f>_xlfn.XLOOKUP(B481,syukujitsu[国民の祝日・休日月日],syukujitsu[国民の祝日・休日名称],"",0,1)</f>
        <v/>
      </c>
      <c r="I481" s="43" t="s">
        <v>254</v>
      </c>
      <c r="J481" s="43" t="s">
        <v>254</v>
      </c>
      <c r="K481" s="43" t="s">
        <v>254</v>
      </c>
      <c r="L481" s="43" t="s">
        <v>254</v>
      </c>
    </row>
    <row r="482" spans="1:12">
      <c r="A482" s="53">
        <f t="shared" si="159"/>
        <v>45953</v>
      </c>
      <c r="B482" s="41">
        <f t="shared" si="158"/>
        <v>45953</v>
      </c>
      <c r="C482" s="42" t="str">
        <f t="shared" si="160"/>
        <v>第4  木曜日</v>
      </c>
      <c r="D482" s="4" t="str">
        <f>_xlfn.XLOOKUP(B482,syukujitsu[国民の祝日・休日月日],syukujitsu[国民の祝日・休日名称],"",0,1)</f>
        <v/>
      </c>
      <c r="I482" s="43" t="s">
        <v>254</v>
      </c>
      <c r="J482" s="43" t="s">
        <v>254</v>
      </c>
      <c r="K482" s="43" t="s">
        <v>254</v>
      </c>
      <c r="L482" s="43" t="s">
        <v>254</v>
      </c>
    </row>
    <row r="483" spans="1:12">
      <c r="A483" s="53">
        <f t="shared" si="159"/>
        <v>45954</v>
      </c>
      <c r="B483" s="41">
        <f t="shared" si="158"/>
        <v>45954</v>
      </c>
      <c r="C483" s="42" t="str">
        <f t="shared" si="160"/>
        <v>第4  金曜日</v>
      </c>
      <c r="D483" s="4" t="str">
        <f>_xlfn.XLOOKUP(B483,syukujitsu[国民の祝日・休日月日],syukujitsu[国民の祝日・休日名称],"",0,1)</f>
        <v/>
      </c>
      <c r="I483" s="43" t="s">
        <v>254</v>
      </c>
      <c r="J483" s="43" t="s">
        <v>254</v>
      </c>
      <c r="K483" s="43" t="s">
        <v>254</v>
      </c>
      <c r="L483" s="43" t="s">
        <v>254</v>
      </c>
    </row>
    <row r="484" spans="1:12">
      <c r="A484" s="53">
        <f t="shared" si="159"/>
        <v>45955</v>
      </c>
      <c r="B484" s="41">
        <f t="shared" si="158"/>
        <v>45955</v>
      </c>
      <c r="C484" s="42" t="str">
        <f t="shared" si="160"/>
        <v>第4  土曜日</v>
      </c>
      <c r="D484" s="4" t="str">
        <f>_xlfn.XLOOKUP(B484,syukujitsu[国民の祝日・休日月日],syukujitsu[国民の祝日・休日名称],"",0,1)</f>
        <v/>
      </c>
      <c r="I484" s="43" t="s">
        <v>254</v>
      </c>
      <c r="J484" s="43" t="s">
        <v>254</v>
      </c>
      <c r="K484" s="43" t="s">
        <v>254</v>
      </c>
      <c r="L484" s="43" t="s">
        <v>254</v>
      </c>
    </row>
    <row r="485" spans="1:12">
      <c r="A485" s="53">
        <f t="shared" si="159"/>
        <v>45956</v>
      </c>
      <c r="B485" s="41">
        <f t="shared" si="158"/>
        <v>45956</v>
      </c>
      <c r="C485" s="42" t="str">
        <f t="shared" si="160"/>
        <v>第4  日曜日</v>
      </c>
      <c r="D485" s="4" t="str">
        <f>_xlfn.XLOOKUP(B485,syukujitsu[国民の祝日・休日月日],syukujitsu[国民の祝日・休日名称],"",0,1)</f>
        <v/>
      </c>
      <c r="I485" s="43" t="s">
        <v>254</v>
      </c>
      <c r="J485" s="43" t="s">
        <v>254</v>
      </c>
      <c r="K485" s="43" t="s">
        <v>254</v>
      </c>
      <c r="L485" s="43" t="s">
        <v>254</v>
      </c>
    </row>
    <row r="486" spans="1:12">
      <c r="A486" s="53">
        <f t="shared" si="159"/>
        <v>45957</v>
      </c>
      <c r="B486" s="41">
        <f t="shared" si="158"/>
        <v>45957</v>
      </c>
      <c r="C486" s="42" t="str">
        <f t="shared" si="160"/>
        <v>第4  月曜日</v>
      </c>
      <c r="D486" s="4" t="str">
        <f>_xlfn.XLOOKUP(B486,syukujitsu[国民の祝日・休日月日],syukujitsu[国民の祝日・休日名称],"",0,1)</f>
        <v/>
      </c>
      <c r="I486" s="43" t="s">
        <v>254</v>
      </c>
      <c r="J486" s="43" t="s">
        <v>254</v>
      </c>
      <c r="K486" s="43" t="s">
        <v>254</v>
      </c>
      <c r="L486" s="43" t="s">
        <v>254</v>
      </c>
    </row>
    <row r="487" spans="1:12">
      <c r="A487" s="53">
        <f t="shared" si="159"/>
        <v>45958</v>
      </c>
      <c r="B487" s="41">
        <f t="shared" si="158"/>
        <v>45958</v>
      </c>
      <c r="C487" s="42" t="str">
        <f t="shared" si="160"/>
        <v>第4  火曜日</v>
      </c>
      <c r="D487" s="4" t="str">
        <f>_xlfn.XLOOKUP(B487,syukujitsu[国民の祝日・休日月日],syukujitsu[国民の祝日・休日名称],"",0,1)</f>
        <v/>
      </c>
      <c r="F487" s="43" t="s">
        <v>725</v>
      </c>
      <c r="H487" s="43" t="s">
        <v>741</v>
      </c>
      <c r="I487" s="43" t="s">
        <v>254</v>
      </c>
      <c r="J487" s="43" t="s">
        <v>254</v>
      </c>
      <c r="K487" s="43" t="s">
        <v>254</v>
      </c>
      <c r="L487" s="43" t="s">
        <v>254</v>
      </c>
    </row>
    <row r="488" spans="1:12">
      <c r="A488" s="53">
        <f t="shared" si="159"/>
        <v>45959</v>
      </c>
      <c r="B488" s="41">
        <f t="shared" si="158"/>
        <v>45959</v>
      </c>
      <c r="C488" s="42" t="str">
        <f t="shared" si="160"/>
        <v>第5  水曜日</v>
      </c>
      <c r="D488" s="4" t="str">
        <f>_xlfn.XLOOKUP(B488,syukujitsu[国民の祝日・休日月日],syukujitsu[国民の祝日・休日名称],"",0,1)</f>
        <v/>
      </c>
      <c r="I488" s="43" t="s">
        <v>254</v>
      </c>
      <c r="J488" s="43" t="s">
        <v>254</v>
      </c>
      <c r="K488" s="43" t="s">
        <v>254</v>
      </c>
      <c r="L488" s="43" t="s">
        <v>254</v>
      </c>
    </row>
    <row r="489" spans="1:12">
      <c r="A489" s="53">
        <f t="shared" si="159"/>
        <v>45960</v>
      </c>
      <c r="B489" s="41">
        <f t="shared" si="158"/>
        <v>45960</v>
      </c>
      <c r="C489" s="42" t="str">
        <f t="shared" si="160"/>
        <v>第5  木曜日</v>
      </c>
      <c r="D489" s="4" t="str">
        <f>_xlfn.XLOOKUP(B489,syukujitsu[国民の祝日・休日月日],syukujitsu[国民の祝日・休日名称],"",0,1)</f>
        <v/>
      </c>
      <c r="I489" s="43" t="s">
        <v>254</v>
      </c>
      <c r="J489" s="43" t="s">
        <v>254</v>
      </c>
      <c r="K489" s="43" t="s">
        <v>254</v>
      </c>
      <c r="L489" s="43" t="s">
        <v>254</v>
      </c>
    </row>
    <row r="490" spans="1:12">
      <c r="A490" s="53">
        <f t="shared" si="159"/>
        <v>45961</v>
      </c>
      <c r="B490" s="41">
        <f t="shared" si="158"/>
        <v>45961</v>
      </c>
      <c r="C490" s="42" t="str">
        <f t="shared" si="160"/>
        <v>第5  金曜日</v>
      </c>
      <c r="D490" s="4" t="str">
        <f>_xlfn.XLOOKUP(B490,syukujitsu[国民の祝日・休日月日],syukujitsu[国民の祝日・休日名称],"",0,1)</f>
        <v/>
      </c>
      <c r="E490" s="43" t="s">
        <v>657</v>
      </c>
      <c r="I490" s="43" t="s">
        <v>254</v>
      </c>
      <c r="J490" s="43" t="s">
        <v>254</v>
      </c>
      <c r="K490" s="43" t="s">
        <v>254</v>
      </c>
      <c r="L490" s="43" t="s">
        <v>254</v>
      </c>
    </row>
    <row r="491" spans="1:12">
      <c r="A491" s="53">
        <f t="shared" si="159"/>
        <v>45962</v>
      </c>
      <c r="B491" s="41">
        <f t="shared" si="158"/>
        <v>45962</v>
      </c>
      <c r="C491" s="42" t="str">
        <f t="shared" si="160"/>
        <v>第1  土曜日</v>
      </c>
      <c r="D491" s="4" t="str">
        <f>_xlfn.XLOOKUP(B491,syukujitsu[国民の祝日・休日月日],syukujitsu[国民の祝日・休日名称],"",0,1)</f>
        <v/>
      </c>
      <c r="I491" s="43" t="s">
        <v>254</v>
      </c>
      <c r="J491" s="43" t="s">
        <v>254</v>
      </c>
      <c r="K491" s="43" t="s">
        <v>254</v>
      </c>
      <c r="L491" s="43" t="s">
        <v>254</v>
      </c>
    </row>
    <row r="492" spans="1:12">
      <c r="A492" s="53">
        <f t="shared" si="159"/>
        <v>45963</v>
      </c>
      <c r="B492" s="41">
        <f t="shared" si="158"/>
        <v>45963</v>
      </c>
      <c r="C492" s="42" t="str">
        <f t="shared" si="160"/>
        <v>第1  日曜日</v>
      </c>
      <c r="D492" s="4" t="str">
        <f>_xlfn.XLOOKUP(B492,syukujitsu[国民の祝日・休日月日],syukujitsu[国民の祝日・休日名称],"",0,1)</f>
        <v/>
      </c>
      <c r="I492" s="43" t="s">
        <v>254</v>
      </c>
      <c r="J492" s="43" t="s">
        <v>254</v>
      </c>
      <c r="K492" s="43" t="s">
        <v>254</v>
      </c>
      <c r="L492" s="43" t="s">
        <v>254</v>
      </c>
    </row>
    <row r="493" spans="1:12">
      <c r="A493" s="53">
        <f t="shared" si="159"/>
        <v>45964</v>
      </c>
      <c r="B493" s="41">
        <f t="shared" si="158"/>
        <v>45964</v>
      </c>
      <c r="C493" s="42" t="str">
        <f t="shared" si="160"/>
        <v>第1  月曜日</v>
      </c>
      <c r="D493" s="4" t="str">
        <f>_xlfn.XLOOKUP(B493,syukujitsu[国民の祝日・休日月日],syukujitsu[国民の祝日・休日名称],"",0,1)</f>
        <v>文化の日</v>
      </c>
      <c r="I493" s="43" t="s">
        <v>254</v>
      </c>
      <c r="J493" s="43" t="s">
        <v>254</v>
      </c>
      <c r="K493" s="43" t="s">
        <v>254</v>
      </c>
      <c r="L493" s="43" t="s">
        <v>254</v>
      </c>
    </row>
    <row r="494" spans="1:12">
      <c r="A494" s="53">
        <f t="shared" si="159"/>
        <v>45965</v>
      </c>
      <c r="B494" s="41">
        <f t="shared" si="158"/>
        <v>45965</v>
      </c>
      <c r="C494" s="42" t="str">
        <f t="shared" si="160"/>
        <v>第1  火曜日</v>
      </c>
      <c r="D494" s="4" t="str">
        <f>_xlfn.XLOOKUP(B494,syukujitsu[国民の祝日・休日月日],syukujitsu[国民の祝日・休日名称],"",0,1)</f>
        <v/>
      </c>
      <c r="H494" s="43" t="s">
        <v>741</v>
      </c>
      <c r="I494" s="43" t="s">
        <v>254</v>
      </c>
      <c r="J494" s="43" t="s">
        <v>254</v>
      </c>
      <c r="K494" s="43" t="s">
        <v>254</v>
      </c>
      <c r="L494" s="43" t="s">
        <v>254</v>
      </c>
    </row>
    <row r="495" spans="1:12">
      <c r="A495" s="53">
        <f t="shared" si="159"/>
        <v>45966</v>
      </c>
      <c r="B495" s="41">
        <f t="shared" si="158"/>
        <v>45966</v>
      </c>
      <c r="C495" s="42" t="str">
        <f t="shared" si="160"/>
        <v>第1  水曜日</v>
      </c>
      <c r="D495" s="4" t="str">
        <f>_xlfn.XLOOKUP(B495,syukujitsu[国民の祝日・休日月日],syukujitsu[国民の祝日・休日名称],"",0,1)</f>
        <v/>
      </c>
      <c r="E495" s="43" t="s">
        <v>470</v>
      </c>
      <c r="I495" s="43" t="s">
        <v>254</v>
      </c>
      <c r="J495" s="43" t="s">
        <v>254</v>
      </c>
      <c r="K495" s="43" t="s">
        <v>254</v>
      </c>
      <c r="L495" s="43" t="s">
        <v>254</v>
      </c>
    </row>
    <row r="496" spans="1:12">
      <c r="A496" s="53">
        <f t="shared" si="159"/>
        <v>45967</v>
      </c>
      <c r="B496" s="41">
        <f t="shared" si="158"/>
        <v>45967</v>
      </c>
      <c r="C496" s="42" t="str">
        <f t="shared" si="160"/>
        <v>第1  木曜日</v>
      </c>
      <c r="D496" s="4" t="str">
        <f>_xlfn.XLOOKUP(B496,syukujitsu[国民の祝日・休日月日],syukujitsu[国民の祝日・休日名称],"",0,1)</f>
        <v/>
      </c>
      <c r="I496" s="43" t="s">
        <v>254</v>
      </c>
      <c r="J496" s="43" t="s">
        <v>254</v>
      </c>
      <c r="K496" s="43" t="s">
        <v>254</v>
      </c>
      <c r="L496" s="43" t="s">
        <v>254</v>
      </c>
    </row>
    <row r="497" spans="1:12">
      <c r="A497" s="53">
        <f t="shared" si="159"/>
        <v>45968</v>
      </c>
      <c r="B497" s="41">
        <f t="shared" si="158"/>
        <v>45968</v>
      </c>
      <c r="C497" s="42" t="str">
        <f t="shared" si="160"/>
        <v>第1  金曜日</v>
      </c>
      <c r="D497" s="4" t="str">
        <f>_xlfn.XLOOKUP(B497,syukujitsu[国民の祝日・休日月日],syukujitsu[国民の祝日・休日名称],"",0,1)</f>
        <v/>
      </c>
      <c r="I497" s="43" t="s">
        <v>254</v>
      </c>
      <c r="J497" s="43" t="s">
        <v>254</v>
      </c>
      <c r="K497" s="43" t="s">
        <v>254</v>
      </c>
      <c r="L497" s="43" t="s">
        <v>254</v>
      </c>
    </row>
    <row r="498" spans="1:12">
      <c r="A498" s="53">
        <f t="shared" si="159"/>
        <v>45969</v>
      </c>
      <c r="B498" s="41">
        <f t="shared" si="158"/>
        <v>45969</v>
      </c>
      <c r="C498" s="42" t="str">
        <f t="shared" si="160"/>
        <v>第2  土曜日</v>
      </c>
      <c r="D498" s="4" t="str">
        <f>_xlfn.XLOOKUP(B498,syukujitsu[国民の祝日・休日月日],syukujitsu[国民の祝日・休日名称],"",0,1)</f>
        <v/>
      </c>
      <c r="I498" s="43" t="s">
        <v>254</v>
      </c>
      <c r="J498" s="43" t="s">
        <v>254</v>
      </c>
      <c r="K498" s="43" t="s">
        <v>254</v>
      </c>
      <c r="L498" s="43" t="s">
        <v>254</v>
      </c>
    </row>
    <row r="499" spans="1:12">
      <c r="A499" s="53">
        <f t="shared" si="159"/>
        <v>45970</v>
      </c>
      <c r="B499" s="41">
        <f t="shared" si="158"/>
        <v>45970</v>
      </c>
      <c r="C499" s="42" t="str">
        <f t="shared" si="160"/>
        <v>第2  日曜日</v>
      </c>
      <c r="D499" s="4" t="str">
        <f>_xlfn.XLOOKUP(B499,syukujitsu[国民の祝日・休日月日],syukujitsu[国民の祝日・休日名称],"",0,1)</f>
        <v/>
      </c>
      <c r="I499" s="43" t="s">
        <v>254</v>
      </c>
      <c r="J499" s="43" t="s">
        <v>254</v>
      </c>
      <c r="K499" s="43" t="s">
        <v>254</v>
      </c>
      <c r="L499" s="43" t="s">
        <v>254</v>
      </c>
    </row>
    <row r="500" spans="1:12">
      <c r="A500" s="53">
        <f t="shared" si="159"/>
        <v>45971</v>
      </c>
      <c r="B500" s="41">
        <f t="shared" si="158"/>
        <v>45971</v>
      </c>
      <c r="C500" s="42" t="str">
        <f t="shared" si="160"/>
        <v>第2  月曜日</v>
      </c>
      <c r="D500" s="4" t="str">
        <f>_xlfn.XLOOKUP(B500,syukujitsu[国民の祝日・休日月日],syukujitsu[国民の祝日・休日名称],"",0,1)</f>
        <v/>
      </c>
      <c r="E500" s="43" t="s">
        <v>470</v>
      </c>
      <c r="F500" s="43" t="s">
        <v>725</v>
      </c>
      <c r="I500" s="43" t="s">
        <v>254</v>
      </c>
      <c r="J500" s="43" t="s">
        <v>254</v>
      </c>
      <c r="K500" s="43" t="s">
        <v>254</v>
      </c>
      <c r="L500" s="43" t="s">
        <v>254</v>
      </c>
    </row>
    <row r="501" spans="1:12">
      <c r="A501" s="53">
        <f t="shared" si="159"/>
        <v>45972</v>
      </c>
      <c r="B501" s="41">
        <f t="shared" si="158"/>
        <v>45972</v>
      </c>
      <c r="C501" s="42" t="str">
        <f t="shared" si="160"/>
        <v>第2  火曜日</v>
      </c>
      <c r="D501" s="4" t="str">
        <f>_xlfn.XLOOKUP(B501,syukujitsu[国民の祝日・休日月日],syukujitsu[国民の祝日・休日名称],"",0,1)</f>
        <v/>
      </c>
      <c r="H501" s="43" t="s">
        <v>741</v>
      </c>
      <c r="I501" s="43" t="s">
        <v>254</v>
      </c>
      <c r="J501" s="43" t="s">
        <v>254</v>
      </c>
      <c r="K501" s="43" t="s">
        <v>254</v>
      </c>
      <c r="L501" s="43" t="s">
        <v>254</v>
      </c>
    </row>
    <row r="502" spans="1:12">
      <c r="A502" s="53">
        <f t="shared" si="159"/>
        <v>45973</v>
      </c>
      <c r="B502" s="41">
        <f t="shared" si="158"/>
        <v>45973</v>
      </c>
      <c r="C502" s="42" t="str">
        <f t="shared" si="160"/>
        <v>第2  水曜日</v>
      </c>
      <c r="D502" s="4" t="str">
        <f>_xlfn.XLOOKUP(B502,syukujitsu[国民の祝日・休日月日],syukujitsu[国民の祝日・休日名称],"",0,1)</f>
        <v/>
      </c>
      <c r="I502" s="43" t="s">
        <v>254</v>
      </c>
      <c r="J502" s="43" t="s">
        <v>254</v>
      </c>
      <c r="K502" s="43" t="s">
        <v>254</v>
      </c>
      <c r="L502" s="43" t="s">
        <v>254</v>
      </c>
    </row>
    <row r="503" spans="1:12">
      <c r="A503" s="53">
        <f t="shared" si="159"/>
        <v>45974</v>
      </c>
      <c r="B503" s="41">
        <f t="shared" ref="B503:B566" si="161">B502+1</f>
        <v>45974</v>
      </c>
      <c r="C503" s="42" t="str">
        <f t="shared" si="160"/>
        <v>第2  木曜日</v>
      </c>
      <c r="D503" s="4" t="str">
        <f>_xlfn.XLOOKUP(B503,syukujitsu[国民の祝日・休日月日],syukujitsu[国民の祝日・休日名称],"",0,1)</f>
        <v/>
      </c>
      <c r="E503" s="43" t="s">
        <v>674</v>
      </c>
      <c r="F503" s="43" t="s">
        <v>362</v>
      </c>
      <c r="I503" s="43" t="s">
        <v>254</v>
      </c>
      <c r="J503" s="43" t="s">
        <v>254</v>
      </c>
      <c r="K503" s="43" t="s">
        <v>254</v>
      </c>
      <c r="L503" s="43" t="s">
        <v>254</v>
      </c>
    </row>
    <row r="504" spans="1:12">
      <c r="A504" s="53">
        <f t="shared" si="159"/>
        <v>45975</v>
      </c>
      <c r="B504" s="41">
        <f t="shared" si="161"/>
        <v>45975</v>
      </c>
      <c r="C504" s="42" t="str">
        <f t="shared" si="160"/>
        <v>第2  金曜日</v>
      </c>
      <c r="D504" s="4" t="str">
        <f>_xlfn.XLOOKUP(B504,syukujitsu[国民の祝日・休日月日],syukujitsu[国民の祝日・休日名称],"",0,1)</f>
        <v/>
      </c>
      <c r="E504" s="43" t="s">
        <v>657</v>
      </c>
      <c r="I504" s="43" t="s">
        <v>254</v>
      </c>
      <c r="J504" s="43" t="s">
        <v>254</v>
      </c>
      <c r="K504" s="43" t="s">
        <v>254</v>
      </c>
      <c r="L504" s="43" t="s">
        <v>254</v>
      </c>
    </row>
    <row r="505" spans="1:12">
      <c r="A505" s="53">
        <f t="shared" si="159"/>
        <v>45976</v>
      </c>
      <c r="B505" s="41">
        <f t="shared" si="161"/>
        <v>45976</v>
      </c>
      <c r="C505" s="42" t="str">
        <f t="shared" si="160"/>
        <v>第3  土曜日</v>
      </c>
      <c r="D505" s="4" t="str">
        <f>_xlfn.XLOOKUP(B505,syukujitsu[国民の祝日・休日月日],syukujitsu[国民の祝日・休日名称],"",0,1)</f>
        <v/>
      </c>
      <c r="I505" s="43" t="s">
        <v>254</v>
      </c>
      <c r="J505" s="43" t="s">
        <v>254</v>
      </c>
      <c r="K505" s="43" t="s">
        <v>254</v>
      </c>
      <c r="L505" s="43" t="s">
        <v>254</v>
      </c>
    </row>
    <row r="506" spans="1:12">
      <c r="A506" s="53">
        <f t="shared" si="159"/>
        <v>45977</v>
      </c>
      <c r="B506" s="41">
        <f t="shared" si="161"/>
        <v>45977</v>
      </c>
      <c r="C506" s="42" t="str">
        <f t="shared" si="160"/>
        <v>第3  日曜日</v>
      </c>
      <c r="D506" s="4" t="str">
        <f>_xlfn.XLOOKUP(B506,syukujitsu[国民の祝日・休日月日],syukujitsu[国民の祝日・休日名称],"",0,1)</f>
        <v/>
      </c>
      <c r="I506" s="43" t="s">
        <v>254</v>
      </c>
      <c r="J506" s="43" t="s">
        <v>254</v>
      </c>
      <c r="K506" s="43" t="s">
        <v>254</v>
      </c>
      <c r="L506" s="43" t="s">
        <v>254</v>
      </c>
    </row>
    <row r="507" spans="1:12">
      <c r="A507" s="53">
        <f t="shared" si="159"/>
        <v>45978</v>
      </c>
      <c r="B507" s="41">
        <f t="shared" si="161"/>
        <v>45978</v>
      </c>
      <c r="C507" s="42" t="str">
        <f t="shared" si="160"/>
        <v>第3  月曜日</v>
      </c>
      <c r="D507" s="4" t="str">
        <f>_xlfn.XLOOKUP(B507,syukujitsu[国民の祝日・休日月日],syukujitsu[国民の祝日・休日名称],"",0,1)</f>
        <v/>
      </c>
      <c r="E507" s="43" t="s">
        <v>674</v>
      </c>
      <c r="I507" s="43" t="s">
        <v>254</v>
      </c>
      <c r="J507" s="43" t="s">
        <v>254</v>
      </c>
      <c r="K507" s="43" t="s">
        <v>254</v>
      </c>
      <c r="L507" s="43" t="s">
        <v>254</v>
      </c>
    </row>
    <row r="508" spans="1:12">
      <c r="A508" s="53">
        <f t="shared" si="159"/>
        <v>45979</v>
      </c>
      <c r="B508" s="41">
        <f t="shared" si="161"/>
        <v>45979</v>
      </c>
      <c r="C508" s="42" t="str">
        <f t="shared" si="160"/>
        <v>第3  火曜日</v>
      </c>
      <c r="D508" s="4" t="str">
        <f>_xlfn.XLOOKUP(B508,syukujitsu[国民の祝日・休日月日],syukujitsu[国民の祝日・休日名称],"",0,1)</f>
        <v/>
      </c>
      <c r="H508" s="43" t="s">
        <v>741</v>
      </c>
      <c r="I508" s="43" t="s">
        <v>254</v>
      </c>
      <c r="J508" s="43" t="s">
        <v>254</v>
      </c>
      <c r="K508" s="43" t="s">
        <v>254</v>
      </c>
      <c r="L508" s="43" t="s">
        <v>254</v>
      </c>
    </row>
    <row r="509" spans="1:12">
      <c r="A509" s="53">
        <f t="shared" si="159"/>
        <v>45980</v>
      </c>
      <c r="B509" s="41">
        <f t="shared" si="161"/>
        <v>45980</v>
      </c>
      <c r="C509" s="42" t="str">
        <f t="shared" si="160"/>
        <v>第3  水曜日</v>
      </c>
      <c r="D509" s="4" t="str">
        <f>_xlfn.XLOOKUP(B509,syukujitsu[国民の祝日・休日月日],syukujitsu[国民の祝日・休日名称],"",0,1)</f>
        <v/>
      </c>
      <c r="E509" s="43" t="s">
        <v>441</v>
      </c>
      <c r="I509" s="43" t="s">
        <v>254</v>
      </c>
      <c r="J509" s="43" t="s">
        <v>254</v>
      </c>
      <c r="K509" s="43" t="s">
        <v>254</v>
      </c>
      <c r="L509" s="43" t="s">
        <v>254</v>
      </c>
    </row>
    <row r="510" spans="1:12">
      <c r="A510" s="53">
        <f t="shared" ref="A510:A573" si="162">B510</f>
        <v>45981</v>
      </c>
      <c r="B510" s="41">
        <f t="shared" si="161"/>
        <v>45981</v>
      </c>
      <c r="C510" s="42" t="str">
        <f t="shared" si="160"/>
        <v>第3  木曜日</v>
      </c>
      <c r="D510" s="4" t="str">
        <f>_xlfn.XLOOKUP(B510,syukujitsu[国民の祝日・休日月日],syukujitsu[国民の祝日・休日名称],"",0,1)</f>
        <v/>
      </c>
      <c r="E510" s="43" t="s">
        <v>746</v>
      </c>
      <c r="I510" s="43" t="s">
        <v>254</v>
      </c>
      <c r="J510" s="43" t="s">
        <v>254</v>
      </c>
      <c r="K510" s="43" t="s">
        <v>254</v>
      </c>
      <c r="L510" s="43" t="s">
        <v>254</v>
      </c>
    </row>
    <row r="511" spans="1:12">
      <c r="A511" s="53">
        <f t="shared" si="162"/>
        <v>45982</v>
      </c>
      <c r="B511" s="41">
        <f t="shared" si="161"/>
        <v>45982</v>
      </c>
      <c r="C511" s="42" t="str">
        <f t="shared" si="160"/>
        <v>第3  金曜日</v>
      </c>
      <c r="D511" s="4" t="str">
        <f>_xlfn.XLOOKUP(B511,syukujitsu[国民の祝日・休日月日],syukujitsu[国民の祝日・休日名称],"",0,1)</f>
        <v/>
      </c>
      <c r="I511" s="43" t="s">
        <v>254</v>
      </c>
      <c r="J511" s="43" t="s">
        <v>254</v>
      </c>
      <c r="K511" s="43" t="s">
        <v>254</v>
      </c>
      <c r="L511" s="43" t="s">
        <v>254</v>
      </c>
    </row>
    <row r="512" spans="1:12">
      <c r="A512" s="53">
        <f t="shared" si="162"/>
        <v>45983</v>
      </c>
      <c r="B512" s="41">
        <f t="shared" si="161"/>
        <v>45983</v>
      </c>
      <c r="C512" s="42" t="str">
        <f t="shared" si="160"/>
        <v>第4  土曜日</v>
      </c>
      <c r="D512" s="4" t="str">
        <f>_xlfn.XLOOKUP(B512,syukujitsu[国民の祝日・休日月日],syukujitsu[国民の祝日・休日名称],"",0,1)</f>
        <v/>
      </c>
      <c r="I512" s="43" t="s">
        <v>254</v>
      </c>
      <c r="J512" s="43" t="s">
        <v>254</v>
      </c>
      <c r="K512" s="43" t="s">
        <v>254</v>
      </c>
      <c r="L512" s="43" t="s">
        <v>254</v>
      </c>
    </row>
    <row r="513" spans="1:12">
      <c r="A513" s="53">
        <f t="shared" si="162"/>
        <v>45984</v>
      </c>
      <c r="B513" s="41">
        <f t="shared" si="161"/>
        <v>45984</v>
      </c>
      <c r="C513" s="42" t="str">
        <f t="shared" si="160"/>
        <v>第4  日曜日</v>
      </c>
      <c r="D513" s="4" t="str">
        <f>_xlfn.XLOOKUP(B513,syukujitsu[国民の祝日・休日月日],syukujitsu[国民の祝日・休日名称],"",0,1)</f>
        <v>勤労感謝の日</v>
      </c>
      <c r="I513" s="43" t="s">
        <v>254</v>
      </c>
      <c r="J513" s="43" t="s">
        <v>254</v>
      </c>
      <c r="K513" s="43" t="s">
        <v>254</v>
      </c>
      <c r="L513" s="43" t="s">
        <v>254</v>
      </c>
    </row>
    <row r="514" spans="1:12">
      <c r="A514" s="53">
        <f t="shared" si="162"/>
        <v>45985</v>
      </c>
      <c r="B514" s="41">
        <f t="shared" si="161"/>
        <v>45985</v>
      </c>
      <c r="C514" s="42" t="str">
        <f t="shared" si="160"/>
        <v>第4  月曜日</v>
      </c>
      <c r="D514" s="4" t="str">
        <f>_xlfn.XLOOKUP(B514,syukujitsu[国民の祝日・休日月日],syukujitsu[国民の祝日・休日名称],"",0,1)</f>
        <v>振替休日</v>
      </c>
      <c r="F514" s="43" t="s">
        <v>725</v>
      </c>
      <c r="I514" s="43" t="s">
        <v>254</v>
      </c>
      <c r="J514" s="43" t="s">
        <v>254</v>
      </c>
      <c r="K514" s="43" t="s">
        <v>254</v>
      </c>
      <c r="L514" s="43" t="s">
        <v>254</v>
      </c>
    </row>
    <row r="515" spans="1:12">
      <c r="A515" s="53">
        <f t="shared" si="162"/>
        <v>45986</v>
      </c>
      <c r="B515" s="41">
        <f t="shared" si="161"/>
        <v>45986</v>
      </c>
      <c r="C515" s="42" t="str">
        <f t="shared" si="160"/>
        <v>第4  火曜日</v>
      </c>
      <c r="D515" s="4" t="str">
        <f>_xlfn.XLOOKUP(B515,syukujitsu[国民の祝日・休日月日],syukujitsu[国民の祝日・休日名称],"",0,1)</f>
        <v/>
      </c>
      <c r="H515" s="43" t="s">
        <v>741</v>
      </c>
      <c r="I515" s="43" t="s">
        <v>254</v>
      </c>
      <c r="J515" s="43" t="s">
        <v>254</v>
      </c>
      <c r="K515" s="43" t="s">
        <v>254</v>
      </c>
      <c r="L515" s="43" t="s">
        <v>254</v>
      </c>
    </row>
    <row r="516" spans="1:12">
      <c r="A516" s="53">
        <f t="shared" si="162"/>
        <v>45987</v>
      </c>
      <c r="B516" s="41">
        <f t="shared" si="161"/>
        <v>45987</v>
      </c>
      <c r="C516" s="42" t="str">
        <f t="shared" si="160"/>
        <v>第4  水曜日</v>
      </c>
      <c r="D516" s="4" t="str">
        <f>_xlfn.XLOOKUP(B516,syukujitsu[国民の祝日・休日月日],syukujitsu[国民の祝日・休日名称],"",0,1)</f>
        <v/>
      </c>
      <c r="I516" s="43" t="s">
        <v>254</v>
      </c>
      <c r="J516" s="43" t="s">
        <v>254</v>
      </c>
      <c r="K516" s="43" t="s">
        <v>254</v>
      </c>
      <c r="L516" s="43" t="s">
        <v>254</v>
      </c>
    </row>
    <row r="517" spans="1:12">
      <c r="A517" s="53">
        <f t="shared" si="162"/>
        <v>45988</v>
      </c>
      <c r="B517" s="41">
        <f t="shared" si="161"/>
        <v>45988</v>
      </c>
      <c r="C517" s="42" t="str">
        <f t="shared" si="160"/>
        <v>第4  木曜日</v>
      </c>
      <c r="D517" s="4" t="str">
        <f>_xlfn.XLOOKUP(B517,syukujitsu[国民の祝日・休日月日],syukujitsu[国民の祝日・休日名称],"",0,1)</f>
        <v/>
      </c>
      <c r="I517" s="43" t="s">
        <v>254</v>
      </c>
      <c r="J517" s="43" t="s">
        <v>254</v>
      </c>
      <c r="K517" s="43" t="s">
        <v>254</v>
      </c>
      <c r="L517" s="43" t="s">
        <v>254</v>
      </c>
    </row>
    <row r="518" spans="1:12">
      <c r="A518" s="53">
        <f t="shared" si="162"/>
        <v>45989</v>
      </c>
      <c r="B518" s="41">
        <f t="shared" si="161"/>
        <v>45989</v>
      </c>
      <c r="C518" s="42" t="str">
        <f t="shared" si="160"/>
        <v>第4  金曜日</v>
      </c>
      <c r="D518" s="4" t="str">
        <f>_xlfn.XLOOKUP(B518,syukujitsu[国民の祝日・休日月日],syukujitsu[国民の祝日・休日名称],"",0,1)</f>
        <v/>
      </c>
      <c r="E518" s="43" t="s">
        <v>657</v>
      </c>
      <c r="I518" s="43" t="s">
        <v>254</v>
      </c>
      <c r="J518" s="43" t="s">
        <v>254</v>
      </c>
      <c r="K518" s="43" t="s">
        <v>254</v>
      </c>
      <c r="L518" s="43" t="s">
        <v>254</v>
      </c>
    </row>
    <row r="519" spans="1:12">
      <c r="A519" s="53">
        <f t="shared" si="162"/>
        <v>45990</v>
      </c>
      <c r="B519" s="41">
        <f t="shared" si="161"/>
        <v>45990</v>
      </c>
      <c r="C519" s="42" t="str">
        <f t="shared" si="160"/>
        <v>第5  土曜日</v>
      </c>
      <c r="D519" s="4" t="str">
        <f>_xlfn.XLOOKUP(B519,syukujitsu[国民の祝日・休日月日],syukujitsu[国民の祝日・休日名称],"",0,1)</f>
        <v/>
      </c>
      <c r="I519" s="43" t="s">
        <v>254</v>
      </c>
      <c r="J519" s="43" t="s">
        <v>254</v>
      </c>
      <c r="K519" s="43" t="s">
        <v>254</v>
      </c>
      <c r="L519" s="43" t="s">
        <v>254</v>
      </c>
    </row>
    <row r="520" spans="1:12">
      <c r="A520" s="53">
        <f t="shared" si="162"/>
        <v>45991</v>
      </c>
      <c r="B520" s="41">
        <f t="shared" si="161"/>
        <v>45991</v>
      </c>
      <c r="C520" s="42" t="str">
        <f t="shared" si="160"/>
        <v>第5  日曜日</v>
      </c>
      <c r="D520" s="4" t="str">
        <f>_xlfn.XLOOKUP(B520,syukujitsu[国民の祝日・休日月日],syukujitsu[国民の祝日・休日名称],"",0,1)</f>
        <v/>
      </c>
      <c r="I520" s="43" t="s">
        <v>254</v>
      </c>
      <c r="J520" s="43" t="s">
        <v>254</v>
      </c>
      <c r="K520" s="43" t="s">
        <v>254</v>
      </c>
      <c r="L520" s="43" t="s">
        <v>254</v>
      </c>
    </row>
    <row r="521" spans="1:12">
      <c r="A521" s="53">
        <f t="shared" si="162"/>
        <v>45992</v>
      </c>
      <c r="B521" s="41">
        <f t="shared" si="161"/>
        <v>45992</v>
      </c>
      <c r="C521" s="42" t="str">
        <f t="shared" si="160"/>
        <v>第1  月曜日</v>
      </c>
      <c r="D521" s="4" t="str">
        <f>_xlfn.XLOOKUP(B521,syukujitsu[国民の祝日・休日月日],syukujitsu[国民の祝日・休日名称],"",0,1)</f>
        <v/>
      </c>
      <c r="I521" s="43" t="s">
        <v>254</v>
      </c>
      <c r="J521" s="43" t="s">
        <v>254</v>
      </c>
      <c r="K521" s="43" t="s">
        <v>254</v>
      </c>
      <c r="L521" s="43" t="s">
        <v>254</v>
      </c>
    </row>
    <row r="522" spans="1:12">
      <c r="A522" s="53">
        <f t="shared" si="162"/>
        <v>45993</v>
      </c>
      <c r="B522" s="41">
        <f t="shared" si="161"/>
        <v>45993</v>
      </c>
      <c r="C522" s="42" t="str">
        <f t="shared" si="160"/>
        <v>第1  火曜日</v>
      </c>
      <c r="D522" s="4" t="str">
        <f>_xlfn.XLOOKUP(B522,syukujitsu[国民の祝日・休日月日],syukujitsu[国民の祝日・休日名称],"",0,1)</f>
        <v/>
      </c>
      <c r="H522" s="43" t="s">
        <v>741</v>
      </c>
      <c r="I522" s="43" t="s">
        <v>254</v>
      </c>
      <c r="J522" s="43" t="s">
        <v>254</v>
      </c>
      <c r="K522" s="43" t="s">
        <v>254</v>
      </c>
      <c r="L522" s="43" t="s">
        <v>254</v>
      </c>
    </row>
    <row r="523" spans="1:12">
      <c r="A523" s="53">
        <f t="shared" si="162"/>
        <v>45994</v>
      </c>
      <c r="B523" s="41">
        <f t="shared" si="161"/>
        <v>45994</v>
      </c>
      <c r="C523" s="42" t="str">
        <f t="shared" si="160"/>
        <v>第1  水曜日</v>
      </c>
      <c r="D523" s="4" t="str">
        <f>_xlfn.XLOOKUP(B523,syukujitsu[国民の祝日・休日月日],syukujitsu[国民の祝日・休日名称],"",0,1)</f>
        <v/>
      </c>
      <c r="I523" s="43" t="s">
        <v>254</v>
      </c>
      <c r="J523" s="43" t="s">
        <v>254</v>
      </c>
      <c r="K523" s="43" t="s">
        <v>254</v>
      </c>
      <c r="L523" s="43" t="s">
        <v>254</v>
      </c>
    </row>
    <row r="524" spans="1:12">
      <c r="A524" s="53">
        <f t="shared" si="162"/>
        <v>45995</v>
      </c>
      <c r="B524" s="41">
        <f t="shared" si="161"/>
        <v>45995</v>
      </c>
      <c r="C524" s="42" t="str">
        <f t="shared" ref="C524:C587" si="163">"第"&amp;ROUNDUP(DAY(B524)/7,0)  &amp;"  "&amp;TEXT(B524,"aaaa")</f>
        <v>第1  木曜日</v>
      </c>
      <c r="D524" s="4" t="str">
        <f>_xlfn.XLOOKUP(B524,syukujitsu[国民の祝日・休日月日],syukujitsu[国民の祝日・休日名称],"",0,1)</f>
        <v/>
      </c>
      <c r="I524" s="43" t="s">
        <v>254</v>
      </c>
      <c r="J524" s="43" t="s">
        <v>254</v>
      </c>
      <c r="K524" s="43" t="s">
        <v>254</v>
      </c>
      <c r="L524" s="43" t="s">
        <v>254</v>
      </c>
    </row>
    <row r="525" spans="1:12">
      <c r="A525" s="53">
        <f t="shared" si="162"/>
        <v>45996</v>
      </c>
      <c r="B525" s="41">
        <f t="shared" si="161"/>
        <v>45996</v>
      </c>
      <c r="C525" s="42" t="str">
        <f t="shared" si="163"/>
        <v>第1  金曜日</v>
      </c>
      <c r="D525" s="4" t="str">
        <f>_xlfn.XLOOKUP(B525,syukujitsu[国民の祝日・休日月日],syukujitsu[国民の祝日・休日名称],"",0,1)</f>
        <v/>
      </c>
      <c r="I525" s="43" t="s">
        <v>254</v>
      </c>
      <c r="J525" s="43" t="s">
        <v>254</v>
      </c>
      <c r="K525" s="43" t="s">
        <v>254</v>
      </c>
      <c r="L525" s="43" t="s">
        <v>254</v>
      </c>
    </row>
    <row r="526" spans="1:12">
      <c r="A526" s="53">
        <f t="shared" si="162"/>
        <v>45997</v>
      </c>
      <c r="B526" s="41">
        <f t="shared" si="161"/>
        <v>45997</v>
      </c>
      <c r="C526" s="42" t="str">
        <f t="shared" si="163"/>
        <v>第1  土曜日</v>
      </c>
      <c r="D526" s="4" t="str">
        <f>_xlfn.XLOOKUP(B526,syukujitsu[国民の祝日・休日月日],syukujitsu[国民の祝日・休日名称],"",0,1)</f>
        <v/>
      </c>
      <c r="I526" s="43" t="s">
        <v>254</v>
      </c>
      <c r="J526" s="43" t="s">
        <v>254</v>
      </c>
      <c r="K526" s="43" t="s">
        <v>254</v>
      </c>
      <c r="L526" s="43" t="s">
        <v>254</v>
      </c>
    </row>
    <row r="527" spans="1:12">
      <c r="A527" s="53">
        <f t="shared" si="162"/>
        <v>45998</v>
      </c>
      <c r="B527" s="41">
        <f t="shared" si="161"/>
        <v>45998</v>
      </c>
      <c r="C527" s="42" t="str">
        <f t="shared" si="163"/>
        <v>第1  日曜日</v>
      </c>
      <c r="D527" s="4" t="str">
        <f>_xlfn.XLOOKUP(B527,syukujitsu[国民の祝日・休日月日],syukujitsu[国民の祝日・休日名称],"",0,1)</f>
        <v/>
      </c>
      <c r="I527" s="43" t="s">
        <v>254</v>
      </c>
      <c r="J527" s="43" t="s">
        <v>254</v>
      </c>
      <c r="K527" s="43" t="s">
        <v>254</v>
      </c>
      <c r="L527" s="43" t="s">
        <v>254</v>
      </c>
    </row>
    <row r="528" spans="1:12">
      <c r="A528" s="53">
        <f t="shared" si="162"/>
        <v>45999</v>
      </c>
      <c r="B528" s="41">
        <f t="shared" si="161"/>
        <v>45999</v>
      </c>
      <c r="C528" s="42" t="str">
        <f t="shared" si="163"/>
        <v>第2  月曜日</v>
      </c>
      <c r="D528" s="4" t="str">
        <f>_xlfn.XLOOKUP(B528,syukujitsu[国民の祝日・休日月日],syukujitsu[国民の祝日・休日名称],"",0,1)</f>
        <v/>
      </c>
      <c r="F528" s="43" t="s">
        <v>725</v>
      </c>
      <c r="I528" s="43" t="s">
        <v>254</v>
      </c>
      <c r="J528" s="43" t="s">
        <v>254</v>
      </c>
      <c r="K528" s="43" t="s">
        <v>254</v>
      </c>
      <c r="L528" s="43" t="s">
        <v>254</v>
      </c>
    </row>
    <row r="529" spans="1:12">
      <c r="A529" s="53">
        <f t="shared" si="162"/>
        <v>46000</v>
      </c>
      <c r="B529" s="41">
        <f t="shared" si="161"/>
        <v>46000</v>
      </c>
      <c r="C529" s="42" t="str">
        <f t="shared" si="163"/>
        <v>第2  火曜日</v>
      </c>
      <c r="D529" s="4" t="str">
        <f>_xlfn.XLOOKUP(B529,syukujitsu[国民の祝日・休日月日],syukujitsu[国民の祝日・休日名称],"",0,1)</f>
        <v/>
      </c>
      <c r="H529" s="43" t="s">
        <v>741</v>
      </c>
      <c r="I529" s="43" t="s">
        <v>254</v>
      </c>
      <c r="J529" s="43" t="s">
        <v>254</v>
      </c>
      <c r="K529" s="43" t="s">
        <v>254</v>
      </c>
      <c r="L529" s="43" t="s">
        <v>254</v>
      </c>
    </row>
    <row r="530" spans="1:12">
      <c r="A530" s="53">
        <f t="shared" si="162"/>
        <v>46001</v>
      </c>
      <c r="B530" s="41">
        <f t="shared" si="161"/>
        <v>46001</v>
      </c>
      <c r="C530" s="42" t="str">
        <f t="shared" si="163"/>
        <v>第2  水曜日</v>
      </c>
      <c r="D530" s="4" t="str">
        <f>_xlfn.XLOOKUP(B530,syukujitsu[国民の祝日・休日月日],syukujitsu[国民の祝日・休日名称],"",0,1)</f>
        <v/>
      </c>
      <c r="I530" s="43" t="s">
        <v>254</v>
      </c>
      <c r="J530" s="43" t="s">
        <v>254</v>
      </c>
      <c r="K530" s="43" t="s">
        <v>254</v>
      </c>
      <c r="L530" s="43" t="s">
        <v>254</v>
      </c>
    </row>
    <row r="531" spans="1:12">
      <c r="A531" s="53">
        <f t="shared" si="162"/>
        <v>46002</v>
      </c>
      <c r="B531" s="41">
        <f t="shared" si="161"/>
        <v>46002</v>
      </c>
      <c r="C531" s="42" t="str">
        <f t="shared" si="163"/>
        <v>第2  木曜日</v>
      </c>
      <c r="D531" s="4" t="str">
        <f>_xlfn.XLOOKUP(B531,syukujitsu[国民の祝日・休日月日],syukujitsu[国民の祝日・休日名称],"",0,1)</f>
        <v/>
      </c>
      <c r="I531" s="43" t="s">
        <v>254</v>
      </c>
      <c r="J531" s="43" t="s">
        <v>254</v>
      </c>
      <c r="K531" s="43" t="s">
        <v>254</v>
      </c>
      <c r="L531" s="43" t="s">
        <v>254</v>
      </c>
    </row>
    <row r="532" spans="1:12">
      <c r="A532" s="53">
        <f t="shared" si="162"/>
        <v>46003</v>
      </c>
      <c r="B532" s="41">
        <f t="shared" si="161"/>
        <v>46003</v>
      </c>
      <c r="C532" s="42" t="str">
        <f t="shared" si="163"/>
        <v>第2  金曜日</v>
      </c>
      <c r="D532" s="4" t="str">
        <f>_xlfn.XLOOKUP(B532,syukujitsu[国民の祝日・休日月日],syukujitsu[国民の祝日・休日名称],"",0,1)</f>
        <v/>
      </c>
      <c r="E532" s="43" t="s">
        <v>657</v>
      </c>
      <c r="I532" s="43" t="s">
        <v>254</v>
      </c>
      <c r="J532" s="43" t="s">
        <v>254</v>
      </c>
      <c r="K532" s="43" t="s">
        <v>254</v>
      </c>
      <c r="L532" s="43" t="s">
        <v>254</v>
      </c>
    </row>
    <row r="533" spans="1:12">
      <c r="A533" s="53">
        <f t="shared" si="162"/>
        <v>46004</v>
      </c>
      <c r="B533" s="41">
        <f t="shared" si="161"/>
        <v>46004</v>
      </c>
      <c r="C533" s="42" t="str">
        <f t="shared" si="163"/>
        <v>第2  土曜日</v>
      </c>
      <c r="D533" s="4" t="str">
        <f>_xlfn.XLOOKUP(B533,syukujitsu[国民の祝日・休日月日],syukujitsu[国民の祝日・休日名称],"",0,1)</f>
        <v/>
      </c>
      <c r="I533" s="43" t="s">
        <v>254</v>
      </c>
      <c r="J533" s="43" t="s">
        <v>254</v>
      </c>
      <c r="K533" s="43" t="s">
        <v>254</v>
      </c>
      <c r="L533" s="43" t="s">
        <v>254</v>
      </c>
    </row>
    <row r="534" spans="1:12">
      <c r="A534" s="53">
        <f t="shared" si="162"/>
        <v>46005</v>
      </c>
      <c r="B534" s="41">
        <f t="shared" si="161"/>
        <v>46005</v>
      </c>
      <c r="C534" s="42" t="str">
        <f t="shared" si="163"/>
        <v>第2  日曜日</v>
      </c>
      <c r="D534" s="4" t="str">
        <f>_xlfn.XLOOKUP(B534,syukujitsu[国民の祝日・休日月日],syukujitsu[国民の祝日・休日名称],"",0,1)</f>
        <v/>
      </c>
      <c r="I534" s="43" t="s">
        <v>254</v>
      </c>
      <c r="J534" s="43" t="s">
        <v>254</v>
      </c>
      <c r="K534" s="43" t="s">
        <v>254</v>
      </c>
      <c r="L534" s="43" t="s">
        <v>254</v>
      </c>
    </row>
    <row r="535" spans="1:12">
      <c r="A535" s="53">
        <f t="shared" si="162"/>
        <v>46006</v>
      </c>
      <c r="B535" s="41">
        <f t="shared" si="161"/>
        <v>46006</v>
      </c>
      <c r="C535" s="42" t="str">
        <f t="shared" si="163"/>
        <v>第3  月曜日</v>
      </c>
      <c r="D535" s="4" t="str">
        <f>_xlfn.XLOOKUP(B535,syukujitsu[国民の祝日・休日月日],syukujitsu[国民の祝日・休日名称],"",0,1)</f>
        <v/>
      </c>
      <c r="I535" s="43" t="s">
        <v>254</v>
      </c>
      <c r="J535" s="43" t="s">
        <v>254</v>
      </c>
      <c r="K535" s="43" t="s">
        <v>254</v>
      </c>
      <c r="L535" s="43" t="s">
        <v>254</v>
      </c>
    </row>
    <row r="536" spans="1:12">
      <c r="A536" s="53">
        <f t="shared" si="162"/>
        <v>46007</v>
      </c>
      <c r="B536" s="41">
        <f t="shared" si="161"/>
        <v>46007</v>
      </c>
      <c r="C536" s="42" t="str">
        <f t="shared" si="163"/>
        <v>第3  火曜日</v>
      </c>
      <c r="D536" s="4" t="str">
        <f>_xlfn.XLOOKUP(B536,syukujitsu[国民の祝日・休日月日],syukujitsu[国民の祝日・休日名称],"",0,1)</f>
        <v/>
      </c>
      <c r="H536" s="43" t="s">
        <v>741</v>
      </c>
      <c r="I536" s="43" t="s">
        <v>254</v>
      </c>
      <c r="J536" s="43" t="s">
        <v>254</v>
      </c>
      <c r="K536" s="43" t="s">
        <v>254</v>
      </c>
      <c r="L536" s="43" t="s">
        <v>254</v>
      </c>
    </row>
    <row r="537" spans="1:12">
      <c r="A537" s="53">
        <f t="shared" si="162"/>
        <v>46008</v>
      </c>
      <c r="B537" s="41">
        <f t="shared" si="161"/>
        <v>46008</v>
      </c>
      <c r="C537" s="42" t="str">
        <f t="shared" si="163"/>
        <v>第3  水曜日</v>
      </c>
      <c r="D537" s="4" t="str">
        <f>_xlfn.XLOOKUP(B537,syukujitsu[国民の祝日・休日月日],syukujitsu[国民の祝日・休日名称],"",0,1)</f>
        <v/>
      </c>
      <c r="I537" s="43" t="s">
        <v>254</v>
      </c>
      <c r="J537" s="43" t="s">
        <v>254</v>
      </c>
      <c r="K537" s="43" t="s">
        <v>254</v>
      </c>
      <c r="L537" s="43" t="s">
        <v>254</v>
      </c>
    </row>
    <row r="538" spans="1:12">
      <c r="A538" s="53">
        <f t="shared" si="162"/>
        <v>46009</v>
      </c>
      <c r="B538" s="41">
        <f t="shared" si="161"/>
        <v>46009</v>
      </c>
      <c r="C538" s="42" t="str">
        <f t="shared" si="163"/>
        <v>第3  木曜日</v>
      </c>
      <c r="D538" s="4" t="str">
        <f>_xlfn.XLOOKUP(B538,syukujitsu[国民の祝日・休日月日],syukujitsu[国民の祝日・休日名称],"",0,1)</f>
        <v/>
      </c>
      <c r="I538" s="43" t="s">
        <v>254</v>
      </c>
      <c r="J538" s="43" t="s">
        <v>254</v>
      </c>
      <c r="K538" s="43" t="s">
        <v>254</v>
      </c>
      <c r="L538" s="43" t="s">
        <v>254</v>
      </c>
    </row>
    <row r="539" spans="1:12">
      <c r="A539" s="53">
        <f t="shared" si="162"/>
        <v>46010</v>
      </c>
      <c r="B539" s="41">
        <f t="shared" si="161"/>
        <v>46010</v>
      </c>
      <c r="C539" s="42" t="str">
        <f t="shared" si="163"/>
        <v>第3  金曜日</v>
      </c>
      <c r="D539" s="4" t="str">
        <f>_xlfn.XLOOKUP(B539,syukujitsu[国民の祝日・休日月日],syukujitsu[国民の祝日・休日名称],"",0,1)</f>
        <v/>
      </c>
      <c r="I539" s="43" t="s">
        <v>254</v>
      </c>
      <c r="J539" s="43" t="s">
        <v>254</v>
      </c>
      <c r="K539" s="43" t="s">
        <v>254</v>
      </c>
      <c r="L539" s="43" t="s">
        <v>254</v>
      </c>
    </row>
    <row r="540" spans="1:12">
      <c r="A540" s="53">
        <f t="shared" si="162"/>
        <v>46011</v>
      </c>
      <c r="B540" s="41">
        <f t="shared" si="161"/>
        <v>46011</v>
      </c>
      <c r="C540" s="42" t="str">
        <f t="shared" si="163"/>
        <v>第3  土曜日</v>
      </c>
      <c r="D540" s="4" t="str">
        <f>_xlfn.XLOOKUP(B540,syukujitsu[国民の祝日・休日月日],syukujitsu[国民の祝日・休日名称],"",0,1)</f>
        <v/>
      </c>
      <c r="I540" s="43" t="s">
        <v>254</v>
      </c>
      <c r="J540" s="43" t="s">
        <v>254</v>
      </c>
      <c r="K540" s="43" t="s">
        <v>254</v>
      </c>
      <c r="L540" s="43" t="s">
        <v>254</v>
      </c>
    </row>
    <row r="541" spans="1:12">
      <c r="A541" s="53">
        <f t="shared" si="162"/>
        <v>46012</v>
      </c>
      <c r="B541" s="41">
        <f t="shared" si="161"/>
        <v>46012</v>
      </c>
      <c r="C541" s="42" t="str">
        <f t="shared" si="163"/>
        <v>第3  日曜日</v>
      </c>
      <c r="D541" s="4" t="str">
        <f>_xlfn.XLOOKUP(B541,syukujitsu[国民の祝日・休日月日],syukujitsu[国民の祝日・休日名称],"",0,1)</f>
        <v/>
      </c>
      <c r="I541" s="43" t="s">
        <v>254</v>
      </c>
      <c r="J541" s="43" t="s">
        <v>254</v>
      </c>
      <c r="K541" s="43" t="s">
        <v>254</v>
      </c>
      <c r="L541" s="43" t="s">
        <v>254</v>
      </c>
    </row>
    <row r="542" spans="1:12">
      <c r="A542" s="53">
        <f t="shared" si="162"/>
        <v>46013</v>
      </c>
      <c r="B542" s="41">
        <f t="shared" si="161"/>
        <v>46013</v>
      </c>
      <c r="C542" s="42" t="str">
        <f t="shared" si="163"/>
        <v>第4  月曜日</v>
      </c>
      <c r="D542" s="4" t="str">
        <f>_xlfn.XLOOKUP(B542,syukujitsu[国民の祝日・休日月日],syukujitsu[国民の祝日・休日名称],"",0,1)</f>
        <v/>
      </c>
      <c r="F542" s="43" t="s">
        <v>725</v>
      </c>
      <c r="I542" s="43" t="s">
        <v>254</v>
      </c>
      <c r="J542" s="43" t="s">
        <v>254</v>
      </c>
      <c r="K542" s="43" t="s">
        <v>254</v>
      </c>
      <c r="L542" s="43" t="s">
        <v>254</v>
      </c>
    </row>
    <row r="543" spans="1:12">
      <c r="A543" s="53">
        <f t="shared" si="162"/>
        <v>46014</v>
      </c>
      <c r="B543" s="41">
        <f t="shared" si="161"/>
        <v>46014</v>
      </c>
      <c r="C543" s="42" t="str">
        <f t="shared" si="163"/>
        <v>第4  火曜日</v>
      </c>
      <c r="D543" s="4" t="str">
        <f>_xlfn.XLOOKUP(B543,syukujitsu[国民の祝日・休日月日],syukujitsu[国民の祝日・休日名称],"",0,1)</f>
        <v/>
      </c>
      <c r="H543" s="43" t="s">
        <v>741</v>
      </c>
      <c r="I543" s="43" t="s">
        <v>254</v>
      </c>
      <c r="J543" s="43" t="s">
        <v>254</v>
      </c>
      <c r="K543" s="43" t="s">
        <v>254</v>
      </c>
      <c r="L543" s="43" t="s">
        <v>254</v>
      </c>
    </row>
    <row r="544" spans="1:12">
      <c r="A544" s="53">
        <f t="shared" si="162"/>
        <v>46015</v>
      </c>
      <c r="B544" s="41">
        <f t="shared" si="161"/>
        <v>46015</v>
      </c>
      <c r="C544" s="42" t="str">
        <f t="shared" si="163"/>
        <v>第4  水曜日</v>
      </c>
      <c r="D544" s="4" t="str">
        <f>_xlfn.XLOOKUP(B544,syukujitsu[国民の祝日・休日月日],syukujitsu[国民の祝日・休日名称],"",0,1)</f>
        <v/>
      </c>
      <c r="I544" s="43" t="s">
        <v>254</v>
      </c>
      <c r="J544" s="43" t="s">
        <v>254</v>
      </c>
      <c r="K544" s="43" t="s">
        <v>254</v>
      </c>
      <c r="L544" s="43" t="s">
        <v>254</v>
      </c>
    </row>
    <row r="545" spans="1:12">
      <c r="A545" s="53">
        <f t="shared" si="162"/>
        <v>46016</v>
      </c>
      <c r="B545" s="41">
        <f t="shared" si="161"/>
        <v>46016</v>
      </c>
      <c r="C545" s="42" t="str">
        <f t="shared" si="163"/>
        <v>第4  木曜日</v>
      </c>
      <c r="D545" s="4" t="str">
        <f>_xlfn.XLOOKUP(B545,syukujitsu[国民の祝日・休日月日],syukujitsu[国民の祝日・休日名称],"",0,1)</f>
        <v/>
      </c>
      <c r="E545" s="43" t="s">
        <v>767</v>
      </c>
      <c r="F545" s="43" t="s">
        <v>768</v>
      </c>
      <c r="I545" s="43" t="s">
        <v>254</v>
      </c>
      <c r="J545" s="43" t="s">
        <v>254</v>
      </c>
      <c r="K545" s="43" t="s">
        <v>254</v>
      </c>
      <c r="L545" s="43" t="s">
        <v>254</v>
      </c>
    </row>
    <row r="546" spans="1:12">
      <c r="A546" s="53">
        <f t="shared" si="162"/>
        <v>46017</v>
      </c>
      <c r="B546" s="41">
        <f t="shared" si="161"/>
        <v>46017</v>
      </c>
      <c r="C546" s="42" t="str">
        <f t="shared" si="163"/>
        <v>第4  金曜日</v>
      </c>
      <c r="D546" s="4" t="str">
        <f>_xlfn.XLOOKUP(B546,syukujitsu[国民の祝日・休日月日],syukujitsu[国民の祝日・休日名称],"",0,1)</f>
        <v/>
      </c>
      <c r="E546" s="43" t="s">
        <v>657</v>
      </c>
      <c r="I546" s="43" t="s">
        <v>254</v>
      </c>
      <c r="J546" s="43" t="s">
        <v>254</v>
      </c>
      <c r="K546" s="43" t="s">
        <v>254</v>
      </c>
      <c r="L546" s="43" t="s">
        <v>254</v>
      </c>
    </row>
    <row r="547" spans="1:12">
      <c r="A547" s="53">
        <f t="shared" si="162"/>
        <v>46018</v>
      </c>
      <c r="B547" s="41">
        <f t="shared" si="161"/>
        <v>46018</v>
      </c>
      <c r="C547" s="42" t="str">
        <f t="shared" si="163"/>
        <v>第4  土曜日</v>
      </c>
      <c r="D547" s="4" t="str">
        <f>_xlfn.XLOOKUP(B547,syukujitsu[国民の祝日・休日月日],syukujitsu[国民の祝日・休日名称],"",0,1)</f>
        <v/>
      </c>
      <c r="I547" s="43" t="s">
        <v>254</v>
      </c>
      <c r="J547" s="43" t="s">
        <v>254</v>
      </c>
      <c r="K547" s="43" t="s">
        <v>254</v>
      </c>
      <c r="L547" s="43" t="s">
        <v>254</v>
      </c>
    </row>
    <row r="548" spans="1:12">
      <c r="A548" s="53">
        <f t="shared" si="162"/>
        <v>46019</v>
      </c>
      <c r="B548" s="41">
        <f t="shared" si="161"/>
        <v>46019</v>
      </c>
      <c r="C548" s="42" t="str">
        <f t="shared" si="163"/>
        <v>第4  日曜日</v>
      </c>
      <c r="D548" s="4" t="str">
        <f>_xlfn.XLOOKUP(B548,syukujitsu[国民の祝日・休日月日],syukujitsu[国民の祝日・休日名称],"",0,1)</f>
        <v/>
      </c>
      <c r="I548" s="43" t="s">
        <v>254</v>
      </c>
      <c r="J548" s="43" t="s">
        <v>254</v>
      </c>
      <c r="K548" s="43" t="s">
        <v>254</v>
      </c>
      <c r="L548" s="43" t="s">
        <v>254</v>
      </c>
    </row>
    <row r="549" spans="1:12">
      <c r="A549" s="53">
        <f t="shared" si="162"/>
        <v>46020</v>
      </c>
      <c r="B549" s="41">
        <f t="shared" si="161"/>
        <v>46020</v>
      </c>
      <c r="C549" s="42" t="str">
        <f t="shared" si="163"/>
        <v>第5  月曜日</v>
      </c>
      <c r="D549" s="4" t="str">
        <f>_xlfn.XLOOKUP(B549,syukujitsu[国民の祝日・休日月日],syukujitsu[国民の祝日・休日名称],"",0,1)</f>
        <v/>
      </c>
      <c r="I549" s="43" t="s">
        <v>254</v>
      </c>
      <c r="J549" s="43" t="s">
        <v>254</v>
      </c>
      <c r="K549" s="43" t="s">
        <v>254</v>
      </c>
      <c r="L549" s="43" t="s">
        <v>254</v>
      </c>
    </row>
    <row r="550" spans="1:12">
      <c r="A550" s="53">
        <f t="shared" si="162"/>
        <v>46021</v>
      </c>
      <c r="B550" s="41">
        <f t="shared" si="161"/>
        <v>46021</v>
      </c>
      <c r="C550" s="42" t="str">
        <f t="shared" si="163"/>
        <v>第5  火曜日</v>
      </c>
      <c r="D550" s="4" t="str">
        <f>_xlfn.XLOOKUP(B550,syukujitsu[国民の祝日・休日月日],syukujitsu[国民の祝日・休日名称],"",0,1)</f>
        <v/>
      </c>
      <c r="H550" s="43" t="s">
        <v>741</v>
      </c>
      <c r="I550" s="43" t="s">
        <v>254</v>
      </c>
      <c r="J550" s="43" t="s">
        <v>254</v>
      </c>
      <c r="K550" s="43" t="s">
        <v>254</v>
      </c>
      <c r="L550" s="43" t="s">
        <v>254</v>
      </c>
    </row>
    <row r="551" spans="1:12">
      <c r="A551" s="53">
        <f t="shared" si="162"/>
        <v>46022</v>
      </c>
      <c r="B551" s="41">
        <f t="shared" si="161"/>
        <v>46022</v>
      </c>
      <c r="C551" s="42" t="str">
        <f t="shared" si="163"/>
        <v>第5  水曜日</v>
      </c>
      <c r="D551" s="4" t="str">
        <f>_xlfn.XLOOKUP(B551,syukujitsu[国民の祝日・休日月日],syukujitsu[国民の祝日・休日名称],"",0,1)</f>
        <v/>
      </c>
      <c r="I551" s="43" t="s">
        <v>254</v>
      </c>
      <c r="J551" s="43" t="s">
        <v>254</v>
      </c>
      <c r="K551" s="43" t="s">
        <v>254</v>
      </c>
      <c r="L551" s="43" t="s">
        <v>254</v>
      </c>
    </row>
    <row r="552" spans="1:12">
      <c r="A552" s="53">
        <f t="shared" si="162"/>
        <v>46023</v>
      </c>
      <c r="B552" s="41">
        <f t="shared" si="161"/>
        <v>46023</v>
      </c>
      <c r="C552" s="42" t="str">
        <f t="shared" si="163"/>
        <v>第1  木曜日</v>
      </c>
      <c r="D552" s="4" t="str">
        <f>_xlfn.XLOOKUP(B552,syukujitsu[国民の祝日・休日月日],syukujitsu[国民の祝日・休日名称],"",0,1)</f>
        <v>元日</v>
      </c>
      <c r="I552" s="43" t="s">
        <v>254</v>
      </c>
      <c r="J552" s="43" t="s">
        <v>254</v>
      </c>
      <c r="K552" s="43" t="s">
        <v>254</v>
      </c>
      <c r="L552" s="43" t="s">
        <v>254</v>
      </c>
    </row>
    <row r="553" spans="1:12">
      <c r="A553" s="53">
        <f t="shared" si="162"/>
        <v>46024</v>
      </c>
      <c r="B553" s="41">
        <f t="shared" si="161"/>
        <v>46024</v>
      </c>
      <c r="C553" s="42" t="str">
        <f t="shared" si="163"/>
        <v>第1  金曜日</v>
      </c>
      <c r="D553" s="4" t="str">
        <f>_xlfn.XLOOKUP(B553,syukujitsu[国民の祝日・休日月日],syukujitsu[国民の祝日・休日名称],"",0,1)</f>
        <v/>
      </c>
      <c r="I553" s="43" t="s">
        <v>254</v>
      </c>
      <c r="J553" s="43" t="s">
        <v>254</v>
      </c>
      <c r="K553" s="43" t="s">
        <v>254</v>
      </c>
      <c r="L553" s="43" t="s">
        <v>254</v>
      </c>
    </row>
    <row r="554" spans="1:12">
      <c r="A554" s="53">
        <f t="shared" si="162"/>
        <v>46025</v>
      </c>
      <c r="B554" s="41">
        <f t="shared" si="161"/>
        <v>46025</v>
      </c>
      <c r="C554" s="42" t="str">
        <f t="shared" si="163"/>
        <v>第1  土曜日</v>
      </c>
      <c r="D554" s="4" t="str">
        <f>_xlfn.XLOOKUP(B554,syukujitsu[国民の祝日・休日月日],syukujitsu[国民の祝日・休日名称],"",0,1)</f>
        <v/>
      </c>
      <c r="I554" s="43" t="s">
        <v>254</v>
      </c>
      <c r="J554" s="43" t="s">
        <v>254</v>
      </c>
      <c r="K554" s="43" t="s">
        <v>254</v>
      </c>
      <c r="L554" s="43" t="s">
        <v>254</v>
      </c>
    </row>
    <row r="555" spans="1:12">
      <c r="A555" s="53">
        <f t="shared" si="162"/>
        <v>46026</v>
      </c>
      <c r="B555" s="41">
        <f t="shared" si="161"/>
        <v>46026</v>
      </c>
      <c r="C555" s="42" t="str">
        <f t="shared" si="163"/>
        <v>第1  日曜日</v>
      </c>
      <c r="D555" s="4" t="str">
        <f>_xlfn.XLOOKUP(B555,syukujitsu[国民の祝日・休日月日],syukujitsu[国民の祝日・休日名称],"",0,1)</f>
        <v/>
      </c>
      <c r="I555" s="43" t="s">
        <v>254</v>
      </c>
      <c r="J555" s="43" t="s">
        <v>254</v>
      </c>
      <c r="K555" s="43" t="s">
        <v>254</v>
      </c>
      <c r="L555" s="43" t="s">
        <v>254</v>
      </c>
    </row>
    <row r="556" spans="1:12">
      <c r="A556" s="53">
        <f t="shared" si="162"/>
        <v>46027</v>
      </c>
      <c r="B556" s="41">
        <f t="shared" si="161"/>
        <v>46027</v>
      </c>
      <c r="C556" s="42" t="str">
        <f t="shared" si="163"/>
        <v>第1  月曜日</v>
      </c>
      <c r="D556" s="4" t="str">
        <f>_xlfn.XLOOKUP(B556,syukujitsu[国民の祝日・休日月日],syukujitsu[国民の祝日・休日名称],"",0,1)</f>
        <v/>
      </c>
      <c r="F556" s="43" t="s">
        <v>725</v>
      </c>
      <c r="I556" s="43" t="s">
        <v>254</v>
      </c>
      <c r="J556" s="43" t="s">
        <v>254</v>
      </c>
      <c r="K556" s="43" t="s">
        <v>254</v>
      </c>
      <c r="L556" s="43" t="s">
        <v>254</v>
      </c>
    </row>
    <row r="557" spans="1:12">
      <c r="A557" s="53">
        <f t="shared" si="162"/>
        <v>46028</v>
      </c>
      <c r="B557" s="41">
        <f t="shared" si="161"/>
        <v>46028</v>
      </c>
      <c r="C557" s="42" t="str">
        <f t="shared" si="163"/>
        <v>第1  火曜日</v>
      </c>
      <c r="D557" s="4" t="str">
        <f>_xlfn.XLOOKUP(B557,syukujitsu[国民の祝日・休日月日],syukujitsu[国民の祝日・休日名称],"",0,1)</f>
        <v/>
      </c>
      <c r="H557" s="43" t="s">
        <v>741</v>
      </c>
      <c r="I557" s="43" t="s">
        <v>254</v>
      </c>
      <c r="J557" s="43" t="s">
        <v>254</v>
      </c>
      <c r="K557" s="43" t="s">
        <v>254</v>
      </c>
      <c r="L557" s="43" t="s">
        <v>254</v>
      </c>
    </row>
    <row r="558" spans="1:12">
      <c r="A558" s="53">
        <f t="shared" si="162"/>
        <v>46029</v>
      </c>
      <c r="B558" s="41">
        <f t="shared" si="161"/>
        <v>46029</v>
      </c>
      <c r="C558" s="42" t="str">
        <f t="shared" si="163"/>
        <v>第1  水曜日</v>
      </c>
      <c r="D558" s="4" t="str">
        <f>_xlfn.XLOOKUP(B558,syukujitsu[国民の祝日・休日月日],syukujitsu[国民の祝日・休日名称],"",0,1)</f>
        <v/>
      </c>
      <c r="I558" s="43" t="s">
        <v>254</v>
      </c>
      <c r="J558" s="43" t="s">
        <v>254</v>
      </c>
      <c r="K558" s="43" t="s">
        <v>254</v>
      </c>
      <c r="L558" s="43" t="s">
        <v>254</v>
      </c>
    </row>
    <row r="559" spans="1:12">
      <c r="A559" s="53">
        <f t="shared" si="162"/>
        <v>46030</v>
      </c>
      <c r="B559" s="41">
        <f t="shared" si="161"/>
        <v>46030</v>
      </c>
      <c r="C559" s="42" t="str">
        <f t="shared" si="163"/>
        <v>第2  木曜日</v>
      </c>
      <c r="D559" s="4" t="str">
        <f>_xlfn.XLOOKUP(B559,syukujitsu[国民の祝日・休日月日],syukujitsu[国民の祝日・休日名称],"",0,1)</f>
        <v/>
      </c>
      <c r="I559" s="43" t="s">
        <v>254</v>
      </c>
      <c r="J559" s="43" t="s">
        <v>254</v>
      </c>
      <c r="K559" s="43" t="s">
        <v>254</v>
      </c>
      <c r="L559" s="43" t="s">
        <v>254</v>
      </c>
    </row>
    <row r="560" spans="1:12">
      <c r="A560" s="53">
        <f t="shared" si="162"/>
        <v>46031</v>
      </c>
      <c r="B560" s="41">
        <f t="shared" si="161"/>
        <v>46031</v>
      </c>
      <c r="C560" s="42" t="str">
        <f t="shared" si="163"/>
        <v>第2  金曜日</v>
      </c>
      <c r="D560" s="4" t="str">
        <f>_xlfn.XLOOKUP(B560,syukujitsu[国民の祝日・休日月日],syukujitsu[国民の祝日・休日名称],"",0,1)</f>
        <v/>
      </c>
      <c r="E560" s="43" t="s">
        <v>657</v>
      </c>
      <c r="I560" s="43" t="s">
        <v>254</v>
      </c>
      <c r="J560" s="43" t="s">
        <v>254</v>
      </c>
      <c r="K560" s="43" t="s">
        <v>254</v>
      </c>
      <c r="L560" s="43" t="s">
        <v>254</v>
      </c>
    </row>
    <row r="561" spans="1:12">
      <c r="A561" s="53">
        <f t="shared" si="162"/>
        <v>46032</v>
      </c>
      <c r="B561" s="41">
        <f t="shared" si="161"/>
        <v>46032</v>
      </c>
      <c r="C561" s="42" t="str">
        <f t="shared" si="163"/>
        <v>第2  土曜日</v>
      </c>
      <c r="D561" s="4" t="str">
        <f>_xlfn.XLOOKUP(B561,syukujitsu[国民の祝日・休日月日],syukujitsu[国民の祝日・休日名称],"",0,1)</f>
        <v/>
      </c>
      <c r="I561" s="43" t="s">
        <v>254</v>
      </c>
      <c r="J561" s="43" t="s">
        <v>254</v>
      </c>
      <c r="K561" s="43" t="s">
        <v>254</v>
      </c>
      <c r="L561" s="43" t="s">
        <v>254</v>
      </c>
    </row>
    <row r="562" spans="1:12">
      <c r="A562" s="53">
        <f t="shared" si="162"/>
        <v>46033</v>
      </c>
      <c r="B562" s="41">
        <f t="shared" si="161"/>
        <v>46033</v>
      </c>
      <c r="C562" s="42" t="str">
        <f t="shared" si="163"/>
        <v>第2  日曜日</v>
      </c>
      <c r="D562" s="4" t="str">
        <f>_xlfn.XLOOKUP(B562,syukujitsu[国民の祝日・休日月日],syukujitsu[国民の祝日・休日名称],"",0,1)</f>
        <v/>
      </c>
      <c r="I562" s="43" t="s">
        <v>254</v>
      </c>
      <c r="J562" s="43" t="s">
        <v>254</v>
      </c>
      <c r="K562" s="43" t="s">
        <v>254</v>
      </c>
      <c r="L562" s="43" t="s">
        <v>254</v>
      </c>
    </row>
    <row r="563" spans="1:12">
      <c r="A563" s="53">
        <f t="shared" si="162"/>
        <v>46034</v>
      </c>
      <c r="B563" s="41">
        <f t="shared" si="161"/>
        <v>46034</v>
      </c>
      <c r="C563" s="42" t="str">
        <f t="shared" si="163"/>
        <v>第2  月曜日</v>
      </c>
      <c r="D563" s="4" t="str">
        <f>_xlfn.XLOOKUP(B563,syukujitsu[国民の祝日・休日月日],syukujitsu[国民の祝日・休日名称],"",0,1)</f>
        <v>成人の日</v>
      </c>
      <c r="I563" s="43" t="s">
        <v>254</v>
      </c>
      <c r="J563" s="43" t="s">
        <v>254</v>
      </c>
      <c r="K563" s="43" t="s">
        <v>254</v>
      </c>
      <c r="L563" s="43" t="s">
        <v>254</v>
      </c>
    </row>
    <row r="564" spans="1:12">
      <c r="A564" s="53">
        <f t="shared" si="162"/>
        <v>46035</v>
      </c>
      <c r="B564" s="41">
        <f t="shared" si="161"/>
        <v>46035</v>
      </c>
      <c r="C564" s="42" t="str">
        <f t="shared" si="163"/>
        <v>第2  火曜日</v>
      </c>
      <c r="D564" s="4" t="str">
        <f>_xlfn.XLOOKUP(B564,syukujitsu[国民の祝日・休日月日],syukujitsu[国民の祝日・休日名称],"",0,1)</f>
        <v/>
      </c>
      <c r="H564" s="43" t="s">
        <v>741</v>
      </c>
      <c r="I564" s="43" t="s">
        <v>254</v>
      </c>
      <c r="J564" s="43" t="s">
        <v>254</v>
      </c>
      <c r="K564" s="43" t="s">
        <v>254</v>
      </c>
      <c r="L564" s="43" t="s">
        <v>254</v>
      </c>
    </row>
    <row r="565" spans="1:12">
      <c r="A565" s="53">
        <f t="shared" si="162"/>
        <v>46036</v>
      </c>
      <c r="B565" s="41">
        <f t="shared" si="161"/>
        <v>46036</v>
      </c>
      <c r="C565" s="42" t="str">
        <f t="shared" si="163"/>
        <v>第2  水曜日</v>
      </c>
      <c r="D565" s="4" t="str">
        <f>_xlfn.XLOOKUP(B565,syukujitsu[国民の祝日・休日月日],syukujitsu[国民の祝日・休日名称],"",0,1)</f>
        <v/>
      </c>
      <c r="F565" s="43" t="s">
        <v>770</v>
      </c>
      <c r="I565" s="43" t="s">
        <v>254</v>
      </c>
      <c r="J565" s="43" t="s">
        <v>254</v>
      </c>
      <c r="K565" s="43" t="s">
        <v>254</v>
      </c>
      <c r="L565" s="43" t="s">
        <v>254</v>
      </c>
    </row>
    <row r="566" spans="1:12">
      <c r="A566" s="53">
        <f t="shared" si="162"/>
        <v>46037</v>
      </c>
      <c r="B566" s="41">
        <f t="shared" si="161"/>
        <v>46037</v>
      </c>
      <c r="C566" s="42" t="str">
        <f t="shared" si="163"/>
        <v>第3  木曜日</v>
      </c>
      <c r="D566" s="4" t="str">
        <f>_xlfn.XLOOKUP(B566,syukujitsu[国民の祝日・休日月日],syukujitsu[国民の祝日・休日名称],"",0,1)</f>
        <v/>
      </c>
      <c r="F566" s="43" t="s">
        <v>770</v>
      </c>
      <c r="I566" s="43" t="s">
        <v>254</v>
      </c>
      <c r="J566" s="43" t="s">
        <v>254</v>
      </c>
      <c r="K566" s="43" t="s">
        <v>254</v>
      </c>
      <c r="L566" s="43" t="s">
        <v>254</v>
      </c>
    </row>
    <row r="567" spans="1:12">
      <c r="A567" s="53">
        <f t="shared" si="162"/>
        <v>46038</v>
      </c>
      <c r="B567" s="41">
        <f t="shared" ref="B567:B630" si="164">B566+1</f>
        <v>46038</v>
      </c>
      <c r="C567" s="42" t="str">
        <f t="shared" si="163"/>
        <v>第3  金曜日</v>
      </c>
      <c r="D567" s="4" t="str">
        <f>_xlfn.XLOOKUP(B567,syukujitsu[国民の祝日・休日月日],syukujitsu[国民の祝日・休日名称],"",0,1)</f>
        <v/>
      </c>
      <c r="F567" s="43" t="s">
        <v>770</v>
      </c>
      <c r="I567" s="43" t="s">
        <v>254</v>
      </c>
      <c r="J567" s="43" t="s">
        <v>254</v>
      </c>
      <c r="K567" s="43" t="s">
        <v>254</v>
      </c>
      <c r="L567" s="43" t="s">
        <v>254</v>
      </c>
    </row>
    <row r="568" spans="1:12">
      <c r="A568" s="53">
        <f t="shared" si="162"/>
        <v>46039</v>
      </c>
      <c r="B568" s="41">
        <f t="shared" si="164"/>
        <v>46039</v>
      </c>
      <c r="C568" s="42" t="str">
        <f t="shared" si="163"/>
        <v>第3  土曜日</v>
      </c>
      <c r="D568" s="4" t="str">
        <f>_xlfn.XLOOKUP(B568,syukujitsu[国民の祝日・休日月日],syukujitsu[国民の祝日・休日名称],"",0,1)</f>
        <v/>
      </c>
      <c r="H568" s="43" t="s">
        <v>769</v>
      </c>
      <c r="I568" s="43" t="s">
        <v>254</v>
      </c>
      <c r="J568" s="43" t="s">
        <v>254</v>
      </c>
      <c r="K568" s="43" t="s">
        <v>254</v>
      </c>
      <c r="L568" s="43" t="s">
        <v>254</v>
      </c>
    </row>
    <row r="569" spans="1:12">
      <c r="A569" s="53">
        <f t="shared" si="162"/>
        <v>46040</v>
      </c>
      <c r="B569" s="41">
        <f t="shared" si="164"/>
        <v>46040</v>
      </c>
      <c r="C569" s="42" t="str">
        <f t="shared" si="163"/>
        <v>第3  日曜日</v>
      </c>
      <c r="D569" s="4" t="str">
        <f>_xlfn.XLOOKUP(B569,syukujitsu[国民の祝日・休日月日],syukujitsu[国民の祝日・休日名称],"",0,1)</f>
        <v/>
      </c>
      <c r="I569" s="43" t="s">
        <v>254</v>
      </c>
      <c r="J569" s="43" t="s">
        <v>254</v>
      </c>
      <c r="K569" s="43" t="s">
        <v>254</v>
      </c>
      <c r="L569" s="43" t="s">
        <v>254</v>
      </c>
    </row>
    <row r="570" spans="1:12">
      <c r="A570" s="53">
        <f t="shared" si="162"/>
        <v>46041</v>
      </c>
      <c r="B570" s="41">
        <f t="shared" si="164"/>
        <v>46041</v>
      </c>
      <c r="C570" s="42" t="str">
        <f t="shared" si="163"/>
        <v>第3  月曜日</v>
      </c>
      <c r="D570" s="4" t="str">
        <f>_xlfn.XLOOKUP(B570,syukujitsu[国民の祝日・休日月日],syukujitsu[国民の祝日・休日名称],"",0,1)</f>
        <v/>
      </c>
      <c r="F570" s="43" t="s">
        <v>725</v>
      </c>
      <c r="H570" s="43" t="s">
        <v>770</v>
      </c>
      <c r="I570" s="43" t="s">
        <v>254</v>
      </c>
      <c r="J570" s="43" t="s">
        <v>254</v>
      </c>
      <c r="K570" s="43" t="s">
        <v>254</v>
      </c>
      <c r="L570" s="43" t="s">
        <v>254</v>
      </c>
    </row>
    <row r="571" spans="1:12">
      <c r="A571" s="53">
        <f t="shared" si="162"/>
        <v>46042</v>
      </c>
      <c r="B571" s="41">
        <f t="shared" si="164"/>
        <v>46042</v>
      </c>
      <c r="C571" s="42" t="str">
        <f t="shared" si="163"/>
        <v>第3  火曜日</v>
      </c>
      <c r="D571" s="4" t="str">
        <f>_xlfn.XLOOKUP(B571,syukujitsu[国民の祝日・休日月日],syukujitsu[国民の祝日・休日名称],"",0,1)</f>
        <v/>
      </c>
      <c r="H571" s="43" t="s">
        <v>741</v>
      </c>
      <c r="I571" s="43" t="s">
        <v>254</v>
      </c>
      <c r="J571" s="43" t="s">
        <v>254</v>
      </c>
      <c r="K571" s="43" t="s">
        <v>254</v>
      </c>
      <c r="L571" s="43" t="s">
        <v>254</v>
      </c>
    </row>
    <row r="572" spans="1:12">
      <c r="A572" s="53">
        <f t="shared" si="162"/>
        <v>46043</v>
      </c>
      <c r="B572" s="41">
        <f t="shared" si="164"/>
        <v>46043</v>
      </c>
      <c r="C572" s="42" t="str">
        <f t="shared" si="163"/>
        <v>第3  水曜日</v>
      </c>
      <c r="D572" s="4" t="str">
        <f>_xlfn.XLOOKUP(B572,syukujitsu[国民の祝日・休日月日],syukujitsu[国民の祝日・休日名称],"",0,1)</f>
        <v/>
      </c>
      <c r="F572" s="43" t="s">
        <v>772</v>
      </c>
      <c r="H572" s="43" t="s">
        <v>770</v>
      </c>
      <c r="I572" s="43" t="s">
        <v>254</v>
      </c>
      <c r="J572" s="43" t="s">
        <v>254</v>
      </c>
      <c r="K572" s="43" t="s">
        <v>254</v>
      </c>
      <c r="L572" s="43" t="s">
        <v>254</v>
      </c>
    </row>
    <row r="573" spans="1:12">
      <c r="A573" s="53">
        <f t="shared" si="162"/>
        <v>46044</v>
      </c>
      <c r="B573" s="41">
        <f t="shared" si="164"/>
        <v>46044</v>
      </c>
      <c r="C573" s="42" t="str">
        <f t="shared" si="163"/>
        <v>第4  木曜日</v>
      </c>
      <c r="D573" s="4" t="str">
        <f>_xlfn.XLOOKUP(B573,syukujitsu[国民の祝日・休日月日],syukujitsu[国民の祝日・休日名称],"",0,1)</f>
        <v/>
      </c>
      <c r="F573" s="43" t="s">
        <v>773</v>
      </c>
      <c r="I573" s="43" t="s">
        <v>254</v>
      </c>
      <c r="J573" s="43" t="s">
        <v>254</v>
      </c>
      <c r="K573" s="43" t="s">
        <v>254</v>
      </c>
      <c r="L573" s="43" t="s">
        <v>254</v>
      </c>
    </row>
    <row r="574" spans="1:12">
      <c r="A574" s="53">
        <f t="shared" ref="A574:A637" si="165">B574</f>
        <v>46045</v>
      </c>
      <c r="B574" s="41">
        <f t="shared" si="164"/>
        <v>46045</v>
      </c>
      <c r="C574" s="42" t="str">
        <f t="shared" si="163"/>
        <v>第4  金曜日</v>
      </c>
      <c r="D574" s="4" t="str">
        <f>_xlfn.XLOOKUP(B574,syukujitsu[国民の祝日・休日月日],syukujitsu[国民の祝日・休日名称],"",0,1)</f>
        <v/>
      </c>
      <c r="E574" s="43" t="s">
        <v>657</v>
      </c>
      <c r="H574" s="43" t="s">
        <v>771</v>
      </c>
      <c r="I574" s="43" t="s">
        <v>254</v>
      </c>
      <c r="J574" s="43" t="s">
        <v>254</v>
      </c>
      <c r="K574" s="43" t="s">
        <v>254</v>
      </c>
      <c r="L574" s="43" t="s">
        <v>254</v>
      </c>
    </row>
    <row r="575" spans="1:12">
      <c r="A575" s="53">
        <f t="shared" si="165"/>
        <v>46046</v>
      </c>
      <c r="B575" s="41">
        <f t="shared" si="164"/>
        <v>46046</v>
      </c>
      <c r="C575" s="42" t="str">
        <f t="shared" si="163"/>
        <v>第4  土曜日</v>
      </c>
      <c r="D575" s="4" t="str">
        <f>_xlfn.XLOOKUP(B575,syukujitsu[国民の祝日・休日月日],syukujitsu[国民の祝日・休日名称],"",0,1)</f>
        <v/>
      </c>
      <c r="H575" s="43" t="s">
        <v>769</v>
      </c>
      <c r="I575" s="43" t="s">
        <v>254</v>
      </c>
      <c r="J575" s="43" t="s">
        <v>254</v>
      </c>
      <c r="K575" s="43" t="s">
        <v>254</v>
      </c>
      <c r="L575" s="43" t="s">
        <v>254</v>
      </c>
    </row>
    <row r="576" spans="1:12">
      <c r="A576" s="53">
        <f t="shared" si="165"/>
        <v>46047</v>
      </c>
      <c r="B576" s="41">
        <f t="shared" si="164"/>
        <v>46047</v>
      </c>
      <c r="C576" s="42" t="str">
        <f t="shared" si="163"/>
        <v>第4  日曜日</v>
      </c>
      <c r="D576" s="4" t="str">
        <f>_xlfn.XLOOKUP(B576,syukujitsu[国民の祝日・休日月日],syukujitsu[国民の祝日・休日名称],"",0,1)</f>
        <v/>
      </c>
      <c r="I576" s="43" t="s">
        <v>254</v>
      </c>
      <c r="J576" s="43" t="s">
        <v>254</v>
      </c>
      <c r="K576" s="43" t="s">
        <v>254</v>
      </c>
      <c r="L576" s="43" t="s">
        <v>254</v>
      </c>
    </row>
    <row r="577" spans="1:12">
      <c r="A577" s="53">
        <f t="shared" si="165"/>
        <v>46048</v>
      </c>
      <c r="B577" s="41">
        <f t="shared" si="164"/>
        <v>46048</v>
      </c>
      <c r="C577" s="42" t="str">
        <f t="shared" si="163"/>
        <v>第4  月曜日</v>
      </c>
      <c r="D577" s="4" t="str">
        <f>_xlfn.XLOOKUP(B577,syukujitsu[国民の祝日・休日月日],syukujitsu[国民の祝日・休日名称],"",0,1)</f>
        <v/>
      </c>
      <c r="F577" s="43" t="s">
        <v>774</v>
      </c>
      <c r="H577" s="43" t="s">
        <v>771</v>
      </c>
      <c r="I577" s="43" t="s">
        <v>254</v>
      </c>
      <c r="J577" s="43" t="s">
        <v>254</v>
      </c>
      <c r="K577" s="43" t="s">
        <v>254</v>
      </c>
      <c r="L577" s="43" t="s">
        <v>254</v>
      </c>
    </row>
    <row r="578" spans="1:12">
      <c r="A578" s="53">
        <f t="shared" si="165"/>
        <v>46049</v>
      </c>
      <c r="B578" s="41">
        <f t="shared" si="164"/>
        <v>46049</v>
      </c>
      <c r="C578" s="42" t="str">
        <f t="shared" si="163"/>
        <v>第4  火曜日</v>
      </c>
      <c r="D578" s="4" t="str">
        <f>_xlfn.XLOOKUP(B578,syukujitsu[国民の祝日・休日月日],syukujitsu[国民の祝日・休日名称],"",0,1)</f>
        <v/>
      </c>
      <c r="I578" s="43" t="s">
        <v>254</v>
      </c>
      <c r="J578" s="43" t="s">
        <v>254</v>
      </c>
      <c r="K578" s="43" t="s">
        <v>254</v>
      </c>
      <c r="L578" s="43" t="s">
        <v>254</v>
      </c>
    </row>
    <row r="579" spans="1:12">
      <c r="A579" s="53">
        <f t="shared" si="165"/>
        <v>46050</v>
      </c>
      <c r="B579" s="41">
        <f t="shared" si="164"/>
        <v>46050</v>
      </c>
      <c r="C579" s="42" t="str">
        <f t="shared" si="163"/>
        <v>第4  水曜日</v>
      </c>
      <c r="D579" s="4" t="str">
        <f>_xlfn.XLOOKUP(B579,syukujitsu[国民の祝日・休日月日],syukujitsu[国民の祝日・休日名称],"",0,1)</f>
        <v/>
      </c>
      <c r="H579" s="43" t="s">
        <v>771</v>
      </c>
      <c r="I579" s="43" t="s">
        <v>254</v>
      </c>
      <c r="J579" s="43" t="s">
        <v>254</v>
      </c>
      <c r="K579" s="43" t="s">
        <v>254</v>
      </c>
      <c r="L579" s="43" t="s">
        <v>254</v>
      </c>
    </row>
    <row r="580" spans="1:12">
      <c r="A580" s="53">
        <f t="shared" si="165"/>
        <v>46051</v>
      </c>
      <c r="B580" s="41">
        <f t="shared" si="164"/>
        <v>46051</v>
      </c>
      <c r="C580" s="42" t="str">
        <f t="shared" si="163"/>
        <v>第5  木曜日</v>
      </c>
      <c r="D580" s="4" t="str">
        <f>_xlfn.XLOOKUP(B580,syukujitsu[国民の祝日・休日月日],syukujitsu[国民の祝日・休日名称],"",0,1)</f>
        <v/>
      </c>
      <c r="F580" s="43" t="s">
        <v>775</v>
      </c>
      <c r="I580" s="43" t="s">
        <v>254</v>
      </c>
      <c r="J580" s="43" t="s">
        <v>254</v>
      </c>
      <c r="K580" s="43" t="s">
        <v>254</v>
      </c>
      <c r="L580" s="43" t="s">
        <v>254</v>
      </c>
    </row>
    <row r="581" spans="1:12">
      <c r="A581" s="53">
        <f t="shared" si="165"/>
        <v>46052</v>
      </c>
      <c r="B581" s="41">
        <f t="shared" si="164"/>
        <v>46052</v>
      </c>
      <c r="C581" s="42" t="str">
        <f t="shared" si="163"/>
        <v>第5  金曜日</v>
      </c>
      <c r="D581" s="4" t="str">
        <f>_xlfn.XLOOKUP(B581,syukujitsu[国民の祝日・休日月日],syukujitsu[国民の祝日・休日名称],"",0,1)</f>
        <v/>
      </c>
      <c r="H581" s="43" t="s">
        <v>771</v>
      </c>
      <c r="I581" s="43" t="s">
        <v>254</v>
      </c>
      <c r="J581" s="43" t="s">
        <v>254</v>
      </c>
      <c r="K581" s="43" t="s">
        <v>254</v>
      </c>
      <c r="L581" s="43" t="s">
        <v>254</v>
      </c>
    </row>
    <row r="582" spans="1:12">
      <c r="A582" s="53">
        <f t="shared" si="165"/>
        <v>46053</v>
      </c>
      <c r="B582" s="41">
        <f t="shared" si="164"/>
        <v>46053</v>
      </c>
      <c r="C582" s="42" t="str">
        <f t="shared" si="163"/>
        <v>第5  土曜日</v>
      </c>
      <c r="D582" s="4" t="str">
        <f>_xlfn.XLOOKUP(B582,syukujitsu[国民の祝日・休日月日],syukujitsu[国民の祝日・休日名称],"",0,1)</f>
        <v/>
      </c>
      <c r="I582" s="43" t="s">
        <v>254</v>
      </c>
      <c r="J582" s="43" t="s">
        <v>254</v>
      </c>
      <c r="K582" s="43" t="s">
        <v>254</v>
      </c>
      <c r="L582" s="43" t="s">
        <v>254</v>
      </c>
    </row>
    <row r="583" spans="1:12">
      <c r="A583" s="53">
        <f t="shared" si="165"/>
        <v>46054</v>
      </c>
      <c r="B583" s="41">
        <f t="shared" si="164"/>
        <v>46054</v>
      </c>
      <c r="C583" s="42" t="str">
        <f t="shared" si="163"/>
        <v>第1  日曜日</v>
      </c>
      <c r="D583" s="4" t="str">
        <f>_xlfn.XLOOKUP(B583,syukujitsu[国民の祝日・休日月日],syukujitsu[国民の祝日・休日名称],"",0,1)</f>
        <v/>
      </c>
      <c r="I583" s="43" t="s">
        <v>254</v>
      </c>
      <c r="J583" s="43" t="s">
        <v>254</v>
      </c>
      <c r="K583" s="43" t="s">
        <v>254</v>
      </c>
      <c r="L583" s="43" t="s">
        <v>254</v>
      </c>
    </row>
    <row r="584" spans="1:12">
      <c r="A584" s="53">
        <f t="shared" si="165"/>
        <v>46055</v>
      </c>
      <c r="B584" s="41">
        <f t="shared" si="164"/>
        <v>46055</v>
      </c>
      <c r="C584" s="42" t="str">
        <f t="shared" si="163"/>
        <v>第1  月曜日</v>
      </c>
      <c r="D584" s="4" t="str">
        <f>_xlfn.XLOOKUP(B584,syukujitsu[国民の祝日・休日月日],syukujitsu[国民の祝日・休日名称],"",0,1)</f>
        <v/>
      </c>
      <c r="F584" s="43" t="s">
        <v>725</v>
      </c>
      <c r="H584" s="43" t="s">
        <v>771</v>
      </c>
      <c r="I584" s="43" t="s">
        <v>254</v>
      </c>
      <c r="J584" s="43" t="s">
        <v>254</v>
      </c>
      <c r="K584" s="43" t="s">
        <v>254</v>
      </c>
      <c r="L584" s="43" t="s">
        <v>254</v>
      </c>
    </row>
    <row r="585" spans="1:12">
      <c r="A585" s="53">
        <f t="shared" si="165"/>
        <v>46056</v>
      </c>
      <c r="B585" s="41">
        <f t="shared" si="164"/>
        <v>46056</v>
      </c>
      <c r="C585" s="42" t="str">
        <f t="shared" si="163"/>
        <v>第1  火曜日</v>
      </c>
      <c r="D585" s="4" t="str">
        <f>_xlfn.XLOOKUP(B585,syukujitsu[国民の祝日・休日月日],syukujitsu[国民の祝日・休日名称],"",0,1)</f>
        <v/>
      </c>
      <c r="I585" s="43" t="s">
        <v>254</v>
      </c>
      <c r="J585" s="43" t="s">
        <v>254</v>
      </c>
      <c r="K585" s="43" t="s">
        <v>254</v>
      </c>
      <c r="L585" s="43" t="s">
        <v>254</v>
      </c>
    </row>
    <row r="586" spans="1:12">
      <c r="A586" s="53">
        <f t="shared" si="165"/>
        <v>46057</v>
      </c>
      <c r="B586" s="41">
        <f t="shared" si="164"/>
        <v>46057</v>
      </c>
      <c r="C586" s="42" t="str">
        <f t="shared" si="163"/>
        <v>第1  水曜日</v>
      </c>
      <c r="D586" s="4" t="str">
        <f>_xlfn.XLOOKUP(B586,syukujitsu[国民の祝日・休日月日],syukujitsu[国民の祝日・休日名称],"",0,1)</f>
        <v/>
      </c>
      <c r="H586" s="43" t="s">
        <v>771</v>
      </c>
      <c r="I586" s="43" t="s">
        <v>254</v>
      </c>
      <c r="J586" s="43" t="s">
        <v>254</v>
      </c>
      <c r="K586" s="43" t="s">
        <v>254</v>
      </c>
      <c r="L586" s="43" t="s">
        <v>254</v>
      </c>
    </row>
    <row r="587" spans="1:12">
      <c r="A587" s="53">
        <f t="shared" si="165"/>
        <v>46058</v>
      </c>
      <c r="B587" s="41">
        <f t="shared" si="164"/>
        <v>46058</v>
      </c>
      <c r="C587" s="42" t="str">
        <f t="shared" si="163"/>
        <v>第1  木曜日</v>
      </c>
      <c r="D587" s="4" t="str">
        <f>_xlfn.XLOOKUP(B587,syukujitsu[国民の祝日・休日月日],syukujitsu[国民の祝日・休日名称],"",0,1)</f>
        <v/>
      </c>
      <c r="I587" s="43" t="s">
        <v>254</v>
      </c>
      <c r="J587" s="43" t="s">
        <v>254</v>
      </c>
      <c r="K587" s="43" t="s">
        <v>254</v>
      </c>
      <c r="L587" s="43" t="s">
        <v>254</v>
      </c>
    </row>
    <row r="588" spans="1:12">
      <c r="A588" s="53">
        <f t="shared" si="165"/>
        <v>46059</v>
      </c>
      <c r="B588" s="41">
        <f t="shared" si="164"/>
        <v>46059</v>
      </c>
      <c r="C588" s="42" t="str">
        <f t="shared" ref="C588:C651" si="166">"第"&amp;ROUNDUP(DAY(B588)/7,0)  &amp;"  "&amp;TEXT(B588,"aaaa")</f>
        <v>第1  金曜日</v>
      </c>
      <c r="D588" s="4" t="str">
        <f>_xlfn.XLOOKUP(B588,syukujitsu[国民の祝日・休日月日],syukujitsu[国民の祝日・休日名称],"",0,1)</f>
        <v/>
      </c>
      <c r="E588" s="43" t="s">
        <v>657</v>
      </c>
      <c r="H588" s="43" t="s">
        <v>771</v>
      </c>
      <c r="I588" s="43" t="s">
        <v>254</v>
      </c>
      <c r="J588" s="43" t="s">
        <v>254</v>
      </c>
      <c r="K588" s="43" t="s">
        <v>254</v>
      </c>
      <c r="L588" s="43" t="s">
        <v>254</v>
      </c>
    </row>
    <row r="589" spans="1:12">
      <c r="A589" s="53">
        <f t="shared" si="165"/>
        <v>46060</v>
      </c>
      <c r="B589" s="41">
        <f t="shared" si="164"/>
        <v>46060</v>
      </c>
      <c r="C589" s="42" t="str">
        <f t="shared" si="166"/>
        <v>第1  土曜日</v>
      </c>
      <c r="D589" s="4" t="str">
        <f>_xlfn.XLOOKUP(B589,syukujitsu[国民の祝日・休日月日],syukujitsu[国民の祝日・休日名称],"",0,1)</f>
        <v/>
      </c>
      <c r="I589" s="43" t="s">
        <v>254</v>
      </c>
      <c r="J589" s="43" t="s">
        <v>254</v>
      </c>
      <c r="K589" s="43" t="s">
        <v>254</v>
      </c>
      <c r="L589" s="43" t="s">
        <v>254</v>
      </c>
    </row>
    <row r="590" spans="1:12">
      <c r="A590" s="53">
        <f t="shared" si="165"/>
        <v>46061</v>
      </c>
      <c r="B590" s="41">
        <f t="shared" si="164"/>
        <v>46061</v>
      </c>
      <c r="C590" s="42" t="str">
        <f t="shared" si="166"/>
        <v>第2  日曜日</v>
      </c>
      <c r="D590" s="4" t="str">
        <f>_xlfn.XLOOKUP(B590,syukujitsu[国民の祝日・休日月日],syukujitsu[国民の祝日・休日名称],"",0,1)</f>
        <v/>
      </c>
      <c r="I590" s="43" t="s">
        <v>254</v>
      </c>
      <c r="J590" s="43" t="s">
        <v>254</v>
      </c>
      <c r="K590" s="43" t="s">
        <v>254</v>
      </c>
      <c r="L590" s="43" t="s">
        <v>254</v>
      </c>
    </row>
    <row r="591" spans="1:12">
      <c r="A591" s="53">
        <f t="shared" si="165"/>
        <v>46062</v>
      </c>
      <c r="B591" s="41">
        <f t="shared" si="164"/>
        <v>46062</v>
      </c>
      <c r="C591" s="42" t="str">
        <f t="shared" si="166"/>
        <v>第2  月曜日</v>
      </c>
      <c r="D591" s="4" t="str">
        <f>_xlfn.XLOOKUP(B591,syukujitsu[国民の祝日・休日月日],syukujitsu[国民の祝日・休日名称],"",0,1)</f>
        <v/>
      </c>
      <c r="I591" s="43" t="s">
        <v>254</v>
      </c>
      <c r="J591" s="43" t="s">
        <v>254</v>
      </c>
      <c r="K591" s="43" t="s">
        <v>254</v>
      </c>
      <c r="L591" s="43" t="s">
        <v>254</v>
      </c>
    </row>
    <row r="592" spans="1:12">
      <c r="A592" s="53">
        <f t="shared" si="165"/>
        <v>46063</v>
      </c>
      <c r="B592" s="41">
        <f t="shared" si="164"/>
        <v>46063</v>
      </c>
      <c r="C592" s="42" t="str">
        <f t="shared" si="166"/>
        <v>第2  火曜日</v>
      </c>
      <c r="D592" s="4" t="str">
        <f>_xlfn.XLOOKUP(B592,syukujitsu[国民の祝日・休日月日],syukujitsu[国民の祝日・休日名称],"",0,1)</f>
        <v/>
      </c>
      <c r="I592" s="43" t="s">
        <v>254</v>
      </c>
      <c r="J592" s="43" t="s">
        <v>254</v>
      </c>
      <c r="K592" s="43" t="s">
        <v>254</v>
      </c>
      <c r="L592" s="43" t="s">
        <v>254</v>
      </c>
    </row>
    <row r="593" spans="1:12">
      <c r="A593" s="53">
        <f t="shared" si="165"/>
        <v>46064</v>
      </c>
      <c r="B593" s="41">
        <f t="shared" si="164"/>
        <v>46064</v>
      </c>
      <c r="C593" s="42" t="str">
        <f t="shared" si="166"/>
        <v>第2  水曜日</v>
      </c>
      <c r="D593" s="4" t="str">
        <f>_xlfn.XLOOKUP(B593,syukujitsu[国民の祝日・休日月日],syukujitsu[国民の祝日・休日名称],"",0,1)</f>
        <v>建国記念の日</v>
      </c>
      <c r="I593" s="43" t="s">
        <v>254</v>
      </c>
      <c r="J593" s="43" t="s">
        <v>254</v>
      </c>
      <c r="K593" s="43" t="s">
        <v>254</v>
      </c>
      <c r="L593" s="43" t="s">
        <v>254</v>
      </c>
    </row>
    <row r="594" spans="1:12">
      <c r="A594" s="53">
        <f t="shared" si="165"/>
        <v>46065</v>
      </c>
      <c r="B594" s="41">
        <f t="shared" si="164"/>
        <v>46065</v>
      </c>
      <c r="C594" s="42" t="str">
        <f t="shared" si="166"/>
        <v>第2  木曜日</v>
      </c>
      <c r="D594" s="4" t="str">
        <f>_xlfn.XLOOKUP(B594,syukujitsu[国民の祝日・休日月日],syukujitsu[国民の祝日・休日名称],"",0,1)</f>
        <v/>
      </c>
      <c r="E594" s="43" t="s">
        <v>784</v>
      </c>
      <c r="I594" s="43" t="s">
        <v>254</v>
      </c>
      <c r="J594" s="43" t="s">
        <v>254</v>
      </c>
      <c r="K594" s="43" t="s">
        <v>254</v>
      </c>
      <c r="L594" s="43" t="s">
        <v>254</v>
      </c>
    </row>
    <row r="595" spans="1:12">
      <c r="A595" s="53">
        <f t="shared" si="165"/>
        <v>46066</v>
      </c>
      <c r="B595" s="41">
        <f t="shared" si="164"/>
        <v>46066</v>
      </c>
      <c r="C595" s="42" t="str">
        <f t="shared" si="166"/>
        <v>第2  金曜日</v>
      </c>
      <c r="D595" s="4" t="str">
        <f>_xlfn.XLOOKUP(B595,syukujitsu[国民の祝日・休日月日],syukujitsu[国民の祝日・休日名称],"",0,1)</f>
        <v/>
      </c>
      <c r="E595" s="43" t="s">
        <v>783</v>
      </c>
      <c r="I595" s="43" t="s">
        <v>254</v>
      </c>
      <c r="J595" s="43" t="s">
        <v>254</v>
      </c>
      <c r="K595" s="43" t="s">
        <v>254</v>
      </c>
      <c r="L595" s="43" t="s">
        <v>254</v>
      </c>
    </row>
    <row r="596" spans="1:12">
      <c r="A596" s="53">
        <f t="shared" si="165"/>
        <v>46067</v>
      </c>
      <c r="B596" s="41">
        <f t="shared" si="164"/>
        <v>46067</v>
      </c>
      <c r="C596" s="42" t="str">
        <f t="shared" si="166"/>
        <v>第2  土曜日</v>
      </c>
      <c r="D596" s="4" t="str">
        <f>_xlfn.XLOOKUP(B596,syukujitsu[国民の祝日・休日月日],syukujitsu[国民の祝日・休日名称],"",0,1)</f>
        <v/>
      </c>
      <c r="I596" s="43" t="s">
        <v>254</v>
      </c>
      <c r="J596" s="43" t="s">
        <v>254</v>
      </c>
      <c r="K596" s="43" t="s">
        <v>254</v>
      </c>
      <c r="L596" s="43" t="s">
        <v>254</v>
      </c>
    </row>
    <row r="597" spans="1:12">
      <c r="A597" s="53">
        <f t="shared" si="165"/>
        <v>46068</v>
      </c>
      <c r="B597" s="41">
        <f t="shared" si="164"/>
        <v>46068</v>
      </c>
      <c r="C597" s="42" t="str">
        <f t="shared" si="166"/>
        <v>第3  日曜日</v>
      </c>
      <c r="D597" s="4" t="str">
        <f>_xlfn.XLOOKUP(B597,syukujitsu[国民の祝日・休日月日],syukujitsu[国民の祝日・休日名称],"",0,1)</f>
        <v/>
      </c>
      <c r="I597" s="43" t="s">
        <v>254</v>
      </c>
      <c r="J597" s="43" t="s">
        <v>254</v>
      </c>
      <c r="K597" s="43" t="s">
        <v>254</v>
      </c>
      <c r="L597" s="43" t="s">
        <v>254</v>
      </c>
    </row>
    <row r="598" spans="1:12">
      <c r="A598" s="53">
        <f t="shared" si="165"/>
        <v>46069</v>
      </c>
      <c r="B598" s="41">
        <f t="shared" si="164"/>
        <v>46069</v>
      </c>
      <c r="C598" s="42" t="str">
        <f t="shared" si="166"/>
        <v>第3  月曜日</v>
      </c>
      <c r="D598" s="4" t="str">
        <f>_xlfn.XLOOKUP(B598,syukujitsu[国民の祝日・休日月日],syukujitsu[国民の祝日・休日名称],"",0,1)</f>
        <v/>
      </c>
      <c r="E598" s="43" t="s">
        <v>786</v>
      </c>
      <c r="F598" s="43" t="s">
        <v>725</v>
      </c>
      <c r="I598" s="43" t="s">
        <v>254</v>
      </c>
      <c r="J598" s="43" t="s">
        <v>254</v>
      </c>
      <c r="K598" s="43" t="s">
        <v>254</v>
      </c>
      <c r="L598" s="43" t="s">
        <v>254</v>
      </c>
    </row>
    <row r="599" spans="1:12">
      <c r="A599" s="53">
        <f t="shared" si="165"/>
        <v>46070</v>
      </c>
      <c r="B599" s="41">
        <f t="shared" si="164"/>
        <v>46070</v>
      </c>
      <c r="C599" s="42" t="str">
        <f t="shared" si="166"/>
        <v>第3  火曜日</v>
      </c>
      <c r="D599" s="4" t="str">
        <f>_xlfn.XLOOKUP(B599,syukujitsu[国民の祝日・休日月日],syukujitsu[国民の祝日・休日名称],"",0,1)</f>
        <v/>
      </c>
      <c r="I599" s="43" t="s">
        <v>254</v>
      </c>
      <c r="J599" s="43" t="s">
        <v>254</v>
      </c>
      <c r="K599" s="43" t="s">
        <v>254</v>
      </c>
      <c r="L599" s="43" t="s">
        <v>254</v>
      </c>
    </row>
    <row r="600" spans="1:12">
      <c r="A600" s="53">
        <f t="shared" si="165"/>
        <v>46071</v>
      </c>
      <c r="B600" s="41">
        <f t="shared" si="164"/>
        <v>46071</v>
      </c>
      <c r="C600" s="42" t="str">
        <f t="shared" si="166"/>
        <v>第3  水曜日</v>
      </c>
      <c r="D600" s="4" t="str">
        <f>_xlfn.XLOOKUP(B600,syukujitsu[国民の祝日・休日月日],syukujitsu[国民の祝日・休日名称],"",0,1)</f>
        <v/>
      </c>
      <c r="I600" s="43" t="s">
        <v>254</v>
      </c>
      <c r="J600" s="43" t="s">
        <v>254</v>
      </c>
      <c r="K600" s="43" t="s">
        <v>254</v>
      </c>
      <c r="L600" s="43" t="s">
        <v>254</v>
      </c>
    </row>
    <row r="601" spans="1:12">
      <c r="A601" s="53">
        <f t="shared" si="165"/>
        <v>46072</v>
      </c>
      <c r="B601" s="41">
        <f t="shared" si="164"/>
        <v>46072</v>
      </c>
      <c r="C601" s="42" t="str">
        <f t="shared" si="166"/>
        <v>第3  木曜日</v>
      </c>
      <c r="D601" s="4" t="str">
        <f>_xlfn.XLOOKUP(B601,syukujitsu[国民の祝日・休日月日],syukujitsu[国民の祝日・休日名称],"",0,1)</f>
        <v/>
      </c>
      <c r="E601" s="43" t="s">
        <v>785</v>
      </c>
      <c r="I601" s="43" t="s">
        <v>254</v>
      </c>
      <c r="J601" s="43" t="s">
        <v>254</v>
      </c>
      <c r="K601" s="43" t="s">
        <v>254</v>
      </c>
      <c r="L601" s="43" t="s">
        <v>254</v>
      </c>
    </row>
    <row r="602" spans="1:12">
      <c r="A602" s="53">
        <f t="shared" si="165"/>
        <v>46073</v>
      </c>
      <c r="B602" s="41">
        <f t="shared" si="164"/>
        <v>46073</v>
      </c>
      <c r="C602" s="42" t="str">
        <f t="shared" si="166"/>
        <v>第3  金曜日</v>
      </c>
      <c r="D602" s="4" t="str">
        <f>_xlfn.XLOOKUP(B602,syukujitsu[国民の祝日・休日月日],syukujitsu[国民の祝日・休日名称],"",0,1)</f>
        <v/>
      </c>
      <c r="E602" s="43" t="s">
        <v>657</v>
      </c>
      <c r="F602" s="43" t="s">
        <v>787</v>
      </c>
      <c r="I602" s="43" t="s">
        <v>254</v>
      </c>
      <c r="J602" s="43" t="s">
        <v>254</v>
      </c>
      <c r="K602" s="43" t="s">
        <v>254</v>
      </c>
      <c r="L602" s="43" t="s">
        <v>254</v>
      </c>
    </row>
    <row r="603" spans="1:12">
      <c r="A603" s="53">
        <f t="shared" si="165"/>
        <v>46074</v>
      </c>
      <c r="B603" s="41">
        <f t="shared" si="164"/>
        <v>46074</v>
      </c>
      <c r="C603" s="42" t="str">
        <f t="shared" si="166"/>
        <v>第3  土曜日</v>
      </c>
      <c r="D603" s="4" t="str">
        <f>_xlfn.XLOOKUP(B603,syukujitsu[国民の祝日・休日月日],syukujitsu[国民の祝日・休日名称],"",0,1)</f>
        <v/>
      </c>
      <c r="I603" s="43" t="s">
        <v>254</v>
      </c>
      <c r="J603" s="43" t="s">
        <v>254</v>
      </c>
      <c r="K603" s="43" t="s">
        <v>254</v>
      </c>
      <c r="L603" s="43" t="s">
        <v>254</v>
      </c>
    </row>
    <row r="604" spans="1:12">
      <c r="A604" s="53">
        <f t="shared" si="165"/>
        <v>46075</v>
      </c>
      <c r="B604" s="41">
        <f t="shared" si="164"/>
        <v>46075</v>
      </c>
      <c r="C604" s="42" t="str">
        <f t="shared" si="166"/>
        <v>第4  日曜日</v>
      </c>
      <c r="D604" s="4" t="str">
        <f>_xlfn.XLOOKUP(B604,syukujitsu[国民の祝日・休日月日],syukujitsu[国民の祝日・休日名称],"",0,1)</f>
        <v/>
      </c>
      <c r="I604" s="43" t="s">
        <v>254</v>
      </c>
      <c r="J604" s="43" t="s">
        <v>254</v>
      </c>
      <c r="K604" s="43" t="s">
        <v>254</v>
      </c>
      <c r="L604" s="43" t="s">
        <v>254</v>
      </c>
    </row>
    <row r="605" spans="1:12">
      <c r="A605" s="53">
        <f t="shared" si="165"/>
        <v>46076</v>
      </c>
      <c r="B605" s="41">
        <f t="shared" si="164"/>
        <v>46076</v>
      </c>
      <c r="C605" s="42" t="str">
        <f t="shared" si="166"/>
        <v>第4  月曜日</v>
      </c>
      <c r="D605" s="4" t="str">
        <f>_xlfn.XLOOKUP(B605,syukujitsu[国民の祝日・休日月日],syukujitsu[国民の祝日・休日名称],"",0,1)</f>
        <v>天皇誕生日</v>
      </c>
      <c r="E605" s="43" t="s">
        <v>786</v>
      </c>
      <c r="I605" s="43" t="s">
        <v>254</v>
      </c>
      <c r="J605" s="43" t="s">
        <v>254</v>
      </c>
      <c r="K605" s="43" t="s">
        <v>254</v>
      </c>
      <c r="L605" s="43" t="s">
        <v>254</v>
      </c>
    </row>
    <row r="606" spans="1:12">
      <c r="A606" s="53">
        <f t="shared" si="165"/>
        <v>46077</v>
      </c>
      <c r="B606" s="41">
        <f t="shared" si="164"/>
        <v>46077</v>
      </c>
      <c r="C606" s="42" t="str">
        <f t="shared" si="166"/>
        <v>第4  火曜日</v>
      </c>
      <c r="D606" s="4" t="str">
        <f>_xlfn.XLOOKUP(B606,syukujitsu[国民の祝日・休日月日],syukujitsu[国民の祝日・休日名称],"",0,1)</f>
        <v/>
      </c>
      <c r="I606" s="43" t="s">
        <v>254</v>
      </c>
      <c r="J606" s="43" t="s">
        <v>254</v>
      </c>
      <c r="K606" s="43" t="s">
        <v>254</v>
      </c>
      <c r="L606" s="43" t="s">
        <v>254</v>
      </c>
    </row>
    <row r="607" spans="1:12">
      <c r="A607" s="53">
        <f t="shared" si="165"/>
        <v>46078</v>
      </c>
      <c r="B607" s="41">
        <f t="shared" si="164"/>
        <v>46078</v>
      </c>
      <c r="C607" s="42" t="str">
        <f t="shared" si="166"/>
        <v>第4  水曜日</v>
      </c>
      <c r="D607" s="4" t="str">
        <f>_xlfn.XLOOKUP(B607,syukujitsu[国民の祝日・休日月日],syukujitsu[国民の祝日・休日名称],"",0,1)</f>
        <v/>
      </c>
      <c r="I607" s="43" t="s">
        <v>254</v>
      </c>
      <c r="J607" s="43" t="s">
        <v>254</v>
      </c>
      <c r="K607" s="43" t="s">
        <v>254</v>
      </c>
      <c r="L607" s="43" t="s">
        <v>254</v>
      </c>
    </row>
    <row r="608" spans="1:12">
      <c r="A608" s="53">
        <f t="shared" si="165"/>
        <v>46079</v>
      </c>
      <c r="B608" s="41">
        <f t="shared" si="164"/>
        <v>46079</v>
      </c>
      <c r="C608" s="42" t="str">
        <f t="shared" si="166"/>
        <v>第4  木曜日</v>
      </c>
      <c r="D608" s="4" t="str">
        <f>_xlfn.XLOOKUP(B608,syukujitsu[国民の祝日・休日月日],syukujitsu[国民の祝日・休日名称],"",0,1)</f>
        <v/>
      </c>
      <c r="I608" s="43" t="s">
        <v>254</v>
      </c>
      <c r="J608" s="43" t="s">
        <v>254</v>
      </c>
      <c r="K608" s="43" t="s">
        <v>254</v>
      </c>
      <c r="L608" s="43" t="s">
        <v>254</v>
      </c>
    </row>
    <row r="609" spans="1:12">
      <c r="A609" s="53">
        <f t="shared" si="165"/>
        <v>46080</v>
      </c>
      <c r="B609" s="41">
        <f t="shared" si="164"/>
        <v>46080</v>
      </c>
      <c r="C609" s="42" t="str">
        <f t="shared" si="166"/>
        <v>第4  金曜日</v>
      </c>
      <c r="D609" s="4" t="str">
        <f>_xlfn.XLOOKUP(B609,syukujitsu[国民の祝日・休日月日],syukujitsu[国民の祝日・休日名称],"",0,1)</f>
        <v/>
      </c>
      <c r="F609" s="43" t="s">
        <v>788</v>
      </c>
      <c r="I609" s="43" t="s">
        <v>254</v>
      </c>
      <c r="J609" s="43" t="s">
        <v>254</v>
      </c>
      <c r="K609" s="43" t="s">
        <v>254</v>
      </c>
      <c r="L609" s="43" t="s">
        <v>254</v>
      </c>
    </row>
    <row r="610" spans="1:12">
      <c r="A610" s="53">
        <f t="shared" si="165"/>
        <v>46081</v>
      </c>
      <c r="B610" s="41">
        <f t="shared" si="164"/>
        <v>46081</v>
      </c>
      <c r="C610" s="42" t="str">
        <f t="shared" si="166"/>
        <v>第4  土曜日</v>
      </c>
      <c r="D610" s="4" t="str">
        <f>_xlfn.XLOOKUP(B610,syukujitsu[国民の祝日・休日月日],syukujitsu[国民の祝日・休日名称],"",0,1)</f>
        <v/>
      </c>
      <c r="I610" s="43" t="s">
        <v>254</v>
      </c>
      <c r="J610" s="43" t="s">
        <v>254</v>
      </c>
      <c r="K610" s="43" t="s">
        <v>254</v>
      </c>
      <c r="L610" s="43" t="s">
        <v>254</v>
      </c>
    </row>
    <row r="611" spans="1:12">
      <c r="A611" s="53">
        <f t="shared" si="165"/>
        <v>46082</v>
      </c>
      <c r="B611" s="41">
        <f t="shared" si="164"/>
        <v>46082</v>
      </c>
      <c r="C611" s="42" t="str">
        <f t="shared" si="166"/>
        <v>第1  日曜日</v>
      </c>
      <c r="D611" s="4" t="str">
        <f>_xlfn.XLOOKUP(B611,syukujitsu[国民の祝日・休日月日],syukujitsu[国民の祝日・休日名称],"",0,1)</f>
        <v/>
      </c>
      <c r="I611" s="43" t="s">
        <v>254</v>
      </c>
      <c r="J611" s="43" t="s">
        <v>254</v>
      </c>
      <c r="K611" s="43" t="s">
        <v>254</v>
      </c>
      <c r="L611" s="43" t="s">
        <v>254</v>
      </c>
    </row>
    <row r="612" spans="1:12">
      <c r="A612" s="53">
        <f t="shared" si="165"/>
        <v>46083</v>
      </c>
      <c r="B612" s="41">
        <f t="shared" si="164"/>
        <v>46083</v>
      </c>
      <c r="C612" s="42" t="str">
        <f t="shared" si="166"/>
        <v>第1  月曜日</v>
      </c>
      <c r="D612" s="4" t="str">
        <f>_xlfn.XLOOKUP(B612,syukujitsu[国民の祝日・休日月日],syukujitsu[国民の祝日・休日名称],"",0,1)</f>
        <v/>
      </c>
      <c r="E612" s="43" t="s">
        <v>788</v>
      </c>
      <c r="F612" s="43" t="s">
        <v>725</v>
      </c>
      <c r="I612" s="43" t="s">
        <v>254</v>
      </c>
      <c r="J612" s="43" t="s">
        <v>254</v>
      </c>
      <c r="K612" s="43" t="s">
        <v>254</v>
      </c>
      <c r="L612" s="43" t="s">
        <v>254</v>
      </c>
    </row>
    <row r="613" spans="1:12">
      <c r="A613" s="53">
        <f t="shared" si="165"/>
        <v>46084</v>
      </c>
      <c r="B613" s="41">
        <f t="shared" si="164"/>
        <v>46084</v>
      </c>
      <c r="C613" s="42" t="str">
        <f t="shared" si="166"/>
        <v>第1  火曜日</v>
      </c>
      <c r="D613" s="4" t="str">
        <f>_xlfn.XLOOKUP(B613,syukujitsu[国民の祝日・休日月日],syukujitsu[国民の祝日・休日名称],"",0,1)</f>
        <v/>
      </c>
      <c r="I613" s="43" t="s">
        <v>254</v>
      </c>
      <c r="J613" s="43" t="s">
        <v>254</v>
      </c>
      <c r="K613" s="43" t="s">
        <v>254</v>
      </c>
      <c r="L613" s="43" t="s">
        <v>254</v>
      </c>
    </row>
    <row r="614" spans="1:12">
      <c r="A614" s="53">
        <f t="shared" si="165"/>
        <v>46085</v>
      </c>
      <c r="B614" s="41">
        <f t="shared" si="164"/>
        <v>46085</v>
      </c>
      <c r="C614" s="42" t="str">
        <f t="shared" si="166"/>
        <v>第1  水曜日</v>
      </c>
      <c r="D614" s="4" t="str">
        <f>_xlfn.XLOOKUP(B614,syukujitsu[国民の祝日・休日月日],syukujitsu[国民の祝日・休日名称],"",0,1)</f>
        <v/>
      </c>
      <c r="F614" s="43" t="s">
        <v>788</v>
      </c>
      <c r="I614" s="43" t="s">
        <v>254</v>
      </c>
      <c r="J614" s="43" t="s">
        <v>254</v>
      </c>
      <c r="K614" s="43" t="s">
        <v>254</v>
      </c>
      <c r="L614" s="43" t="s">
        <v>254</v>
      </c>
    </row>
    <row r="615" spans="1:12">
      <c r="A615" s="53">
        <f t="shared" si="165"/>
        <v>46086</v>
      </c>
      <c r="B615" s="41">
        <f t="shared" si="164"/>
        <v>46086</v>
      </c>
      <c r="C615" s="42" t="str">
        <f t="shared" si="166"/>
        <v>第1  木曜日</v>
      </c>
      <c r="D615" s="4" t="str">
        <f>_xlfn.XLOOKUP(B615,syukujitsu[国民の祝日・休日月日],syukujitsu[国民の祝日・休日名称],"",0,1)</f>
        <v/>
      </c>
      <c r="I615" s="43" t="s">
        <v>254</v>
      </c>
      <c r="J615" s="43" t="s">
        <v>254</v>
      </c>
      <c r="K615" s="43" t="s">
        <v>254</v>
      </c>
      <c r="L615" s="43" t="s">
        <v>254</v>
      </c>
    </row>
    <row r="616" spans="1:12">
      <c r="A616" s="53">
        <f t="shared" si="165"/>
        <v>46087</v>
      </c>
      <c r="B616" s="41">
        <f t="shared" si="164"/>
        <v>46087</v>
      </c>
      <c r="C616" s="42" t="str">
        <f t="shared" si="166"/>
        <v>第1  金曜日</v>
      </c>
      <c r="D616" s="4" t="str">
        <f>_xlfn.XLOOKUP(B616,syukujitsu[国民の祝日・休日月日],syukujitsu[国民の祝日・休日名称],"",0,1)</f>
        <v/>
      </c>
      <c r="E616" s="43" t="s">
        <v>657</v>
      </c>
      <c r="G616" s="43" t="s">
        <v>788</v>
      </c>
      <c r="I616" s="43" t="s">
        <v>254</v>
      </c>
      <c r="J616" s="43" t="s">
        <v>254</v>
      </c>
      <c r="K616" s="43" t="s">
        <v>254</v>
      </c>
      <c r="L616" s="43" t="s">
        <v>254</v>
      </c>
    </row>
    <row r="617" spans="1:12">
      <c r="A617" s="53">
        <f t="shared" si="165"/>
        <v>46088</v>
      </c>
      <c r="B617" s="41">
        <f t="shared" si="164"/>
        <v>46088</v>
      </c>
      <c r="C617" s="42" t="str">
        <f t="shared" si="166"/>
        <v>第1  土曜日</v>
      </c>
      <c r="D617" s="4" t="str">
        <f>_xlfn.XLOOKUP(B617,syukujitsu[国民の祝日・休日月日],syukujitsu[国民の祝日・休日名称],"",0,1)</f>
        <v/>
      </c>
      <c r="E617" s="43" t="s">
        <v>790</v>
      </c>
      <c r="I617" s="43" t="s">
        <v>254</v>
      </c>
      <c r="J617" s="43" t="s">
        <v>254</v>
      </c>
      <c r="K617" s="43" t="s">
        <v>254</v>
      </c>
      <c r="L617" s="43" t="s">
        <v>254</v>
      </c>
    </row>
    <row r="618" spans="1:12">
      <c r="A618" s="53">
        <f t="shared" si="165"/>
        <v>46089</v>
      </c>
      <c r="B618" s="41">
        <f t="shared" si="164"/>
        <v>46089</v>
      </c>
      <c r="C618" s="42" t="str">
        <f t="shared" si="166"/>
        <v>第2  日曜日</v>
      </c>
      <c r="D618" s="4" t="str">
        <f>_xlfn.XLOOKUP(B618,syukujitsu[国民の祝日・休日月日],syukujitsu[国民の祝日・休日名称],"",0,1)</f>
        <v/>
      </c>
      <c r="I618" s="43" t="s">
        <v>254</v>
      </c>
      <c r="J618" s="43" t="s">
        <v>254</v>
      </c>
      <c r="K618" s="43" t="s">
        <v>254</v>
      </c>
      <c r="L618" s="43" t="s">
        <v>254</v>
      </c>
    </row>
    <row r="619" spans="1:12">
      <c r="A619" s="53">
        <f t="shared" si="165"/>
        <v>46090</v>
      </c>
      <c r="B619" s="41">
        <f t="shared" si="164"/>
        <v>46090</v>
      </c>
      <c r="C619" s="42" t="str">
        <f t="shared" si="166"/>
        <v>第2  月曜日</v>
      </c>
      <c r="D619" s="4" t="str">
        <f>_xlfn.XLOOKUP(B619,syukujitsu[国民の祝日・休日月日],syukujitsu[国民の祝日・休日名称],"",0,1)</f>
        <v/>
      </c>
      <c r="G619" s="43" t="s">
        <v>789</v>
      </c>
      <c r="I619" s="43" t="s">
        <v>254</v>
      </c>
      <c r="J619" s="43" t="s">
        <v>254</v>
      </c>
      <c r="K619" s="43" t="s">
        <v>254</v>
      </c>
      <c r="L619" s="43" t="s">
        <v>254</v>
      </c>
    </row>
    <row r="620" spans="1:12">
      <c r="A620" s="53">
        <f t="shared" si="165"/>
        <v>46091</v>
      </c>
      <c r="B620" s="41">
        <f t="shared" si="164"/>
        <v>46091</v>
      </c>
      <c r="C620" s="42" t="str">
        <f t="shared" si="166"/>
        <v>第2  火曜日</v>
      </c>
      <c r="D620" s="4" t="str">
        <f>_xlfn.XLOOKUP(B620,syukujitsu[国民の祝日・休日月日],syukujitsu[国民の祝日・休日名称],"",0,1)</f>
        <v/>
      </c>
      <c r="I620" s="43" t="s">
        <v>254</v>
      </c>
      <c r="J620" s="43" t="s">
        <v>254</v>
      </c>
      <c r="K620" s="43" t="s">
        <v>254</v>
      </c>
      <c r="L620" s="43" t="s">
        <v>254</v>
      </c>
    </row>
    <row r="621" spans="1:12">
      <c r="A621" s="53">
        <f t="shared" si="165"/>
        <v>46092</v>
      </c>
      <c r="B621" s="41">
        <f t="shared" si="164"/>
        <v>46092</v>
      </c>
      <c r="C621" s="42" t="str">
        <f t="shared" si="166"/>
        <v>第2  水曜日</v>
      </c>
      <c r="D621" s="4" t="str">
        <f>_xlfn.XLOOKUP(B621,syukujitsu[国民の祝日・休日月日],syukujitsu[国民の祝日・休日名称],"",0,1)</f>
        <v/>
      </c>
      <c r="G621" s="43" t="s">
        <v>788</v>
      </c>
      <c r="I621" s="43" t="s">
        <v>254</v>
      </c>
      <c r="J621" s="43" t="s">
        <v>254</v>
      </c>
      <c r="K621" s="43" t="s">
        <v>254</v>
      </c>
      <c r="L621" s="43" t="s">
        <v>254</v>
      </c>
    </row>
    <row r="622" spans="1:12">
      <c r="A622" s="53">
        <f t="shared" si="165"/>
        <v>46093</v>
      </c>
      <c r="B622" s="41">
        <f t="shared" si="164"/>
        <v>46093</v>
      </c>
      <c r="C622" s="42" t="str">
        <f t="shared" si="166"/>
        <v>第2  木曜日</v>
      </c>
      <c r="D622" s="4" t="str">
        <f>_xlfn.XLOOKUP(B622,syukujitsu[国民の祝日・休日月日],syukujitsu[国民の祝日・休日名称],"",0,1)</f>
        <v/>
      </c>
      <c r="I622" s="43" t="s">
        <v>254</v>
      </c>
      <c r="J622" s="43" t="s">
        <v>254</v>
      </c>
      <c r="K622" s="43" t="s">
        <v>254</v>
      </c>
      <c r="L622" s="43" t="s">
        <v>254</v>
      </c>
    </row>
    <row r="623" spans="1:12">
      <c r="A623" s="53">
        <f t="shared" si="165"/>
        <v>46094</v>
      </c>
      <c r="B623" s="41">
        <f t="shared" si="164"/>
        <v>46094</v>
      </c>
      <c r="C623" s="42" t="str">
        <f t="shared" si="166"/>
        <v>第2  金曜日</v>
      </c>
      <c r="D623" s="4" t="str">
        <f>_xlfn.XLOOKUP(B623,syukujitsu[国民の祝日・休日月日],syukujitsu[国民の祝日・休日名称],"",0,1)</f>
        <v/>
      </c>
      <c r="G623" s="43" t="s">
        <v>788</v>
      </c>
      <c r="I623" s="43" t="s">
        <v>254</v>
      </c>
      <c r="J623" s="43" t="s">
        <v>254</v>
      </c>
      <c r="K623" s="43" t="s">
        <v>254</v>
      </c>
      <c r="L623" s="43" t="s">
        <v>254</v>
      </c>
    </row>
    <row r="624" spans="1:12">
      <c r="A624" s="53">
        <f t="shared" si="165"/>
        <v>46095</v>
      </c>
      <c r="B624" s="41">
        <f t="shared" si="164"/>
        <v>46095</v>
      </c>
      <c r="C624" s="42" t="str">
        <f t="shared" si="166"/>
        <v>第2  土曜日</v>
      </c>
      <c r="D624" s="4" t="str">
        <f>_xlfn.XLOOKUP(B624,syukujitsu[国民の祝日・休日月日],syukujitsu[国民の祝日・休日名称],"",0,1)</f>
        <v/>
      </c>
      <c r="I624" s="43" t="s">
        <v>254</v>
      </c>
      <c r="J624" s="43" t="s">
        <v>254</v>
      </c>
      <c r="K624" s="43" t="s">
        <v>254</v>
      </c>
      <c r="L624" s="43" t="s">
        <v>254</v>
      </c>
    </row>
    <row r="625" spans="1:12">
      <c r="A625" s="53">
        <f t="shared" si="165"/>
        <v>46096</v>
      </c>
      <c r="B625" s="41">
        <f t="shared" si="164"/>
        <v>46096</v>
      </c>
      <c r="C625" s="42" t="str">
        <f t="shared" si="166"/>
        <v>第3  日曜日</v>
      </c>
      <c r="D625" s="4" t="str">
        <f>_xlfn.XLOOKUP(B625,syukujitsu[国民の祝日・休日月日],syukujitsu[国民の祝日・休日名称],"",0,1)</f>
        <v/>
      </c>
      <c r="I625" s="43" t="s">
        <v>254</v>
      </c>
      <c r="J625" s="43" t="s">
        <v>254</v>
      </c>
      <c r="K625" s="43" t="s">
        <v>254</v>
      </c>
      <c r="L625" s="43" t="s">
        <v>254</v>
      </c>
    </row>
    <row r="626" spans="1:12">
      <c r="A626" s="53">
        <f t="shared" si="165"/>
        <v>46097</v>
      </c>
      <c r="B626" s="41">
        <f t="shared" si="164"/>
        <v>46097</v>
      </c>
      <c r="C626" s="42" t="str">
        <f t="shared" si="166"/>
        <v>第3  月曜日</v>
      </c>
      <c r="D626" s="4" t="str">
        <f>_xlfn.XLOOKUP(B626,syukujitsu[国民の祝日・休日月日],syukujitsu[国民の祝日・休日名称],"",0,1)</f>
        <v/>
      </c>
      <c r="F626" s="43" t="s">
        <v>725</v>
      </c>
      <c r="G626" s="43" t="s">
        <v>789</v>
      </c>
      <c r="I626" s="43" t="s">
        <v>254</v>
      </c>
      <c r="J626" s="43" t="s">
        <v>254</v>
      </c>
      <c r="K626" s="43" t="s">
        <v>254</v>
      </c>
      <c r="L626" s="43" t="s">
        <v>254</v>
      </c>
    </row>
    <row r="627" spans="1:12">
      <c r="A627" s="53">
        <f t="shared" si="165"/>
        <v>46098</v>
      </c>
      <c r="B627" s="41">
        <f t="shared" si="164"/>
        <v>46098</v>
      </c>
      <c r="C627" s="42" t="str">
        <f t="shared" si="166"/>
        <v>第3  火曜日</v>
      </c>
      <c r="D627" s="4" t="str">
        <f>_xlfn.XLOOKUP(B627,syukujitsu[国民の祝日・休日月日],syukujitsu[国民の祝日・休日名称],"",0,1)</f>
        <v/>
      </c>
      <c r="I627" s="43" t="s">
        <v>254</v>
      </c>
      <c r="J627" s="43" t="s">
        <v>254</v>
      </c>
      <c r="K627" s="43" t="s">
        <v>254</v>
      </c>
      <c r="L627" s="43" t="s">
        <v>254</v>
      </c>
    </row>
    <row r="628" spans="1:12">
      <c r="A628" s="53">
        <f t="shared" si="165"/>
        <v>46099</v>
      </c>
      <c r="B628" s="41">
        <f t="shared" si="164"/>
        <v>46099</v>
      </c>
      <c r="C628" s="42" t="str">
        <f t="shared" si="166"/>
        <v>第3  水曜日</v>
      </c>
      <c r="D628" s="4" t="str">
        <f>_xlfn.XLOOKUP(B628,syukujitsu[国民の祝日・休日月日],syukujitsu[国民の祝日・休日名称],"",0,1)</f>
        <v/>
      </c>
      <c r="G628" s="43" t="s">
        <v>788</v>
      </c>
      <c r="I628" s="43" t="s">
        <v>254</v>
      </c>
      <c r="J628" s="43" t="s">
        <v>254</v>
      </c>
      <c r="K628" s="43" t="s">
        <v>254</v>
      </c>
      <c r="L628" s="43" t="s">
        <v>254</v>
      </c>
    </row>
    <row r="629" spans="1:12">
      <c r="A629" s="53">
        <f t="shared" si="165"/>
        <v>46100</v>
      </c>
      <c r="B629" s="41">
        <f t="shared" si="164"/>
        <v>46100</v>
      </c>
      <c r="C629" s="42" t="str">
        <f t="shared" si="166"/>
        <v>第3  木曜日</v>
      </c>
      <c r="D629" s="4" t="str">
        <f>_xlfn.XLOOKUP(B629,syukujitsu[国民の祝日・休日月日],syukujitsu[国民の祝日・休日名称],"",0,1)</f>
        <v/>
      </c>
      <c r="I629" s="43" t="s">
        <v>254</v>
      </c>
      <c r="J629" s="43" t="s">
        <v>254</v>
      </c>
      <c r="K629" s="43" t="s">
        <v>254</v>
      </c>
      <c r="L629" s="43" t="s">
        <v>254</v>
      </c>
    </row>
    <row r="630" spans="1:12">
      <c r="A630" s="53">
        <f t="shared" si="165"/>
        <v>46101</v>
      </c>
      <c r="B630" s="41">
        <f t="shared" si="164"/>
        <v>46101</v>
      </c>
      <c r="C630" s="42" t="str">
        <f t="shared" si="166"/>
        <v>第3  金曜日</v>
      </c>
      <c r="D630" s="4" t="str">
        <f>_xlfn.XLOOKUP(B630,syukujitsu[国民の祝日・休日月日],syukujitsu[国民の祝日・休日名称],"",0,1)</f>
        <v>春分の日</v>
      </c>
      <c r="E630" s="43" t="s">
        <v>745</v>
      </c>
      <c r="G630" s="43" t="s">
        <v>788</v>
      </c>
      <c r="I630" s="43" t="s">
        <v>254</v>
      </c>
      <c r="J630" s="43" t="s">
        <v>254</v>
      </c>
      <c r="K630" s="43" t="s">
        <v>254</v>
      </c>
      <c r="L630" s="43" t="s">
        <v>254</v>
      </c>
    </row>
    <row r="631" spans="1:12">
      <c r="A631" s="53">
        <f t="shared" si="165"/>
        <v>46102</v>
      </c>
      <c r="B631" s="41">
        <f t="shared" ref="B631:B694" si="167">B630+1</f>
        <v>46102</v>
      </c>
      <c r="C631" s="42" t="str">
        <f t="shared" si="166"/>
        <v>第3  土曜日</v>
      </c>
      <c r="D631" s="4" t="str">
        <f>_xlfn.XLOOKUP(B631,syukujitsu[国民の祝日・休日月日],syukujitsu[国民の祝日・休日名称],"",0,1)</f>
        <v/>
      </c>
      <c r="G631" s="43" t="s">
        <v>788</v>
      </c>
      <c r="I631" s="43" t="s">
        <v>254</v>
      </c>
      <c r="J631" s="43" t="s">
        <v>254</v>
      </c>
      <c r="K631" s="43" t="s">
        <v>254</v>
      </c>
      <c r="L631" s="43" t="s">
        <v>254</v>
      </c>
    </row>
    <row r="632" spans="1:12">
      <c r="A632" s="53">
        <f t="shared" si="165"/>
        <v>46103</v>
      </c>
      <c r="B632" s="41">
        <f t="shared" si="167"/>
        <v>46103</v>
      </c>
      <c r="C632" s="42" t="str">
        <f t="shared" si="166"/>
        <v>第4  日曜日</v>
      </c>
      <c r="D632" s="4" t="str">
        <f>_xlfn.XLOOKUP(B632,syukujitsu[国民の祝日・休日月日],syukujitsu[国民の祝日・休日名称],"",0,1)</f>
        <v/>
      </c>
      <c r="I632" s="43" t="s">
        <v>254</v>
      </c>
      <c r="J632" s="43" t="s">
        <v>254</v>
      </c>
      <c r="K632" s="43" t="s">
        <v>254</v>
      </c>
      <c r="L632" s="43" t="s">
        <v>254</v>
      </c>
    </row>
    <row r="633" spans="1:12">
      <c r="A633" s="53">
        <f t="shared" si="165"/>
        <v>46104</v>
      </c>
      <c r="B633" s="41">
        <f t="shared" si="167"/>
        <v>46104</v>
      </c>
      <c r="C633" s="42" t="str">
        <f t="shared" si="166"/>
        <v>第4  月曜日</v>
      </c>
      <c r="D633" s="4" t="str">
        <f>_xlfn.XLOOKUP(B633,syukujitsu[国民の祝日・休日月日],syukujitsu[国民の祝日・休日名称],"",0,1)</f>
        <v/>
      </c>
      <c r="E633" s="43" t="s">
        <v>657</v>
      </c>
      <c r="G633" s="43" t="s">
        <v>789</v>
      </c>
      <c r="I633" s="43" t="s">
        <v>254</v>
      </c>
      <c r="J633" s="43" t="s">
        <v>254</v>
      </c>
      <c r="K633" s="43" t="s">
        <v>254</v>
      </c>
      <c r="L633" s="43" t="s">
        <v>254</v>
      </c>
    </row>
    <row r="634" spans="1:12">
      <c r="A634" s="53">
        <f t="shared" si="165"/>
        <v>46105</v>
      </c>
      <c r="B634" s="41">
        <f t="shared" si="167"/>
        <v>46105</v>
      </c>
      <c r="C634" s="42" t="str">
        <f t="shared" si="166"/>
        <v>第4  火曜日</v>
      </c>
      <c r="D634" s="4" t="str">
        <f>_xlfn.XLOOKUP(B634,syukujitsu[国民の祝日・休日月日],syukujitsu[国民の祝日・休日名称],"",0,1)</f>
        <v/>
      </c>
      <c r="I634" s="43" t="s">
        <v>254</v>
      </c>
      <c r="J634" s="43" t="s">
        <v>254</v>
      </c>
      <c r="K634" s="43" t="s">
        <v>254</v>
      </c>
      <c r="L634" s="43" t="s">
        <v>254</v>
      </c>
    </row>
    <row r="635" spans="1:12">
      <c r="A635" s="53">
        <f t="shared" si="165"/>
        <v>46106</v>
      </c>
      <c r="B635" s="41">
        <f t="shared" si="167"/>
        <v>46106</v>
      </c>
      <c r="C635" s="42" t="str">
        <f t="shared" si="166"/>
        <v>第4  水曜日</v>
      </c>
      <c r="D635" s="4" t="str">
        <f>_xlfn.XLOOKUP(B635,syukujitsu[国民の祝日・休日月日],syukujitsu[国民の祝日・休日名称],"",0,1)</f>
        <v/>
      </c>
      <c r="G635" s="43" t="s">
        <v>788</v>
      </c>
      <c r="I635" s="43" t="s">
        <v>254</v>
      </c>
      <c r="J635" s="43" t="s">
        <v>254</v>
      </c>
      <c r="K635" s="43" t="s">
        <v>254</v>
      </c>
      <c r="L635" s="43" t="s">
        <v>254</v>
      </c>
    </row>
    <row r="636" spans="1:12">
      <c r="A636" s="53">
        <f t="shared" si="165"/>
        <v>46107</v>
      </c>
      <c r="B636" s="41">
        <f t="shared" si="167"/>
        <v>46107</v>
      </c>
      <c r="C636" s="42" t="str">
        <f t="shared" si="166"/>
        <v>第4  木曜日</v>
      </c>
      <c r="D636" s="4" t="str">
        <f>_xlfn.XLOOKUP(B636,syukujitsu[国民の祝日・休日月日],syukujitsu[国民の祝日・休日名称],"",0,1)</f>
        <v/>
      </c>
      <c r="I636" s="43" t="s">
        <v>254</v>
      </c>
      <c r="J636" s="43" t="s">
        <v>254</v>
      </c>
      <c r="K636" s="43" t="s">
        <v>254</v>
      </c>
      <c r="L636" s="43" t="s">
        <v>254</v>
      </c>
    </row>
    <row r="637" spans="1:12">
      <c r="A637" s="53">
        <f t="shared" si="165"/>
        <v>46108</v>
      </c>
      <c r="B637" s="41">
        <f t="shared" si="167"/>
        <v>46108</v>
      </c>
      <c r="C637" s="42" t="str">
        <f t="shared" si="166"/>
        <v>第4  金曜日</v>
      </c>
      <c r="D637" s="4" t="str">
        <f>_xlfn.XLOOKUP(B637,syukujitsu[国民の祝日・休日月日],syukujitsu[国民の祝日・休日名称],"",0,1)</f>
        <v/>
      </c>
      <c r="G637" s="43" t="s">
        <v>788</v>
      </c>
      <c r="I637" s="43" t="s">
        <v>254</v>
      </c>
      <c r="J637" s="43" t="s">
        <v>254</v>
      </c>
      <c r="K637" s="43" t="s">
        <v>254</v>
      </c>
      <c r="L637" s="43" t="s">
        <v>254</v>
      </c>
    </row>
    <row r="638" spans="1:12">
      <c r="A638" s="53">
        <f t="shared" ref="A638:A701" si="168">B638</f>
        <v>46109</v>
      </c>
      <c r="B638" s="41">
        <f t="shared" si="167"/>
        <v>46109</v>
      </c>
      <c r="C638" s="42" t="str">
        <f t="shared" si="166"/>
        <v>第4  土曜日</v>
      </c>
      <c r="D638" s="4" t="str">
        <f>_xlfn.XLOOKUP(B638,syukujitsu[国民の祝日・休日月日],syukujitsu[国民の祝日・休日名称],"",0,1)</f>
        <v/>
      </c>
      <c r="G638" s="43" t="s">
        <v>788</v>
      </c>
      <c r="I638" s="43" t="s">
        <v>254</v>
      </c>
      <c r="J638" s="43" t="s">
        <v>254</v>
      </c>
      <c r="K638" s="43" t="s">
        <v>254</v>
      </c>
      <c r="L638" s="43" t="s">
        <v>254</v>
      </c>
    </row>
    <row r="639" spans="1:12">
      <c r="A639" s="53">
        <f t="shared" si="168"/>
        <v>46110</v>
      </c>
      <c r="B639" s="41">
        <f t="shared" si="167"/>
        <v>46110</v>
      </c>
      <c r="C639" s="42" t="str">
        <f t="shared" si="166"/>
        <v>第5  日曜日</v>
      </c>
      <c r="D639" s="4" t="str">
        <f>_xlfn.XLOOKUP(B639,syukujitsu[国民の祝日・休日月日],syukujitsu[国民の祝日・休日名称],"",0,1)</f>
        <v/>
      </c>
      <c r="I639" s="43" t="s">
        <v>254</v>
      </c>
      <c r="J639" s="43" t="s">
        <v>254</v>
      </c>
      <c r="K639" s="43" t="s">
        <v>254</v>
      </c>
      <c r="L639" s="43" t="s">
        <v>254</v>
      </c>
    </row>
    <row r="640" spans="1:12">
      <c r="A640" s="53">
        <f t="shared" si="168"/>
        <v>46111</v>
      </c>
      <c r="B640" s="41">
        <f t="shared" si="167"/>
        <v>46111</v>
      </c>
      <c r="C640" s="42" t="str">
        <f t="shared" si="166"/>
        <v>第5  月曜日</v>
      </c>
      <c r="D640" s="4" t="str">
        <f>_xlfn.XLOOKUP(B640,syukujitsu[国民の祝日・休日月日],syukujitsu[国民の祝日・休日名称],"",0,1)</f>
        <v/>
      </c>
      <c r="F640" s="43" t="s">
        <v>725</v>
      </c>
      <c r="G640" s="43" t="s">
        <v>789</v>
      </c>
      <c r="I640" s="43" t="s">
        <v>254</v>
      </c>
      <c r="J640" s="43" t="s">
        <v>254</v>
      </c>
      <c r="K640" s="43" t="s">
        <v>254</v>
      </c>
      <c r="L640" s="43" t="s">
        <v>254</v>
      </c>
    </row>
    <row r="641" spans="1:12" ht="17.25">
      <c r="A641" s="53">
        <f t="shared" si="168"/>
        <v>46112</v>
      </c>
      <c r="B641" s="41">
        <f t="shared" si="167"/>
        <v>46112</v>
      </c>
      <c r="C641" s="42" t="str">
        <f t="shared" si="166"/>
        <v>第5  火曜日</v>
      </c>
      <c r="D641" s="4" t="str">
        <f>_xlfn.XLOOKUP(B641,syukujitsu[国民の祝日・休日月日],syukujitsu[国民の祝日・休日名称],"",0,1)</f>
        <v/>
      </c>
      <c r="E641" s="168" t="s">
        <v>811</v>
      </c>
      <c r="I641" s="43" t="s">
        <v>254</v>
      </c>
      <c r="J641" s="43" t="s">
        <v>254</v>
      </c>
      <c r="K641" s="43" t="s">
        <v>254</v>
      </c>
      <c r="L641" s="43" t="s">
        <v>254</v>
      </c>
    </row>
    <row r="642" spans="1:12">
      <c r="A642" s="53">
        <f t="shared" si="168"/>
        <v>46113</v>
      </c>
      <c r="B642" s="41">
        <f t="shared" si="167"/>
        <v>46113</v>
      </c>
      <c r="C642" s="42" t="str">
        <f t="shared" si="166"/>
        <v>第1  水曜日</v>
      </c>
      <c r="D642" s="4" t="str">
        <f>_xlfn.XLOOKUP(B642,syukujitsu[国民の祝日・休日月日],syukujitsu[国民の祝日・休日名称],"",0,1)</f>
        <v/>
      </c>
      <c r="G642" s="43" t="s">
        <v>788</v>
      </c>
      <c r="I642" s="43" t="s">
        <v>254</v>
      </c>
      <c r="J642" s="43" t="s">
        <v>254</v>
      </c>
      <c r="K642" s="43" t="s">
        <v>254</v>
      </c>
      <c r="L642" s="43" t="s">
        <v>254</v>
      </c>
    </row>
    <row r="643" spans="1:12">
      <c r="A643" s="53">
        <f t="shared" si="168"/>
        <v>46114</v>
      </c>
      <c r="B643" s="41">
        <f t="shared" si="167"/>
        <v>46114</v>
      </c>
      <c r="C643" s="42" t="str">
        <f t="shared" si="166"/>
        <v>第1  木曜日</v>
      </c>
      <c r="D643" s="4" t="str">
        <f>_xlfn.XLOOKUP(B643,syukujitsu[国民の祝日・休日月日],syukujitsu[国民の祝日・休日名称],"",0,1)</f>
        <v/>
      </c>
      <c r="E643" s="43" t="s">
        <v>706</v>
      </c>
      <c r="F643" s="43" t="s">
        <v>812</v>
      </c>
      <c r="G643" s="43" t="s">
        <v>813</v>
      </c>
      <c r="H643" s="43" t="s">
        <v>814</v>
      </c>
      <c r="I643" s="43" t="s">
        <v>254</v>
      </c>
      <c r="J643" s="43" t="s">
        <v>254</v>
      </c>
      <c r="K643" s="43" t="s">
        <v>254</v>
      </c>
      <c r="L643" s="43" t="s">
        <v>254</v>
      </c>
    </row>
    <row r="644" spans="1:12">
      <c r="A644" s="53">
        <f t="shared" si="168"/>
        <v>46115</v>
      </c>
      <c r="B644" s="41">
        <f t="shared" si="167"/>
        <v>46115</v>
      </c>
      <c r="C644" s="42" t="str">
        <f t="shared" si="166"/>
        <v>第1  金曜日</v>
      </c>
      <c r="D644" s="4" t="str">
        <f>_xlfn.XLOOKUP(B644,syukujitsu[国民の祝日・休日月日],syukujitsu[国民の祝日・休日名称],"",0,1)</f>
        <v/>
      </c>
      <c r="E644" s="43" t="s">
        <v>657</v>
      </c>
      <c r="G644" s="43" t="s">
        <v>788</v>
      </c>
      <c r="I644" s="43" t="s">
        <v>254</v>
      </c>
      <c r="J644" s="43" t="s">
        <v>254</v>
      </c>
      <c r="K644" s="43" t="s">
        <v>254</v>
      </c>
      <c r="L644" s="43" t="s">
        <v>254</v>
      </c>
    </row>
    <row r="645" spans="1:12">
      <c r="A645" s="53">
        <f t="shared" si="168"/>
        <v>46116</v>
      </c>
      <c r="B645" s="41">
        <f t="shared" si="167"/>
        <v>46116</v>
      </c>
      <c r="C645" s="42" t="str">
        <f t="shared" si="166"/>
        <v>第1  土曜日</v>
      </c>
      <c r="D645" s="4" t="str">
        <f>_xlfn.XLOOKUP(B645,syukujitsu[国民の祝日・休日月日],syukujitsu[国民の祝日・休日名称],"",0,1)</f>
        <v/>
      </c>
      <c r="G645" s="43" t="s">
        <v>788</v>
      </c>
      <c r="I645" s="43" t="s">
        <v>254</v>
      </c>
      <c r="J645" s="43" t="s">
        <v>254</v>
      </c>
      <c r="K645" s="43" t="s">
        <v>254</v>
      </c>
      <c r="L645" s="43" t="s">
        <v>254</v>
      </c>
    </row>
    <row r="646" spans="1:12">
      <c r="A646" s="53">
        <f t="shared" si="168"/>
        <v>46117</v>
      </c>
      <c r="B646" s="41">
        <f t="shared" si="167"/>
        <v>46117</v>
      </c>
      <c r="C646" s="42" t="str">
        <f t="shared" si="166"/>
        <v>第1  日曜日</v>
      </c>
      <c r="D646" s="4" t="str">
        <f>_xlfn.XLOOKUP(B646,syukujitsu[国民の祝日・休日月日],syukujitsu[国民の祝日・休日名称],"",0,1)</f>
        <v/>
      </c>
      <c r="I646" s="43" t="s">
        <v>254</v>
      </c>
      <c r="J646" s="43" t="s">
        <v>254</v>
      </c>
      <c r="K646" s="43" t="s">
        <v>254</v>
      </c>
      <c r="L646" s="43" t="s">
        <v>254</v>
      </c>
    </row>
    <row r="647" spans="1:12">
      <c r="A647" s="53">
        <f t="shared" si="168"/>
        <v>46118</v>
      </c>
      <c r="B647" s="41">
        <f t="shared" si="167"/>
        <v>46118</v>
      </c>
      <c r="C647" s="42" t="str">
        <f t="shared" si="166"/>
        <v>第1  月曜日</v>
      </c>
      <c r="D647" s="4" t="str">
        <f>_xlfn.XLOOKUP(B647,syukujitsu[国民の祝日・休日月日],syukujitsu[国民の祝日・休日名称],"",0,1)</f>
        <v/>
      </c>
      <c r="G647" s="43" t="s">
        <v>789</v>
      </c>
      <c r="I647" s="43" t="s">
        <v>254</v>
      </c>
      <c r="J647" s="43" t="s">
        <v>254</v>
      </c>
      <c r="K647" s="43" t="s">
        <v>254</v>
      </c>
      <c r="L647" s="43" t="s">
        <v>254</v>
      </c>
    </row>
    <row r="648" spans="1:12">
      <c r="A648" s="53">
        <f t="shared" si="168"/>
        <v>46119</v>
      </c>
      <c r="B648" s="41">
        <f t="shared" si="167"/>
        <v>46119</v>
      </c>
      <c r="C648" s="42" t="str">
        <f t="shared" si="166"/>
        <v>第1  火曜日</v>
      </c>
      <c r="D648" s="4" t="str">
        <f>_xlfn.XLOOKUP(B648,syukujitsu[国民の祝日・休日月日],syukujitsu[国民の祝日・休日名称],"",0,1)</f>
        <v/>
      </c>
      <c r="I648" s="43" t="s">
        <v>254</v>
      </c>
      <c r="J648" s="43" t="s">
        <v>254</v>
      </c>
      <c r="K648" s="43" t="s">
        <v>254</v>
      </c>
      <c r="L648" s="43" t="s">
        <v>254</v>
      </c>
    </row>
    <row r="649" spans="1:12">
      <c r="A649" s="53">
        <f t="shared" si="168"/>
        <v>46120</v>
      </c>
      <c r="B649" s="41">
        <f t="shared" si="167"/>
        <v>46120</v>
      </c>
      <c r="C649" s="42" t="str">
        <f t="shared" si="166"/>
        <v>第2  水曜日</v>
      </c>
      <c r="D649" s="4" t="str">
        <f>_xlfn.XLOOKUP(B649,syukujitsu[国民の祝日・休日月日],syukujitsu[国民の祝日・休日名称],"",0,1)</f>
        <v/>
      </c>
      <c r="E649" s="43" t="s">
        <v>815</v>
      </c>
      <c r="G649" s="43" t="s">
        <v>788</v>
      </c>
      <c r="I649" s="43" t="s">
        <v>254</v>
      </c>
      <c r="J649" s="43" t="s">
        <v>254</v>
      </c>
      <c r="K649" s="43" t="s">
        <v>254</v>
      </c>
      <c r="L649" s="43" t="s">
        <v>254</v>
      </c>
    </row>
    <row r="650" spans="1:12">
      <c r="A650" s="53">
        <f t="shared" si="168"/>
        <v>46121</v>
      </c>
      <c r="B650" s="41">
        <f t="shared" si="167"/>
        <v>46121</v>
      </c>
      <c r="C650" s="42" t="str">
        <f t="shared" si="166"/>
        <v>第2  木曜日</v>
      </c>
      <c r="D650" s="4" t="str">
        <f>_xlfn.XLOOKUP(B650,syukujitsu[国民の祝日・休日月日],syukujitsu[国民の祝日・休日名称],"",0,1)</f>
        <v/>
      </c>
      <c r="E650" s="43" t="s">
        <v>818</v>
      </c>
      <c r="F650" s="43" t="s">
        <v>816</v>
      </c>
      <c r="I650" s="43" t="s">
        <v>254</v>
      </c>
      <c r="J650" s="43" t="s">
        <v>254</v>
      </c>
      <c r="K650" s="43" t="s">
        <v>254</v>
      </c>
      <c r="L650" s="43" t="s">
        <v>254</v>
      </c>
    </row>
    <row r="651" spans="1:12">
      <c r="A651" s="53">
        <f t="shared" si="168"/>
        <v>46122</v>
      </c>
      <c r="B651" s="41">
        <f t="shared" si="167"/>
        <v>46122</v>
      </c>
      <c r="C651" s="42" t="str">
        <f t="shared" si="166"/>
        <v>第2  金曜日</v>
      </c>
      <c r="D651" s="4" t="str">
        <f>_xlfn.XLOOKUP(B651,syukujitsu[国民の祝日・休日月日],syukujitsu[国民の祝日・休日名称],"",0,1)</f>
        <v/>
      </c>
      <c r="E651" s="43" t="s">
        <v>745</v>
      </c>
      <c r="F651" s="43" t="s">
        <v>817</v>
      </c>
      <c r="G651" s="43" t="s">
        <v>788</v>
      </c>
      <c r="I651" s="43" t="s">
        <v>254</v>
      </c>
      <c r="J651" s="43" t="s">
        <v>254</v>
      </c>
      <c r="K651" s="43" t="s">
        <v>254</v>
      </c>
      <c r="L651" s="43" t="s">
        <v>254</v>
      </c>
    </row>
    <row r="652" spans="1:12">
      <c r="A652" s="53">
        <f t="shared" si="168"/>
        <v>46123</v>
      </c>
      <c r="B652" s="41">
        <f t="shared" si="167"/>
        <v>46123</v>
      </c>
      <c r="C652" s="42" t="str">
        <f t="shared" ref="C652:C715" si="169">"第"&amp;ROUNDUP(DAY(B652)/7,0)  &amp;"  "&amp;TEXT(B652,"aaaa")</f>
        <v>第2  土曜日</v>
      </c>
      <c r="D652" s="4" t="str">
        <f>_xlfn.XLOOKUP(B652,syukujitsu[国民の祝日・休日月日],syukujitsu[国民の祝日・休日名称],"",0,1)</f>
        <v/>
      </c>
      <c r="F652" s="43" t="s">
        <v>820</v>
      </c>
      <c r="G652" s="43" t="s">
        <v>788</v>
      </c>
      <c r="I652" s="43" t="s">
        <v>254</v>
      </c>
      <c r="J652" s="43" t="s">
        <v>254</v>
      </c>
      <c r="K652" s="43" t="s">
        <v>254</v>
      </c>
      <c r="L652" s="43" t="s">
        <v>254</v>
      </c>
    </row>
    <row r="653" spans="1:12">
      <c r="A653" s="53">
        <f t="shared" si="168"/>
        <v>46124</v>
      </c>
      <c r="B653" s="41">
        <f t="shared" si="167"/>
        <v>46124</v>
      </c>
      <c r="C653" s="42" t="str">
        <f t="shared" si="169"/>
        <v>第2  日曜日</v>
      </c>
      <c r="D653" s="4" t="str">
        <f>_xlfn.XLOOKUP(B653,syukujitsu[国民の祝日・休日月日],syukujitsu[国民の祝日・休日名称],"",0,1)</f>
        <v/>
      </c>
      <c r="I653" s="43" t="s">
        <v>254</v>
      </c>
      <c r="J653" s="43" t="s">
        <v>254</v>
      </c>
      <c r="K653" s="43" t="s">
        <v>254</v>
      </c>
      <c r="L653" s="43" t="s">
        <v>254</v>
      </c>
    </row>
    <row r="654" spans="1:12">
      <c r="A654" s="53">
        <f t="shared" si="168"/>
        <v>46125</v>
      </c>
      <c r="B654" s="41">
        <f t="shared" si="167"/>
        <v>46125</v>
      </c>
      <c r="C654" s="42" t="str">
        <f t="shared" si="169"/>
        <v>第2  月曜日</v>
      </c>
      <c r="D654" s="4" t="str">
        <f>_xlfn.XLOOKUP(B654,syukujitsu[国民の祝日・休日月日],syukujitsu[国民の祝日・休日名称],"",0,1)</f>
        <v/>
      </c>
      <c r="E654" s="43" t="s">
        <v>816</v>
      </c>
      <c r="F654" s="43" t="s">
        <v>725</v>
      </c>
      <c r="G654" s="43" t="s">
        <v>819</v>
      </c>
      <c r="I654" s="43" t="s">
        <v>254</v>
      </c>
      <c r="J654" s="43" t="s">
        <v>254</v>
      </c>
      <c r="K654" s="43" t="s">
        <v>254</v>
      </c>
      <c r="L654" s="43" t="s">
        <v>254</v>
      </c>
    </row>
    <row r="655" spans="1:12">
      <c r="A655" s="53">
        <f t="shared" si="168"/>
        <v>46126</v>
      </c>
      <c r="B655" s="41">
        <f t="shared" si="167"/>
        <v>46126</v>
      </c>
      <c r="C655" s="42" t="str">
        <f t="shared" si="169"/>
        <v>第2  火曜日</v>
      </c>
      <c r="D655" s="4" t="str">
        <f>_xlfn.XLOOKUP(B655,syukujitsu[国民の祝日・休日月日],syukujitsu[国民の祝日・休日名称],"",0,1)</f>
        <v/>
      </c>
      <c r="G655" s="43" t="s">
        <v>819</v>
      </c>
      <c r="I655" s="43" t="s">
        <v>254</v>
      </c>
      <c r="J655" s="43" t="s">
        <v>254</v>
      </c>
      <c r="K655" s="43" t="s">
        <v>254</v>
      </c>
      <c r="L655" s="43" t="s">
        <v>254</v>
      </c>
    </row>
    <row r="656" spans="1:12">
      <c r="A656" s="53">
        <f t="shared" si="168"/>
        <v>46127</v>
      </c>
      <c r="B656" s="41">
        <f t="shared" si="167"/>
        <v>46127</v>
      </c>
      <c r="C656" s="42" t="str">
        <f t="shared" si="169"/>
        <v>第3  水曜日</v>
      </c>
      <c r="D656" s="4" t="str">
        <f>_xlfn.XLOOKUP(B656,syukujitsu[国民の祝日・休日月日],syukujitsu[国民の祝日・休日名称],"",0,1)</f>
        <v/>
      </c>
      <c r="G656" s="43" t="s">
        <v>819</v>
      </c>
      <c r="I656" s="43" t="s">
        <v>254</v>
      </c>
      <c r="J656" s="43" t="s">
        <v>254</v>
      </c>
      <c r="K656" s="43" t="s">
        <v>254</v>
      </c>
      <c r="L656" s="43" t="s">
        <v>254</v>
      </c>
    </row>
    <row r="657" spans="1:12">
      <c r="A657" s="53">
        <f t="shared" si="168"/>
        <v>46128</v>
      </c>
      <c r="B657" s="41">
        <f t="shared" si="167"/>
        <v>46128</v>
      </c>
      <c r="C657" s="42" t="str">
        <f t="shared" si="169"/>
        <v>第3  木曜日</v>
      </c>
      <c r="D657" s="4" t="str">
        <f>_xlfn.XLOOKUP(B657,syukujitsu[国民の祝日・休日月日],syukujitsu[国民の祝日・休日名称],"",0,1)</f>
        <v/>
      </c>
      <c r="G657" s="43" t="s">
        <v>819</v>
      </c>
      <c r="I657" s="43" t="s">
        <v>254</v>
      </c>
      <c r="J657" s="43" t="s">
        <v>254</v>
      </c>
      <c r="K657" s="43" t="s">
        <v>254</v>
      </c>
      <c r="L657" s="43" t="s">
        <v>254</v>
      </c>
    </row>
    <row r="658" spans="1:12">
      <c r="A658" s="53">
        <f t="shared" si="168"/>
        <v>46129</v>
      </c>
      <c r="B658" s="41">
        <f t="shared" si="167"/>
        <v>46129</v>
      </c>
      <c r="C658" s="42" t="str">
        <f t="shared" si="169"/>
        <v>第3  金曜日</v>
      </c>
      <c r="D658" s="4" t="str">
        <f>_xlfn.XLOOKUP(B658,syukujitsu[国民の祝日・休日月日],syukujitsu[国民の祝日・休日名称],"",0,1)</f>
        <v/>
      </c>
      <c r="E658" s="43" t="s">
        <v>657</v>
      </c>
      <c r="G658" s="43" t="s">
        <v>819</v>
      </c>
      <c r="I658" s="43" t="s">
        <v>254</v>
      </c>
      <c r="J658" s="43" t="s">
        <v>254</v>
      </c>
      <c r="K658" s="43" t="s">
        <v>254</v>
      </c>
      <c r="L658" s="43" t="s">
        <v>254</v>
      </c>
    </row>
    <row r="659" spans="1:12">
      <c r="A659" s="53">
        <f t="shared" si="168"/>
        <v>46130</v>
      </c>
      <c r="B659" s="41">
        <f t="shared" si="167"/>
        <v>46130</v>
      </c>
      <c r="C659" s="42" t="str">
        <f t="shared" si="169"/>
        <v>第3  土曜日</v>
      </c>
      <c r="D659" s="4" t="str">
        <f>_xlfn.XLOOKUP(B659,syukujitsu[国民の祝日・休日月日],syukujitsu[国民の祝日・休日名称],"",0,1)</f>
        <v/>
      </c>
      <c r="E659" s="43" t="s">
        <v>838</v>
      </c>
      <c r="H659" s="43" t="s">
        <v>821</v>
      </c>
      <c r="I659" s="43" t="s">
        <v>254</v>
      </c>
      <c r="J659" s="43" t="s">
        <v>254</v>
      </c>
      <c r="K659" s="43" t="s">
        <v>254</v>
      </c>
      <c r="L659" s="43" t="s">
        <v>254</v>
      </c>
    </row>
    <row r="660" spans="1:12">
      <c r="A660" s="53">
        <f t="shared" si="168"/>
        <v>46131</v>
      </c>
      <c r="B660" s="41">
        <f t="shared" si="167"/>
        <v>46131</v>
      </c>
      <c r="C660" s="42" t="str">
        <f t="shared" si="169"/>
        <v>第3  日曜日</v>
      </c>
      <c r="D660" s="4" t="str">
        <f>_xlfn.XLOOKUP(B660,syukujitsu[国民の祝日・休日月日],syukujitsu[国民の祝日・休日名称],"",0,1)</f>
        <v/>
      </c>
      <c r="I660" s="43" t="s">
        <v>254</v>
      </c>
      <c r="J660" s="43" t="s">
        <v>254</v>
      </c>
      <c r="K660" s="43" t="s">
        <v>254</v>
      </c>
      <c r="L660" s="43" t="s">
        <v>254</v>
      </c>
    </row>
    <row r="661" spans="1:12">
      <c r="A661" s="53">
        <f t="shared" si="168"/>
        <v>46132</v>
      </c>
      <c r="B661" s="41">
        <f t="shared" si="167"/>
        <v>46132</v>
      </c>
      <c r="C661" s="42" t="str">
        <f t="shared" si="169"/>
        <v>第3  月曜日</v>
      </c>
      <c r="D661" s="4" t="str">
        <f>_xlfn.XLOOKUP(B661,syukujitsu[国民の祝日・休日月日],syukujitsu[国民の祝日・休日名称],"",0,1)</f>
        <v/>
      </c>
      <c r="E661" s="43" t="s">
        <v>835</v>
      </c>
      <c r="F661" s="43" t="s">
        <v>837</v>
      </c>
      <c r="H661" s="43" t="s">
        <v>819</v>
      </c>
      <c r="I661" s="43" t="s">
        <v>254</v>
      </c>
      <c r="J661" s="43" t="s">
        <v>254</v>
      </c>
      <c r="K661" s="43" t="s">
        <v>254</v>
      </c>
      <c r="L661" s="43" t="s">
        <v>254</v>
      </c>
    </row>
    <row r="662" spans="1:12">
      <c r="A662" s="53">
        <f t="shared" si="168"/>
        <v>46133</v>
      </c>
      <c r="B662" s="41">
        <f t="shared" si="167"/>
        <v>46133</v>
      </c>
      <c r="C662" s="42" t="str">
        <f t="shared" si="169"/>
        <v>第3  火曜日</v>
      </c>
      <c r="D662" s="4" t="str">
        <f>_xlfn.XLOOKUP(B662,syukujitsu[国民の祝日・休日月日],syukujitsu[国民の祝日・休日名称],"",0,1)</f>
        <v/>
      </c>
      <c r="E662" s="43" t="s">
        <v>836</v>
      </c>
      <c r="F662" s="43" t="s">
        <v>839</v>
      </c>
      <c r="H662" s="43" t="s">
        <v>819</v>
      </c>
      <c r="I662" s="43" t="s">
        <v>254</v>
      </c>
      <c r="J662" s="43" t="s">
        <v>254</v>
      </c>
      <c r="K662" s="43" t="s">
        <v>254</v>
      </c>
      <c r="L662" s="43" t="s">
        <v>254</v>
      </c>
    </row>
    <row r="663" spans="1:12">
      <c r="A663" s="53">
        <f t="shared" si="168"/>
        <v>46134</v>
      </c>
      <c r="B663" s="41">
        <f t="shared" si="167"/>
        <v>46134</v>
      </c>
      <c r="C663" s="42" t="str">
        <f t="shared" si="169"/>
        <v>第4  水曜日</v>
      </c>
      <c r="D663" s="4" t="str">
        <f>_xlfn.XLOOKUP(B663,syukujitsu[国民の祝日・休日月日],syukujitsu[国民の祝日・休日名称],"",0,1)</f>
        <v/>
      </c>
      <c r="H663" s="43" t="s">
        <v>819</v>
      </c>
      <c r="I663" s="43" t="s">
        <v>254</v>
      </c>
      <c r="J663" s="43" t="s">
        <v>254</v>
      </c>
      <c r="K663" s="43" t="s">
        <v>254</v>
      </c>
      <c r="L663" s="43" t="s">
        <v>254</v>
      </c>
    </row>
    <row r="664" spans="1:12">
      <c r="A664" s="53">
        <f t="shared" si="168"/>
        <v>46135</v>
      </c>
      <c r="B664" s="41">
        <f t="shared" si="167"/>
        <v>46135</v>
      </c>
      <c r="C664" s="42" t="str">
        <f t="shared" si="169"/>
        <v>第4  木曜日</v>
      </c>
      <c r="D664" s="4" t="str">
        <f>_xlfn.XLOOKUP(B664,syukujitsu[国民の祝日・休日月日],syukujitsu[国民の祝日・休日名称],"",0,1)</f>
        <v/>
      </c>
      <c r="E664" s="43" t="s">
        <v>840</v>
      </c>
      <c r="H664" s="43" t="s">
        <v>819</v>
      </c>
      <c r="I664" s="43" t="s">
        <v>254</v>
      </c>
      <c r="J664" s="43" t="s">
        <v>254</v>
      </c>
      <c r="K664" s="43" t="s">
        <v>254</v>
      </c>
      <c r="L664" s="43" t="s">
        <v>254</v>
      </c>
    </row>
    <row r="665" spans="1:12">
      <c r="A665" s="53">
        <f t="shared" si="168"/>
        <v>46136</v>
      </c>
      <c r="B665" s="41">
        <f t="shared" si="167"/>
        <v>46136</v>
      </c>
      <c r="C665" s="42" t="str">
        <f t="shared" si="169"/>
        <v>第4  金曜日</v>
      </c>
      <c r="D665" s="4" t="str">
        <f>_xlfn.XLOOKUP(B665,syukujitsu[国民の祝日・休日月日],syukujitsu[国民の祝日・休日名称],"",0,1)</f>
        <v/>
      </c>
      <c r="E665" s="43" t="s">
        <v>745</v>
      </c>
      <c r="F665" s="43" t="s">
        <v>900</v>
      </c>
      <c r="H665" s="43" t="s">
        <v>819</v>
      </c>
      <c r="I665" s="43" t="s">
        <v>254</v>
      </c>
      <c r="J665" s="43" t="s">
        <v>254</v>
      </c>
      <c r="K665" s="43" t="s">
        <v>254</v>
      </c>
      <c r="L665" s="43" t="s">
        <v>254</v>
      </c>
    </row>
    <row r="666" spans="1:12">
      <c r="A666" s="53">
        <f t="shared" si="168"/>
        <v>46137</v>
      </c>
      <c r="B666" s="41">
        <f t="shared" si="167"/>
        <v>46137</v>
      </c>
      <c r="C666" s="42" t="str">
        <f t="shared" si="169"/>
        <v>第4  土曜日</v>
      </c>
      <c r="D666" s="4" t="str">
        <f>_xlfn.XLOOKUP(B666,syukujitsu[国民の祝日・休日月日],syukujitsu[国民の祝日・休日名称],"",0,1)</f>
        <v/>
      </c>
      <c r="E666" s="43" t="s">
        <v>834</v>
      </c>
      <c r="I666" s="43" t="s">
        <v>254</v>
      </c>
      <c r="J666" s="43" t="s">
        <v>254</v>
      </c>
      <c r="K666" s="43" t="s">
        <v>254</v>
      </c>
      <c r="L666" s="43" t="s">
        <v>254</v>
      </c>
    </row>
    <row r="667" spans="1:12">
      <c r="A667" s="53">
        <f t="shared" si="168"/>
        <v>46138</v>
      </c>
      <c r="B667" s="41">
        <f t="shared" si="167"/>
        <v>46138</v>
      </c>
      <c r="C667" s="42" t="str">
        <f t="shared" si="169"/>
        <v>第4  日曜日</v>
      </c>
      <c r="D667" s="4" t="str">
        <f>_xlfn.XLOOKUP(B667,syukujitsu[国民の祝日・休日月日],syukujitsu[国民の祝日・休日名称],"",0,1)</f>
        <v/>
      </c>
      <c r="I667" s="43" t="s">
        <v>254</v>
      </c>
      <c r="J667" s="43" t="s">
        <v>254</v>
      </c>
      <c r="K667" s="43" t="s">
        <v>254</v>
      </c>
      <c r="L667" s="43" t="s">
        <v>254</v>
      </c>
    </row>
    <row r="668" spans="1:12">
      <c r="A668" s="53">
        <f t="shared" si="168"/>
        <v>46139</v>
      </c>
      <c r="B668" s="41">
        <f t="shared" si="167"/>
        <v>46139</v>
      </c>
      <c r="C668" s="42" t="str">
        <f t="shared" si="169"/>
        <v>第4  月曜日</v>
      </c>
      <c r="D668" s="4" t="str">
        <f>_xlfn.XLOOKUP(B668,syukujitsu[国民の祝日・休日月日],syukujitsu[国民の祝日・休日名称],"",0,1)</f>
        <v/>
      </c>
      <c r="F668" s="43" t="s">
        <v>719</v>
      </c>
      <c r="H668" s="43" t="s">
        <v>819</v>
      </c>
      <c r="I668" s="43" t="s">
        <v>254</v>
      </c>
      <c r="J668" s="43" t="s">
        <v>254</v>
      </c>
      <c r="K668" s="43" t="s">
        <v>254</v>
      </c>
      <c r="L668" s="43" t="s">
        <v>254</v>
      </c>
    </row>
    <row r="669" spans="1:12">
      <c r="A669" s="53">
        <f t="shared" si="168"/>
        <v>46140</v>
      </c>
      <c r="B669" s="41">
        <f t="shared" si="167"/>
        <v>46140</v>
      </c>
      <c r="C669" s="42" t="str">
        <f t="shared" si="169"/>
        <v>第4  火曜日</v>
      </c>
      <c r="D669" s="4" t="str">
        <f>_xlfn.XLOOKUP(B669,syukujitsu[国民の祝日・休日月日],syukujitsu[国民の祝日・休日名称],"",0,1)</f>
        <v/>
      </c>
      <c r="H669" s="43" t="s">
        <v>819</v>
      </c>
      <c r="I669" s="43" t="s">
        <v>254</v>
      </c>
      <c r="J669" s="43" t="s">
        <v>254</v>
      </c>
      <c r="K669" s="43" t="s">
        <v>254</v>
      </c>
      <c r="L669" s="43" t="s">
        <v>254</v>
      </c>
    </row>
    <row r="670" spans="1:12">
      <c r="A670" s="53">
        <f t="shared" si="168"/>
        <v>46141</v>
      </c>
      <c r="B670" s="41">
        <f t="shared" si="167"/>
        <v>46141</v>
      </c>
      <c r="C670" s="42" t="str">
        <f t="shared" si="169"/>
        <v>第5  水曜日</v>
      </c>
      <c r="D670" s="4" t="str">
        <f>_xlfn.XLOOKUP(B670,syukujitsu[国民の祝日・休日月日],syukujitsu[国民の祝日・休日名称],"",0,1)</f>
        <v>昭和の日</v>
      </c>
      <c r="H670" s="43" t="s">
        <v>819</v>
      </c>
      <c r="I670" s="43" t="s">
        <v>254</v>
      </c>
      <c r="J670" s="43" t="s">
        <v>254</v>
      </c>
      <c r="K670" s="43" t="s">
        <v>254</v>
      </c>
      <c r="L670" s="43" t="s">
        <v>254</v>
      </c>
    </row>
    <row r="671" spans="1:12">
      <c r="A671" s="53">
        <f t="shared" si="168"/>
        <v>46142</v>
      </c>
      <c r="B671" s="41">
        <f t="shared" si="167"/>
        <v>46142</v>
      </c>
      <c r="C671" s="42" t="str">
        <f t="shared" si="169"/>
        <v>第5  木曜日</v>
      </c>
      <c r="D671" s="4" t="str">
        <f>_xlfn.XLOOKUP(B671,syukujitsu[国民の祝日・休日月日],syukujitsu[国民の祝日・休日名称],"",0,1)</f>
        <v/>
      </c>
      <c r="E671" s="43" t="s">
        <v>813</v>
      </c>
      <c r="F671" s="43" t="s">
        <v>900</v>
      </c>
      <c r="H671" s="43" t="s">
        <v>819</v>
      </c>
      <c r="I671" s="43" t="s">
        <v>254</v>
      </c>
      <c r="J671" s="43" t="s">
        <v>254</v>
      </c>
      <c r="K671" s="43" t="s">
        <v>254</v>
      </c>
      <c r="L671" s="43" t="s">
        <v>254</v>
      </c>
    </row>
    <row r="672" spans="1:12">
      <c r="A672" s="53">
        <f t="shared" si="168"/>
        <v>46143</v>
      </c>
      <c r="B672" s="41">
        <f t="shared" si="167"/>
        <v>46143</v>
      </c>
      <c r="C672" s="42" t="str">
        <f t="shared" si="169"/>
        <v>第1  金曜日</v>
      </c>
      <c r="D672" s="4" t="str">
        <f>_xlfn.XLOOKUP(B672,syukujitsu[国民の祝日・休日月日],syukujitsu[国民の祝日・休日名称],"",0,1)</f>
        <v/>
      </c>
      <c r="E672" s="43" t="s">
        <v>657</v>
      </c>
      <c r="H672" s="43" t="s">
        <v>819</v>
      </c>
      <c r="I672" s="43" t="s">
        <v>254</v>
      </c>
      <c r="J672" s="43" t="s">
        <v>254</v>
      </c>
      <c r="K672" s="43" t="s">
        <v>254</v>
      </c>
      <c r="L672" s="43" t="s">
        <v>254</v>
      </c>
    </row>
    <row r="673" spans="1:12">
      <c r="A673" s="53">
        <f t="shared" si="168"/>
        <v>46144</v>
      </c>
      <c r="B673" s="41">
        <f t="shared" si="167"/>
        <v>46144</v>
      </c>
      <c r="C673" s="42" t="str">
        <f t="shared" si="169"/>
        <v>第1  土曜日</v>
      </c>
      <c r="D673" s="4" t="str">
        <f>_xlfn.XLOOKUP(B673,syukujitsu[国民の祝日・休日月日],syukujitsu[国民の祝日・休日名称],"",0,1)</f>
        <v/>
      </c>
      <c r="I673" s="43" t="s">
        <v>254</v>
      </c>
      <c r="J673" s="43" t="s">
        <v>254</v>
      </c>
      <c r="K673" s="43" t="s">
        <v>254</v>
      </c>
      <c r="L673" s="43" t="s">
        <v>254</v>
      </c>
    </row>
    <row r="674" spans="1:12">
      <c r="A674" s="53">
        <f t="shared" si="168"/>
        <v>46145</v>
      </c>
      <c r="B674" s="41">
        <f t="shared" si="167"/>
        <v>46145</v>
      </c>
      <c r="C674" s="42" t="str">
        <f t="shared" si="169"/>
        <v>第1  日曜日</v>
      </c>
      <c r="D674" s="4" t="str">
        <f>_xlfn.XLOOKUP(B674,syukujitsu[国民の祝日・休日月日],syukujitsu[国民の祝日・休日名称],"",0,1)</f>
        <v>憲法記念日</v>
      </c>
      <c r="I674" s="43" t="s">
        <v>254</v>
      </c>
      <c r="J674" s="43" t="s">
        <v>254</v>
      </c>
      <c r="K674" s="43" t="s">
        <v>254</v>
      </c>
      <c r="L674" s="43" t="s">
        <v>254</v>
      </c>
    </row>
    <row r="675" spans="1:12">
      <c r="A675" s="53">
        <f t="shared" si="168"/>
        <v>46146</v>
      </c>
      <c r="B675" s="41">
        <f t="shared" si="167"/>
        <v>46146</v>
      </c>
      <c r="C675" s="42" t="str">
        <f t="shared" si="169"/>
        <v>第1  月曜日</v>
      </c>
      <c r="D675" s="4" t="str">
        <f>_xlfn.XLOOKUP(B675,syukujitsu[国民の祝日・休日月日],syukujitsu[国民の祝日・休日名称],"",0,1)</f>
        <v>みどりの日</v>
      </c>
      <c r="I675" s="43" t="s">
        <v>254</v>
      </c>
      <c r="J675" s="43" t="s">
        <v>254</v>
      </c>
      <c r="K675" s="43" t="s">
        <v>254</v>
      </c>
      <c r="L675" s="43" t="s">
        <v>254</v>
      </c>
    </row>
    <row r="676" spans="1:12">
      <c r="A676" s="53">
        <f t="shared" si="168"/>
        <v>46147</v>
      </c>
      <c r="B676" s="41">
        <f t="shared" si="167"/>
        <v>46147</v>
      </c>
      <c r="C676" s="42" t="str">
        <f t="shared" si="169"/>
        <v>第1  火曜日</v>
      </c>
      <c r="D676" s="4" t="str">
        <f>_xlfn.XLOOKUP(B676,syukujitsu[国民の祝日・休日月日],syukujitsu[国民の祝日・休日名称],"",0,1)</f>
        <v>こどもの日</v>
      </c>
      <c r="I676" s="43" t="s">
        <v>254</v>
      </c>
      <c r="J676" s="43" t="s">
        <v>254</v>
      </c>
      <c r="K676" s="43" t="s">
        <v>254</v>
      </c>
      <c r="L676" s="43" t="s">
        <v>254</v>
      </c>
    </row>
    <row r="677" spans="1:12">
      <c r="A677" s="53">
        <f t="shared" si="168"/>
        <v>46148</v>
      </c>
      <c r="B677" s="41">
        <f t="shared" si="167"/>
        <v>46148</v>
      </c>
      <c r="C677" s="42" t="str">
        <f t="shared" si="169"/>
        <v>第1  水曜日</v>
      </c>
      <c r="D677" s="4" t="str">
        <f>_xlfn.XLOOKUP(B677,syukujitsu[国民の祝日・休日月日],syukujitsu[国民の祝日・休日名称],"",0,1)</f>
        <v>振替休日</v>
      </c>
      <c r="I677" s="43" t="s">
        <v>254</v>
      </c>
      <c r="J677" s="43" t="s">
        <v>254</v>
      </c>
      <c r="K677" s="43" t="s">
        <v>254</v>
      </c>
      <c r="L677" s="43" t="s">
        <v>254</v>
      </c>
    </row>
    <row r="678" spans="1:12">
      <c r="A678" s="53">
        <f t="shared" si="168"/>
        <v>46149</v>
      </c>
      <c r="B678" s="41">
        <f t="shared" si="167"/>
        <v>46149</v>
      </c>
      <c r="C678" s="42" t="str">
        <f t="shared" si="169"/>
        <v>第1  木曜日</v>
      </c>
      <c r="D678" s="4" t="str">
        <f>_xlfn.XLOOKUP(B678,syukujitsu[国民の祝日・休日月日],syukujitsu[国民の祝日・休日名称],"",0,1)</f>
        <v/>
      </c>
      <c r="E678" s="43" t="s">
        <v>912</v>
      </c>
      <c r="I678" s="43" t="s">
        <v>254</v>
      </c>
      <c r="J678" s="43" t="s">
        <v>254</v>
      </c>
      <c r="K678" s="43" t="s">
        <v>254</v>
      </c>
      <c r="L678" s="43" t="s">
        <v>254</v>
      </c>
    </row>
    <row r="679" spans="1:12">
      <c r="A679" s="53">
        <f t="shared" si="168"/>
        <v>46150</v>
      </c>
      <c r="B679" s="41">
        <f t="shared" si="167"/>
        <v>46150</v>
      </c>
      <c r="C679" s="42" t="str">
        <f t="shared" si="169"/>
        <v>第2  金曜日</v>
      </c>
      <c r="D679" s="4" t="str">
        <f>_xlfn.XLOOKUP(B679,syukujitsu[国民の祝日・休日月日],syukujitsu[国民の祝日・休日名称],"",0,1)</f>
        <v/>
      </c>
      <c r="F679" s="43" t="s">
        <v>900</v>
      </c>
      <c r="I679" s="43" t="s">
        <v>254</v>
      </c>
      <c r="J679" s="43" t="s">
        <v>254</v>
      </c>
      <c r="K679" s="43" t="s">
        <v>254</v>
      </c>
      <c r="L679" s="43" t="s">
        <v>254</v>
      </c>
    </row>
    <row r="680" spans="1:12">
      <c r="A680" s="53">
        <f t="shared" si="168"/>
        <v>46151</v>
      </c>
      <c r="B680" s="41">
        <f t="shared" si="167"/>
        <v>46151</v>
      </c>
      <c r="C680" s="42" t="str">
        <f t="shared" si="169"/>
        <v>第2  土曜日</v>
      </c>
      <c r="D680" s="4" t="str">
        <f>_xlfn.XLOOKUP(B680,syukujitsu[国民の祝日・休日月日],syukujitsu[国民の祝日・休日名称],"",0,1)</f>
        <v/>
      </c>
      <c r="I680" s="43" t="s">
        <v>254</v>
      </c>
      <c r="J680" s="43" t="s">
        <v>254</v>
      </c>
      <c r="K680" s="43" t="s">
        <v>254</v>
      </c>
      <c r="L680" s="43" t="s">
        <v>254</v>
      </c>
    </row>
    <row r="681" spans="1:12">
      <c r="A681" s="53">
        <f t="shared" si="168"/>
        <v>46152</v>
      </c>
      <c r="B681" s="41">
        <f t="shared" si="167"/>
        <v>46152</v>
      </c>
      <c r="C681" s="42" t="str">
        <f t="shared" si="169"/>
        <v>第2  日曜日</v>
      </c>
      <c r="D681" s="4" t="str">
        <f>_xlfn.XLOOKUP(B681,syukujitsu[国民の祝日・休日月日],syukujitsu[国民の祝日・休日名称],"",0,1)</f>
        <v/>
      </c>
      <c r="I681" s="43" t="s">
        <v>254</v>
      </c>
      <c r="J681" s="43" t="s">
        <v>254</v>
      </c>
      <c r="K681" s="43" t="s">
        <v>254</v>
      </c>
      <c r="L681" s="43" t="s">
        <v>254</v>
      </c>
    </row>
    <row r="682" spans="1:12">
      <c r="A682" s="53">
        <f t="shared" si="168"/>
        <v>46153</v>
      </c>
      <c r="B682" s="41">
        <f t="shared" si="167"/>
        <v>46153</v>
      </c>
      <c r="C682" s="42" t="str">
        <f t="shared" si="169"/>
        <v>第2  月曜日</v>
      </c>
      <c r="D682" s="4" t="str">
        <f>_xlfn.XLOOKUP(B682,syukujitsu[国民の祝日・休日月日],syukujitsu[国民の祝日・休日名称],"",0,1)</f>
        <v/>
      </c>
      <c r="E682" s="43" t="s">
        <v>470</v>
      </c>
      <c r="F682" s="43" t="s">
        <v>725</v>
      </c>
      <c r="H682" s="43" t="s">
        <v>788</v>
      </c>
      <c r="I682" s="43" t="s">
        <v>254</v>
      </c>
      <c r="J682" s="43" t="s">
        <v>254</v>
      </c>
      <c r="K682" s="43" t="s">
        <v>254</v>
      </c>
      <c r="L682" s="43" t="s">
        <v>254</v>
      </c>
    </row>
    <row r="683" spans="1:12">
      <c r="A683" s="53">
        <f t="shared" si="168"/>
        <v>46154</v>
      </c>
      <c r="B683" s="41">
        <f t="shared" si="167"/>
        <v>46154</v>
      </c>
      <c r="C683" s="42" t="str">
        <f t="shared" si="169"/>
        <v>第2  火曜日</v>
      </c>
      <c r="D683" s="4" t="str">
        <f>_xlfn.XLOOKUP(B683,syukujitsu[国民の祝日・休日月日],syukujitsu[国民の祝日・休日名称],"",0,1)</f>
        <v/>
      </c>
      <c r="F683" s="43" t="s">
        <v>725</v>
      </c>
      <c r="I683" s="43" t="s">
        <v>254</v>
      </c>
      <c r="J683" s="43" t="s">
        <v>254</v>
      </c>
      <c r="K683" s="43" t="s">
        <v>254</v>
      </c>
      <c r="L683" s="43" t="s">
        <v>254</v>
      </c>
    </row>
    <row r="684" spans="1:12">
      <c r="A684" s="53">
        <f t="shared" si="168"/>
        <v>46155</v>
      </c>
      <c r="B684" s="41">
        <f t="shared" si="167"/>
        <v>46155</v>
      </c>
      <c r="C684" s="42" t="str">
        <f t="shared" si="169"/>
        <v>第2  水曜日</v>
      </c>
      <c r="D684" s="4" t="str">
        <f>_xlfn.XLOOKUP(B684,syukujitsu[国民の祝日・休日月日],syukujitsu[国民の祝日・休日名称],"",0,1)</f>
        <v/>
      </c>
      <c r="H684" s="43" t="s">
        <v>788</v>
      </c>
      <c r="I684" s="43" t="s">
        <v>254</v>
      </c>
      <c r="J684" s="43" t="s">
        <v>254</v>
      </c>
      <c r="K684" s="43" t="s">
        <v>254</v>
      </c>
      <c r="L684" s="43" t="s">
        <v>254</v>
      </c>
    </row>
    <row r="685" spans="1:12">
      <c r="A685" s="53">
        <f t="shared" si="168"/>
        <v>46156</v>
      </c>
      <c r="B685" s="41">
        <f t="shared" si="167"/>
        <v>46156</v>
      </c>
      <c r="C685" s="42" t="str">
        <f t="shared" si="169"/>
        <v>第2  木曜日</v>
      </c>
      <c r="D685" s="4" t="str">
        <f>_xlfn.XLOOKUP(B685,syukujitsu[国民の祝日・休日月日],syukujitsu[国民の祝日・休日名称],"",0,1)</f>
        <v/>
      </c>
      <c r="F685" s="43" t="s">
        <v>889</v>
      </c>
      <c r="I685" s="43" t="s">
        <v>254</v>
      </c>
      <c r="J685" s="43" t="s">
        <v>254</v>
      </c>
      <c r="K685" s="43" t="s">
        <v>254</v>
      </c>
      <c r="L685" s="43" t="s">
        <v>254</v>
      </c>
    </row>
    <row r="686" spans="1:12">
      <c r="A686" s="53">
        <f t="shared" si="168"/>
        <v>46157</v>
      </c>
      <c r="B686" s="41">
        <f t="shared" si="167"/>
        <v>46157</v>
      </c>
      <c r="C686" s="42" t="str">
        <f t="shared" si="169"/>
        <v>第3  金曜日</v>
      </c>
      <c r="D686" s="4" t="str">
        <f>_xlfn.XLOOKUP(B686,syukujitsu[国民の祝日・休日月日],syukujitsu[国民の祝日・休日名称],"",0,1)</f>
        <v/>
      </c>
      <c r="E686" s="43" t="s">
        <v>932</v>
      </c>
      <c r="F686" s="43" t="s">
        <v>931</v>
      </c>
      <c r="H686" s="43" t="s">
        <v>788</v>
      </c>
      <c r="I686" s="43" t="s">
        <v>254</v>
      </c>
      <c r="J686" s="43" t="s">
        <v>254</v>
      </c>
      <c r="K686" s="43" t="s">
        <v>254</v>
      </c>
      <c r="L686" s="43" t="s">
        <v>254</v>
      </c>
    </row>
    <row r="687" spans="1:12">
      <c r="A687" s="53">
        <f t="shared" si="168"/>
        <v>46158</v>
      </c>
      <c r="B687" s="41">
        <f t="shared" si="167"/>
        <v>46158</v>
      </c>
      <c r="C687" s="42" t="str">
        <f t="shared" si="169"/>
        <v>第3  土曜日</v>
      </c>
      <c r="D687" s="4" t="str">
        <f>_xlfn.XLOOKUP(B687,syukujitsu[国民の祝日・休日月日],syukujitsu[国民の祝日・休日名称],"",0,1)</f>
        <v/>
      </c>
      <c r="H687" s="43" t="s">
        <v>788</v>
      </c>
      <c r="I687" s="43" t="s">
        <v>254</v>
      </c>
      <c r="J687" s="43" t="s">
        <v>254</v>
      </c>
      <c r="K687" s="43" t="s">
        <v>254</v>
      </c>
      <c r="L687" s="43" t="s">
        <v>254</v>
      </c>
    </row>
    <row r="688" spans="1:12">
      <c r="A688" s="53">
        <f t="shared" si="168"/>
        <v>46159</v>
      </c>
      <c r="B688" s="41">
        <f t="shared" si="167"/>
        <v>46159</v>
      </c>
      <c r="C688" s="42" t="str">
        <f t="shared" si="169"/>
        <v>第3  日曜日</v>
      </c>
      <c r="D688" s="4" t="str">
        <f>_xlfn.XLOOKUP(B688,syukujitsu[国民の祝日・休日月日],syukujitsu[国民の祝日・休日名称],"",0,1)</f>
        <v/>
      </c>
      <c r="I688" s="43" t="s">
        <v>254</v>
      </c>
      <c r="J688" s="43" t="s">
        <v>254</v>
      </c>
      <c r="K688" s="43" t="s">
        <v>254</v>
      </c>
      <c r="L688" s="43" t="s">
        <v>254</v>
      </c>
    </row>
    <row r="689" spans="1:12">
      <c r="A689" s="53">
        <f t="shared" si="168"/>
        <v>46160</v>
      </c>
      <c r="B689" s="41">
        <f t="shared" si="167"/>
        <v>46160</v>
      </c>
      <c r="C689" s="42" t="str">
        <f t="shared" si="169"/>
        <v>第3  月曜日</v>
      </c>
      <c r="D689" s="4" t="str">
        <f>_xlfn.XLOOKUP(B689,syukujitsu[国民の祝日・休日月日],syukujitsu[国民の祝日・休日名称],"",0,1)</f>
        <v/>
      </c>
      <c r="H689" s="43" t="s">
        <v>788</v>
      </c>
      <c r="I689" s="43" t="s">
        <v>254</v>
      </c>
      <c r="J689" s="43" t="s">
        <v>254</v>
      </c>
      <c r="K689" s="43" t="s">
        <v>254</v>
      </c>
      <c r="L689" s="43" t="s">
        <v>254</v>
      </c>
    </row>
    <row r="690" spans="1:12">
      <c r="A690" s="53">
        <f t="shared" si="168"/>
        <v>46161</v>
      </c>
      <c r="B690" s="41">
        <f t="shared" si="167"/>
        <v>46161</v>
      </c>
      <c r="C690" s="42" t="str">
        <f t="shared" si="169"/>
        <v>第3  火曜日</v>
      </c>
      <c r="D690" s="4" t="str">
        <f>_xlfn.XLOOKUP(B690,syukujitsu[国民の祝日・休日月日],syukujitsu[国民の祝日・休日名称],"",0,1)</f>
        <v/>
      </c>
      <c r="E690" s="43" t="s">
        <v>928</v>
      </c>
      <c r="I690" s="43" t="s">
        <v>254</v>
      </c>
      <c r="J690" s="43" t="s">
        <v>254</v>
      </c>
      <c r="K690" s="43" t="s">
        <v>254</v>
      </c>
      <c r="L690" s="43" t="s">
        <v>254</v>
      </c>
    </row>
    <row r="691" spans="1:12">
      <c r="A691" s="53">
        <f t="shared" si="168"/>
        <v>46162</v>
      </c>
      <c r="B691" s="41">
        <f t="shared" si="167"/>
        <v>46162</v>
      </c>
      <c r="C691" s="42" t="str">
        <f t="shared" si="169"/>
        <v>第3  水曜日</v>
      </c>
      <c r="D691" s="4" t="str">
        <f>_xlfn.XLOOKUP(B691,syukujitsu[国民の祝日・休日月日],syukujitsu[国民の祝日・休日名称],"",0,1)</f>
        <v/>
      </c>
      <c r="E691" s="43" t="s">
        <v>939</v>
      </c>
      <c r="H691" s="43" t="s">
        <v>788</v>
      </c>
      <c r="I691" s="43" t="s">
        <v>254</v>
      </c>
      <c r="J691" s="43" t="s">
        <v>254</v>
      </c>
      <c r="K691" s="43" t="s">
        <v>254</v>
      </c>
      <c r="L691" s="43" t="s">
        <v>254</v>
      </c>
    </row>
    <row r="692" spans="1:12">
      <c r="A692" s="53">
        <f t="shared" si="168"/>
        <v>46163</v>
      </c>
      <c r="B692" s="41">
        <f t="shared" si="167"/>
        <v>46163</v>
      </c>
      <c r="C692" s="42" t="str">
        <f t="shared" si="169"/>
        <v>第3  木曜日</v>
      </c>
      <c r="D692" s="4" t="str">
        <f>_xlfn.XLOOKUP(B692,syukujitsu[国民の祝日・休日月日],syukujitsu[国民の祝日・休日名称],"",0,1)</f>
        <v/>
      </c>
      <c r="F692" s="43" t="s">
        <v>889</v>
      </c>
      <c r="I692" s="43" t="s">
        <v>254</v>
      </c>
      <c r="J692" s="43" t="s">
        <v>254</v>
      </c>
      <c r="K692" s="43" t="s">
        <v>254</v>
      </c>
      <c r="L692" s="43" t="s">
        <v>254</v>
      </c>
    </row>
    <row r="693" spans="1:12">
      <c r="A693" s="53">
        <f t="shared" si="168"/>
        <v>46164</v>
      </c>
      <c r="B693" s="41">
        <f t="shared" si="167"/>
        <v>46164</v>
      </c>
      <c r="C693" s="42" t="str">
        <f t="shared" si="169"/>
        <v>第4  金曜日</v>
      </c>
      <c r="D693" s="4" t="str">
        <f>_xlfn.XLOOKUP(B693,syukujitsu[国民の祝日・休日月日],syukujitsu[国民の祝日・休日名称],"",0,1)</f>
        <v/>
      </c>
      <c r="E693" s="43" t="s">
        <v>943</v>
      </c>
      <c r="H693" s="43" t="s">
        <v>788</v>
      </c>
      <c r="I693" s="43" t="s">
        <v>254</v>
      </c>
      <c r="J693" s="43" t="s">
        <v>254</v>
      </c>
      <c r="K693" s="43" t="s">
        <v>254</v>
      </c>
      <c r="L693" s="43" t="s">
        <v>254</v>
      </c>
    </row>
    <row r="694" spans="1:12">
      <c r="A694" s="53">
        <f t="shared" si="168"/>
        <v>46165</v>
      </c>
      <c r="B694" s="41">
        <f t="shared" si="167"/>
        <v>46165</v>
      </c>
      <c r="C694" s="42" t="str">
        <f t="shared" si="169"/>
        <v>第4  土曜日</v>
      </c>
      <c r="D694" s="4" t="str">
        <f>_xlfn.XLOOKUP(B694,syukujitsu[国民の祝日・休日月日],syukujitsu[国民の祝日・休日名称],"",0,1)</f>
        <v/>
      </c>
      <c r="H694" s="43" t="s">
        <v>788</v>
      </c>
      <c r="I694" s="43" t="s">
        <v>254</v>
      </c>
      <c r="J694" s="43" t="s">
        <v>254</v>
      </c>
      <c r="K694" s="43" t="s">
        <v>254</v>
      </c>
      <c r="L694" s="43" t="s">
        <v>254</v>
      </c>
    </row>
    <row r="695" spans="1:12">
      <c r="A695" s="53">
        <f t="shared" si="168"/>
        <v>46166</v>
      </c>
      <c r="B695" s="41">
        <f t="shared" ref="B695:B758" si="170">B694+1</f>
        <v>46166</v>
      </c>
      <c r="C695" s="42" t="str">
        <f t="shared" si="169"/>
        <v>第4  日曜日</v>
      </c>
      <c r="D695" s="4" t="str">
        <f>_xlfn.XLOOKUP(B695,syukujitsu[国民の祝日・休日月日],syukujitsu[国民の祝日・休日名称],"",0,1)</f>
        <v/>
      </c>
      <c r="I695" s="43" t="s">
        <v>254</v>
      </c>
      <c r="J695" s="43" t="s">
        <v>254</v>
      </c>
      <c r="K695" s="43" t="s">
        <v>254</v>
      </c>
      <c r="L695" s="43" t="s">
        <v>254</v>
      </c>
    </row>
    <row r="696" spans="1:12">
      <c r="A696" s="53">
        <f t="shared" si="168"/>
        <v>46167</v>
      </c>
      <c r="B696" s="41">
        <f t="shared" si="170"/>
        <v>46167</v>
      </c>
      <c r="C696" s="42" t="str">
        <f t="shared" si="169"/>
        <v>第4  月曜日</v>
      </c>
      <c r="D696" s="4" t="str">
        <f>_xlfn.XLOOKUP(B696,syukujitsu[国民の祝日・休日月日],syukujitsu[国民の祝日・休日名称],"",0,1)</f>
        <v/>
      </c>
      <c r="F696" s="43" t="s">
        <v>889</v>
      </c>
      <c r="G696" s="43" t="s">
        <v>725</v>
      </c>
      <c r="H696" s="43" t="s">
        <v>788</v>
      </c>
      <c r="I696" s="43" t="s">
        <v>254</v>
      </c>
      <c r="J696" s="43" t="s">
        <v>254</v>
      </c>
      <c r="K696" s="43" t="s">
        <v>254</v>
      </c>
      <c r="L696" s="43" t="s">
        <v>254</v>
      </c>
    </row>
    <row r="697" spans="1:12">
      <c r="A697" s="53">
        <f t="shared" si="168"/>
        <v>46168</v>
      </c>
      <c r="B697" s="41">
        <f t="shared" si="170"/>
        <v>46168</v>
      </c>
      <c r="C697" s="42" t="str">
        <f t="shared" si="169"/>
        <v>第4  火曜日</v>
      </c>
      <c r="D697" s="4" t="str">
        <f>_xlfn.XLOOKUP(B697,syukujitsu[国民の祝日・休日月日],syukujitsu[国民の祝日・休日名称],"",0,1)</f>
        <v/>
      </c>
      <c r="I697" s="43" t="s">
        <v>254</v>
      </c>
      <c r="J697" s="43" t="s">
        <v>254</v>
      </c>
      <c r="K697" s="43" t="s">
        <v>254</v>
      </c>
      <c r="L697" s="43" t="s">
        <v>254</v>
      </c>
    </row>
    <row r="698" spans="1:12">
      <c r="A698" s="53">
        <f t="shared" si="168"/>
        <v>46169</v>
      </c>
      <c r="B698" s="41">
        <f t="shared" si="170"/>
        <v>46169</v>
      </c>
      <c r="C698" s="42" t="str">
        <f t="shared" si="169"/>
        <v>第4  水曜日</v>
      </c>
      <c r="D698" s="4" t="str">
        <f>_xlfn.XLOOKUP(B698,syukujitsu[国民の祝日・休日月日],syukujitsu[国民の祝日・休日名称],"",0,1)</f>
        <v/>
      </c>
      <c r="H698" s="43" t="s">
        <v>788</v>
      </c>
      <c r="I698" s="43" t="s">
        <v>254</v>
      </c>
      <c r="J698" s="43" t="s">
        <v>254</v>
      </c>
      <c r="K698" s="43" t="s">
        <v>254</v>
      </c>
      <c r="L698" s="43" t="s">
        <v>254</v>
      </c>
    </row>
    <row r="699" spans="1:12">
      <c r="A699" s="53">
        <f t="shared" si="168"/>
        <v>46170</v>
      </c>
      <c r="B699" s="41">
        <f t="shared" si="170"/>
        <v>46170</v>
      </c>
      <c r="C699" s="42" t="str">
        <f t="shared" si="169"/>
        <v>第4  木曜日</v>
      </c>
      <c r="D699" s="4" t="str">
        <f>_xlfn.XLOOKUP(B699,syukujitsu[国民の祝日・休日月日],syukujitsu[国民の祝日・休日名称],"",0,1)</f>
        <v/>
      </c>
      <c r="E699" s="43" t="s">
        <v>944</v>
      </c>
      <c r="F699" s="43" t="s">
        <v>889</v>
      </c>
      <c r="I699" s="43" t="s">
        <v>254</v>
      </c>
      <c r="J699" s="43" t="s">
        <v>254</v>
      </c>
      <c r="K699" s="43" t="s">
        <v>254</v>
      </c>
      <c r="L699" s="43" t="s">
        <v>254</v>
      </c>
    </row>
    <row r="700" spans="1:12">
      <c r="A700" s="53">
        <f t="shared" si="168"/>
        <v>46171</v>
      </c>
      <c r="B700" s="41">
        <f t="shared" si="170"/>
        <v>46171</v>
      </c>
      <c r="C700" s="42" t="str">
        <f t="shared" si="169"/>
        <v>第5  金曜日</v>
      </c>
      <c r="D700" s="4" t="str">
        <f>_xlfn.XLOOKUP(B700,syukujitsu[国民の祝日・休日月日],syukujitsu[国民の祝日・休日名称],"",0,1)</f>
        <v/>
      </c>
      <c r="E700" s="43" t="s">
        <v>657</v>
      </c>
      <c r="H700" s="43" t="s">
        <v>788</v>
      </c>
      <c r="I700" s="43" t="s">
        <v>254</v>
      </c>
      <c r="J700" s="43" t="s">
        <v>254</v>
      </c>
      <c r="K700" s="43" t="s">
        <v>254</v>
      </c>
      <c r="L700" s="43" t="s">
        <v>254</v>
      </c>
    </row>
    <row r="701" spans="1:12">
      <c r="A701" s="53">
        <f t="shared" si="168"/>
        <v>46172</v>
      </c>
      <c r="B701" s="41">
        <f t="shared" si="170"/>
        <v>46172</v>
      </c>
      <c r="C701" s="42" t="str">
        <f t="shared" si="169"/>
        <v>第5  土曜日</v>
      </c>
      <c r="D701" s="4" t="str">
        <f>_xlfn.XLOOKUP(B701,syukujitsu[国民の祝日・休日月日],syukujitsu[国民の祝日・休日名称],"",0,1)</f>
        <v/>
      </c>
      <c r="H701" s="43" t="s">
        <v>788</v>
      </c>
      <c r="I701" s="43" t="s">
        <v>254</v>
      </c>
      <c r="J701" s="43" t="s">
        <v>254</v>
      </c>
      <c r="K701" s="43" t="s">
        <v>254</v>
      </c>
      <c r="L701" s="43" t="s">
        <v>254</v>
      </c>
    </row>
    <row r="702" spans="1:12">
      <c r="A702" s="53">
        <f t="shared" ref="A702:A735" si="171">B702</f>
        <v>46173</v>
      </c>
      <c r="B702" s="41">
        <f t="shared" si="170"/>
        <v>46173</v>
      </c>
      <c r="C702" s="42" t="str">
        <f t="shared" si="169"/>
        <v>第5  日曜日</v>
      </c>
      <c r="D702" s="4" t="str">
        <f>_xlfn.XLOOKUP(B702,syukujitsu[国民の祝日・休日月日],syukujitsu[国民の祝日・休日名称],"",0,1)</f>
        <v/>
      </c>
      <c r="I702" s="43" t="s">
        <v>254</v>
      </c>
      <c r="J702" s="43" t="s">
        <v>254</v>
      </c>
      <c r="K702" s="43" t="s">
        <v>254</v>
      </c>
      <c r="L702" s="43" t="s">
        <v>254</v>
      </c>
    </row>
    <row r="703" spans="1:12">
      <c r="A703" s="53">
        <f t="shared" si="171"/>
        <v>46174</v>
      </c>
      <c r="B703" s="41">
        <f t="shared" si="170"/>
        <v>46174</v>
      </c>
      <c r="C703" s="42" t="str">
        <f t="shared" si="169"/>
        <v>第1  月曜日</v>
      </c>
      <c r="D703" s="4" t="str">
        <f>_xlfn.XLOOKUP(B703,syukujitsu[国民の祝日・休日月日],syukujitsu[国民の祝日・休日名称],"",0,1)</f>
        <v/>
      </c>
      <c r="F703" s="43" t="s">
        <v>889</v>
      </c>
      <c r="H703" s="43" t="s">
        <v>788</v>
      </c>
      <c r="I703" s="43" t="s">
        <v>254</v>
      </c>
      <c r="J703" s="43" t="s">
        <v>254</v>
      </c>
      <c r="K703" s="43" t="s">
        <v>254</v>
      </c>
      <c r="L703" s="43" t="s">
        <v>254</v>
      </c>
    </row>
    <row r="704" spans="1:12">
      <c r="A704" s="53">
        <f t="shared" si="171"/>
        <v>46175</v>
      </c>
      <c r="B704" s="41">
        <f t="shared" si="170"/>
        <v>46175</v>
      </c>
      <c r="C704" s="42" t="str">
        <f t="shared" si="169"/>
        <v>第1  火曜日</v>
      </c>
      <c r="D704" s="4" t="str">
        <f>_xlfn.XLOOKUP(B704,syukujitsu[国民の祝日・休日月日],syukujitsu[国民の祝日・休日名称],"",0,1)</f>
        <v/>
      </c>
      <c r="I704" s="43" t="s">
        <v>254</v>
      </c>
      <c r="J704" s="43" t="s">
        <v>254</v>
      </c>
      <c r="K704" s="43" t="s">
        <v>254</v>
      </c>
      <c r="L704" s="43" t="s">
        <v>254</v>
      </c>
    </row>
    <row r="705" spans="1:12">
      <c r="A705" s="53">
        <f t="shared" si="171"/>
        <v>46176</v>
      </c>
      <c r="B705" s="41">
        <f t="shared" si="170"/>
        <v>46176</v>
      </c>
      <c r="C705" s="42" t="str">
        <f t="shared" si="169"/>
        <v>第1  水曜日</v>
      </c>
      <c r="D705" s="4" t="str">
        <f>_xlfn.XLOOKUP(B705,syukujitsu[国民の祝日・休日月日],syukujitsu[国民の祝日・休日名称],"",0,1)</f>
        <v/>
      </c>
      <c r="E705" s="43" t="s">
        <v>912</v>
      </c>
      <c r="H705" s="43" t="s">
        <v>788</v>
      </c>
      <c r="I705" s="43" t="s">
        <v>254</v>
      </c>
      <c r="J705" s="43" t="s">
        <v>254</v>
      </c>
      <c r="K705" s="43" t="s">
        <v>254</v>
      </c>
      <c r="L705" s="43" t="s">
        <v>254</v>
      </c>
    </row>
    <row r="706" spans="1:12">
      <c r="A706" s="53">
        <f t="shared" si="171"/>
        <v>46177</v>
      </c>
      <c r="B706" s="41">
        <f t="shared" si="170"/>
        <v>46177</v>
      </c>
      <c r="C706" s="42" t="str">
        <f t="shared" si="169"/>
        <v>第1  木曜日</v>
      </c>
      <c r="D706" s="4" t="str">
        <f>_xlfn.XLOOKUP(B706,syukujitsu[国民の祝日・休日月日],syukujitsu[国民の祝日・休日名称],"",0,1)</f>
        <v/>
      </c>
      <c r="F706" s="43" t="s">
        <v>889</v>
      </c>
      <c r="I706" s="43" t="s">
        <v>254</v>
      </c>
      <c r="J706" s="43" t="s">
        <v>254</v>
      </c>
      <c r="K706" s="43" t="s">
        <v>254</v>
      </c>
      <c r="L706" s="43" t="s">
        <v>254</v>
      </c>
    </row>
    <row r="707" spans="1:12">
      <c r="A707" s="53">
        <f t="shared" si="171"/>
        <v>46178</v>
      </c>
      <c r="B707" s="41">
        <f t="shared" si="170"/>
        <v>46178</v>
      </c>
      <c r="C707" s="42" t="str">
        <f t="shared" si="169"/>
        <v>第1  金曜日</v>
      </c>
      <c r="D707" s="4" t="str">
        <f>_xlfn.XLOOKUP(B707,syukujitsu[国民の祝日・休日月日],syukujitsu[国民の祝日・休日名称],"",0,1)</f>
        <v/>
      </c>
      <c r="F707" s="43" t="s">
        <v>954</v>
      </c>
      <c r="H707" s="43" t="s">
        <v>788</v>
      </c>
      <c r="I707" s="43" t="s">
        <v>254</v>
      </c>
      <c r="J707" s="43" t="s">
        <v>254</v>
      </c>
      <c r="K707" s="43" t="s">
        <v>254</v>
      </c>
      <c r="L707" s="43" t="s">
        <v>254</v>
      </c>
    </row>
    <row r="708" spans="1:12">
      <c r="A708" s="53">
        <f t="shared" si="171"/>
        <v>46179</v>
      </c>
      <c r="B708" s="41">
        <f t="shared" si="170"/>
        <v>46179</v>
      </c>
      <c r="C708" s="42" t="str">
        <f t="shared" si="169"/>
        <v>第1  土曜日</v>
      </c>
      <c r="D708" s="4" t="str">
        <f>_xlfn.XLOOKUP(B708,syukujitsu[国民の祝日・休日月日],syukujitsu[国民の祝日・休日名称],"",0,1)</f>
        <v/>
      </c>
      <c r="H708" s="43" t="s">
        <v>788</v>
      </c>
      <c r="I708" s="43" t="s">
        <v>254</v>
      </c>
      <c r="J708" s="43" t="s">
        <v>254</v>
      </c>
      <c r="K708" s="43" t="s">
        <v>254</v>
      </c>
      <c r="L708" s="43" t="s">
        <v>254</v>
      </c>
    </row>
    <row r="709" spans="1:12">
      <c r="A709" s="53">
        <f t="shared" si="171"/>
        <v>46180</v>
      </c>
      <c r="B709" s="41">
        <f t="shared" si="170"/>
        <v>46180</v>
      </c>
      <c r="C709" s="42" t="str">
        <f t="shared" si="169"/>
        <v>第1  日曜日</v>
      </c>
      <c r="D709" s="4" t="str">
        <f>_xlfn.XLOOKUP(B709,syukujitsu[国民の祝日・休日月日],syukujitsu[国民の祝日・休日名称],"",0,1)</f>
        <v/>
      </c>
      <c r="I709" s="43" t="s">
        <v>254</v>
      </c>
      <c r="J709" s="43" t="s">
        <v>254</v>
      </c>
      <c r="K709" s="43" t="s">
        <v>254</v>
      </c>
      <c r="L709" s="43" t="s">
        <v>254</v>
      </c>
    </row>
    <row r="710" spans="1:12">
      <c r="A710" s="53">
        <f t="shared" si="171"/>
        <v>46181</v>
      </c>
      <c r="B710" s="41">
        <f t="shared" si="170"/>
        <v>46181</v>
      </c>
      <c r="C710" s="42" t="str">
        <f t="shared" si="169"/>
        <v>第2  月曜日</v>
      </c>
      <c r="D710" s="4" t="str">
        <f>_xlfn.XLOOKUP(B710,syukujitsu[国民の祝日・休日月日],syukujitsu[国民の祝日・休日名称],"",0,1)</f>
        <v/>
      </c>
      <c r="F710" s="43" t="s">
        <v>725</v>
      </c>
      <c r="G710" s="43" t="s">
        <v>889</v>
      </c>
      <c r="H710" s="43" t="s">
        <v>788</v>
      </c>
      <c r="I710" s="43" t="s">
        <v>254</v>
      </c>
      <c r="J710" s="43" t="s">
        <v>254</v>
      </c>
      <c r="K710" s="43" t="s">
        <v>254</v>
      </c>
      <c r="L710" s="43" t="s">
        <v>254</v>
      </c>
    </row>
    <row r="711" spans="1:12">
      <c r="A711" s="53">
        <f t="shared" si="171"/>
        <v>46182</v>
      </c>
      <c r="B711" s="41">
        <f t="shared" si="170"/>
        <v>46182</v>
      </c>
      <c r="C711" s="42" t="str">
        <f t="shared" si="169"/>
        <v>第2  火曜日</v>
      </c>
      <c r="D711" s="4" t="str">
        <f>_xlfn.XLOOKUP(B711,syukujitsu[国民の祝日・休日月日],syukujitsu[国民の祝日・休日名称],"",0,1)</f>
        <v/>
      </c>
      <c r="E711" s="43" t="s">
        <v>956</v>
      </c>
      <c r="I711" s="43" t="s">
        <v>254</v>
      </c>
      <c r="J711" s="43" t="s">
        <v>254</v>
      </c>
      <c r="K711" s="43" t="s">
        <v>254</v>
      </c>
      <c r="L711" s="43" t="s">
        <v>254</v>
      </c>
    </row>
    <row r="712" spans="1:12">
      <c r="A712" s="53">
        <f t="shared" si="171"/>
        <v>46183</v>
      </c>
      <c r="B712" s="41">
        <f t="shared" si="170"/>
        <v>46183</v>
      </c>
      <c r="C712" s="42" t="str">
        <f t="shared" si="169"/>
        <v>第2  水曜日</v>
      </c>
      <c r="D712" s="4" t="str">
        <f>_xlfn.XLOOKUP(B712,syukujitsu[国民の祝日・休日月日],syukujitsu[国民の祝日・休日名称],"",0,1)</f>
        <v/>
      </c>
      <c r="G712" s="43" t="s">
        <v>889</v>
      </c>
      <c r="H712" s="43" t="s">
        <v>788</v>
      </c>
      <c r="I712" s="43" t="s">
        <v>254</v>
      </c>
      <c r="J712" s="43" t="s">
        <v>254</v>
      </c>
      <c r="K712" s="43" t="s">
        <v>254</v>
      </c>
      <c r="L712" s="43" t="s">
        <v>254</v>
      </c>
    </row>
    <row r="713" spans="1:12">
      <c r="A713" s="53">
        <f t="shared" si="171"/>
        <v>46184</v>
      </c>
      <c r="B713" s="41">
        <f t="shared" si="170"/>
        <v>46184</v>
      </c>
      <c r="C713" s="42" t="str">
        <f t="shared" si="169"/>
        <v>第2  木曜日</v>
      </c>
      <c r="D713" s="4" t="str">
        <f>_xlfn.XLOOKUP(B713,syukujitsu[国民の祝日・休日月日],syukujitsu[国民の祝日・休日名称],"",0,1)</f>
        <v/>
      </c>
      <c r="E713" s="43" t="s">
        <v>787</v>
      </c>
      <c r="I713" s="43" t="s">
        <v>254</v>
      </c>
      <c r="J713" s="43" t="s">
        <v>254</v>
      </c>
      <c r="K713" s="43" t="s">
        <v>254</v>
      </c>
      <c r="L713" s="43" t="s">
        <v>254</v>
      </c>
    </row>
    <row r="714" spans="1:12">
      <c r="A714" s="53">
        <f t="shared" si="171"/>
        <v>46185</v>
      </c>
      <c r="B714" s="41">
        <f t="shared" si="170"/>
        <v>46185</v>
      </c>
      <c r="C714" s="42" t="str">
        <f t="shared" si="169"/>
        <v>第2  金曜日</v>
      </c>
      <c r="D714" s="4" t="str">
        <f>_xlfn.XLOOKUP(B714,syukujitsu[国民の祝日・休日月日],syukujitsu[国民の祝日・休日名称],"",0,1)</f>
        <v/>
      </c>
      <c r="E714" s="43" t="s">
        <v>657</v>
      </c>
      <c r="F714" s="43" t="s">
        <v>954</v>
      </c>
      <c r="G714" s="43" t="s">
        <v>889</v>
      </c>
      <c r="H714" s="43" t="s">
        <v>788</v>
      </c>
      <c r="I714" s="43" t="s">
        <v>254</v>
      </c>
      <c r="J714" s="43" t="s">
        <v>254</v>
      </c>
      <c r="K714" s="43" t="s">
        <v>254</v>
      </c>
      <c r="L714" s="43" t="s">
        <v>254</v>
      </c>
    </row>
    <row r="715" spans="1:12">
      <c r="A715" s="53">
        <f t="shared" si="171"/>
        <v>46186</v>
      </c>
      <c r="B715" s="41">
        <f t="shared" si="170"/>
        <v>46186</v>
      </c>
      <c r="C715" s="42" t="str">
        <f t="shared" si="169"/>
        <v>第2  土曜日</v>
      </c>
      <c r="D715" s="4" t="str">
        <f>_xlfn.XLOOKUP(B715,syukujitsu[国民の祝日・休日月日],syukujitsu[国民の祝日・休日名称],"",0,1)</f>
        <v/>
      </c>
      <c r="H715" s="43" t="s">
        <v>788</v>
      </c>
      <c r="I715" s="43" t="s">
        <v>254</v>
      </c>
      <c r="J715" s="43" t="s">
        <v>254</v>
      </c>
      <c r="K715" s="43" t="s">
        <v>254</v>
      </c>
      <c r="L715" s="43" t="s">
        <v>254</v>
      </c>
    </row>
    <row r="716" spans="1:12">
      <c r="A716" s="53">
        <f t="shared" si="171"/>
        <v>46187</v>
      </c>
      <c r="B716" s="41">
        <f t="shared" si="170"/>
        <v>46187</v>
      </c>
      <c r="C716" s="42" t="str">
        <f t="shared" ref="C716:C779" si="172">"第"&amp;ROUNDUP(DAY(B716)/7,0)  &amp;"  "&amp;TEXT(B716,"aaaa")</f>
        <v>第2  日曜日</v>
      </c>
      <c r="D716" s="4" t="str">
        <f>_xlfn.XLOOKUP(B716,syukujitsu[国民の祝日・休日月日],syukujitsu[国民の祝日・休日名称],"",0,1)</f>
        <v/>
      </c>
      <c r="I716" s="43" t="s">
        <v>254</v>
      </c>
      <c r="J716" s="43" t="s">
        <v>254</v>
      </c>
      <c r="K716" s="43" t="s">
        <v>254</v>
      </c>
      <c r="L716" s="43" t="s">
        <v>254</v>
      </c>
    </row>
    <row r="717" spans="1:12">
      <c r="A717" s="53">
        <f t="shared" si="171"/>
        <v>46188</v>
      </c>
      <c r="B717" s="41">
        <f t="shared" si="170"/>
        <v>46188</v>
      </c>
      <c r="C717" s="42" t="str">
        <f t="shared" si="172"/>
        <v>第3  月曜日</v>
      </c>
      <c r="D717" s="4" t="str">
        <f>_xlfn.XLOOKUP(B717,syukujitsu[国民の祝日・休日月日],syukujitsu[国民の祝日・休日名称],"",0,1)</f>
        <v/>
      </c>
      <c r="E717" s="43" t="s">
        <v>939</v>
      </c>
      <c r="F717" s="43" t="s">
        <v>889</v>
      </c>
      <c r="H717" s="43" t="s">
        <v>788</v>
      </c>
      <c r="I717" s="43" t="s">
        <v>254</v>
      </c>
      <c r="J717" s="43" t="s">
        <v>254</v>
      </c>
      <c r="K717" s="43" t="s">
        <v>254</v>
      </c>
      <c r="L717" s="43" t="s">
        <v>254</v>
      </c>
    </row>
    <row r="718" spans="1:12">
      <c r="A718" s="53">
        <f t="shared" si="171"/>
        <v>46189</v>
      </c>
      <c r="B718" s="41">
        <f t="shared" si="170"/>
        <v>46189</v>
      </c>
      <c r="C718" s="42" t="str">
        <f t="shared" si="172"/>
        <v>第3  火曜日</v>
      </c>
      <c r="D718" s="4" t="str">
        <f>_xlfn.XLOOKUP(B718,syukujitsu[国民の祝日・休日月日],syukujitsu[国民の祝日・休日名称],"",0,1)</f>
        <v/>
      </c>
      <c r="I718" s="43" t="s">
        <v>254</v>
      </c>
      <c r="J718" s="43" t="s">
        <v>254</v>
      </c>
      <c r="K718" s="43" t="s">
        <v>254</v>
      </c>
      <c r="L718" s="43" t="s">
        <v>254</v>
      </c>
    </row>
    <row r="719" spans="1:12">
      <c r="A719" s="53">
        <f t="shared" si="171"/>
        <v>46190</v>
      </c>
      <c r="B719" s="41">
        <f t="shared" si="170"/>
        <v>46190</v>
      </c>
      <c r="C719" s="42" t="str">
        <f t="shared" si="172"/>
        <v>第3  水曜日</v>
      </c>
      <c r="D719" s="4" t="str">
        <f>_xlfn.XLOOKUP(B719,syukujitsu[国民の祝日・休日月日],syukujitsu[国民の祝日・休日名称],"",0,1)</f>
        <v/>
      </c>
      <c r="H719" s="43" t="s">
        <v>788</v>
      </c>
      <c r="I719" s="43" t="s">
        <v>254</v>
      </c>
      <c r="J719" s="43" t="s">
        <v>254</v>
      </c>
      <c r="K719" s="43" t="s">
        <v>254</v>
      </c>
      <c r="L719" s="43" t="s">
        <v>254</v>
      </c>
    </row>
    <row r="720" spans="1:12">
      <c r="A720" s="53">
        <f t="shared" si="171"/>
        <v>46191</v>
      </c>
      <c r="B720" s="41">
        <f t="shared" si="170"/>
        <v>46191</v>
      </c>
      <c r="C720" s="42" t="str">
        <f t="shared" si="172"/>
        <v>第3  木曜日</v>
      </c>
      <c r="D720" s="4" t="str">
        <f>_xlfn.XLOOKUP(B720,syukujitsu[国民の祝日・休日月日],syukujitsu[国民の祝日・休日名称],"",0,1)</f>
        <v/>
      </c>
      <c r="F720" s="43" t="s">
        <v>889</v>
      </c>
      <c r="I720" s="43" t="s">
        <v>254</v>
      </c>
      <c r="J720" s="43" t="s">
        <v>254</v>
      </c>
      <c r="K720" s="43" t="s">
        <v>254</v>
      </c>
      <c r="L720" s="43" t="s">
        <v>254</v>
      </c>
    </row>
    <row r="721" spans="1:12">
      <c r="A721" s="53">
        <f t="shared" si="171"/>
        <v>46192</v>
      </c>
      <c r="B721" s="41">
        <f t="shared" si="170"/>
        <v>46192</v>
      </c>
      <c r="C721" s="42" t="str">
        <f t="shared" si="172"/>
        <v>第3  金曜日</v>
      </c>
      <c r="D721" s="4" t="str">
        <f>_xlfn.XLOOKUP(B721,syukujitsu[国民の祝日・休日月日],syukujitsu[国民の祝日・休日名称],"",0,1)</f>
        <v/>
      </c>
      <c r="E721" s="43" t="s">
        <v>951</v>
      </c>
      <c r="F721" s="43" t="s">
        <v>955</v>
      </c>
      <c r="H721" s="43" t="s">
        <v>788</v>
      </c>
      <c r="I721" s="43" t="s">
        <v>254</v>
      </c>
      <c r="J721" s="43" t="s">
        <v>254</v>
      </c>
      <c r="K721" s="43" t="s">
        <v>254</v>
      </c>
      <c r="L721" s="43" t="s">
        <v>254</v>
      </c>
    </row>
    <row r="722" spans="1:12">
      <c r="A722" s="53">
        <f t="shared" si="171"/>
        <v>46193</v>
      </c>
      <c r="B722" s="41">
        <f t="shared" si="170"/>
        <v>46193</v>
      </c>
      <c r="C722" s="42" t="str">
        <f t="shared" si="172"/>
        <v>第3  土曜日</v>
      </c>
      <c r="D722" s="4" t="str">
        <f>_xlfn.XLOOKUP(B722,syukujitsu[国民の祝日・休日月日],syukujitsu[国民の祝日・休日名称],"",0,1)</f>
        <v/>
      </c>
      <c r="H722" s="43" t="s">
        <v>788</v>
      </c>
      <c r="I722" s="43" t="s">
        <v>254</v>
      </c>
      <c r="J722" s="43" t="s">
        <v>254</v>
      </c>
      <c r="K722" s="43" t="s">
        <v>254</v>
      </c>
      <c r="L722" s="43" t="s">
        <v>254</v>
      </c>
    </row>
    <row r="723" spans="1:12">
      <c r="A723" s="53">
        <f t="shared" si="171"/>
        <v>46194</v>
      </c>
      <c r="B723" s="41">
        <f t="shared" si="170"/>
        <v>46194</v>
      </c>
      <c r="C723" s="42" t="str">
        <f t="shared" si="172"/>
        <v>第3  日曜日</v>
      </c>
      <c r="D723" s="4" t="str">
        <f>_xlfn.XLOOKUP(B723,syukujitsu[国民の祝日・休日月日],syukujitsu[国民の祝日・休日名称],"",0,1)</f>
        <v/>
      </c>
      <c r="I723" s="43" t="s">
        <v>254</v>
      </c>
      <c r="J723" s="43" t="s">
        <v>254</v>
      </c>
      <c r="K723" s="43" t="s">
        <v>254</v>
      </c>
      <c r="L723" s="43" t="s">
        <v>254</v>
      </c>
    </row>
    <row r="724" spans="1:12">
      <c r="A724" s="53">
        <f t="shared" si="171"/>
        <v>46195</v>
      </c>
      <c r="B724" s="41">
        <f t="shared" si="170"/>
        <v>46195</v>
      </c>
      <c r="C724" s="42" t="str">
        <f t="shared" si="172"/>
        <v>第4  月曜日</v>
      </c>
      <c r="D724" s="4" t="str">
        <f>_xlfn.XLOOKUP(B724,syukujitsu[国民の祝日・休日月日],syukujitsu[国民の祝日・休日名称],"",0,1)</f>
        <v/>
      </c>
      <c r="E724" s="43" t="s">
        <v>725</v>
      </c>
      <c r="F724" s="43" t="s">
        <v>889</v>
      </c>
      <c r="H724" s="43" t="s">
        <v>788</v>
      </c>
      <c r="I724" s="43" t="s">
        <v>254</v>
      </c>
      <c r="J724" s="43" t="s">
        <v>254</v>
      </c>
      <c r="K724" s="43" t="s">
        <v>254</v>
      </c>
      <c r="L724" s="43" t="s">
        <v>254</v>
      </c>
    </row>
    <row r="725" spans="1:12">
      <c r="A725" s="53">
        <f t="shared" si="171"/>
        <v>46196</v>
      </c>
      <c r="B725" s="41">
        <f t="shared" si="170"/>
        <v>46196</v>
      </c>
      <c r="C725" s="42" t="str">
        <f t="shared" si="172"/>
        <v>第4  火曜日</v>
      </c>
      <c r="D725" s="4" t="str">
        <f>_xlfn.XLOOKUP(B725,syukujitsu[国民の祝日・休日月日],syukujitsu[国民の祝日・休日名称],"",0,1)</f>
        <v/>
      </c>
      <c r="I725" s="43" t="s">
        <v>254</v>
      </c>
      <c r="J725" s="43" t="s">
        <v>254</v>
      </c>
      <c r="K725" s="43" t="s">
        <v>254</v>
      </c>
      <c r="L725" s="43" t="s">
        <v>254</v>
      </c>
    </row>
    <row r="726" spans="1:12">
      <c r="A726" s="53">
        <f t="shared" si="171"/>
        <v>46197</v>
      </c>
      <c r="B726" s="41">
        <f t="shared" si="170"/>
        <v>46197</v>
      </c>
      <c r="C726" s="42" t="str">
        <f t="shared" si="172"/>
        <v>第4  水曜日</v>
      </c>
      <c r="D726" s="4" t="str">
        <f>_xlfn.XLOOKUP(B726,syukujitsu[国民の祝日・休日月日],syukujitsu[国民の祝日・休日名称],"",0,1)</f>
        <v/>
      </c>
      <c r="H726" s="43" t="s">
        <v>788</v>
      </c>
      <c r="I726" s="43" t="s">
        <v>254</v>
      </c>
      <c r="J726" s="43" t="s">
        <v>254</v>
      </c>
      <c r="K726" s="43" t="s">
        <v>254</v>
      </c>
      <c r="L726" s="43" t="s">
        <v>254</v>
      </c>
    </row>
    <row r="727" spans="1:12">
      <c r="A727" s="53">
        <f t="shared" si="171"/>
        <v>46198</v>
      </c>
      <c r="B727" s="41">
        <f t="shared" si="170"/>
        <v>46198</v>
      </c>
      <c r="C727" s="42" t="str">
        <f t="shared" si="172"/>
        <v>第4  木曜日</v>
      </c>
      <c r="D727" s="4" t="str">
        <f>_xlfn.XLOOKUP(B727,syukujitsu[国民の祝日・休日月日],syukujitsu[国民の祝日・休日名称],"",0,1)</f>
        <v/>
      </c>
      <c r="F727" s="43" t="s">
        <v>889</v>
      </c>
      <c r="I727" s="43" t="s">
        <v>254</v>
      </c>
      <c r="J727" s="43" t="s">
        <v>254</v>
      </c>
      <c r="K727" s="43" t="s">
        <v>254</v>
      </c>
      <c r="L727" s="43" t="s">
        <v>254</v>
      </c>
    </row>
    <row r="728" spans="1:12">
      <c r="A728" s="53">
        <f t="shared" si="171"/>
        <v>46199</v>
      </c>
      <c r="B728" s="41">
        <f t="shared" si="170"/>
        <v>46199</v>
      </c>
      <c r="C728" s="42" t="str">
        <f t="shared" si="172"/>
        <v>第4  金曜日</v>
      </c>
      <c r="D728" s="4" t="str">
        <f>_xlfn.XLOOKUP(B728,syukujitsu[国民の祝日・休日月日],syukujitsu[国民の祝日・休日名称],"",0,1)</f>
        <v/>
      </c>
      <c r="E728" s="43" t="s">
        <v>657</v>
      </c>
      <c r="F728" s="43" t="s">
        <v>955</v>
      </c>
      <c r="H728" s="43" t="s">
        <v>789</v>
      </c>
      <c r="I728" s="43" t="s">
        <v>254</v>
      </c>
      <c r="J728" s="43" t="s">
        <v>254</v>
      </c>
      <c r="K728" s="43" t="s">
        <v>254</v>
      </c>
      <c r="L728" s="43" t="s">
        <v>254</v>
      </c>
    </row>
    <row r="729" spans="1:12">
      <c r="A729" s="53">
        <f t="shared" si="171"/>
        <v>46200</v>
      </c>
      <c r="B729" s="41">
        <f t="shared" si="170"/>
        <v>46200</v>
      </c>
      <c r="C729" s="42" t="str">
        <f t="shared" si="172"/>
        <v>第4  土曜日</v>
      </c>
      <c r="D729" s="4" t="str">
        <f>_xlfn.XLOOKUP(B729,syukujitsu[国民の祝日・休日月日],syukujitsu[国民の祝日・休日名称],"",0,1)</f>
        <v/>
      </c>
      <c r="H729" s="43" t="s">
        <v>789</v>
      </c>
      <c r="I729" s="43" t="s">
        <v>254</v>
      </c>
      <c r="J729" s="43" t="s">
        <v>254</v>
      </c>
      <c r="K729" s="43" t="s">
        <v>254</v>
      </c>
      <c r="L729" s="43" t="s">
        <v>254</v>
      </c>
    </row>
    <row r="730" spans="1:12">
      <c r="A730" s="53">
        <f t="shared" si="171"/>
        <v>46201</v>
      </c>
      <c r="B730" s="41">
        <f t="shared" si="170"/>
        <v>46201</v>
      </c>
      <c r="C730" s="42" t="str">
        <f t="shared" si="172"/>
        <v>第4  日曜日</v>
      </c>
      <c r="D730" s="4" t="str">
        <f>_xlfn.XLOOKUP(B730,syukujitsu[国民の祝日・休日月日],syukujitsu[国民の祝日・休日名称],"",0,1)</f>
        <v/>
      </c>
      <c r="I730" s="43" t="s">
        <v>254</v>
      </c>
      <c r="J730" s="43" t="s">
        <v>254</v>
      </c>
      <c r="K730" s="43" t="s">
        <v>254</v>
      </c>
      <c r="L730" s="43" t="s">
        <v>254</v>
      </c>
    </row>
    <row r="731" spans="1:12">
      <c r="A731" s="53">
        <f t="shared" si="171"/>
        <v>46202</v>
      </c>
      <c r="B731" s="41">
        <f t="shared" si="170"/>
        <v>46202</v>
      </c>
      <c r="C731" s="42" t="str">
        <f t="shared" si="172"/>
        <v>第5  月曜日</v>
      </c>
      <c r="D731" s="4" t="str">
        <f>_xlfn.XLOOKUP(B731,syukujitsu[国民の祝日・休日月日],syukujitsu[国民の祝日・休日名称],"",0,1)</f>
        <v/>
      </c>
      <c r="G731" s="43" t="s">
        <v>889</v>
      </c>
      <c r="I731" s="43" t="s">
        <v>254</v>
      </c>
      <c r="J731" s="43" t="s">
        <v>254</v>
      </c>
      <c r="K731" s="43" t="s">
        <v>254</v>
      </c>
      <c r="L731" s="43" t="s">
        <v>254</v>
      </c>
    </row>
    <row r="732" spans="1:12">
      <c r="A732" s="53">
        <f t="shared" si="171"/>
        <v>46203</v>
      </c>
      <c r="B732" s="41">
        <f t="shared" si="170"/>
        <v>46203</v>
      </c>
      <c r="C732" s="42" t="str">
        <f t="shared" si="172"/>
        <v>第5  火曜日</v>
      </c>
      <c r="D732" s="4" t="str">
        <f>_xlfn.XLOOKUP(B732,syukujitsu[国民の祝日・休日月日],syukujitsu[国民の祝日・休日名称],"",0,1)</f>
        <v/>
      </c>
      <c r="I732" s="43" t="s">
        <v>254</v>
      </c>
      <c r="J732" s="43" t="s">
        <v>254</v>
      </c>
      <c r="K732" s="43" t="s">
        <v>254</v>
      </c>
      <c r="L732" s="43" t="s">
        <v>254</v>
      </c>
    </row>
    <row r="733" spans="1:12">
      <c r="A733" s="53">
        <f t="shared" si="171"/>
        <v>46204</v>
      </c>
      <c r="B733" s="41">
        <f t="shared" si="170"/>
        <v>46204</v>
      </c>
      <c r="C733" s="42" t="str">
        <f t="shared" si="172"/>
        <v>第1  水曜日</v>
      </c>
      <c r="D733" s="4" t="str">
        <f>_xlfn.XLOOKUP(B733,syukujitsu[国民の祝日・休日月日],syukujitsu[国民の祝日・休日名称],"",0,1)</f>
        <v/>
      </c>
      <c r="E733" s="43" t="s">
        <v>912</v>
      </c>
      <c r="G733" s="43" t="s">
        <v>889</v>
      </c>
      <c r="I733" s="43" t="s">
        <v>254</v>
      </c>
      <c r="J733" s="43" t="s">
        <v>254</v>
      </c>
      <c r="K733" s="43" t="s">
        <v>254</v>
      </c>
      <c r="L733" s="43" t="s">
        <v>254</v>
      </c>
    </row>
    <row r="734" spans="1:12">
      <c r="A734" s="53">
        <f t="shared" si="171"/>
        <v>46205</v>
      </c>
      <c r="B734" s="41">
        <f t="shared" si="170"/>
        <v>46205</v>
      </c>
      <c r="C734" s="42" t="str">
        <f t="shared" si="172"/>
        <v>第1  木曜日</v>
      </c>
      <c r="D734" s="4" t="str">
        <f>_xlfn.XLOOKUP(B734,syukujitsu[国民の祝日・休日月日],syukujitsu[国民の祝日・休日名称],"",0,1)</f>
        <v/>
      </c>
      <c r="I734" s="43" t="s">
        <v>254</v>
      </c>
      <c r="J734" s="43" t="s">
        <v>254</v>
      </c>
      <c r="K734" s="43" t="s">
        <v>254</v>
      </c>
      <c r="L734" s="43" t="s">
        <v>254</v>
      </c>
    </row>
    <row r="735" spans="1:12">
      <c r="A735" s="53">
        <f t="shared" si="171"/>
        <v>46206</v>
      </c>
      <c r="B735" s="41">
        <f t="shared" si="170"/>
        <v>46206</v>
      </c>
      <c r="C735" s="42" t="str">
        <f t="shared" si="172"/>
        <v>第1  金曜日</v>
      </c>
      <c r="D735" s="4" t="str">
        <f>_xlfn.XLOOKUP(B735,syukujitsu[国民の祝日・休日月日],syukujitsu[国民の祝日・休日名称],"",0,1)</f>
        <v/>
      </c>
      <c r="F735" s="43" t="s">
        <v>955</v>
      </c>
      <c r="G735" s="43" t="s">
        <v>889</v>
      </c>
      <c r="I735" s="43" t="s">
        <v>254</v>
      </c>
      <c r="J735" s="43" t="s">
        <v>254</v>
      </c>
      <c r="K735" s="43" t="s">
        <v>254</v>
      </c>
      <c r="L735" s="43" t="s">
        <v>254</v>
      </c>
    </row>
    <row r="736" spans="1:12">
      <c r="A736" s="53">
        <f t="shared" ref="A736:A799" si="173">B736</f>
        <v>46207</v>
      </c>
      <c r="B736" s="41">
        <f t="shared" si="170"/>
        <v>46207</v>
      </c>
      <c r="C736" s="42" t="str">
        <f t="shared" si="172"/>
        <v>第1  土曜日</v>
      </c>
      <c r="D736" s="4" t="str">
        <f>_xlfn.XLOOKUP(B736,syukujitsu[国民の祝日・休日月日],syukujitsu[国民の祝日・休日名称],"",0,1)</f>
        <v/>
      </c>
    </row>
    <row r="737" spans="1:8">
      <c r="A737" s="53">
        <f t="shared" si="173"/>
        <v>46208</v>
      </c>
      <c r="B737" s="41">
        <f t="shared" si="170"/>
        <v>46208</v>
      </c>
      <c r="C737" s="42" t="str">
        <f t="shared" si="172"/>
        <v>第1  日曜日</v>
      </c>
      <c r="D737" s="4" t="str">
        <f>_xlfn.XLOOKUP(B737,syukujitsu[国民の祝日・休日月日],syukujitsu[国民の祝日・休日名称],"",0,1)</f>
        <v/>
      </c>
    </row>
    <row r="738" spans="1:8">
      <c r="A738" s="53">
        <f t="shared" si="173"/>
        <v>46209</v>
      </c>
      <c r="B738" s="41">
        <f t="shared" si="170"/>
        <v>46209</v>
      </c>
      <c r="C738" s="42" t="str">
        <f t="shared" si="172"/>
        <v>第1  月曜日</v>
      </c>
      <c r="D738" s="4" t="str">
        <f>_xlfn.XLOOKUP(B738,syukujitsu[国民の祝日・休日月日],syukujitsu[国民の祝日・休日名称],"",0,1)</f>
        <v/>
      </c>
      <c r="G738" s="43" t="s">
        <v>889</v>
      </c>
    </row>
    <row r="739" spans="1:8">
      <c r="A739" s="53">
        <f t="shared" si="173"/>
        <v>46210</v>
      </c>
      <c r="B739" s="41">
        <f t="shared" si="170"/>
        <v>46210</v>
      </c>
      <c r="C739" s="42" t="str">
        <f t="shared" si="172"/>
        <v>第1  火曜日</v>
      </c>
      <c r="D739" s="4" t="str">
        <f>_xlfn.XLOOKUP(B739,syukujitsu[国民の祝日・休日月日],syukujitsu[国民の祝日・休日名称],"",0,1)</f>
        <v/>
      </c>
    </row>
    <row r="740" spans="1:8">
      <c r="A740" s="53">
        <f t="shared" si="173"/>
        <v>46211</v>
      </c>
      <c r="B740" s="41">
        <f t="shared" si="170"/>
        <v>46211</v>
      </c>
      <c r="C740" s="42" t="str">
        <f t="shared" si="172"/>
        <v>第2  水曜日</v>
      </c>
      <c r="D740" s="4" t="str">
        <f>_xlfn.XLOOKUP(B740,syukujitsu[国民の祝日・休日月日],syukujitsu[国民の祝日・休日名称],"",0,1)</f>
        <v/>
      </c>
      <c r="G740" s="43" t="s">
        <v>889</v>
      </c>
    </row>
    <row r="741" spans="1:8">
      <c r="A741" s="53">
        <f t="shared" si="173"/>
        <v>46212</v>
      </c>
      <c r="B741" s="41">
        <f t="shared" si="170"/>
        <v>46212</v>
      </c>
      <c r="C741" s="42" t="str">
        <f t="shared" si="172"/>
        <v>第2  木曜日</v>
      </c>
      <c r="D741" s="4" t="str">
        <f>_xlfn.XLOOKUP(B741,syukujitsu[国民の祝日・休日月日],syukujitsu[国民の祝日・休日名称],"",0,1)</f>
        <v/>
      </c>
      <c r="E741" s="43" t="s">
        <v>968</v>
      </c>
    </row>
    <row r="742" spans="1:8">
      <c r="A742" s="53">
        <f t="shared" si="173"/>
        <v>46213</v>
      </c>
      <c r="B742" s="41">
        <f t="shared" si="170"/>
        <v>46213</v>
      </c>
      <c r="C742" s="42" t="str">
        <f t="shared" si="172"/>
        <v>第2  金曜日</v>
      </c>
      <c r="D742" s="4" t="str">
        <f>_xlfn.XLOOKUP(B742,syukujitsu[国民の祝日・休日月日],syukujitsu[国民の祝日・休日名称],"",0,1)</f>
        <v/>
      </c>
      <c r="E742" s="43" t="s">
        <v>657</v>
      </c>
      <c r="F742" s="43" t="s">
        <v>955</v>
      </c>
      <c r="G742" s="43" t="s">
        <v>889</v>
      </c>
      <c r="H742" s="43" t="s">
        <v>951</v>
      </c>
    </row>
    <row r="743" spans="1:8">
      <c r="A743" s="53">
        <f t="shared" si="173"/>
        <v>46214</v>
      </c>
      <c r="B743" s="41">
        <f t="shared" si="170"/>
        <v>46214</v>
      </c>
      <c r="C743" s="42" t="str">
        <f t="shared" si="172"/>
        <v>第2  土曜日</v>
      </c>
      <c r="D743" s="4" t="str">
        <f>_xlfn.XLOOKUP(B743,syukujitsu[国民の祝日・休日月日],syukujitsu[国民の祝日・休日名称],"",0,1)</f>
        <v/>
      </c>
    </row>
    <row r="744" spans="1:8">
      <c r="A744" s="53">
        <f t="shared" si="173"/>
        <v>46215</v>
      </c>
      <c r="B744" s="41">
        <f t="shared" si="170"/>
        <v>46215</v>
      </c>
      <c r="C744" s="42" t="str">
        <f t="shared" si="172"/>
        <v>第2  日曜日</v>
      </c>
      <c r="D744" s="4" t="str">
        <f>_xlfn.XLOOKUP(B744,syukujitsu[国民の祝日・休日月日],syukujitsu[国民の祝日・休日名称],"",0,1)</f>
        <v/>
      </c>
    </row>
    <row r="745" spans="1:8">
      <c r="A745" s="53">
        <f t="shared" si="173"/>
        <v>46216</v>
      </c>
      <c r="B745" s="41">
        <f t="shared" si="170"/>
        <v>46216</v>
      </c>
      <c r="C745" s="42" t="str">
        <f t="shared" si="172"/>
        <v>第2  月曜日</v>
      </c>
      <c r="D745" s="4" t="str">
        <f>_xlfn.XLOOKUP(B745,syukujitsu[国民の祝日・休日月日],syukujitsu[国民の祝日・休日名称],"",0,1)</f>
        <v/>
      </c>
      <c r="G745" s="43" t="s">
        <v>889</v>
      </c>
    </row>
    <row r="746" spans="1:8">
      <c r="A746" s="53">
        <f t="shared" si="173"/>
        <v>46217</v>
      </c>
      <c r="B746" s="41">
        <f t="shared" si="170"/>
        <v>46217</v>
      </c>
      <c r="C746" s="42" t="str">
        <f t="shared" si="172"/>
        <v>第2  火曜日</v>
      </c>
      <c r="D746" s="4" t="str">
        <f>_xlfn.XLOOKUP(B746,syukujitsu[国民の祝日・休日月日],syukujitsu[国民の祝日・休日名称],"",0,1)</f>
        <v/>
      </c>
    </row>
    <row r="747" spans="1:8">
      <c r="A747" s="53">
        <f t="shared" si="173"/>
        <v>46218</v>
      </c>
      <c r="B747" s="41">
        <f t="shared" si="170"/>
        <v>46218</v>
      </c>
      <c r="C747" s="42" t="str">
        <f t="shared" si="172"/>
        <v>第3  水曜日</v>
      </c>
      <c r="D747" s="4" t="str">
        <f>_xlfn.XLOOKUP(B747,syukujitsu[国民の祝日・休日月日],syukujitsu[国民の祝日・休日名称],"",0,1)</f>
        <v/>
      </c>
      <c r="G747" s="43" t="s">
        <v>889</v>
      </c>
    </row>
    <row r="748" spans="1:8">
      <c r="A748" s="53">
        <f t="shared" si="173"/>
        <v>46219</v>
      </c>
      <c r="B748" s="41">
        <f t="shared" si="170"/>
        <v>46219</v>
      </c>
      <c r="C748" s="42" t="str">
        <f t="shared" si="172"/>
        <v>第3  木曜日</v>
      </c>
      <c r="D748" s="4" t="str">
        <f>_xlfn.XLOOKUP(B748,syukujitsu[国民の祝日・休日月日],syukujitsu[国民の祝日・休日名称],"",0,1)</f>
        <v/>
      </c>
    </row>
    <row r="749" spans="1:8">
      <c r="A749" s="53">
        <f t="shared" si="173"/>
        <v>46220</v>
      </c>
      <c r="B749" s="41">
        <f t="shared" si="170"/>
        <v>46220</v>
      </c>
      <c r="C749" s="42" t="str">
        <f t="shared" si="172"/>
        <v>第3  金曜日</v>
      </c>
      <c r="D749" s="4" t="str">
        <f>_xlfn.XLOOKUP(B749,syukujitsu[国民の祝日・休日月日],syukujitsu[国民の祝日・休日名称],"",0,1)</f>
        <v/>
      </c>
      <c r="E749" s="43" t="s">
        <v>975</v>
      </c>
      <c r="F749" s="43" t="s">
        <v>955</v>
      </c>
      <c r="G749" s="43" t="s">
        <v>889</v>
      </c>
    </row>
    <row r="750" spans="1:8">
      <c r="A750" s="53">
        <f t="shared" si="173"/>
        <v>46221</v>
      </c>
      <c r="B750" s="41">
        <f t="shared" si="170"/>
        <v>46221</v>
      </c>
      <c r="C750" s="42" t="str">
        <f t="shared" si="172"/>
        <v>第3  土曜日</v>
      </c>
      <c r="D750" s="4" t="str">
        <f>_xlfn.XLOOKUP(B750,syukujitsu[国民の祝日・休日月日],syukujitsu[国民の祝日・休日名称],"",0,1)</f>
        <v/>
      </c>
      <c r="H750" s="43" t="s">
        <v>982</v>
      </c>
    </row>
    <row r="751" spans="1:8">
      <c r="A751" s="53">
        <f t="shared" si="173"/>
        <v>46222</v>
      </c>
      <c r="B751" s="41">
        <f t="shared" si="170"/>
        <v>46222</v>
      </c>
      <c r="C751" s="42" t="str">
        <f t="shared" si="172"/>
        <v>第3  日曜日</v>
      </c>
      <c r="D751" s="4" t="str">
        <f>_xlfn.XLOOKUP(B751,syukujitsu[国民の祝日・休日月日],syukujitsu[国民の祝日・休日名称],"",0,1)</f>
        <v/>
      </c>
    </row>
    <row r="752" spans="1:8">
      <c r="A752" s="53">
        <f t="shared" si="173"/>
        <v>46223</v>
      </c>
      <c r="B752" s="41">
        <f t="shared" si="170"/>
        <v>46223</v>
      </c>
      <c r="C752" s="42" t="str">
        <f t="shared" si="172"/>
        <v>第3  月曜日</v>
      </c>
      <c r="D752" s="4" t="str">
        <f>_xlfn.XLOOKUP(B752,syukujitsu[国民の祝日・休日月日],syukujitsu[国民の祝日・休日名称],"",0,1)</f>
        <v>海の日</v>
      </c>
      <c r="G752" s="43" t="s">
        <v>889</v>
      </c>
      <c r="H752" s="43" t="s">
        <v>982</v>
      </c>
    </row>
    <row r="753" spans="1:9">
      <c r="A753" s="53">
        <f t="shared" si="173"/>
        <v>46224</v>
      </c>
      <c r="B753" s="41">
        <f t="shared" si="170"/>
        <v>46224</v>
      </c>
      <c r="C753" s="42" t="str">
        <f t="shared" si="172"/>
        <v>第3  火曜日</v>
      </c>
      <c r="D753" s="4" t="str">
        <f>_xlfn.XLOOKUP(B753,syukujitsu[国民の祝日・休日月日],syukujitsu[国民の祝日・休日名称],"",0,1)</f>
        <v/>
      </c>
      <c r="F753" s="43" t="s">
        <v>991</v>
      </c>
    </row>
    <row r="754" spans="1:9">
      <c r="A754" s="53">
        <f t="shared" si="173"/>
        <v>46225</v>
      </c>
      <c r="B754" s="41">
        <f t="shared" si="170"/>
        <v>46225</v>
      </c>
      <c r="C754" s="42" t="str">
        <f t="shared" si="172"/>
        <v>第4  水曜日</v>
      </c>
      <c r="D754" s="4" t="str">
        <f>_xlfn.XLOOKUP(B754,syukujitsu[国民の祝日・休日月日],syukujitsu[国民の祝日・休日名称],"",0,1)</f>
        <v/>
      </c>
      <c r="G754" s="43" t="s">
        <v>889</v>
      </c>
      <c r="H754" s="43" t="s">
        <v>982</v>
      </c>
    </row>
    <row r="755" spans="1:9">
      <c r="A755" s="53">
        <f t="shared" si="173"/>
        <v>46226</v>
      </c>
      <c r="B755" s="41">
        <f t="shared" si="170"/>
        <v>46226</v>
      </c>
      <c r="C755" s="42" t="str">
        <f t="shared" si="172"/>
        <v>第4  木曜日</v>
      </c>
      <c r="D755" s="4" t="str">
        <f>_xlfn.XLOOKUP(B755,syukujitsu[国民の祝日・休日月日],syukujitsu[国民の祝日・休日名称],"",0,1)</f>
        <v/>
      </c>
      <c r="F755" s="43" t="s">
        <v>767</v>
      </c>
    </row>
    <row r="756" spans="1:9">
      <c r="A756" s="53">
        <f t="shared" si="173"/>
        <v>46227</v>
      </c>
      <c r="B756" s="41">
        <f t="shared" si="170"/>
        <v>46227</v>
      </c>
      <c r="C756" s="42" t="str">
        <f t="shared" si="172"/>
        <v>第4  金曜日</v>
      </c>
      <c r="D756" s="4" t="str">
        <f>_xlfn.XLOOKUP(B756,syukujitsu[国民の祝日・休日月日],syukujitsu[国民の祝日・休日名称],"",0,1)</f>
        <v/>
      </c>
      <c r="E756" s="43" t="s">
        <v>657</v>
      </c>
      <c r="F756" s="43" t="s">
        <v>955</v>
      </c>
      <c r="G756" s="43" t="s">
        <v>889</v>
      </c>
      <c r="H756" s="43" t="s">
        <v>982</v>
      </c>
    </row>
    <row r="757" spans="1:9">
      <c r="A757" s="53">
        <f t="shared" si="173"/>
        <v>46228</v>
      </c>
      <c r="B757" s="41">
        <f t="shared" si="170"/>
        <v>46228</v>
      </c>
      <c r="C757" s="42" t="str">
        <f t="shared" si="172"/>
        <v>第4  土曜日</v>
      </c>
      <c r="D757" s="4" t="str">
        <f>_xlfn.XLOOKUP(B757,syukujitsu[国民の祝日・休日月日],syukujitsu[国民の祝日・休日名称],"",0,1)</f>
        <v/>
      </c>
    </row>
    <row r="758" spans="1:9">
      <c r="A758" s="53">
        <f t="shared" si="173"/>
        <v>46229</v>
      </c>
      <c r="B758" s="41">
        <f t="shared" si="170"/>
        <v>46229</v>
      </c>
      <c r="C758" s="42" t="str">
        <f t="shared" si="172"/>
        <v>第4  日曜日</v>
      </c>
      <c r="D758" s="4" t="str">
        <f>_xlfn.XLOOKUP(B758,syukujitsu[国民の祝日・休日月日],syukujitsu[国民の祝日・休日名称],"",0,1)</f>
        <v/>
      </c>
      <c r="H758" s="43" t="s">
        <v>982</v>
      </c>
    </row>
    <row r="759" spans="1:9">
      <c r="A759" s="53">
        <f t="shared" si="173"/>
        <v>46230</v>
      </c>
      <c r="B759" s="41">
        <f t="shared" ref="B759:B822" si="174">B758+1</f>
        <v>46230</v>
      </c>
      <c r="C759" s="42" t="str">
        <f t="shared" si="172"/>
        <v>第4  月曜日</v>
      </c>
      <c r="D759" s="4" t="str">
        <f>_xlfn.XLOOKUP(B759,syukujitsu[国民の祝日・休日月日],syukujitsu[国民の祝日・休日名称],"",0,1)</f>
        <v/>
      </c>
      <c r="G759" s="43" t="s">
        <v>889</v>
      </c>
      <c r="H759" s="43" t="s">
        <v>982</v>
      </c>
    </row>
    <row r="760" spans="1:9">
      <c r="A760" s="53">
        <f t="shared" si="173"/>
        <v>46231</v>
      </c>
      <c r="B760" s="41">
        <f t="shared" si="174"/>
        <v>46231</v>
      </c>
      <c r="C760" s="42" t="str">
        <f t="shared" si="172"/>
        <v>第4  火曜日</v>
      </c>
      <c r="D760" s="4" t="str">
        <f>_xlfn.XLOOKUP(B760,syukujitsu[国民の祝日・休日月日],syukujitsu[国民の祝日・休日名称],"",0,1)</f>
        <v/>
      </c>
      <c r="E760" s="43" t="s">
        <v>974</v>
      </c>
      <c r="I760" s="43" t="s">
        <v>1009</v>
      </c>
    </row>
    <row r="761" spans="1:9">
      <c r="A761" s="53">
        <f t="shared" si="173"/>
        <v>46232</v>
      </c>
      <c r="B761" s="41">
        <f t="shared" si="174"/>
        <v>46232</v>
      </c>
      <c r="C761" s="42" t="str">
        <f t="shared" si="172"/>
        <v>第5  水曜日</v>
      </c>
      <c r="D761" s="4" t="str">
        <f>_xlfn.XLOOKUP(B761,syukujitsu[国民の祝日・休日月日],syukujitsu[国民の祝日・休日名称],"",0,1)</f>
        <v/>
      </c>
      <c r="G761" s="43" t="s">
        <v>889</v>
      </c>
      <c r="H761" s="43" t="s">
        <v>982</v>
      </c>
      <c r="I761" s="43" t="s">
        <v>1009</v>
      </c>
    </row>
    <row r="762" spans="1:9">
      <c r="A762" s="53">
        <f t="shared" si="173"/>
        <v>46233</v>
      </c>
      <c r="B762" s="41">
        <f t="shared" si="174"/>
        <v>46233</v>
      </c>
      <c r="C762" s="42" t="str">
        <f t="shared" si="172"/>
        <v>第5  木曜日</v>
      </c>
      <c r="D762" s="4" t="str">
        <f>_xlfn.XLOOKUP(B762,syukujitsu[国民の祝日・休日月日],syukujitsu[国民の祝日・休日名称],"",0,1)</f>
        <v/>
      </c>
      <c r="E762" s="43" t="s">
        <v>1015</v>
      </c>
      <c r="H762" s="43" t="s">
        <v>1013</v>
      </c>
      <c r="I762" s="43" t="s">
        <v>1009</v>
      </c>
    </row>
    <row r="763" spans="1:9">
      <c r="A763" s="53">
        <f t="shared" si="173"/>
        <v>46234</v>
      </c>
      <c r="B763" s="41">
        <f t="shared" si="174"/>
        <v>46234</v>
      </c>
      <c r="C763" s="42" t="str">
        <f t="shared" si="172"/>
        <v>第5  金曜日</v>
      </c>
      <c r="D763" s="4" t="str">
        <f>_xlfn.XLOOKUP(B763,syukujitsu[国民の祝日・休日月日],syukujitsu[国民の祝日・休日名称],"",0,1)</f>
        <v/>
      </c>
      <c r="E763" s="43" t="s">
        <v>254</v>
      </c>
      <c r="F763" s="43" t="s">
        <v>955</v>
      </c>
      <c r="G763" s="43" t="s">
        <v>889</v>
      </c>
      <c r="H763" s="43" t="s">
        <v>982</v>
      </c>
      <c r="I763" s="43" t="s">
        <v>1008</v>
      </c>
    </row>
    <row r="764" spans="1:9">
      <c r="A764" s="53">
        <f t="shared" si="173"/>
        <v>46235</v>
      </c>
      <c r="B764" s="41">
        <f t="shared" si="174"/>
        <v>46235</v>
      </c>
      <c r="C764" s="42" t="str">
        <f t="shared" si="172"/>
        <v>第1  土曜日</v>
      </c>
      <c r="D764" s="4" t="str">
        <f>_xlfn.XLOOKUP(B764,syukujitsu[国民の祝日・休日月日],syukujitsu[国民の祝日・休日名称],"",0,1)</f>
        <v/>
      </c>
      <c r="I764" s="43" t="s">
        <v>1007</v>
      </c>
    </row>
    <row r="765" spans="1:9">
      <c r="A765" s="53">
        <f t="shared" si="173"/>
        <v>46236</v>
      </c>
      <c r="B765" s="41">
        <f t="shared" si="174"/>
        <v>46236</v>
      </c>
      <c r="C765" s="42" t="str">
        <f t="shared" si="172"/>
        <v>第1  日曜日</v>
      </c>
      <c r="D765" s="4" t="str">
        <f>_xlfn.XLOOKUP(B765,syukujitsu[国民の祝日・休日月日],syukujitsu[国民の祝日・休日名称],"",0,1)</f>
        <v/>
      </c>
      <c r="F765" s="43" t="s">
        <v>993</v>
      </c>
      <c r="H765" s="43" t="s">
        <v>982</v>
      </c>
      <c r="I765" s="43" t="s">
        <v>1010</v>
      </c>
    </row>
    <row r="766" spans="1:9">
      <c r="A766" s="53">
        <f t="shared" si="173"/>
        <v>46237</v>
      </c>
      <c r="B766" s="41">
        <f t="shared" si="174"/>
        <v>46237</v>
      </c>
      <c r="C766" s="42" t="str">
        <f t="shared" si="172"/>
        <v>第1  月曜日</v>
      </c>
      <c r="D766" s="4" t="str">
        <f>_xlfn.XLOOKUP(B766,syukujitsu[国民の祝日・休日月日],syukujitsu[国民の祝日・休日名称],"",0,1)</f>
        <v/>
      </c>
      <c r="G766" s="43" t="s">
        <v>889</v>
      </c>
      <c r="H766" s="43" t="s">
        <v>982</v>
      </c>
      <c r="I766" s="43" t="s">
        <v>1012</v>
      </c>
    </row>
    <row r="767" spans="1:9">
      <c r="A767" s="53">
        <f t="shared" si="173"/>
        <v>46238</v>
      </c>
      <c r="B767" s="41">
        <f t="shared" si="174"/>
        <v>46238</v>
      </c>
      <c r="C767" s="42" t="str">
        <f t="shared" si="172"/>
        <v>第1  火曜日</v>
      </c>
      <c r="D767" s="4" t="str">
        <f>_xlfn.XLOOKUP(B767,syukujitsu[国民の祝日・休日月日],syukujitsu[国民の祝日・休日名称],"",0,1)</f>
        <v/>
      </c>
      <c r="I767" s="43" t="s">
        <v>1011</v>
      </c>
    </row>
    <row r="768" spans="1:9">
      <c r="A768" s="53">
        <f t="shared" si="173"/>
        <v>46239</v>
      </c>
      <c r="B768" s="41">
        <f t="shared" si="174"/>
        <v>46239</v>
      </c>
      <c r="C768" s="42" t="str">
        <f t="shared" si="172"/>
        <v>第1  水曜日</v>
      </c>
      <c r="D768" s="4" t="str">
        <f>_xlfn.XLOOKUP(B768,syukujitsu[国民の祝日・休日月日],syukujitsu[国民の祝日・休日名称],"",0,1)</f>
        <v/>
      </c>
      <c r="G768" s="43" t="s">
        <v>889</v>
      </c>
      <c r="H768" s="43" t="s">
        <v>982</v>
      </c>
      <c r="I768" s="43" t="s">
        <v>1012</v>
      </c>
    </row>
    <row r="769" spans="1:10">
      <c r="A769" s="53">
        <f t="shared" si="173"/>
        <v>46240</v>
      </c>
      <c r="B769" s="41">
        <f t="shared" si="174"/>
        <v>46240</v>
      </c>
      <c r="C769" s="42" t="str">
        <f t="shared" si="172"/>
        <v>第1  木曜日</v>
      </c>
      <c r="D769" s="4" t="str">
        <f>_xlfn.XLOOKUP(B769,syukujitsu[国民の祝日・休日月日],syukujitsu[国民の祝日・休日名称],"",0,1)</f>
        <v/>
      </c>
      <c r="H769" s="43" t="s">
        <v>1013</v>
      </c>
      <c r="I769" s="43" t="s">
        <v>1012</v>
      </c>
    </row>
    <row r="770" spans="1:10">
      <c r="A770" s="53">
        <f t="shared" si="173"/>
        <v>46241</v>
      </c>
      <c r="B770" s="41">
        <f t="shared" si="174"/>
        <v>46241</v>
      </c>
      <c r="C770" s="42" t="str">
        <f t="shared" si="172"/>
        <v>第1  金曜日</v>
      </c>
      <c r="D770" s="4" t="str">
        <f>_xlfn.XLOOKUP(B770,syukujitsu[国民の祝日・休日月日],syukujitsu[国民の祝日・休日名称],"",0,1)</f>
        <v/>
      </c>
      <c r="E770" s="43" t="s">
        <v>657</v>
      </c>
      <c r="F770" s="43" t="s">
        <v>955</v>
      </c>
      <c r="G770" s="43" t="s">
        <v>889</v>
      </c>
      <c r="H770" s="43" t="s">
        <v>982</v>
      </c>
      <c r="I770" s="43" t="s">
        <v>1012</v>
      </c>
      <c r="J770" s="43" t="s">
        <v>951</v>
      </c>
    </row>
    <row r="771" spans="1:10">
      <c r="A771" s="53">
        <f t="shared" si="173"/>
        <v>46242</v>
      </c>
      <c r="B771" s="41">
        <f t="shared" si="174"/>
        <v>46242</v>
      </c>
      <c r="C771" s="42" t="str">
        <f t="shared" si="172"/>
        <v>第2  土曜日</v>
      </c>
      <c r="D771" s="4" t="str">
        <f>_xlfn.XLOOKUP(B771,syukujitsu[国民の祝日・休日月日],syukujitsu[国民の祝日・休日名称],"",0,1)</f>
        <v/>
      </c>
      <c r="I771" s="43" t="s">
        <v>1012</v>
      </c>
    </row>
    <row r="772" spans="1:10">
      <c r="A772" s="53">
        <f t="shared" si="173"/>
        <v>46243</v>
      </c>
      <c r="B772" s="41">
        <f t="shared" si="174"/>
        <v>46243</v>
      </c>
      <c r="C772" s="42" t="str">
        <f t="shared" si="172"/>
        <v>第2  日曜日</v>
      </c>
      <c r="D772" s="4" t="str">
        <f>_xlfn.XLOOKUP(B772,syukujitsu[国民の祝日・休日月日],syukujitsu[国民の祝日・休日名称],"",0,1)</f>
        <v/>
      </c>
      <c r="F772" s="43" t="s">
        <v>993</v>
      </c>
      <c r="H772" s="43" t="s">
        <v>982</v>
      </c>
      <c r="I772" s="43" t="s">
        <v>1012</v>
      </c>
    </row>
    <row r="773" spans="1:10">
      <c r="A773" s="53">
        <f t="shared" si="173"/>
        <v>46244</v>
      </c>
      <c r="B773" s="41">
        <f t="shared" si="174"/>
        <v>46244</v>
      </c>
      <c r="C773" s="42" t="str">
        <f t="shared" si="172"/>
        <v>第2  月曜日</v>
      </c>
      <c r="D773" s="4" t="str">
        <f>_xlfn.XLOOKUP(B773,syukujitsu[国民の祝日・休日月日],syukujitsu[国民の祝日・休日名称],"",0,1)</f>
        <v/>
      </c>
      <c r="G773" s="43" t="s">
        <v>889</v>
      </c>
      <c r="H773" s="43" t="s">
        <v>982</v>
      </c>
      <c r="I773" s="43" t="s">
        <v>1012</v>
      </c>
    </row>
    <row r="774" spans="1:10">
      <c r="A774" s="53">
        <f t="shared" si="173"/>
        <v>46245</v>
      </c>
      <c r="B774" s="41">
        <f t="shared" si="174"/>
        <v>46245</v>
      </c>
      <c r="C774" s="42" t="str">
        <f t="shared" si="172"/>
        <v>第2  火曜日</v>
      </c>
      <c r="D774" s="4" t="str">
        <f>_xlfn.XLOOKUP(B774,syukujitsu[国民の祝日・休日月日],syukujitsu[国民の祝日・休日名称],"",0,1)</f>
        <v>山の日</v>
      </c>
      <c r="I774" s="43" t="s">
        <v>1012</v>
      </c>
    </row>
    <row r="775" spans="1:10">
      <c r="A775" s="53">
        <f t="shared" si="173"/>
        <v>46246</v>
      </c>
      <c r="B775" s="41">
        <f t="shared" si="174"/>
        <v>46246</v>
      </c>
      <c r="C775" s="42" t="str">
        <f t="shared" si="172"/>
        <v>第2  水曜日</v>
      </c>
      <c r="D775" s="4" t="str">
        <f>_xlfn.XLOOKUP(B775,syukujitsu[国民の祝日・休日月日],syukujitsu[国民の祝日・休日名称],"",0,1)</f>
        <v/>
      </c>
      <c r="F775" s="43" t="s">
        <v>1014</v>
      </c>
      <c r="G775" s="43" t="s">
        <v>889</v>
      </c>
      <c r="H775" s="43" t="s">
        <v>982</v>
      </c>
      <c r="I775" s="43" t="s">
        <v>1012</v>
      </c>
    </row>
    <row r="776" spans="1:10">
      <c r="A776" s="53">
        <f t="shared" si="173"/>
        <v>46247</v>
      </c>
      <c r="B776" s="41">
        <f t="shared" si="174"/>
        <v>46247</v>
      </c>
      <c r="C776" s="42" t="str">
        <f t="shared" si="172"/>
        <v>第2  木曜日</v>
      </c>
      <c r="D776" s="4" t="s">
        <v>976</v>
      </c>
      <c r="I776" s="43" t="s">
        <v>1012</v>
      </c>
    </row>
    <row r="777" spans="1:10">
      <c r="A777" s="53">
        <f t="shared" si="173"/>
        <v>46248</v>
      </c>
      <c r="B777" s="41">
        <f t="shared" si="174"/>
        <v>46248</v>
      </c>
      <c r="C777" s="42" t="str">
        <f t="shared" si="172"/>
        <v>第2  金曜日</v>
      </c>
      <c r="D777" s="4" t="s">
        <v>976</v>
      </c>
      <c r="F777" s="43" t="s">
        <v>955</v>
      </c>
      <c r="G777" s="43" t="s">
        <v>889</v>
      </c>
      <c r="H777" s="43" t="s">
        <v>982</v>
      </c>
      <c r="I777" s="43" t="s">
        <v>1012</v>
      </c>
    </row>
    <row r="778" spans="1:10">
      <c r="A778" s="53">
        <f t="shared" si="173"/>
        <v>46249</v>
      </c>
      <c r="B778" s="41">
        <f t="shared" si="174"/>
        <v>46249</v>
      </c>
      <c r="C778" s="42" t="str">
        <f t="shared" si="172"/>
        <v>第3  土曜日</v>
      </c>
      <c r="D778" s="4" t="str">
        <f>_xlfn.XLOOKUP(B778,syukujitsu[国民の祝日・休日月日],syukujitsu[国民の祝日・休日名称],"",0,1)</f>
        <v/>
      </c>
      <c r="I778" s="43" t="s">
        <v>1012</v>
      </c>
    </row>
    <row r="779" spans="1:10">
      <c r="A779" s="53">
        <f t="shared" si="173"/>
        <v>46250</v>
      </c>
      <c r="B779" s="41">
        <f t="shared" si="174"/>
        <v>46250</v>
      </c>
      <c r="C779" s="42" t="str">
        <f t="shared" si="172"/>
        <v>第3  日曜日</v>
      </c>
      <c r="D779" s="4" t="str">
        <f>_xlfn.XLOOKUP(B779,syukujitsu[国民の祝日・休日月日],syukujitsu[国民の祝日・休日名称],"",0,1)</f>
        <v/>
      </c>
      <c r="F779" s="43" t="s">
        <v>993</v>
      </c>
      <c r="H779" s="43" t="s">
        <v>982</v>
      </c>
      <c r="I779" s="43" t="s">
        <v>1012</v>
      </c>
    </row>
    <row r="780" spans="1:10">
      <c r="A780" s="53">
        <f t="shared" si="173"/>
        <v>46251</v>
      </c>
      <c r="B780" s="41">
        <f t="shared" si="174"/>
        <v>46251</v>
      </c>
      <c r="C780" s="42" t="str">
        <f t="shared" ref="C780:C843" si="175">"第"&amp;ROUNDUP(DAY(B780)/7,0)  &amp;"  "&amp;TEXT(B780,"aaaa")</f>
        <v>第3  月曜日</v>
      </c>
      <c r="D780" s="4" t="str">
        <f>_xlfn.XLOOKUP(B780,syukujitsu[国民の祝日・休日月日],syukujitsu[国民の祝日・休日名称],"",0,1)</f>
        <v/>
      </c>
      <c r="G780" s="43" t="s">
        <v>889</v>
      </c>
      <c r="H780" s="43" t="s">
        <v>982</v>
      </c>
      <c r="I780" s="43" t="s">
        <v>1012</v>
      </c>
    </row>
    <row r="781" spans="1:10">
      <c r="A781" s="53">
        <f t="shared" si="173"/>
        <v>46252</v>
      </c>
      <c r="B781" s="41">
        <f t="shared" si="174"/>
        <v>46252</v>
      </c>
      <c r="C781" s="42" t="str">
        <f t="shared" si="175"/>
        <v>第3  火曜日</v>
      </c>
      <c r="D781" s="4" t="str">
        <f>_xlfn.XLOOKUP(B781,syukujitsu[国民の祝日・休日月日],syukujitsu[国民の祝日・休日名称],"",0,1)</f>
        <v/>
      </c>
      <c r="I781" s="43" t="s">
        <v>1012</v>
      </c>
    </row>
    <row r="782" spans="1:10">
      <c r="A782" s="53">
        <f t="shared" si="173"/>
        <v>46253</v>
      </c>
      <c r="B782" s="41">
        <f t="shared" si="174"/>
        <v>46253</v>
      </c>
      <c r="C782" s="42" t="str">
        <f t="shared" si="175"/>
        <v>第3  水曜日</v>
      </c>
      <c r="D782" s="4" t="str">
        <f>_xlfn.XLOOKUP(B782,syukujitsu[国民の祝日・休日月日],syukujitsu[国民の祝日・休日名称],"",0,1)</f>
        <v/>
      </c>
      <c r="G782" s="43" t="s">
        <v>889</v>
      </c>
      <c r="H782" s="43" t="s">
        <v>982</v>
      </c>
      <c r="I782" s="43" t="s">
        <v>1012</v>
      </c>
    </row>
    <row r="783" spans="1:10">
      <c r="A783" s="53">
        <f t="shared" si="173"/>
        <v>46254</v>
      </c>
      <c r="B783" s="41">
        <f t="shared" si="174"/>
        <v>46254</v>
      </c>
      <c r="C783" s="42" t="str">
        <f t="shared" si="175"/>
        <v>第3  木曜日</v>
      </c>
      <c r="D783" s="4" t="str">
        <f>_xlfn.XLOOKUP(B783,syukujitsu[国民の祝日・休日月日],syukujitsu[国民の祝日・休日名称],"",0,1)</f>
        <v/>
      </c>
      <c r="H783" s="43" t="s">
        <v>1013</v>
      </c>
      <c r="I783" s="43" t="s">
        <v>1012</v>
      </c>
    </row>
    <row r="784" spans="1:10">
      <c r="A784" s="53">
        <f t="shared" si="173"/>
        <v>46255</v>
      </c>
      <c r="B784" s="41">
        <f t="shared" si="174"/>
        <v>46255</v>
      </c>
      <c r="C784" s="42" t="str">
        <f t="shared" si="175"/>
        <v>第3  金曜日</v>
      </c>
      <c r="D784" s="4" t="str">
        <f>_xlfn.XLOOKUP(B784,syukujitsu[国民の祝日・休日月日],syukujitsu[国民の祝日・休日名称],"",0,1)</f>
        <v/>
      </c>
      <c r="E784" s="43" t="s">
        <v>657</v>
      </c>
      <c r="F784" s="43" t="s">
        <v>955</v>
      </c>
      <c r="G784" s="43" t="s">
        <v>889</v>
      </c>
      <c r="H784" s="43" t="s">
        <v>982</v>
      </c>
      <c r="I784" s="43" t="s">
        <v>1012</v>
      </c>
    </row>
    <row r="785" spans="1:9">
      <c r="A785" s="53">
        <f t="shared" si="173"/>
        <v>46256</v>
      </c>
      <c r="B785" s="41">
        <f t="shared" si="174"/>
        <v>46256</v>
      </c>
      <c r="C785" s="42" t="str">
        <f t="shared" si="175"/>
        <v>第4  土曜日</v>
      </c>
      <c r="D785" s="4" t="str">
        <f>_xlfn.XLOOKUP(B785,syukujitsu[国民の祝日・休日月日],syukujitsu[国民の祝日・休日名称],"",0,1)</f>
        <v/>
      </c>
      <c r="I785" s="43" t="s">
        <v>1012</v>
      </c>
    </row>
    <row r="786" spans="1:9">
      <c r="A786" s="53">
        <f t="shared" si="173"/>
        <v>46257</v>
      </c>
      <c r="B786" s="41">
        <f t="shared" si="174"/>
        <v>46257</v>
      </c>
      <c r="C786" s="42" t="str">
        <f t="shared" si="175"/>
        <v>第4  日曜日</v>
      </c>
      <c r="D786" s="4" t="str">
        <f>_xlfn.XLOOKUP(B786,syukujitsu[国民の祝日・休日月日],syukujitsu[国民の祝日・休日名称],"",0,1)</f>
        <v/>
      </c>
      <c r="H786" s="43" t="s">
        <v>982</v>
      </c>
      <c r="I786" s="43" t="s">
        <v>1012</v>
      </c>
    </row>
    <row r="787" spans="1:9">
      <c r="A787" s="53">
        <f t="shared" si="173"/>
        <v>46258</v>
      </c>
      <c r="B787" s="41">
        <f t="shared" si="174"/>
        <v>46258</v>
      </c>
      <c r="C787" s="42" t="str">
        <f t="shared" si="175"/>
        <v>第4  月曜日</v>
      </c>
      <c r="D787" s="4" t="str">
        <f>_xlfn.XLOOKUP(B787,syukujitsu[国民の祝日・休日月日],syukujitsu[国民の祝日・休日名称],"",0,1)</f>
        <v/>
      </c>
      <c r="G787" s="43" t="s">
        <v>889</v>
      </c>
      <c r="H787" s="43" t="s">
        <v>982</v>
      </c>
      <c r="I787" s="43" t="s">
        <v>1012</v>
      </c>
    </row>
    <row r="788" spans="1:9">
      <c r="A788" s="53">
        <f t="shared" si="173"/>
        <v>46259</v>
      </c>
      <c r="B788" s="41">
        <f t="shared" si="174"/>
        <v>46259</v>
      </c>
      <c r="C788" s="42" t="str">
        <f t="shared" si="175"/>
        <v>第4  火曜日</v>
      </c>
      <c r="D788" s="4" t="str">
        <f>_xlfn.XLOOKUP(B788,syukujitsu[国民の祝日・休日月日],syukujitsu[国民の祝日・休日名称],"",0,1)</f>
        <v/>
      </c>
      <c r="I788" s="43" t="s">
        <v>1012</v>
      </c>
    </row>
    <row r="789" spans="1:9">
      <c r="A789" s="53">
        <f t="shared" si="173"/>
        <v>46260</v>
      </c>
      <c r="B789" s="41">
        <f t="shared" si="174"/>
        <v>46260</v>
      </c>
      <c r="C789" s="42" t="str">
        <f t="shared" si="175"/>
        <v>第4  水曜日</v>
      </c>
      <c r="D789" s="4" t="str">
        <f>_xlfn.XLOOKUP(B789,syukujitsu[国民の祝日・休日月日],syukujitsu[国民の祝日・休日名称],"",0,1)</f>
        <v/>
      </c>
      <c r="F789" s="43" t="s">
        <v>1023</v>
      </c>
      <c r="G789" s="43" t="s">
        <v>889</v>
      </c>
      <c r="H789" s="43" t="s">
        <v>982</v>
      </c>
      <c r="I789" s="43" t="s">
        <v>1012</v>
      </c>
    </row>
    <row r="790" spans="1:9">
      <c r="A790" s="53">
        <f t="shared" si="173"/>
        <v>46261</v>
      </c>
      <c r="B790" s="41">
        <f t="shared" si="174"/>
        <v>46261</v>
      </c>
      <c r="C790" s="42" t="str">
        <f t="shared" si="175"/>
        <v>第4  木曜日</v>
      </c>
      <c r="D790" s="4" t="str">
        <f>_xlfn.XLOOKUP(B790,syukujitsu[国民の祝日・休日月日],syukujitsu[国民の祝日・休日名称],"",0,1)</f>
        <v/>
      </c>
      <c r="H790" s="43" t="s">
        <v>1013</v>
      </c>
      <c r="I790" s="43" t="s">
        <v>1012</v>
      </c>
    </row>
    <row r="791" spans="1:9">
      <c r="A791" s="53">
        <f t="shared" si="173"/>
        <v>46262</v>
      </c>
      <c r="B791" s="41">
        <f t="shared" si="174"/>
        <v>46262</v>
      </c>
      <c r="C791" s="42" t="str">
        <f t="shared" si="175"/>
        <v>第4  金曜日</v>
      </c>
      <c r="D791" s="4" t="str">
        <f>_xlfn.XLOOKUP(B791,syukujitsu[国民の祝日・休日月日],syukujitsu[国民の祝日・休日名称],"",0,1)</f>
        <v/>
      </c>
      <c r="F791" s="43" t="s">
        <v>955</v>
      </c>
      <c r="G791" s="43" t="s">
        <v>889</v>
      </c>
      <c r="H791" s="43" t="s">
        <v>982</v>
      </c>
      <c r="I791" s="43" t="s">
        <v>1012</v>
      </c>
    </row>
    <row r="792" spans="1:9">
      <c r="A792" s="53">
        <f t="shared" si="173"/>
        <v>46263</v>
      </c>
      <c r="B792" s="41">
        <f t="shared" si="174"/>
        <v>46263</v>
      </c>
      <c r="C792" s="42" t="str">
        <f t="shared" si="175"/>
        <v>第5  土曜日</v>
      </c>
      <c r="D792" s="4" t="str">
        <f>_xlfn.XLOOKUP(B792,syukujitsu[国民の祝日・休日月日],syukujitsu[国民の祝日・休日名称],"",0,1)</f>
        <v/>
      </c>
      <c r="I792" s="43" t="s">
        <v>1012</v>
      </c>
    </row>
    <row r="793" spans="1:9">
      <c r="A793" s="53">
        <f t="shared" si="173"/>
        <v>46264</v>
      </c>
      <c r="B793" s="41">
        <f t="shared" si="174"/>
        <v>46264</v>
      </c>
      <c r="C793" s="42" t="str">
        <f t="shared" si="175"/>
        <v>第5  日曜日</v>
      </c>
      <c r="D793" s="4" t="str">
        <f>_xlfn.XLOOKUP(B793,syukujitsu[国民の祝日・休日月日],syukujitsu[国民の祝日・休日名称],"",0,1)</f>
        <v/>
      </c>
      <c r="H793" s="43" t="s">
        <v>982</v>
      </c>
      <c r="I793" s="43" t="s">
        <v>1012</v>
      </c>
    </row>
    <row r="794" spans="1:9">
      <c r="A794" s="53">
        <f t="shared" si="173"/>
        <v>46265</v>
      </c>
      <c r="B794" s="41">
        <f t="shared" si="174"/>
        <v>46265</v>
      </c>
      <c r="C794" s="42" t="str">
        <f t="shared" si="175"/>
        <v>第5  月曜日</v>
      </c>
      <c r="D794" s="4" t="str">
        <f>_xlfn.XLOOKUP(B794,syukujitsu[国民の祝日・休日月日],syukujitsu[国民の祝日・休日名称],"",0,1)</f>
        <v/>
      </c>
      <c r="E794" s="43" t="s">
        <v>992</v>
      </c>
      <c r="G794" s="43" t="s">
        <v>889</v>
      </c>
      <c r="H794" s="43" t="s">
        <v>982</v>
      </c>
      <c r="I794" s="43" t="s">
        <v>1012</v>
      </c>
    </row>
    <row r="795" spans="1:9">
      <c r="A795" s="53">
        <f t="shared" si="173"/>
        <v>46266</v>
      </c>
      <c r="B795" s="41">
        <f t="shared" si="174"/>
        <v>46266</v>
      </c>
      <c r="C795" s="42" t="str">
        <f t="shared" si="175"/>
        <v>第1  火曜日</v>
      </c>
      <c r="D795" s="4" t="str">
        <f>_xlfn.XLOOKUP(B795,syukujitsu[国民の祝日・休日月日],syukujitsu[国民の祝日・休日名称],"",0,1)</f>
        <v/>
      </c>
      <c r="I795" s="43" t="s">
        <v>1012</v>
      </c>
    </row>
    <row r="796" spans="1:9">
      <c r="A796" s="53">
        <f t="shared" si="173"/>
        <v>46267</v>
      </c>
      <c r="B796" s="41">
        <f t="shared" si="174"/>
        <v>46267</v>
      </c>
      <c r="C796" s="42" t="str">
        <f t="shared" si="175"/>
        <v>第1  水曜日</v>
      </c>
      <c r="D796" s="4" t="str">
        <f>_xlfn.XLOOKUP(B796,syukujitsu[国民の祝日・休日月日],syukujitsu[国民の祝日・休日名称],"",0,1)</f>
        <v/>
      </c>
      <c r="G796" s="43" t="s">
        <v>889</v>
      </c>
      <c r="I796" s="43" t="s">
        <v>1012</v>
      </c>
    </row>
    <row r="797" spans="1:9">
      <c r="A797" s="53">
        <f t="shared" si="173"/>
        <v>46268</v>
      </c>
      <c r="B797" s="41">
        <f t="shared" si="174"/>
        <v>46268</v>
      </c>
      <c r="C797" s="42" t="str">
        <f t="shared" si="175"/>
        <v>第1  木曜日</v>
      </c>
      <c r="D797" s="4" t="str">
        <f>_xlfn.XLOOKUP(B797,syukujitsu[国民の祝日・休日月日],syukujitsu[国民の祝日・休日名称],"",0,1)</f>
        <v/>
      </c>
      <c r="H797" s="43" t="s">
        <v>1013</v>
      </c>
      <c r="I797" s="43" t="s">
        <v>1012</v>
      </c>
    </row>
    <row r="798" spans="1:9">
      <c r="A798" s="53">
        <f t="shared" si="173"/>
        <v>46269</v>
      </c>
      <c r="B798" s="41">
        <f t="shared" si="174"/>
        <v>46269</v>
      </c>
      <c r="C798" s="42" t="str">
        <f t="shared" si="175"/>
        <v>第1  金曜日</v>
      </c>
      <c r="D798" s="4" t="str">
        <f>_xlfn.XLOOKUP(B798,syukujitsu[国民の祝日・休日月日],syukujitsu[国民の祝日・休日名称],"",0,1)</f>
        <v/>
      </c>
      <c r="E798" s="43" t="s">
        <v>657</v>
      </c>
      <c r="F798" s="43" t="s">
        <v>955</v>
      </c>
      <c r="G798" s="43" t="s">
        <v>889</v>
      </c>
      <c r="I798" s="43" t="s">
        <v>1012</v>
      </c>
    </row>
    <row r="799" spans="1:9">
      <c r="A799" s="53">
        <f t="shared" si="173"/>
        <v>46270</v>
      </c>
      <c r="B799" s="41">
        <f t="shared" si="174"/>
        <v>46270</v>
      </c>
      <c r="C799" s="42" t="str">
        <f t="shared" si="175"/>
        <v>第1  土曜日</v>
      </c>
      <c r="D799" s="4" t="str">
        <f>_xlfn.XLOOKUP(B799,syukujitsu[国民の祝日・休日月日],syukujitsu[国民の祝日・休日名称],"",0,1)</f>
        <v/>
      </c>
      <c r="I799" s="43" t="s">
        <v>1012</v>
      </c>
    </row>
    <row r="800" spans="1:9">
      <c r="A800" s="53">
        <f t="shared" ref="A800:A863" si="176">B800</f>
        <v>46271</v>
      </c>
      <c r="B800" s="41">
        <f t="shared" si="174"/>
        <v>46271</v>
      </c>
      <c r="C800" s="42" t="str">
        <f t="shared" si="175"/>
        <v>第1  日曜日</v>
      </c>
      <c r="D800" s="4" t="str">
        <f>_xlfn.XLOOKUP(B800,syukujitsu[国民の祝日・休日月日],syukujitsu[国民の祝日・休日名称],"",0,1)</f>
        <v/>
      </c>
      <c r="I800" s="43" t="s">
        <v>1012</v>
      </c>
    </row>
    <row r="801" spans="1:9">
      <c r="A801" s="53">
        <f t="shared" si="176"/>
        <v>46272</v>
      </c>
      <c r="B801" s="41">
        <f t="shared" si="174"/>
        <v>46272</v>
      </c>
      <c r="C801" s="42" t="str">
        <f t="shared" si="175"/>
        <v>第1  月曜日</v>
      </c>
      <c r="D801" s="4" t="str">
        <f>_xlfn.XLOOKUP(B801,syukujitsu[国民の祝日・休日月日],syukujitsu[国民の祝日・休日名称],"",0,1)</f>
        <v/>
      </c>
      <c r="G801" s="43" t="s">
        <v>889</v>
      </c>
      <c r="I801" s="43" t="s">
        <v>1012</v>
      </c>
    </row>
    <row r="802" spans="1:9">
      <c r="A802" s="53">
        <f t="shared" si="176"/>
        <v>46273</v>
      </c>
      <c r="B802" s="41">
        <f t="shared" si="174"/>
        <v>46273</v>
      </c>
      <c r="C802" s="42" t="str">
        <f t="shared" si="175"/>
        <v>第2  火曜日</v>
      </c>
      <c r="D802" s="4" t="str">
        <f>_xlfn.XLOOKUP(B802,syukujitsu[国民の祝日・休日月日],syukujitsu[国民の祝日・休日名称],"",0,1)</f>
        <v/>
      </c>
      <c r="I802" s="43" t="s">
        <v>1012</v>
      </c>
    </row>
    <row r="803" spans="1:9">
      <c r="A803" s="53">
        <f t="shared" si="176"/>
        <v>46274</v>
      </c>
      <c r="B803" s="41">
        <f t="shared" si="174"/>
        <v>46274</v>
      </c>
      <c r="C803" s="42" t="str">
        <f t="shared" si="175"/>
        <v>第2  水曜日</v>
      </c>
      <c r="D803" s="4" t="str">
        <f>_xlfn.XLOOKUP(B803,syukujitsu[国民の祝日・休日月日],syukujitsu[国民の祝日・休日名称],"",0,1)</f>
        <v/>
      </c>
      <c r="G803" s="43" t="s">
        <v>889</v>
      </c>
      <c r="I803" s="43" t="s">
        <v>1012</v>
      </c>
    </row>
    <row r="804" spans="1:9">
      <c r="A804" s="53">
        <f t="shared" si="176"/>
        <v>46275</v>
      </c>
      <c r="B804" s="41">
        <f t="shared" si="174"/>
        <v>46275</v>
      </c>
      <c r="C804" s="42" t="str">
        <f t="shared" si="175"/>
        <v>第2  木曜日</v>
      </c>
      <c r="D804" s="4" t="str">
        <f>_xlfn.XLOOKUP(B804,syukujitsu[国民の祝日・休日月日],syukujitsu[国民の祝日・休日名称],"",0,1)</f>
        <v/>
      </c>
      <c r="I804" s="43" t="s">
        <v>1012</v>
      </c>
    </row>
    <row r="805" spans="1:9">
      <c r="A805" s="53">
        <f t="shared" si="176"/>
        <v>46276</v>
      </c>
      <c r="B805" s="41">
        <f t="shared" si="174"/>
        <v>46276</v>
      </c>
      <c r="C805" s="42" t="str">
        <f t="shared" si="175"/>
        <v>第2  金曜日</v>
      </c>
      <c r="D805" s="4" t="str">
        <f>_xlfn.XLOOKUP(B805,syukujitsu[国民の祝日・休日月日],syukujitsu[国民の祝日・休日名称],"",0,1)</f>
        <v/>
      </c>
      <c r="F805" s="43" t="s">
        <v>955</v>
      </c>
      <c r="G805" s="43" t="s">
        <v>889</v>
      </c>
      <c r="I805" s="43" t="s">
        <v>1012</v>
      </c>
    </row>
    <row r="806" spans="1:9">
      <c r="A806" s="53">
        <f t="shared" si="176"/>
        <v>46277</v>
      </c>
      <c r="B806" s="41">
        <f t="shared" si="174"/>
        <v>46277</v>
      </c>
      <c r="C806" s="42" t="str">
        <f t="shared" si="175"/>
        <v>第2  土曜日</v>
      </c>
      <c r="D806" s="4" t="str">
        <f>_xlfn.XLOOKUP(B806,syukujitsu[国民の祝日・休日月日],syukujitsu[国民の祝日・休日名称],"",0,1)</f>
        <v/>
      </c>
      <c r="I806" s="43" t="s">
        <v>1012</v>
      </c>
    </row>
    <row r="807" spans="1:9">
      <c r="A807" s="53">
        <f t="shared" si="176"/>
        <v>46278</v>
      </c>
      <c r="B807" s="41">
        <f t="shared" si="174"/>
        <v>46278</v>
      </c>
      <c r="C807" s="42" t="str">
        <f t="shared" si="175"/>
        <v>第2  日曜日</v>
      </c>
      <c r="D807" s="4" t="str">
        <f>_xlfn.XLOOKUP(B807,syukujitsu[国民の祝日・休日月日],syukujitsu[国民の祝日・休日名称],"",0,1)</f>
        <v/>
      </c>
      <c r="I807" s="43" t="s">
        <v>1012</v>
      </c>
    </row>
    <row r="808" spans="1:9">
      <c r="A808" s="53">
        <f t="shared" si="176"/>
        <v>46279</v>
      </c>
      <c r="B808" s="41">
        <f t="shared" si="174"/>
        <v>46279</v>
      </c>
      <c r="C808" s="42" t="str">
        <f t="shared" si="175"/>
        <v>第2  月曜日</v>
      </c>
      <c r="D808" s="4" t="str">
        <f>_xlfn.XLOOKUP(B808,syukujitsu[国民の祝日・休日月日],syukujitsu[国民の祝日・休日名称],"",0,1)</f>
        <v/>
      </c>
      <c r="G808" s="43" t="s">
        <v>889</v>
      </c>
    </row>
    <row r="809" spans="1:9">
      <c r="A809" s="53">
        <f t="shared" si="176"/>
        <v>46280</v>
      </c>
      <c r="B809" s="41">
        <f t="shared" si="174"/>
        <v>46280</v>
      </c>
      <c r="C809" s="42" t="str">
        <f t="shared" si="175"/>
        <v>第3  火曜日</v>
      </c>
      <c r="D809" s="4" t="str">
        <f>_xlfn.XLOOKUP(B809,syukujitsu[国民の祝日・休日月日],syukujitsu[国民の祝日・休日名称],"",0,1)</f>
        <v/>
      </c>
    </row>
    <row r="810" spans="1:9">
      <c r="A810" s="53">
        <f t="shared" si="176"/>
        <v>46281</v>
      </c>
      <c r="B810" s="41">
        <f t="shared" si="174"/>
        <v>46281</v>
      </c>
      <c r="C810" s="42" t="str">
        <f t="shared" si="175"/>
        <v>第3  水曜日</v>
      </c>
      <c r="D810" s="4" t="str">
        <f>_xlfn.XLOOKUP(B810,syukujitsu[国民の祝日・休日月日],syukujitsu[国民の祝日・休日名称],"",0,1)</f>
        <v/>
      </c>
      <c r="G810" s="43" t="s">
        <v>889</v>
      </c>
    </row>
    <row r="811" spans="1:9">
      <c r="A811" s="53">
        <f t="shared" si="176"/>
        <v>46282</v>
      </c>
      <c r="B811" s="41">
        <f t="shared" si="174"/>
        <v>46282</v>
      </c>
      <c r="C811" s="42" t="str">
        <f t="shared" si="175"/>
        <v>第3  木曜日</v>
      </c>
      <c r="D811" s="4" t="str">
        <f>_xlfn.XLOOKUP(B811,syukujitsu[国民の祝日・休日月日],syukujitsu[国民の祝日・休日名称],"",0,1)</f>
        <v/>
      </c>
    </row>
    <row r="812" spans="1:9">
      <c r="A812" s="53">
        <f t="shared" si="176"/>
        <v>46283</v>
      </c>
      <c r="B812" s="41">
        <f t="shared" si="174"/>
        <v>46283</v>
      </c>
      <c r="C812" s="42" t="str">
        <f t="shared" si="175"/>
        <v>第3  金曜日</v>
      </c>
      <c r="D812" s="4" t="str">
        <f>_xlfn.XLOOKUP(B812,syukujitsu[国民の祝日・休日月日],syukujitsu[国民の祝日・休日名称],"",0,1)</f>
        <v/>
      </c>
      <c r="E812" s="43" t="s">
        <v>657</v>
      </c>
      <c r="F812" s="43" t="s">
        <v>955</v>
      </c>
      <c r="G812" s="43" t="s">
        <v>889</v>
      </c>
    </row>
    <row r="813" spans="1:9">
      <c r="A813" s="53">
        <f t="shared" si="176"/>
        <v>46284</v>
      </c>
      <c r="B813" s="41">
        <f t="shared" si="174"/>
        <v>46284</v>
      </c>
      <c r="C813" s="42" t="str">
        <f t="shared" si="175"/>
        <v>第3  土曜日</v>
      </c>
      <c r="D813" s="4" t="str">
        <f>_xlfn.XLOOKUP(B813,syukujitsu[国民の祝日・休日月日],syukujitsu[国民の祝日・休日名称],"",0,1)</f>
        <v/>
      </c>
    </row>
    <row r="814" spans="1:9">
      <c r="A814" s="53">
        <f t="shared" si="176"/>
        <v>46285</v>
      </c>
      <c r="B814" s="41">
        <f t="shared" si="174"/>
        <v>46285</v>
      </c>
      <c r="C814" s="42" t="str">
        <f t="shared" si="175"/>
        <v>第3  日曜日</v>
      </c>
      <c r="D814" s="4" t="str">
        <f>_xlfn.XLOOKUP(B814,syukujitsu[国民の祝日・休日月日],syukujitsu[国民の祝日・休日名称],"",0,1)</f>
        <v/>
      </c>
    </row>
    <row r="815" spans="1:9">
      <c r="A815" s="53">
        <f t="shared" si="176"/>
        <v>46286</v>
      </c>
      <c r="B815" s="41">
        <f t="shared" si="174"/>
        <v>46286</v>
      </c>
      <c r="C815" s="42" t="str">
        <f t="shared" si="175"/>
        <v>第3  月曜日</v>
      </c>
      <c r="D815" s="4" t="str">
        <f>_xlfn.XLOOKUP(B815,syukujitsu[国民の祝日・休日月日],syukujitsu[国民の祝日・休日名称],"",0,1)</f>
        <v>敬老の日</v>
      </c>
      <c r="G815" s="43" t="s">
        <v>889</v>
      </c>
    </row>
    <row r="816" spans="1:9">
      <c r="A816" s="53">
        <f t="shared" si="176"/>
        <v>46287</v>
      </c>
      <c r="B816" s="41">
        <f t="shared" si="174"/>
        <v>46287</v>
      </c>
      <c r="C816" s="42" t="str">
        <f t="shared" si="175"/>
        <v>第4  火曜日</v>
      </c>
      <c r="D816" s="4" t="str">
        <f>_xlfn.XLOOKUP(B816,syukujitsu[国民の祝日・休日月日],syukujitsu[国民の祝日・休日名称],"",0,1)</f>
        <v>国民の休日</v>
      </c>
    </row>
    <row r="817" spans="1:7">
      <c r="A817" s="53">
        <f t="shared" si="176"/>
        <v>46288</v>
      </c>
      <c r="B817" s="41">
        <f t="shared" si="174"/>
        <v>46288</v>
      </c>
      <c r="C817" s="42" t="str">
        <f t="shared" si="175"/>
        <v>第4  水曜日</v>
      </c>
      <c r="D817" s="4" t="str">
        <f>_xlfn.XLOOKUP(B817,syukujitsu[国民の祝日・休日月日],syukujitsu[国民の祝日・休日名称],"",0,1)</f>
        <v>秋分の日</v>
      </c>
      <c r="G817" s="43" t="s">
        <v>889</v>
      </c>
    </row>
    <row r="818" spans="1:7">
      <c r="A818" s="53">
        <f t="shared" si="176"/>
        <v>46289</v>
      </c>
      <c r="B818" s="41">
        <f t="shared" si="174"/>
        <v>46289</v>
      </c>
      <c r="C818" s="42" t="str">
        <f t="shared" si="175"/>
        <v>第4  木曜日</v>
      </c>
      <c r="D818" s="4" t="str">
        <f>_xlfn.XLOOKUP(B818,syukujitsu[国民の祝日・休日月日],syukujitsu[国民の祝日・休日名称],"",0,1)</f>
        <v/>
      </c>
    </row>
    <row r="819" spans="1:7">
      <c r="A819" s="53">
        <f t="shared" si="176"/>
        <v>46290</v>
      </c>
      <c r="B819" s="41">
        <f t="shared" si="174"/>
        <v>46290</v>
      </c>
      <c r="C819" s="42" t="str">
        <f t="shared" si="175"/>
        <v>第4  金曜日</v>
      </c>
      <c r="D819" s="4" t="str">
        <f>_xlfn.XLOOKUP(B819,syukujitsu[国民の祝日・休日月日],syukujitsu[国民の祝日・休日名称],"",0,1)</f>
        <v/>
      </c>
      <c r="F819" s="43" t="s">
        <v>955</v>
      </c>
      <c r="G819" s="43" t="s">
        <v>889</v>
      </c>
    </row>
    <row r="820" spans="1:7">
      <c r="A820" s="53">
        <f t="shared" si="176"/>
        <v>46291</v>
      </c>
      <c r="B820" s="41">
        <f t="shared" si="174"/>
        <v>46291</v>
      </c>
      <c r="C820" s="42" t="str">
        <f t="shared" si="175"/>
        <v>第4  土曜日</v>
      </c>
      <c r="D820" s="4" t="str">
        <f>_xlfn.XLOOKUP(B820,syukujitsu[国民の祝日・休日月日],syukujitsu[国民の祝日・休日名称],"",0,1)</f>
        <v/>
      </c>
    </row>
    <row r="821" spans="1:7">
      <c r="A821" s="53">
        <f t="shared" si="176"/>
        <v>46292</v>
      </c>
      <c r="B821" s="41">
        <f t="shared" si="174"/>
        <v>46292</v>
      </c>
      <c r="C821" s="42" t="str">
        <f t="shared" si="175"/>
        <v>第4  日曜日</v>
      </c>
      <c r="D821" s="4" t="str">
        <f>_xlfn.XLOOKUP(B821,syukujitsu[国民の祝日・休日月日],syukujitsu[国民の祝日・休日名称],"",0,1)</f>
        <v/>
      </c>
    </row>
    <row r="822" spans="1:7">
      <c r="A822" s="53">
        <f t="shared" si="176"/>
        <v>46293</v>
      </c>
      <c r="B822" s="41">
        <f t="shared" si="174"/>
        <v>46293</v>
      </c>
      <c r="C822" s="42" t="str">
        <f t="shared" si="175"/>
        <v>第4  月曜日</v>
      </c>
      <c r="D822" s="4" t="str">
        <f>_xlfn.XLOOKUP(B822,syukujitsu[国民の祝日・休日月日],syukujitsu[国民の祝日・休日名称],"",0,1)</f>
        <v/>
      </c>
      <c r="G822" s="43" t="s">
        <v>889</v>
      </c>
    </row>
    <row r="823" spans="1:7">
      <c r="A823" s="53">
        <f t="shared" si="176"/>
        <v>46294</v>
      </c>
      <c r="B823" s="41">
        <f t="shared" ref="B823:B886" si="177">B822+1</f>
        <v>46294</v>
      </c>
      <c r="C823" s="42" t="str">
        <f t="shared" si="175"/>
        <v>第5  火曜日</v>
      </c>
      <c r="D823" s="4" t="str">
        <f>_xlfn.XLOOKUP(B823,syukujitsu[国民の祝日・休日月日],syukujitsu[国民の祝日・休日名称],"",0,1)</f>
        <v/>
      </c>
    </row>
    <row r="824" spans="1:7">
      <c r="A824" s="53">
        <f t="shared" si="176"/>
        <v>46295</v>
      </c>
      <c r="B824" s="41">
        <f t="shared" si="177"/>
        <v>46295</v>
      </c>
      <c r="C824" s="42" t="str">
        <f t="shared" si="175"/>
        <v>第5  水曜日</v>
      </c>
      <c r="D824" s="4" t="str">
        <f>_xlfn.XLOOKUP(B824,syukujitsu[国民の祝日・休日月日],syukujitsu[国民の祝日・休日名称],"",0,1)</f>
        <v/>
      </c>
      <c r="G824" s="43" t="s">
        <v>889</v>
      </c>
    </row>
    <row r="825" spans="1:7">
      <c r="A825" s="53">
        <f t="shared" si="176"/>
        <v>46296</v>
      </c>
      <c r="B825" s="41">
        <f t="shared" si="177"/>
        <v>46296</v>
      </c>
      <c r="C825" s="42" t="str">
        <f t="shared" si="175"/>
        <v>第1  木曜日</v>
      </c>
      <c r="D825" s="4" t="str">
        <f>_xlfn.XLOOKUP(B825,syukujitsu[国民の祝日・休日月日],syukujitsu[国民の祝日・休日名称],"",0,1)</f>
        <v/>
      </c>
    </row>
    <row r="826" spans="1:7">
      <c r="A826" s="53">
        <f t="shared" si="176"/>
        <v>46297</v>
      </c>
      <c r="B826" s="41">
        <f t="shared" si="177"/>
        <v>46297</v>
      </c>
      <c r="C826" s="42" t="str">
        <f t="shared" si="175"/>
        <v>第1  金曜日</v>
      </c>
      <c r="D826" s="4" t="str">
        <f>_xlfn.XLOOKUP(B826,syukujitsu[国民の祝日・休日月日],syukujitsu[国民の祝日・休日名称],"",0,1)</f>
        <v/>
      </c>
      <c r="F826" s="43" t="s">
        <v>955</v>
      </c>
      <c r="G826" s="43" t="s">
        <v>889</v>
      </c>
    </row>
    <row r="827" spans="1:7">
      <c r="A827" s="53">
        <f t="shared" si="176"/>
        <v>46298</v>
      </c>
      <c r="B827" s="41">
        <f t="shared" si="177"/>
        <v>46298</v>
      </c>
      <c r="C827" s="42" t="str">
        <f t="shared" si="175"/>
        <v>第1  土曜日</v>
      </c>
      <c r="D827" s="4" t="str">
        <f>_xlfn.XLOOKUP(B827,syukujitsu[国民の祝日・休日月日],syukujitsu[国民の祝日・休日名称],"",0,1)</f>
        <v/>
      </c>
    </row>
    <row r="828" spans="1:7">
      <c r="A828" s="53">
        <f t="shared" si="176"/>
        <v>46299</v>
      </c>
      <c r="B828" s="41">
        <f t="shared" si="177"/>
        <v>46299</v>
      </c>
      <c r="C828" s="42" t="str">
        <f t="shared" si="175"/>
        <v>第1  日曜日</v>
      </c>
      <c r="D828" s="4" t="str">
        <f>_xlfn.XLOOKUP(B828,syukujitsu[国民の祝日・休日月日],syukujitsu[国民の祝日・休日名称],"",0,1)</f>
        <v/>
      </c>
    </row>
    <row r="829" spans="1:7">
      <c r="A829" s="53">
        <f t="shared" si="176"/>
        <v>46300</v>
      </c>
      <c r="B829" s="41">
        <f t="shared" si="177"/>
        <v>46300</v>
      </c>
      <c r="C829" s="42" t="str">
        <f t="shared" si="175"/>
        <v>第1  月曜日</v>
      </c>
      <c r="D829" s="4" t="str">
        <f>_xlfn.XLOOKUP(B829,syukujitsu[国民の祝日・休日月日],syukujitsu[国民の祝日・休日名称],"",0,1)</f>
        <v/>
      </c>
      <c r="G829" s="43" t="s">
        <v>889</v>
      </c>
    </row>
    <row r="830" spans="1:7">
      <c r="A830" s="53">
        <f t="shared" si="176"/>
        <v>46301</v>
      </c>
      <c r="B830" s="41">
        <f t="shared" si="177"/>
        <v>46301</v>
      </c>
      <c r="C830" s="42" t="str">
        <f t="shared" si="175"/>
        <v>第1  火曜日</v>
      </c>
      <c r="D830" s="4" t="str">
        <f>_xlfn.XLOOKUP(B830,syukujitsu[国民の祝日・休日月日],syukujitsu[国民の祝日・休日名称],"",0,1)</f>
        <v/>
      </c>
    </row>
    <row r="831" spans="1:7">
      <c r="A831" s="53">
        <f t="shared" si="176"/>
        <v>46302</v>
      </c>
      <c r="B831" s="41">
        <f t="shared" si="177"/>
        <v>46302</v>
      </c>
      <c r="C831" s="42" t="str">
        <f t="shared" si="175"/>
        <v>第1  水曜日</v>
      </c>
      <c r="D831" s="4" t="str">
        <f>_xlfn.XLOOKUP(B831,syukujitsu[国民の祝日・休日月日],syukujitsu[国民の祝日・休日名称],"",0,1)</f>
        <v/>
      </c>
      <c r="G831" s="43" t="s">
        <v>889</v>
      </c>
    </row>
    <row r="832" spans="1:7">
      <c r="A832" s="53">
        <f t="shared" si="176"/>
        <v>46303</v>
      </c>
      <c r="B832" s="41">
        <f t="shared" si="177"/>
        <v>46303</v>
      </c>
      <c r="C832" s="42" t="str">
        <f t="shared" si="175"/>
        <v>第2  木曜日</v>
      </c>
      <c r="D832" s="4" t="str">
        <f>_xlfn.XLOOKUP(B832,syukujitsu[国民の祝日・休日月日],syukujitsu[国民の祝日・休日名称],"",0,1)</f>
        <v/>
      </c>
    </row>
    <row r="833" spans="1:7">
      <c r="A833" s="53">
        <f t="shared" si="176"/>
        <v>46304</v>
      </c>
      <c r="B833" s="41">
        <f t="shared" si="177"/>
        <v>46304</v>
      </c>
      <c r="C833" s="42" t="str">
        <f t="shared" si="175"/>
        <v>第2  金曜日</v>
      </c>
      <c r="D833" s="4" t="str">
        <f>_xlfn.XLOOKUP(B833,syukujitsu[国民の祝日・休日月日],syukujitsu[国民の祝日・休日名称],"",0,1)</f>
        <v/>
      </c>
      <c r="F833" s="43" t="s">
        <v>955</v>
      </c>
      <c r="G833" s="43" t="s">
        <v>889</v>
      </c>
    </row>
    <row r="834" spans="1:7">
      <c r="A834" s="53">
        <f t="shared" si="176"/>
        <v>46305</v>
      </c>
      <c r="B834" s="41">
        <f t="shared" si="177"/>
        <v>46305</v>
      </c>
      <c r="C834" s="42" t="str">
        <f t="shared" si="175"/>
        <v>第2  土曜日</v>
      </c>
      <c r="D834" s="4" t="str">
        <f>_xlfn.XLOOKUP(B834,syukujitsu[国民の祝日・休日月日],syukujitsu[国民の祝日・休日名称],"",0,1)</f>
        <v/>
      </c>
    </row>
    <row r="835" spans="1:7">
      <c r="A835" s="53">
        <f t="shared" si="176"/>
        <v>46306</v>
      </c>
      <c r="B835" s="41">
        <f t="shared" si="177"/>
        <v>46306</v>
      </c>
      <c r="C835" s="42" t="str">
        <f t="shared" si="175"/>
        <v>第2  日曜日</v>
      </c>
      <c r="D835" s="4" t="str">
        <f>_xlfn.XLOOKUP(B835,syukujitsu[国民の祝日・休日月日],syukujitsu[国民の祝日・休日名称],"",0,1)</f>
        <v/>
      </c>
    </row>
    <row r="836" spans="1:7">
      <c r="A836" s="53">
        <f t="shared" si="176"/>
        <v>46307</v>
      </c>
      <c r="B836" s="41">
        <f t="shared" si="177"/>
        <v>46307</v>
      </c>
      <c r="C836" s="42" t="str">
        <f t="shared" si="175"/>
        <v>第2  月曜日</v>
      </c>
      <c r="D836" s="4" t="str">
        <f>_xlfn.XLOOKUP(B836,syukujitsu[国民の祝日・休日月日],syukujitsu[国民の祝日・休日名称],"",0,1)</f>
        <v>スポーツの日</v>
      </c>
      <c r="G836" s="43" t="s">
        <v>889</v>
      </c>
    </row>
    <row r="837" spans="1:7">
      <c r="A837" s="53">
        <f t="shared" si="176"/>
        <v>46308</v>
      </c>
      <c r="B837" s="41">
        <f t="shared" si="177"/>
        <v>46308</v>
      </c>
      <c r="C837" s="42" t="str">
        <f t="shared" si="175"/>
        <v>第2  火曜日</v>
      </c>
      <c r="D837" s="4" t="str">
        <f>_xlfn.XLOOKUP(B837,syukujitsu[国民の祝日・休日月日],syukujitsu[国民の祝日・休日名称],"",0,1)</f>
        <v/>
      </c>
    </row>
    <row r="838" spans="1:7">
      <c r="A838" s="53">
        <f t="shared" si="176"/>
        <v>46309</v>
      </c>
      <c r="B838" s="41">
        <f t="shared" si="177"/>
        <v>46309</v>
      </c>
      <c r="C838" s="42" t="str">
        <f t="shared" si="175"/>
        <v>第2  水曜日</v>
      </c>
      <c r="D838" s="4" t="str">
        <f>_xlfn.XLOOKUP(B838,syukujitsu[国民の祝日・休日月日],syukujitsu[国民の祝日・休日名称],"",0,1)</f>
        <v/>
      </c>
      <c r="G838" s="43" t="s">
        <v>889</v>
      </c>
    </row>
    <row r="839" spans="1:7">
      <c r="A839" s="53">
        <f t="shared" si="176"/>
        <v>46310</v>
      </c>
      <c r="B839" s="41">
        <f t="shared" si="177"/>
        <v>46310</v>
      </c>
      <c r="C839" s="42" t="str">
        <f t="shared" si="175"/>
        <v>第3  木曜日</v>
      </c>
      <c r="D839" s="4" t="str">
        <f>_xlfn.XLOOKUP(B839,syukujitsu[国民の祝日・休日月日],syukujitsu[国民の祝日・休日名称],"",0,1)</f>
        <v/>
      </c>
    </row>
    <row r="840" spans="1:7">
      <c r="A840" s="53">
        <f t="shared" si="176"/>
        <v>46311</v>
      </c>
      <c r="B840" s="41">
        <f t="shared" si="177"/>
        <v>46311</v>
      </c>
      <c r="C840" s="42" t="str">
        <f t="shared" si="175"/>
        <v>第3  金曜日</v>
      </c>
      <c r="D840" s="4" t="str">
        <f>_xlfn.XLOOKUP(B840,syukujitsu[国民の祝日・休日月日],syukujitsu[国民の祝日・休日名称],"",0,1)</f>
        <v/>
      </c>
      <c r="F840" s="43" t="s">
        <v>955</v>
      </c>
      <c r="G840" s="43" t="s">
        <v>889</v>
      </c>
    </row>
    <row r="841" spans="1:7">
      <c r="A841" s="53">
        <f t="shared" si="176"/>
        <v>46312</v>
      </c>
      <c r="B841" s="41">
        <f t="shared" si="177"/>
        <v>46312</v>
      </c>
      <c r="C841" s="42" t="str">
        <f t="shared" si="175"/>
        <v>第3  土曜日</v>
      </c>
      <c r="D841" s="4" t="str">
        <f>_xlfn.XLOOKUP(B841,syukujitsu[国民の祝日・休日月日],syukujitsu[国民の祝日・休日名称],"",0,1)</f>
        <v/>
      </c>
    </row>
    <row r="842" spans="1:7">
      <c r="A842" s="53">
        <f t="shared" si="176"/>
        <v>46313</v>
      </c>
      <c r="B842" s="41">
        <f t="shared" si="177"/>
        <v>46313</v>
      </c>
      <c r="C842" s="42" t="str">
        <f t="shared" si="175"/>
        <v>第3  日曜日</v>
      </c>
      <c r="D842" s="4" t="str">
        <f>_xlfn.XLOOKUP(B842,syukujitsu[国民の祝日・休日月日],syukujitsu[国民の祝日・休日名称],"",0,1)</f>
        <v/>
      </c>
    </row>
    <row r="843" spans="1:7">
      <c r="A843" s="53">
        <f t="shared" si="176"/>
        <v>46314</v>
      </c>
      <c r="B843" s="41">
        <f t="shared" si="177"/>
        <v>46314</v>
      </c>
      <c r="C843" s="42" t="str">
        <f t="shared" si="175"/>
        <v>第3  月曜日</v>
      </c>
      <c r="D843" s="4" t="str">
        <f>_xlfn.XLOOKUP(B843,syukujitsu[国民の祝日・休日月日],syukujitsu[国民の祝日・休日名称],"",0,1)</f>
        <v/>
      </c>
      <c r="G843" s="43" t="s">
        <v>889</v>
      </c>
    </row>
    <row r="844" spans="1:7">
      <c r="A844" s="53">
        <f t="shared" si="176"/>
        <v>46315</v>
      </c>
      <c r="B844" s="41">
        <f t="shared" si="177"/>
        <v>46315</v>
      </c>
      <c r="C844" s="42" t="str">
        <f t="shared" ref="C844:C907" si="178">"第"&amp;ROUNDUP(DAY(B844)/7,0)  &amp;"  "&amp;TEXT(B844,"aaaa")</f>
        <v>第3  火曜日</v>
      </c>
      <c r="D844" s="4" t="str">
        <f>_xlfn.XLOOKUP(B844,syukujitsu[国民の祝日・休日月日],syukujitsu[国民の祝日・休日名称],"",0,1)</f>
        <v/>
      </c>
    </row>
    <row r="845" spans="1:7">
      <c r="A845" s="53">
        <f t="shared" si="176"/>
        <v>46316</v>
      </c>
      <c r="B845" s="41">
        <f t="shared" si="177"/>
        <v>46316</v>
      </c>
      <c r="C845" s="42" t="str">
        <f t="shared" si="178"/>
        <v>第3  水曜日</v>
      </c>
      <c r="D845" s="4" t="str">
        <f>_xlfn.XLOOKUP(B845,syukujitsu[国民の祝日・休日月日],syukujitsu[国民の祝日・休日名称],"",0,1)</f>
        <v/>
      </c>
      <c r="G845" s="43" t="s">
        <v>889</v>
      </c>
    </row>
    <row r="846" spans="1:7">
      <c r="A846" s="53">
        <f t="shared" si="176"/>
        <v>46317</v>
      </c>
      <c r="B846" s="41">
        <f t="shared" si="177"/>
        <v>46317</v>
      </c>
      <c r="C846" s="42" t="str">
        <f t="shared" si="178"/>
        <v>第4  木曜日</v>
      </c>
      <c r="D846" s="4" t="str">
        <f>_xlfn.XLOOKUP(B846,syukujitsu[国民の祝日・休日月日],syukujitsu[国民の祝日・休日名称],"",0,1)</f>
        <v/>
      </c>
    </row>
    <row r="847" spans="1:7">
      <c r="A847" s="53">
        <f t="shared" si="176"/>
        <v>46318</v>
      </c>
      <c r="B847" s="41">
        <f t="shared" si="177"/>
        <v>46318</v>
      </c>
      <c r="C847" s="42" t="str">
        <f t="shared" si="178"/>
        <v>第4  金曜日</v>
      </c>
      <c r="D847" s="4" t="str">
        <f>_xlfn.XLOOKUP(B847,syukujitsu[国民の祝日・休日月日],syukujitsu[国民の祝日・休日名称],"",0,1)</f>
        <v/>
      </c>
      <c r="F847" s="43" t="s">
        <v>955</v>
      </c>
      <c r="G847" s="43" t="s">
        <v>889</v>
      </c>
    </row>
    <row r="848" spans="1:7">
      <c r="A848" s="53">
        <f t="shared" si="176"/>
        <v>46319</v>
      </c>
      <c r="B848" s="41">
        <f t="shared" si="177"/>
        <v>46319</v>
      </c>
      <c r="C848" s="42" t="str">
        <f t="shared" si="178"/>
        <v>第4  土曜日</v>
      </c>
      <c r="D848" s="4" t="str">
        <f>_xlfn.XLOOKUP(B848,syukujitsu[国民の祝日・休日月日],syukujitsu[国民の祝日・休日名称],"",0,1)</f>
        <v/>
      </c>
    </row>
    <row r="849" spans="1:7">
      <c r="A849" s="53">
        <f t="shared" si="176"/>
        <v>46320</v>
      </c>
      <c r="B849" s="41">
        <f t="shared" si="177"/>
        <v>46320</v>
      </c>
      <c r="C849" s="42" t="str">
        <f t="shared" si="178"/>
        <v>第4  日曜日</v>
      </c>
      <c r="D849" s="4" t="str">
        <f>_xlfn.XLOOKUP(B849,syukujitsu[国民の祝日・休日月日],syukujitsu[国民の祝日・休日名称],"",0,1)</f>
        <v/>
      </c>
    </row>
    <row r="850" spans="1:7">
      <c r="A850" s="53">
        <f t="shared" si="176"/>
        <v>46321</v>
      </c>
      <c r="B850" s="41">
        <f t="shared" si="177"/>
        <v>46321</v>
      </c>
      <c r="C850" s="42" t="str">
        <f t="shared" si="178"/>
        <v>第4  月曜日</v>
      </c>
      <c r="D850" s="4" t="str">
        <f>_xlfn.XLOOKUP(B850,syukujitsu[国民の祝日・休日月日],syukujitsu[国民の祝日・休日名称],"",0,1)</f>
        <v/>
      </c>
      <c r="G850" s="43" t="s">
        <v>889</v>
      </c>
    </row>
    <row r="851" spans="1:7">
      <c r="A851" s="53">
        <f t="shared" si="176"/>
        <v>46322</v>
      </c>
      <c r="B851" s="41">
        <f t="shared" si="177"/>
        <v>46322</v>
      </c>
      <c r="C851" s="42" t="str">
        <f t="shared" si="178"/>
        <v>第4  火曜日</v>
      </c>
      <c r="D851" s="4" t="str">
        <f>_xlfn.XLOOKUP(B851,syukujitsu[国民の祝日・休日月日],syukujitsu[国民の祝日・休日名称],"",0,1)</f>
        <v/>
      </c>
    </row>
    <row r="852" spans="1:7">
      <c r="A852" s="53">
        <f t="shared" si="176"/>
        <v>46323</v>
      </c>
      <c r="B852" s="41">
        <f t="shared" si="177"/>
        <v>46323</v>
      </c>
      <c r="C852" s="42" t="str">
        <f t="shared" si="178"/>
        <v>第4  水曜日</v>
      </c>
      <c r="D852" s="4" t="str">
        <f>_xlfn.XLOOKUP(B852,syukujitsu[国民の祝日・休日月日],syukujitsu[国民の祝日・休日名称],"",0,1)</f>
        <v/>
      </c>
      <c r="G852" s="43" t="s">
        <v>889</v>
      </c>
    </row>
    <row r="853" spans="1:7">
      <c r="A853" s="53">
        <f t="shared" si="176"/>
        <v>46324</v>
      </c>
      <c r="B853" s="41">
        <f t="shared" si="177"/>
        <v>46324</v>
      </c>
      <c r="C853" s="42" t="str">
        <f t="shared" si="178"/>
        <v>第5  木曜日</v>
      </c>
      <c r="D853" s="4" t="str">
        <f>_xlfn.XLOOKUP(B853,syukujitsu[国民の祝日・休日月日],syukujitsu[国民の祝日・休日名称],"",0,1)</f>
        <v/>
      </c>
    </row>
    <row r="854" spans="1:7">
      <c r="A854" s="53">
        <f t="shared" si="176"/>
        <v>46325</v>
      </c>
      <c r="B854" s="41">
        <f t="shared" si="177"/>
        <v>46325</v>
      </c>
      <c r="C854" s="42" t="str">
        <f t="shared" si="178"/>
        <v>第5  金曜日</v>
      </c>
      <c r="D854" s="4" t="str">
        <f>_xlfn.XLOOKUP(B854,syukujitsu[国民の祝日・休日月日],syukujitsu[国民の祝日・休日名称],"",0,1)</f>
        <v/>
      </c>
      <c r="F854" s="43" t="s">
        <v>955</v>
      </c>
      <c r="G854" s="43" t="s">
        <v>889</v>
      </c>
    </row>
    <row r="855" spans="1:7">
      <c r="A855" s="53">
        <f t="shared" si="176"/>
        <v>46326</v>
      </c>
      <c r="B855" s="41">
        <f t="shared" si="177"/>
        <v>46326</v>
      </c>
      <c r="C855" s="42" t="str">
        <f t="shared" si="178"/>
        <v>第5  土曜日</v>
      </c>
      <c r="D855" s="4" t="str">
        <f>_xlfn.XLOOKUP(B855,syukujitsu[国民の祝日・休日月日],syukujitsu[国民の祝日・休日名称],"",0,1)</f>
        <v/>
      </c>
    </row>
    <row r="856" spans="1:7">
      <c r="A856" s="53">
        <f t="shared" si="176"/>
        <v>46327</v>
      </c>
      <c r="B856" s="41">
        <f t="shared" si="177"/>
        <v>46327</v>
      </c>
      <c r="C856" s="42" t="str">
        <f t="shared" si="178"/>
        <v>第1  日曜日</v>
      </c>
      <c r="D856" s="4" t="str">
        <f>_xlfn.XLOOKUP(B856,syukujitsu[国民の祝日・休日月日],syukujitsu[国民の祝日・休日名称],"",0,1)</f>
        <v/>
      </c>
    </row>
    <row r="857" spans="1:7">
      <c r="A857" s="53">
        <f t="shared" si="176"/>
        <v>46328</v>
      </c>
      <c r="B857" s="41">
        <f t="shared" si="177"/>
        <v>46328</v>
      </c>
      <c r="C857" s="42" t="str">
        <f t="shared" si="178"/>
        <v>第1  月曜日</v>
      </c>
      <c r="D857" s="4" t="str">
        <f>_xlfn.XLOOKUP(B857,syukujitsu[国民の祝日・休日月日],syukujitsu[国民の祝日・休日名称],"",0,1)</f>
        <v/>
      </c>
      <c r="G857" s="43" t="s">
        <v>889</v>
      </c>
    </row>
    <row r="858" spans="1:7">
      <c r="A858" s="53">
        <f t="shared" si="176"/>
        <v>46329</v>
      </c>
      <c r="B858" s="41">
        <f t="shared" si="177"/>
        <v>46329</v>
      </c>
      <c r="C858" s="42" t="str">
        <f t="shared" si="178"/>
        <v>第1  火曜日</v>
      </c>
      <c r="D858" s="4" t="str">
        <f>_xlfn.XLOOKUP(B858,syukujitsu[国民の祝日・休日月日],syukujitsu[国民の祝日・休日名称],"",0,1)</f>
        <v>文化の日</v>
      </c>
    </row>
    <row r="859" spans="1:7">
      <c r="A859" s="53">
        <f t="shared" si="176"/>
        <v>46330</v>
      </c>
      <c r="B859" s="41">
        <f t="shared" si="177"/>
        <v>46330</v>
      </c>
      <c r="C859" s="42" t="str">
        <f t="shared" si="178"/>
        <v>第1  水曜日</v>
      </c>
      <c r="D859" s="4" t="str">
        <f>_xlfn.XLOOKUP(B859,syukujitsu[国民の祝日・休日月日],syukujitsu[国民の祝日・休日名称],"",0,1)</f>
        <v/>
      </c>
      <c r="G859" s="43" t="s">
        <v>889</v>
      </c>
    </row>
    <row r="860" spans="1:7">
      <c r="A860" s="53">
        <f t="shared" si="176"/>
        <v>46331</v>
      </c>
      <c r="B860" s="41">
        <f t="shared" si="177"/>
        <v>46331</v>
      </c>
      <c r="C860" s="42" t="str">
        <f t="shared" si="178"/>
        <v>第1  木曜日</v>
      </c>
      <c r="D860" s="4" t="str">
        <f>_xlfn.XLOOKUP(B860,syukujitsu[国民の祝日・休日月日],syukujitsu[国民の祝日・休日名称],"",0,1)</f>
        <v/>
      </c>
    </row>
    <row r="861" spans="1:7">
      <c r="A861" s="53">
        <f t="shared" si="176"/>
        <v>46332</v>
      </c>
      <c r="B861" s="41">
        <f t="shared" si="177"/>
        <v>46332</v>
      </c>
      <c r="C861" s="42" t="str">
        <f t="shared" si="178"/>
        <v>第1  金曜日</v>
      </c>
      <c r="D861" s="4" t="str">
        <f>_xlfn.XLOOKUP(B861,syukujitsu[国民の祝日・休日月日],syukujitsu[国民の祝日・休日名称],"",0,1)</f>
        <v/>
      </c>
      <c r="F861" s="43" t="s">
        <v>955</v>
      </c>
      <c r="G861" s="43" t="s">
        <v>889</v>
      </c>
    </row>
    <row r="862" spans="1:7">
      <c r="A862" s="53">
        <f t="shared" si="176"/>
        <v>46333</v>
      </c>
      <c r="B862" s="41">
        <f t="shared" si="177"/>
        <v>46333</v>
      </c>
      <c r="C862" s="42" t="str">
        <f t="shared" si="178"/>
        <v>第1  土曜日</v>
      </c>
      <c r="D862" s="4" t="str">
        <f>_xlfn.XLOOKUP(B862,syukujitsu[国民の祝日・休日月日],syukujitsu[国民の祝日・休日名称],"",0,1)</f>
        <v/>
      </c>
    </row>
    <row r="863" spans="1:7">
      <c r="A863" s="53">
        <f t="shared" si="176"/>
        <v>46334</v>
      </c>
      <c r="B863" s="41">
        <f t="shared" si="177"/>
        <v>46334</v>
      </c>
      <c r="C863" s="42" t="str">
        <f t="shared" si="178"/>
        <v>第2  日曜日</v>
      </c>
      <c r="D863" s="4" t="str">
        <f>_xlfn.XLOOKUP(B863,syukujitsu[国民の祝日・休日月日],syukujitsu[国民の祝日・休日名称],"",0,1)</f>
        <v/>
      </c>
    </row>
    <row r="864" spans="1:7">
      <c r="A864" s="53">
        <f t="shared" ref="A864:A927" si="179">B864</f>
        <v>46335</v>
      </c>
      <c r="B864" s="41">
        <f t="shared" si="177"/>
        <v>46335</v>
      </c>
      <c r="C864" s="42" t="str">
        <f t="shared" si="178"/>
        <v>第2  月曜日</v>
      </c>
      <c r="D864" s="4" t="str">
        <f>_xlfn.XLOOKUP(B864,syukujitsu[国民の祝日・休日月日],syukujitsu[国民の祝日・休日名称],"",0,1)</f>
        <v/>
      </c>
      <c r="G864" s="43" t="s">
        <v>889</v>
      </c>
    </row>
    <row r="865" spans="1:7">
      <c r="A865" s="53">
        <f t="shared" si="179"/>
        <v>46336</v>
      </c>
      <c r="B865" s="41">
        <f t="shared" si="177"/>
        <v>46336</v>
      </c>
      <c r="C865" s="42" t="str">
        <f t="shared" si="178"/>
        <v>第2  火曜日</v>
      </c>
      <c r="D865" s="4" t="str">
        <f>_xlfn.XLOOKUP(B865,syukujitsu[国民の祝日・休日月日],syukujitsu[国民の祝日・休日名称],"",0,1)</f>
        <v/>
      </c>
    </row>
    <row r="866" spans="1:7">
      <c r="A866" s="53">
        <f t="shared" si="179"/>
        <v>46337</v>
      </c>
      <c r="B866" s="41">
        <f t="shared" si="177"/>
        <v>46337</v>
      </c>
      <c r="C866" s="42" t="str">
        <f t="shared" si="178"/>
        <v>第2  水曜日</v>
      </c>
      <c r="D866" s="4" t="str">
        <f>_xlfn.XLOOKUP(B866,syukujitsu[国民の祝日・休日月日],syukujitsu[国民の祝日・休日名称],"",0,1)</f>
        <v/>
      </c>
      <c r="G866" s="43" t="s">
        <v>889</v>
      </c>
    </row>
    <row r="867" spans="1:7">
      <c r="A867" s="53">
        <f t="shared" si="179"/>
        <v>46338</v>
      </c>
      <c r="B867" s="41">
        <f t="shared" si="177"/>
        <v>46338</v>
      </c>
      <c r="C867" s="42" t="str">
        <f t="shared" si="178"/>
        <v>第2  木曜日</v>
      </c>
      <c r="D867" s="4" t="str">
        <f>_xlfn.XLOOKUP(B867,syukujitsu[国民の祝日・休日月日],syukujitsu[国民の祝日・休日名称],"",0,1)</f>
        <v/>
      </c>
    </row>
    <row r="868" spans="1:7">
      <c r="A868" s="53">
        <f t="shared" si="179"/>
        <v>46339</v>
      </c>
      <c r="B868" s="41">
        <f t="shared" si="177"/>
        <v>46339</v>
      </c>
      <c r="C868" s="42" t="str">
        <f t="shared" si="178"/>
        <v>第2  金曜日</v>
      </c>
      <c r="D868" s="4" t="str">
        <f>_xlfn.XLOOKUP(B868,syukujitsu[国民の祝日・休日月日],syukujitsu[国民の祝日・休日名称],"",0,1)</f>
        <v/>
      </c>
      <c r="F868" s="43" t="s">
        <v>955</v>
      </c>
      <c r="G868" s="43" t="s">
        <v>889</v>
      </c>
    </row>
    <row r="869" spans="1:7">
      <c r="A869" s="53">
        <f t="shared" si="179"/>
        <v>46340</v>
      </c>
      <c r="B869" s="41">
        <f t="shared" si="177"/>
        <v>46340</v>
      </c>
      <c r="C869" s="42" t="str">
        <f t="shared" si="178"/>
        <v>第2  土曜日</v>
      </c>
      <c r="D869" s="4" t="str">
        <f>_xlfn.XLOOKUP(B869,syukujitsu[国民の祝日・休日月日],syukujitsu[国民の祝日・休日名称],"",0,1)</f>
        <v/>
      </c>
    </row>
    <row r="870" spans="1:7">
      <c r="A870" s="53">
        <f t="shared" si="179"/>
        <v>46341</v>
      </c>
      <c r="B870" s="41">
        <f t="shared" si="177"/>
        <v>46341</v>
      </c>
      <c r="C870" s="42" t="str">
        <f t="shared" si="178"/>
        <v>第3  日曜日</v>
      </c>
      <c r="D870" s="4" t="str">
        <f>_xlfn.XLOOKUP(B870,syukujitsu[国民の祝日・休日月日],syukujitsu[国民の祝日・休日名称],"",0,1)</f>
        <v/>
      </c>
    </row>
    <row r="871" spans="1:7">
      <c r="A871" s="53">
        <f t="shared" si="179"/>
        <v>46342</v>
      </c>
      <c r="B871" s="41">
        <f t="shared" si="177"/>
        <v>46342</v>
      </c>
      <c r="C871" s="42" t="str">
        <f t="shared" si="178"/>
        <v>第3  月曜日</v>
      </c>
      <c r="D871" s="4" t="str">
        <f>_xlfn.XLOOKUP(B871,syukujitsu[国民の祝日・休日月日],syukujitsu[国民の祝日・休日名称],"",0,1)</f>
        <v/>
      </c>
      <c r="G871" s="43" t="s">
        <v>889</v>
      </c>
    </row>
    <row r="872" spans="1:7">
      <c r="A872" s="53">
        <f t="shared" si="179"/>
        <v>46343</v>
      </c>
      <c r="B872" s="41">
        <f t="shared" si="177"/>
        <v>46343</v>
      </c>
      <c r="C872" s="42" t="str">
        <f t="shared" si="178"/>
        <v>第3  火曜日</v>
      </c>
      <c r="D872" s="4" t="str">
        <f>_xlfn.XLOOKUP(B872,syukujitsu[国民の祝日・休日月日],syukujitsu[国民の祝日・休日名称],"",0,1)</f>
        <v/>
      </c>
    </row>
    <row r="873" spans="1:7">
      <c r="A873" s="53">
        <f t="shared" si="179"/>
        <v>46344</v>
      </c>
      <c r="B873" s="41">
        <f t="shared" si="177"/>
        <v>46344</v>
      </c>
      <c r="C873" s="42" t="str">
        <f t="shared" si="178"/>
        <v>第3  水曜日</v>
      </c>
      <c r="D873" s="4" t="str">
        <f>_xlfn.XLOOKUP(B873,syukujitsu[国民の祝日・休日月日],syukujitsu[国民の祝日・休日名称],"",0,1)</f>
        <v/>
      </c>
      <c r="G873" s="43" t="s">
        <v>889</v>
      </c>
    </row>
    <row r="874" spans="1:7">
      <c r="A874" s="53">
        <f t="shared" si="179"/>
        <v>46345</v>
      </c>
      <c r="B874" s="41">
        <f t="shared" si="177"/>
        <v>46345</v>
      </c>
      <c r="C874" s="42" t="str">
        <f t="shared" si="178"/>
        <v>第3  木曜日</v>
      </c>
      <c r="D874" s="4" t="str">
        <f>_xlfn.XLOOKUP(B874,syukujitsu[国民の祝日・休日月日],syukujitsu[国民の祝日・休日名称],"",0,1)</f>
        <v/>
      </c>
    </row>
    <row r="875" spans="1:7">
      <c r="A875" s="53">
        <f t="shared" si="179"/>
        <v>46346</v>
      </c>
      <c r="B875" s="41">
        <f t="shared" si="177"/>
        <v>46346</v>
      </c>
      <c r="C875" s="42" t="str">
        <f t="shared" si="178"/>
        <v>第3  金曜日</v>
      </c>
      <c r="D875" s="4" t="str">
        <f>_xlfn.XLOOKUP(B875,syukujitsu[国民の祝日・休日月日],syukujitsu[国民の祝日・休日名称],"",0,1)</f>
        <v/>
      </c>
      <c r="F875" s="43" t="s">
        <v>955</v>
      </c>
      <c r="G875" s="43" t="s">
        <v>889</v>
      </c>
    </row>
    <row r="876" spans="1:7">
      <c r="A876" s="53">
        <f t="shared" si="179"/>
        <v>46347</v>
      </c>
      <c r="B876" s="41">
        <f t="shared" si="177"/>
        <v>46347</v>
      </c>
      <c r="C876" s="42" t="str">
        <f t="shared" si="178"/>
        <v>第3  土曜日</v>
      </c>
      <c r="D876" s="4" t="str">
        <f>_xlfn.XLOOKUP(B876,syukujitsu[国民の祝日・休日月日],syukujitsu[国民の祝日・休日名称],"",0,1)</f>
        <v/>
      </c>
    </row>
    <row r="877" spans="1:7">
      <c r="A877" s="53">
        <f t="shared" si="179"/>
        <v>46348</v>
      </c>
      <c r="B877" s="41">
        <f t="shared" si="177"/>
        <v>46348</v>
      </c>
      <c r="C877" s="42" t="str">
        <f t="shared" si="178"/>
        <v>第4  日曜日</v>
      </c>
      <c r="D877" s="4" t="str">
        <f>_xlfn.XLOOKUP(B877,syukujitsu[国民の祝日・休日月日],syukujitsu[国民の祝日・休日名称],"",0,1)</f>
        <v/>
      </c>
    </row>
    <row r="878" spans="1:7">
      <c r="A878" s="53">
        <f t="shared" si="179"/>
        <v>46349</v>
      </c>
      <c r="B878" s="41">
        <f t="shared" si="177"/>
        <v>46349</v>
      </c>
      <c r="C878" s="42" t="str">
        <f t="shared" si="178"/>
        <v>第4  月曜日</v>
      </c>
      <c r="D878" s="4" t="str">
        <f>_xlfn.XLOOKUP(B878,syukujitsu[国民の祝日・休日月日],syukujitsu[国民の祝日・休日名称],"",0,1)</f>
        <v>勤労感謝の日</v>
      </c>
      <c r="G878" s="43" t="s">
        <v>889</v>
      </c>
    </row>
    <row r="879" spans="1:7">
      <c r="A879" s="53">
        <f t="shared" si="179"/>
        <v>46350</v>
      </c>
      <c r="B879" s="41">
        <f t="shared" si="177"/>
        <v>46350</v>
      </c>
      <c r="C879" s="42" t="str">
        <f t="shared" si="178"/>
        <v>第4  火曜日</v>
      </c>
      <c r="D879" s="4" t="str">
        <f>_xlfn.XLOOKUP(B879,syukujitsu[国民の祝日・休日月日],syukujitsu[国民の祝日・休日名称],"",0,1)</f>
        <v/>
      </c>
    </row>
    <row r="880" spans="1:7">
      <c r="A880" s="53">
        <f t="shared" si="179"/>
        <v>46351</v>
      </c>
      <c r="B880" s="41">
        <f t="shared" si="177"/>
        <v>46351</v>
      </c>
      <c r="C880" s="42" t="str">
        <f t="shared" si="178"/>
        <v>第4  水曜日</v>
      </c>
      <c r="D880" s="4" t="str">
        <f>_xlfn.XLOOKUP(B880,syukujitsu[国民の祝日・休日月日],syukujitsu[国民の祝日・休日名称],"",0,1)</f>
        <v/>
      </c>
      <c r="G880" s="43" t="s">
        <v>889</v>
      </c>
    </row>
    <row r="881" spans="1:7">
      <c r="A881" s="53">
        <f t="shared" si="179"/>
        <v>46352</v>
      </c>
      <c r="B881" s="41">
        <f t="shared" si="177"/>
        <v>46352</v>
      </c>
      <c r="C881" s="42" t="str">
        <f t="shared" si="178"/>
        <v>第4  木曜日</v>
      </c>
      <c r="D881" s="4" t="str">
        <f>_xlfn.XLOOKUP(B881,syukujitsu[国民の祝日・休日月日],syukujitsu[国民の祝日・休日名称],"",0,1)</f>
        <v/>
      </c>
    </row>
    <row r="882" spans="1:7">
      <c r="A882" s="53">
        <f t="shared" si="179"/>
        <v>46353</v>
      </c>
      <c r="B882" s="41">
        <f t="shared" si="177"/>
        <v>46353</v>
      </c>
      <c r="C882" s="42" t="str">
        <f t="shared" si="178"/>
        <v>第4  金曜日</v>
      </c>
      <c r="D882" s="4" t="str">
        <f>_xlfn.XLOOKUP(B882,syukujitsu[国民の祝日・休日月日],syukujitsu[国民の祝日・休日名称],"",0,1)</f>
        <v/>
      </c>
      <c r="F882" s="43" t="s">
        <v>955</v>
      </c>
      <c r="G882" s="43" t="s">
        <v>889</v>
      </c>
    </row>
    <row r="883" spans="1:7">
      <c r="A883" s="53">
        <f t="shared" si="179"/>
        <v>46354</v>
      </c>
      <c r="B883" s="41">
        <f t="shared" si="177"/>
        <v>46354</v>
      </c>
      <c r="C883" s="42" t="str">
        <f t="shared" si="178"/>
        <v>第4  土曜日</v>
      </c>
      <c r="D883" s="4" t="str">
        <f>_xlfn.XLOOKUP(B883,syukujitsu[国民の祝日・休日月日],syukujitsu[国民の祝日・休日名称],"",0,1)</f>
        <v/>
      </c>
    </row>
    <row r="884" spans="1:7">
      <c r="A884" s="53">
        <f t="shared" si="179"/>
        <v>46355</v>
      </c>
      <c r="B884" s="41">
        <f t="shared" si="177"/>
        <v>46355</v>
      </c>
      <c r="C884" s="42" t="str">
        <f t="shared" si="178"/>
        <v>第5  日曜日</v>
      </c>
      <c r="D884" s="4" t="str">
        <f>_xlfn.XLOOKUP(B884,syukujitsu[国民の祝日・休日月日],syukujitsu[国民の祝日・休日名称],"",0,1)</f>
        <v/>
      </c>
    </row>
    <row r="885" spans="1:7">
      <c r="A885" s="53">
        <f t="shared" si="179"/>
        <v>46356</v>
      </c>
      <c r="B885" s="41">
        <f t="shared" si="177"/>
        <v>46356</v>
      </c>
      <c r="C885" s="42" t="str">
        <f t="shared" si="178"/>
        <v>第5  月曜日</v>
      </c>
      <c r="D885" s="4" t="str">
        <f>_xlfn.XLOOKUP(B885,syukujitsu[国民の祝日・休日月日],syukujitsu[国民の祝日・休日名称],"",0,1)</f>
        <v/>
      </c>
      <c r="G885" s="43" t="s">
        <v>889</v>
      </c>
    </row>
    <row r="886" spans="1:7">
      <c r="A886" s="53">
        <f t="shared" si="179"/>
        <v>46357</v>
      </c>
      <c r="B886" s="41">
        <f t="shared" si="177"/>
        <v>46357</v>
      </c>
      <c r="C886" s="42" t="str">
        <f t="shared" si="178"/>
        <v>第1  火曜日</v>
      </c>
      <c r="D886" s="4" t="str">
        <f>_xlfn.XLOOKUP(B886,syukujitsu[国民の祝日・休日月日],syukujitsu[国民の祝日・休日名称],"",0,1)</f>
        <v/>
      </c>
    </row>
    <row r="887" spans="1:7">
      <c r="A887" s="53">
        <f t="shared" si="179"/>
        <v>46358</v>
      </c>
      <c r="B887" s="41">
        <f t="shared" ref="B887:B950" si="180">B886+1</f>
        <v>46358</v>
      </c>
      <c r="C887" s="42" t="str">
        <f t="shared" si="178"/>
        <v>第1  水曜日</v>
      </c>
      <c r="D887" s="4" t="str">
        <f>_xlfn.XLOOKUP(B887,syukujitsu[国民の祝日・休日月日],syukujitsu[国民の祝日・休日名称],"",0,1)</f>
        <v/>
      </c>
      <c r="G887" s="43" t="s">
        <v>889</v>
      </c>
    </row>
    <row r="888" spans="1:7">
      <c r="A888" s="53">
        <f t="shared" si="179"/>
        <v>46359</v>
      </c>
      <c r="B888" s="41">
        <f t="shared" si="180"/>
        <v>46359</v>
      </c>
      <c r="C888" s="42" t="str">
        <f t="shared" si="178"/>
        <v>第1  木曜日</v>
      </c>
      <c r="D888" s="4" t="str">
        <f>_xlfn.XLOOKUP(B888,syukujitsu[国民の祝日・休日月日],syukujitsu[国民の祝日・休日名称],"",0,1)</f>
        <v/>
      </c>
    </row>
    <row r="889" spans="1:7">
      <c r="A889" s="53">
        <f t="shared" si="179"/>
        <v>46360</v>
      </c>
      <c r="B889" s="41">
        <f t="shared" si="180"/>
        <v>46360</v>
      </c>
      <c r="C889" s="42" t="str">
        <f t="shared" si="178"/>
        <v>第1  金曜日</v>
      </c>
      <c r="D889" s="4" t="str">
        <f>_xlfn.XLOOKUP(B889,syukujitsu[国民の祝日・休日月日],syukujitsu[国民の祝日・休日名称],"",0,1)</f>
        <v/>
      </c>
      <c r="F889" s="43" t="s">
        <v>955</v>
      </c>
      <c r="G889" s="43" t="s">
        <v>889</v>
      </c>
    </row>
    <row r="890" spans="1:7">
      <c r="A890" s="53">
        <f t="shared" si="179"/>
        <v>46361</v>
      </c>
      <c r="B890" s="41">
        <f t="shared" si="180"/>
        <v>46361</v>
      </c>
      <c r="C890" s="42" t="str">
        <f t="shared" si="178"/>
        <v>第1  土曜日</v>
      </c>
      <c r="D890" s="4" t="str">
        <f>_xlfn.XLOOKUP(B890,syukujitsu[国民の祝日・休日月日],syukujitsu[国民の祝日・休日名称],"",0,1)</f>
        <v/>
      </c>
    </row>
    <row r="891" spans="1:7">
      <c r="A891" s="53">
        <f t="shared" si="179"/>
        <v>46362</v>
      </c>
      <c r="B891" s="41">
        <f t="shared" si="180"/>
        <v>46362</v>
      </c>
      <c r="C891" s="42" t="str">
        <f t="shared" si="178"/>
        <v>第1  日曜日</v>
      </c>
      <c r="D891" s="4" t="str">
        <f>_xlfn.XLOOKUP(B891,syukujitsu[国民の祝日・休日月日],syukujitsu[国民の祝日・休日名称],"",0,1)</f>
        <v/>
      </c>
    </row>
    <row r="892" spans="1:7">
      <c r="A892" s="53">
        <f t="shared" si="179"/>
        <v>46363</v>
      </c>
      <c r="B892" s="41">
        <f t="shared" si="180"/>
        <v>46363</v>
      </c>
      <c r="C892" s="42" t="str">
        <f t="shared" si="178"/>
        <v>第1  月曜日</v>
      </c>
      <c r="D892" s="4" t="str">
        <f>_xlfn.XLOOKUP(B892,syukujitsu[国民の祝日・休日月日],syukujitsu[国民の祝日・休日名称],"",0,1)</f>
        <v/>
      </c>
      <c r="G892" s="43" t="s">
        <v>889</v>
      </c>
    </row>
    <row r="893" spans="1:7">
      <c r="A893" s="53">
        <f t="shared" si="179"/>
        <v>46364</v>
      </c>
      <c r="B893" s="41">
        <f t="shared" si="180"/>
        <v>46364</v>
      </c>
      <c r="C893" s="42" t="str">
        <f t="shared" si="178"/>
        <v>第2  火曜日</v>
      </c>
      <c r="D893" s="4" t="str">
        <f>_xlfn.XLOOKUP(B893,syukujitsu[国民の祝日・休日月日],syukujitsu[国民の祝日・休日名称],"",0,1)</f>
        <v/>
      </c>
    </row>
    <row r="894" spans="1:7">
      <c r="A894" s="53">
        <f t="shared" si="179"/>
        <v>46365</v>
      </c>
      <c r="B894" s="41">
        <f t="shared" si="180"/>
        <v>46365</v>
      </c>
      <c r="C894" s="42" t="str">
        <f t="shared" si="178"/>
        <v>第2  水曜日</v>
      </c>
      <c r="D894" s="4" t="str">
        <f>_xlfn.XLOOKUP(B894,syukujitsu[国民の祝日・休日月日],syukujitsu[国民の祝日・休日名称],"",0,1)</f>
        <v/>
      </c>
      <c r="G894" s="43" t="s">
        <v>889</v>
      </c>
    </row>
    <row r="895" spans="1:7">
      <c r="A895" s="53">
        <f t="shared" si="179"/>
        <v>46366</v>
      </c>
      <c r="B895" s="41">
        <f t="shared" si="180"/>
        <v>46366</v>
      </c>
      <c r="C895" s="42" t="str">
        <f t="shared" si="178"/>
        <v>第2  木曜日</v>
      </c>
      <c r="D895" s="4" t="str">
        <f>_xlfn.XLOOKUP(B895,syukujitsu[国民の祝日・休日月日],syukujitsu[国民の祝日・休日名称],"",0,1)</f>
        <v/>
      </c>
    </row>
    <row r="896" spans="1:7">
      <c r="A896" s="53">
        <f t="shared" si="179"/>
        <v>46367</v>
      </c>
      <c r="B896" s="41">
        <f t="shared" si="180"/>
        <v>46367</v>
      </c>
      <c r="C896" s="42" t="str">
        <f t="shared" si="178"/>
        <v>第2  金曜日</v>
      </c>
      <c r="D896" s="4" t="str">
        <f>_xlfn.XLOOKUP(B896,syukujitsu[国民の祝日・休日月日],syukujitsu[国民の祝日・休日名称],"",0,1)</f>
        <v/>
      </c>
      <c r="F896" s="43" t="s">
        <v>955</v>
      </c>
      <c r="G896" s="43" t="s">
        <v>889</v>
      </c>
    </row>
    <row r="897" spans="1:7">
      <c r="A897" s="53">
        <f t="shared" si="179"/>
        <v>46368</v>
      </c>
      <c r="B897" s="41">
        <f t="shared" si="180"/>
        <v>46368</v>
      </c>
      <c r="C897" s="42" t="str">
        <f t="shared" si="178"/>
        <v>第2  土曜日</v>
      </c>
      <c r="D897" s="4" t="str">
        <f>_xlfn.XLOOKUP(B897,syukujitsu[国民の祝日・休日月日],syukujitsu[国民の祝日・休日名称],"",0,1)</f>
        <v/>
      </c>
    </row>
    <row r="898" spans="1:7">
      <c r="A898" s="53">
        <f t="shared" si="179"/>
        <v>46369</v>
      </c>
      <c r="B898" s="41">
        <f t="shared" si="180"/>
        <v>46369</v>
      </c>
      <c r="C898" s="42" t="str">
        <f t="shared" si="178"/>
        <v>第2  日曜日</v>
      </c>
      <c r="D898" s="4" t="str">
        <f>_xlfn.XLOOKUP(B898,syukujitsu[国民の祝日・休日月日],syukujitsu[国民の祝日・休日名称],"",0,1)</f>
        <v/>
      </c>
    </row>
    <row r="899" spans="1:7">
      <c r="A899" s="53">
        <f t="shared" si="179"/>
        <v>46370</v>
      </c>
      <c r="B899" s="41">
        <f t="shared" si="180"/>
        <v>46370</v>
      </c>
      <c r="C899" s="42" t="str">
        <f t="shared" si="178"/>
        <v>第2  月曜日</v>
      </c>
      <c r="D899" s="4" t="str">
        <f>_xlfn.XLOOKUP(B899,syukujitsu[国民の祝日・休日月日],syukujitsu[国民の祝日・休日名称],"",0,1)</f>
        <v/>
      </c>
      <c r="G899" s="43" t="s">
        <v>889</v>
      </c>
    </row>
    <row r="900" spans="1:7">
      <c r="A900" s="53">
        <f t="shared" si="179"/>
        <v>46371</v>
      </c>
      <c r="B900" s="41">
        <f t="shared" si="180"/>
        <v>46371</v>
      </c>
      <c r="C900" s="42" t="str">
        <f t="shared" si="178"/>
        <v>第3  火曜日</v>
      </c>
      <c r="D900" s="4" t="str">
        <f>_xlfn.XLOOKUP(B900,syukujitsu[国民の祝日・休日月日],syukujitsu[国民の祝日・休日名称],"",0,1)</f>
        <v/>
      </c>
    </row>
    <row r="901" spans="1:7">
      <c r="A901" s="53">
        <f t="shared" si="179"/>
        <v>46372</v>
      </c>
      <c r="B901" s="41">
        <f t="shared" si="180"/>
        <v>46372</v>
      </c>
      <c r="C901" s="42" t="str">
        <f t="shared" si="178"/>
        <v>第3  水曜日</v>
      </c>
      <c r="D901" s="4" t="str">
        <f>_xlfn.XLOOKUP(B901,syukujitsu[国民の祝日・休日月日],syukujitsu[国民の祝日・休日名称],"",0,1)</f>
        <v/>
      </c>
      <c r="G901" s="43" t="s">
        <v>889</v>
      </c>
    </row>
    <row r="902" spans="1:7">
      <c r="A902" s="53">
        <f t="shared" si="179"/>
        <v>46373</v>
      </c>
      <c r="B902" s="41">
        <f t="shared" si="180"/>
        <v>46373</v>
      </c>
      <c r="C902" s="42" t="str">
        <f t="shared" si="178"/>
        <v>第3  木曜日</v>
      </c>
      <c r="D902" s="4" t="str">
        <f>_xlfn.XLOOKUP(B902,syukujitsu[国民の祝日・休日月日],syukujitsu[国民の祝日・休日名称],"",0,1)</f>
        <v/>
      </c>
    </row>
    <row r="903" spans="1:7">
      <c r="A903" s="53">
        <f t="shared" si="179"/>
        <v>46374</v>
      </c>
      <c r="B903" s="41">
        <f t="shared" si="180"/>
        <v>46374</v>
      </c>
      <c r="C903" s="42" t="str">
        <f t="shared" si="178"/>
        <v>第3  金曜日</v>
      </c>
      <c r="D903" s="4" t="str">
        <f>_xlfn.XLOOKUP(B903,syukujitsu[国民の祝日・休日月日],syukujitsu[国民の祝日・休日名称],"",0,1)</f>
        <v/>
      </c>
      <c r="F903" s="43" t="s">
        <v>955</v>
      </c>
      <c r="G903" s="43" t="s">
        <v>889</v>
      </c>
    </row>
    <row r="904" spans="1:7">
      <c r="A904" s="53">
        <f t="shared" si="179"/>
        <v>46375</v>
      </c>
      <c r="B904" s="41">
        <f t="shared" si="180"/>
        <v>46375</v>
      </c>
      <c r="C904" s="42" t="str">
        <f t="shared" si="178"/>
        <v>第3  土曜日</v>
      </c>
      <c r="D904" s="4" t="str">
        <f>_xlfn.XLOOKUP(B904,syukujitsu[国民の祝日・休日月日],syukujitsu[国民の祝日・休日名称],"",0,1)</f>
        <v/>
      </c>
    </row>
    <row r="905" spans="1:7">
      <c r="A905" s="53">
        <f t="shared" si="179"/>
        <v>46376</v>
      </c>
      <c r="B905" s="41">
        <f t="shared" si="180"/>
        <v>46376</v>
      </c>
      <c r="C905" s="42" t="str">
        <f t="shared" si="178"/>
        <v>第3  日曜日</v>
      </c>
      <c r="D905" s="4" t="str">
        <f>_xlfn.XLOOKUP(B905,syukujitsu[国民の祝日・休日月日],syukujitsu[国民の祝日・休日名称],"",0,1)</f>
        <v/>
      </c>
    </row>
    <row r="906" spans="1:7">
      <c r="A906" s="53">
        <f t="shared" si="179"/>
        <v>46377</v>
      </c>
      <c r="B906" s="41">
        <f t="shared" si="180"/>
        <v>46377</v>
      </c>
      <c r="C906" s="42" t="str">
        <f t="shared" si="178"/>
        <v>第3  月曜日</v>
      </c>
      <c r="D906" s="4" t="str">
        <f>_xlfn.XLOOKUP(B906,syukujitsu[国民の祝日・休日月日],syukujitsu[国民の祝日・休日名称],"",0,1)</f>
        <v/>
      </c>
      <c r="G906" s="43" t="s">
        <v>889</v>
      </c>
    </row>
    <row r="907" spans="1:7">
      <c r="A907" s="53">
        <f t="shared" si="179"/>
        <v>46378</v>
      </c>
      <c r="B907" s="41">
        <f t="shared" si="180"/>
        <v>46378</v>
      </c>
      <c r="C907" s="42" t="str">
        <f t="shared" si="178"/>
        <v>第4  火曜日</v>
      </c>
      <c r="D907" s="4" t="str">
        <f>_xlfn.XLOOKUP(B907,syukujitsu[国民の祝日・休日月日],syukujitsu[国民の祝日・休日名称],"",0,1)</f>
        <v/>
      </c>
    </row>
    <row r="908" spans="1:7">
      <c r="A908" s="53">
        <f t="shared" si="179"/>
        <v>46379</v>
      </c>
      <c r="B908" s="41">
        <f t="shared" si="180"/>
        <v>46379</v>
      </c>
      <c r="C908" s="42" t="str">
        <f t="shared" ref="C908:C971" si="181">"第"&amp;ROUNDUP(DAY(B908)/7,0)  &amp;"  "&amp;TEXT(B908,"aaaa")</f>
        <v>第4  水曜日</v>
      </c>
      <c r="D908" s="4" t="str">
        <f>_xlfn.XLOOKUP(B908,syukujitsu[国民の祝日・休日月日],syukujitsu[国民の祝日・休日名称],"",0,1)</f>
        <v/>
      </c>
      <c r="G908" s="43" t="s">
        <v>889</v>
      </c>
    </row>
    <row r="909" spans="1:7">
      <c r="A909" s="53">
        <f t="shared" si="179"/>
        <v>46380</v>
      </c>
      <c r="B909" s="41">
        <f t="shared" si="180"/>
        <v>46380</v>
      </c>
      <c r="C909" s="42" t="str">
        <f t="shared" si="181"/>
        <v>第4  木曜日</v>
      </c>
      <c r="D909" s="4" t="str">
        <f>_xlfn.XLOOKUP(B909,syukujitsu[国民の祝日・休日月日],syukujitsu[国民の祝日・休日名称],"",0,1)</f>
        <v/>
      </c>
    </row>
    <row r="910" spans="1:7">
      <c r="A910" s="53">
        <f t="shared" si="179"/>
        <v>46381</v>
      </c>
      <c r="B910" s="41">
        <f t="shared" si="180"/>
        <v>46381</v>
      </c>
      <c r="C910" s="42" t="str">
        <f t="shared" si="181"/>
        <v>第4  金曜日</v>
      </c>
      <c r="D910" s="4" t="str">
        <f>_xlfn.XLOOKUP(B910,syukujitsu[国民の祝日・休日月日],syukujitsu[国民の祝日・休日名称],"",0,1)</f>
        <v/>
      </c>
      <c r="F910" s="43" t="s">
        <v>955</v>
      </c>
      <c r="G910" s="43" t="s">
        <v>889</v>
      </c>
    </row>
    <row r="911" spans="1:7">
      <c r="A911" s="53">
        <f t="shared" si="179"/>
        <v>46382</v>
      </c>
      <c r="B911" s="41">
        <f t="shared" si="180"/>
        <v>46382</v>
      </c>
      <c r="C911" s="42" t="str">
        <f t="shared" si="181"/>
        <v>第4  土曜日</v>
      </c>
      <c r="D911" s="4" t="str">
        <f>_xlfn.XLOOKUP(B911,syukujitsu[国民の祝日・休日月日],syukujitsu[国民の祝日・休日名称],"",0,1)</f>
        <v/>
      </c>
    </row>
    <row r="912" spans="1:7">
      <c r="A912" s="53">
        <f t="shared" si="179"/>
        <v>46383</v>
      </c>
      <c r="B912" s="41">
        <f t="shared" si="180"/>
        <v>46383</v>
      </c>
      <c r="C912" s="42" t="str">
        <f t="shared" si="181"/>
        <v>第4  日曜日</v>
      </c>
      <c r="D912" s="4" t="str">
        <f>_xlfn.XLOOKUP(B912,syukujitsu[国民の祝日・休日月日],syukujitsu[国民の祝日・休日名称],"",0,1)</f>
        <v/>
      </c>
    </row>
    <row r="913" spans="1:7">
      <c r="A913" s="53">
        <f t="shared" si="179"/>
        <v>46384</v>
      </c>
      <c r="B913" s="41">
        <f t="shared" si="180"/>
        <v>46384</v>
      </c>
      <c r="C913" s="42" t="str">
        <f t="shared" si="181"/>
        <v>第4  月曜日</v>
      </c>
      <c r="D913" s="4" t="str">
        <f>_xlfn.XLOOKUP(B913,syukujitsu[国民の祝日・休日月日],syukujitsu[国民の祝日・休日名称],"",0,1)</f>
        <v/>
      </c>
      <c r="G913" s="43" t="s">
        <v>889</v>
      </c>
    </row>
    <row r="914" spans="1:7">
      <c r="A914" s="53">
        <f t="shared" si="179"/>
        <v>46385</v>
      </c>
      <c r="B914" s="41">
        <f t="shared" si="180"/>
        <v>46385</v>
      </c>
      <c r="C914" s="42" t="str">
        <f t="shared" si="181"/>
        <v>第5  火曜日</v>
      </c>
      <c r="D914" s="4" t="str">
        <f>_xlfn.XLOOKUP(B914,syukujitsu[国民の祝日・休日月日],syukujitsu[国民の祝日・休日名称],"",0,1)</f>
        <v/>
      </c>
    </row>
    <row r="915" spans="1:7">
      <c r="A915" s="53">
        <f t="shared" si="179"/>
        <v>46386</v>
      </c>
      <c r="B915" s="41">
        <f t="shared" si="180"/>
        <v>46386</v>
      </c>
      <c r="C915" s="42" t="str">
        <f t="shared" si="181"/>
        <v>第5  水曜日</v>
      </c>
      <c r="D915" s="4" t="str">
        <f>_xlfn.XLOOKUP(B915,syukujitsu[国民の祝日・休日月日],syukujitsu[国民の祝日・休日名称],"",0,1)</f>
        <v/>
      </c>
      <c r="G915" s="43" t="s">
        <v>889</v>
      </c>
    </row>
    <row r="916" spans="1:7">
      <c r="A916" s="53">
        <f t="shared" si="179"/>
        <v>46387</v>
      </c>
      <c r="B916" s="41">
        <f t="shared" si="180"/>
        <v>46387</v>
      </c>
      <c r="C916" s="42" t="str">
        <f t="shared" si="181"/>
        <v>第5  木曜日</v>
      </c>
      <c r="D916" s="4" t="str">
        <f>_xlfn.XLOOKUP(B916,syukujitsu[国民の祝日・休日月日],syukujitsu[国民の祝日・休日名称],"",0,1)</f>
        <v/>
      </c>
    </row>
    <row r="917" spans="1:7">
      <c r="A917" s="53">
        <f t="shared" si="179"/>
        <v>46388</v>
      </c>
      <c r="B917" s="41">
        <f t="shared" si="180"/>
        <v>46388</v>
      </c>
      <c r="C917" s="42" t="str">
        <f t="shared" si="181"/>
        <v>第1  金曜日</v>
      </c>
      <c r="D917" s="4" t="str">
        <f>_xlfn.XLOOKUP(B917,syukujitsu[国民の祝日・休日月日],syukujitsu[国民の祝日・休日名称],"",0,1)</f>
        <v>元日</v>
      </c>
      <c r="F917" s="43" t="s">
        <v>955</v>
      </c>
      <c r="G917" s="43" t="s">
        <v>889</v>
      </c>
    </row>
    <row r="918" spans="1:7">
      <c r="A918" s="53">
        <f t="shared" si="179"/>
        <v>46389</v>
      </c>
      <c r="B918" s="41">
        <f t="shared" si="180"/>
        <v>46389</v>
      </c>
      <c r="C918" s="42" t="str">
        <f t="shared" si="181"/>
        <v>第1  土曜日</v>
      </c>
      <c r="D918" s="4" t="str">
        <f>_xlfn.XLOOKUP(B918,syukujitsu[国民の祝日・休日月日],syukujitsu[国民の祝日・休日名称],"",0,1)</f>
        <v/>
      </c>
    </row>
    <row r="919" spans="1:7">
      <c r="A919" s="53">
        <f t="shared" si="179"/>
        <v>46390</v>
      </c>
      <c r="B919" s="41">
        <f t="shared" si="180"/>
        <v>46390</v>
      </c>
      <c r="C919" s="42" t="str">
        <f t="shared" si="181"/>
        <v>第1  日曜日</v>
      </c>
      <c r="D919" s="4" t="str">
        <f>_xlfn.XLOOKUP(B919,syukujitsu[国民の祝日・休日月日],syukujitsu[国民の祝日・休日名称],"",0,1)</f>
        <v/>
      </c>
    </row>
    <row r="920" spans="1:7">
      <c r="A920" s="53">
        <f t="shared" si="179"/>
        <v>46391</v>
      </c>
      <c r="B920" s="41">
        <f t="shared" si="180"/>
        <v>46391</v>
      </c>
      <c r="C920" s="42" t="str">
        <f t="shared" si="181"/>
        <v>第1  月曜日</v>
      </c>
      <c r="D920" s="4" t="str">
        <f>_xlfn.XLOOKUP(B920,syukujitsu[国民の祝日・休日月日],syukujitsu[国民の祝日・休日名称],"",0,1)</f>
        <v/>
      </c>
    </row>
    <row r="921" spans="1:7">
      <c r="A921" s="53">
        <f t="shared" si="179"/>
        <v>46392</v>
      </c>
      <c r="B921" s="41">
        <f t="shared" si="180"/>
        <v>46392</v>
      </c>
      <c r="C921" s="42" t="str">
        <f t="shared" si="181"/>
        <v>第1  火曜日</v>
      </c>
      <c r="D921" s="4" t="str">
        <f>_xlfn.XLOOKUP(B921,syukujitsu[国民の祝日・休日月日],syukujitsu[国民の祝日・休日名称],"",0,1)</f>
        <v/>
      </c>
    </row>
    <row r="922" spans="1:7">
      <c r="A922" s="53">
        <f t="shared" si="179"/>
        <v>46393</v>
      </c>
      <c r="B922" s="41">
        <f t="shared" si="180"/>
        <v>46393</v>
      </c>
      <c r="C922" s="42" t="str">
        <f t="shared" si="181"/>
        <v>第1  水曜日</v>
      </c>
      <c r="D922" s="4" t="str">
        <f>_xlfn.XLOOKUP(B922,syukujitsu[国民の祝日・休日月日],syukujitsu[国民の祝日・休日名称],"",0,1)</f>
        <v/>
      </c>
    </row>
    <row r="923" spans="1:7">
      <c r="A923" s="53">
        <f t="shared" si="179"/>
        <v>46394</v>
      </c>
      <c r="B923" s="41">
        <f t="shared" si="180"/>
        <v>46394</v>
      </c>
      <c r="C923" s="42" t="str">
        <f t="shared" si="181"/>
        <v>第1  木曜日</v>
      </c>
      <c r="D923" s="4" t="str">
        <f>_xlfn.XLOOKUP(B923,syukujitsu[国民の祝日・休日月日],syukujitsu[国民の祝日・休日名称],"",0,1)</f>
        <v/>
      </c>
    </row>
    <row r="924" spans="1:7">
      <c r="A924" s="53">
        <f t="shared" si="179"/>
        <v>46395</v>
      </c>
      <c r="B924" s="41">
        <f t="shared" si="180"/>
        <v>46395</v>
      </c>
      <c r="C924" s="42" t="str">
        <f t="shared" si="181"/>
        <v>第2  金曜日</v>
      </c>
      <c r="D924" s="4" t="str">
        <f>_xlfn.XLOOKUP(B924,syukujitsu[国民の祝日・休日月日],syukujitsu[国民の祝日・休日名称],"",0,1)</f>
        <v/>
      </c>
      <c r="F924" s="43" t="s">
        <v>955</v>
      </c>
    </row>
    <row r="925" spans="1:7">
      <c r="A925" s="53">
        <f t="shared" si="179"/>
        <v>46396</v>
      </c>
      <c r="B925" s="41">
        <f t="shared" si="180"/>
        <v>46396</v>
      </c>
      <c r="C925" s="42" t="str">
        <f t="shared" si="181"/>
        <v>第2  土曜日</v>
      </c>
      <c r="D925" s="4" t="str">
        <f>_xlfn.XLOOKUP(B925,syukujitsu[国民の祝日・休日月日],syukujitsu[国民の祝日・休日名称],"",0,1)</f>
        <v/>
      </c>
    </row>
    <row r="926" spans="1:7">
      <c r="A926" s="53">
        <f t="shared" si="179"/>
        <v>46397</v>
      </c>
      <c r="B926" s="41">
        <f t="shared" si="180"/>
        <v>46397</v>
      </c>
      <c r="C926" s="42" t="str">
        <f t="shared" si="181"/>
        <v>第2  日曜日</v>
      </c>
      <c r="D926" s="4" t="str">
        <f>_xlfn.XLOOKUP(B926,syukujitsu[国民の祝日・休日月日],syukujitsu[国民の祝日・休日名称],"",0,1)</f>
        <v/>
      </c>
    </row>
    <row r="927" spans="1:7">
      <c r="A927" s="53">
        <f t="shared" si="179"/>
        <v>46398</v>
      </c>
      <c r="B927" s="41">
        <f t="shared" si="180"/>
        <v>46398</v>
      </c>
      <c r="C927" s="42" t="str">
        <f t="shared" si="181"/>
        <v>第2  月曜日</v>
      </c>
      <c r="D927" s="4" t="str">
        <f>_xlfn.XLOOKUP(B927,syukujitsu[国民の祝日・休日月日],syukujitsu[国民の祝日・休日名称],"",0,1)</f>
        <v>成人の日</v>
      </c>
    </row>
    <row r="928" spans="1:7">
      <c r="A928" s="53">
        <f t="shared" ref="A928:A991" si="182">B928</f>
        <v>46399</v>
      </c>
      <c r="B928" s="41">
        <f t="shared" si="180"/>
        <v>46399</v>
      </c>
      <c r="C928" s="42" t="str">
        <f t="shared" si="181"/>
        <v>第2  火曜日</v>
      </c>
      <c r="D928" s="4" t="str">
        <f>_xlfn.XLOOKUP(B928,syukujitsu[国民の祝日・休日月日],syukujitsu[国民の祝日・休日名称],"",0,1)</f>
        <v/>
      </c>
    </row>
    <row r="929" spans="1:6">
      <c r="A929" s="53">
        <f t="shared" si="182"/>
        <v>46400</v>
      </c>
      <c r="B929" s="41">
        <f t="shared" si="180"/>
        <v>46400</v>
      </c>
      <c r="C929" s="42" t="str">
        <f t="shared" si="181"/>
        <v>第2  水曜日</v>
      </c>
      <c r="D929" s="4" t="str">
        <f>_xlfn.XLOOKUP(B929,syukujitsu[国民の祝日・休日月日],syukujitsu[国民の祝日・休日名称],"",0,1)</f>
        <v/>
      </c>
    </row>
    <row r="930" spans="1:6">
      <c r="A930" s="53">
        <f t="shared" si="182"/>
        <v>46401</v>
      </c>
      <c r="B930" s="41">
        <f t="shared" si="180"/>
        <v>46401</v>
      </c>
      <c r="C930" s="42" t="str">
        <f t="shared" si="181"/>
        <v>第2  木曜日</v>
      </c>
      <c r="D930" s="4" t="str">
        <f>_xlfn.XLOOKUP(B930,syukujitsu[国民の祝日・休日月日],syukujitsu[国民の祝日・休日名称],"",0,1)</f>
        <v/>
      </c>
    </row>
    <row r="931" spans="1:6">
      <c r="A931" s="53">
        <f t="shared" si="182"/>
        <v>46402</v>
      </c>
      <c r="B931" s="41">
        <f t="shared" si="180"/>
        <v>46402</v>
      </c>
      <c r="C931" s="42" t="str">
        <f t="shared" si="181"/>
        <v>第3  金曜日</v>
      </c>
      <c r="D931" s="4" t="str">
        <f>_xlfn.XLOOKUP(B931,syukujitsu[国民の祝日・休日月日],syukujitsu[国民の祝日・休日名称],"",0,1)</f>
        <v/>
      </c>
      <c r="F931" s="43" t="s">
        <v>955</v>
      </c>
    </row>
    <row r="932" spans="1:6">
      <c r="A932" s="53">
        <f t="shared" si="182"/>
        <v>46403</v>
      </c>
      <c r="B932" s="41">
        <f t="shared" si="180"/>
        <v>46403</v>
      </c>
      <c r="C932" s="42" t="str">
        <f t="shared" si="181"/>
        <v>第3  土曜日</v>
      </c>
      <c r="D932" s="4" t="str">
        <f>_xlfn.XLOOKUP(B932,syukujitsu[国民の祝日・休日月日],syukujitsu[国民の祝日・休日名称],"",0,1)</f>
        <v/>
      </c>
    </row>
    <row r="933" spans="1:6">
      <c r="A933" s="53">
        <f t="shared" si="182"/>
        <v>46404</v>
      </c>
      <c r="B933" s="41">
        <f t="shared" si="180"/>
        <v>46404</v>
      </c>
      <c r="C933" s="42" t="str">
        <f t="shared" si="181"/>
        <v>第3  日曜日</v>
      </c>
      <c r="D933" s="4" t="str">
        <f>_xlfn.XLOOKUP(B933,syukujitsu[国民の祝日・休日月日],syukujitsu[国民の祝日・休日名称],"",0,1)</f>
        <v/>
      </c>
    </row>
    <row r="934" spans="1:6">
      <c r="A934" s="53">
        <f t="shared" si="182"/>
        <v>46405</v>
      </c>
      <c r="B934" s="41">
        <f t="shared" si="180"/>
        <v>46405</v>
      </c>
      <c r="C934" s="42" t="str">
        <f t="shared" si="181"/>
        <v>第3  月曜日</v>
      </c>
      <c r="D934" s="4" t="str">
        <f>_xlfn.XLOOKUP(B934,syukujitsu[国民の祝日・休日月日],syukujitsu[国民の祝日・休日名称],"",0,1)</f>
        <v/>
      </c>
    </row>
    <row r="935" spans="1:6">
      <c r="A935" s="53">
        <f t="shared" si="182"/>
        <v>46406</v>
      </c>
      <c r="B935" s="41">
        <f t="shared" si="180"/>
        <v>46406</v>
      </c>
      <c r="C935" s="42" t="str">
        <f t="shared" si="181"/>
        <v>第3  火曜日</v>
      </c>
      <c r="D935" s="4" t="str">
        <f>_xlfn.XLOOKUP(B935,syukujitsu[国民の祝日・休日月日],syukujitsu[国民の祝日・休日名称],"",0,1)</f>
        <v/>
      </c>
    </row>
    <row r="936" spans="1:6">
      <c r="A936" s="53">
        <f t="shared" si="182"/>
        <v>46407</v>
      </c>
      <c r="B936" s="41">
        <f t="shared" si="180"/>
        <v>46407</v>
      </c>
      <c r="C936" s="42" t="str">
        <f t="shared" si="181"/>
        <v>第3  水曜日</v>
      </c>
      <c r="D936" s="4" t="str">
        <f>_xlfn.XLOOKUP(B936,syukujitsu[国民の祝日・休日月日],syukujitsu[国民の祝日・休日名称],"",0,1)</f>
        <v/>
      </c>
    </row>
    <row r="937" spans="1:6">
      <c r="A937" s="53">
        <f t="shared" si="182"/>
        <v>46408</v>
      </c>
      <c r="B937" s="41">
        <f t="shared" si="180"/>
        <v>46408</v>
      </c>
      <c r="C937" s="42" t="str">
        <f t="shared" si="181"/>
        <v>第3  木曜日</v>
      </c>
      <c r="D937" s="4" t="str">
        <f>_xlfn.XLOOKUP(B937,syukujitsu[国民の祝日・休日月日],syukujitsu[国民の祝日・休日名称],"",0,1)</f>
        <v/>
      </c>
    </row>
    <row r="938" spans="1:6">
      <c r="A938" s="53">
        <f t="shared" si="182"/>
        <v>46409</v>
      </c>
      <c r="B938" s="41">
        <f t="shared" si="180"/>
        <v>46409</v>
      </c>
      <c r="C938" s="42" t="str">
        <f t="shared" si="181"/>
        <v>第4  金曜日</v>
      </c>
      <c r="D938" s="4" t="str">
        <f>_xlfn.XLOOKUP(B938,syukujitsu[国民の祝日・休日月日],syukujitsu[国民の祝日・休日名称],"",0,1)</f>
        <v/>
      </c>
      <c r="F938" s="43" t="s">
        <v>955</v>
      </c>
    </row>
    <row r="939" spans="1:6">
      <c r="A939" s="53">
        <f t="shared" si="182"/>
        <v>46410</v>
      </c>
      <c r="B939" s="41">
        <f t="shared" si="180"/>
        <v>46410</v>
      </c>
      <c r="C939" s="42" t="str">
        <f t="shared" si="181"/>
        <v>第4  土曜日</v>
      </c>
      <c r="D939" s="4" t="str">
        <f>_xlfn.XLOOKUP(B939,syukujitsu[国民の祝日・休日月日],syukujitsu[国民の祝日・休日名称],"",0,1)</f>
        <v/>
      </c>
    </row>
    <row r="940" spans="1:6">
      <c r="A940" s="53">
        <f t="shared" si="182"/>
        <v>46411</v>
      </c>
      <c r="B940" s="41">
        <f t="shared" si="180"/>
        <v>46411</v>
      </c>
      <c r="C940" s="42" t="str">
        <f t="shared" si="181"/>
        <v>第4  日曜日</v>
      </c>
      <c r="D940" s="4" t="str">
        <f>_xlfn.XLOOKUP(B940,syukujitsu[国民の祝日・休日月日],syukujitsu[国民の祝日・休日名称],"",0,1)</f>
        <v/>
      </c>
    </row>
    <row r="941" spans="1:6">
      <c r="A941" s="53">
        <f t="shared" si="182"/>
        <v>46412</v>
      </c>
      <c r="B941" s="41">
        <f t="shared" si="180"/>
        <v>46412</v>
      </c>
      <c r="C941" s="42" t="str">
        <f t="shared" si="181"/>
        <v>第4  月曜日</v>
      </c>
      <c r="D941" s="4" t="str">
        <f>_xlfn.XLOOKUP(B941,syukujitsu[国民の祝日・休日月日],syukujitsu[国民の祝日・休日名称],"",0,1)</f>
        <v/>
      </c>
    </row>
    <row r="942" spans="1:6">
      <c r="A942" s="53">
        <f t="shared" si="182"/>
        <v>46413</v>
      </c>
      <c r="B942" s="41">
        <f t="shared" si="180"/>
        <v>46413</v>
      </c>
      <c r="C942" s="42" t="str">
        <f t="shared" si="181"/>
        <v>第4  火曜日</v>
      </c>
      <c r="D942" s="4" t="str">
        <f>_xlfn.XLOOKUP(B942,syukujitsu[国民の祝日・休日月日],syukujitsu[国民の祝日・休日名称],"",0,1)</f>
        <v/>
      </c>
    </row>
    <row r="943" spans="1:6">
      <c r="A943" s="53">
        <f t="shared" si="182"/>
        <v>46414</v>
      </c>
      <c r="B943" s="41">
        <f t="shared" si="180"/>
        <v>46414</v>
      </c>
      <c r="C943" s="42" t="str">
        <f t="shared" si="181"/>
        <v>第4  水曜日</v>
      </c>
      <c r="D943" s="4" t="str">
        <f>_xlfn.XLOOKUP(B943,syukujitsu[国民の祝日・休日月日],syukujitsu[国民の祝日・休日名称],"",0,1)</f>
        <v/>
      </c>
    </row>
    <row r="944" spans="1:6">
      <c r="A944" s="53">
        <f t="shared" si="182"/>
        <v>46415</v>
      </c>
      <c r="B944" s="41">
        <f t="shared" si="180"/>
        <v>46415</v>
      </c>
      <c r="C944" s="42" t="str">
        <f t="shared" si="181"/>
        <v>第4  木曜日</v>
      </c>
      <c r="D944" s="4" t="str">
        <f>_xlfn.XLOOKUP(B944,syukujitsu[国民の祝日・休日月日],syukujitsu[国民の祝日・休日名称],"",0,1)</f>
        <v/>
      </c>
    </row>
    <row r="945" spans="1:6">
      <c r="A945" s="53">
        <f t="shared" si="182"/>
        <v>46416</v>
      </c>
      <c r="B945" s="41">
        <f t="shared" si="180"/>
        <v>46416</v>
      </c>
      <c r="C945" s="42" t="str">
        <f t="shared" si="181"/>
        <v>第5  金曜日</v>
      </c>
      <c r="D945" s="4" t="str">
        <f>_xlfn.XLOOKUP(B945,syukujitsu[国民の祝日・休日月日],syukujitsu[国民の祝日・休日名称],"",0,1)</f>
        <v/>
      </c>
      <c r="F945" s="43" t="s">
        <v>955</v>
      </c>
    </row>
    <row r="946" spans="1:6">
      <c r="A946" s="53">
        <f t="shared" si="182"/>
        <v>46417</v>
      </c>
      <c r="B946" s="41">
        <f t="shared" si="180"/>
        <v>46417</v>
      </c>
      <c r="C946" s="42" t="str">
        <f t="shared" si="181"/>
        <v>第5  土曜日</v>
      </c>
      <c r="D946" s="4" t="str">
        <f>_xlfn.XLOOKUP(B946,syukujitsu[国民の祝日・休日月日],syukujitsu[国民の祝日・休日名称],"",0,1)</f>
        <v/>
      </c>
    </row>
    <row r="947" spans="1:6">
      <c r="A947" s="53">
        <f t="shared" si="182"/>
        <v>46418</v>
      </c>
      <c r="B947" s="41">
        <f t="shared" si="180"/>
        <v>46418</v>
      </c>
      <c r="C947" s="42" t="str">
        <f t="shared" si="181"/>
        <v>第5  日曜日</v>
      </c>
      <c r="D947" s="4" t="str">
        <f>_xlfn.XLOOKUP(B947,syukujitsu[国民の祝日・休日月日],syukujitsu[国民の祝日・休日名称],"",0,1)</f>
        <v/>
      </c>
    </row>
    <row r="948" spans="1:6">
      <c r="A948" s="53">
        <f t="shared" si="182"/>
        <v>46419</v>
      </c>
      <c r="B948" s="41">
        <f t="shared" si="180"/>
        <v>46419</v>
      </c>
      <c r="C948" s="42" t="str">
        <f t="shared" si="181"/>
        <v>第1  月曜日</v>
      </c>
      <c r="D948" s="4" t="str">
        <f>_xlfn.XLOOKUP(B948,syukujitsu[国民の祝日・休日月日],syukujitsu[国民の祝日・休日名称],"",0,1)</f>
        <v/>
      </c>
    </row>
    <row r="949" spans="1:6">
      <c r="A949" s="53">
        <f t="shared" si="182"/>
        <v>46420</v>
      </c>
      <c r="B949" s="41">
        <f t="shared" si="180"/>
        <v>46420</v>
      </c>
      <c r="C949" s="42" t="str">
        <f t="shared" si="181"/>
        <v>第1  火曜日</v>
      </c>
      <c r="D949" s="4" t="str">
        <f>_xlfn.XLOOKUP(B949,syukujitsu[国民の祝日・休日月日],syukujitsu[国民の祝日・休日名称],"",0,1)</f>
        <v/>
      </c>
    </row>
    <row r="950" spans="1:6">
      <c r="A950" s="53">
        <f t="shared" si="182"/>
        <v>46421</v>
      </c>
      <c r="B950" s="41">
        <f t="shared" si="180"/>
        <v>46421</v>
      </c>
      <c r="C950" s="42" t="str">
        <f t="shared" si="181"/>
        <v>第1  水曜日</v>
      </c>
      <c r="D950" s="4" t="str">
        <f>_xlfn.XLOOKUP(B950,syukujitsu[国民の祝日・休日月日],syukujitsu[国民の祝日・休日名称],"",0,1)</f>
        <v/>
      </c>
    </row>
    <row r="951" spans="1:6">
      <c r="A951" s="53">
        <f t="shared" si="182"/>
        <v>46422</v>
      </c>
      <c r="B951" s="41">
        <f t="shared" ref="B951:B1014" si="183">B950+1</f>
        <v>46422</v>
      </c>
      <c r="C951" s="42" t="str">
        <f t="shared" si="181"/>
        <v>第1  木曜日</v>
      </c>
      <c r="D951" s="4" t="str">
        <f>_xlfn.XLOOKUP(B951,syukujitsu[国民の祝日・休日月日],syukujitsu[国民の祝日・休日名称],"",0,1)</f>
        <v/>
      </c>
    </row>
    <row r="952" spans="1:6">
      <c r="A952" s="53">
        <f t="shared" si="182"/>
        <v>46423</v>
      </c>
      <c r="B952" s="41">
        <f t="shared" si="183"/>
        <v>46423</v>
      </c>
      <c r="C952" s="42" t="str">
        <f t="shared" si="181"/>
        <v>第1  金曜日</v>
      </c>
      <c r="D952" s="4" t="str">
        <f>_xlfn.XLOOKUP(B952,syukujitsu[国民の祝日・休日月日],syukujitsu[国民の祝日・休日名称],"",0,1)</f>
        <v/>
      </c>
      <c r="F952" s="43" t="s">
        <v>955</v>
      </c>
    </row>
    <row r="953" spans="1:6">
      <c r="A953" s="53">
        <f t="shared" si="182"/>
        <v>46424</v>
      </c>
      <c r="B953" s="41">
        <f t="shared" si="183"/>
        <v>46424</v>
      </c>
      <c r="C953" s="42" t="str">
        <f t="shared" si="181"/>
        <v>第1  土曜日</v>
      </c>
      <c r="D953" s="4" t="str">
        <f>_xlfn.XLOOKUP(B953,syukujitsu[国民の祝日・休日月日],syukujitsu[国民の祝日・休日名称],"",0,1)</f>
        <v/>
      </c>
    </row>
    <row r="954" spans="1:6">
      <c r="A954" s="53">
        <f t="shared" si="182"/>
        <v>46425</v>
      </c>
      <c r="B954" s="41">
        <f t="shared" si="183"/>
        <v>46425</v>
      </c>
      <c r="C954" s="42" t="str">
        <f t="shared" si="181"/>
        <v>第1  日曜日</v>
      </c>
      <c r="D954" s="4" t="str">
        <f>_xlfn.XLOOKUP(B954,syukujitsu[国民の祝日・休日月日],syukujitsu[国民の祝日・休日名称],"",0,1)</f>
        <v/>
      </c>
    </row>
    <row r="955" spans="1:6">
      <c r="A955" s="53">
        <f t="shared" si="182"/>
        <v>46426</v>
      </c>
      <c r="B955" s="41">
        <f t="shared" si="183"/>
        <v>46426</v>
      </c>
      <c r="C955" s="42" t="str">
        <f t="shared" si="181"/>
        <v>第2  月曜日</v>
      </c>
      <c r="D955" s="4" t="str">
        <f>_xlfn.XLOOKUP(B955,syukujitsu[国民の祝日・休日月日],syukujitsu[国民の祝日・休日名称],"",0,1)</f>
        <v/>
      </c>
    </row>
    <row r="956" spans="1:6">
      <c r="A956" s="53">
        <f t="shared" si="182"/>
        <v>46427</v>
      </c>
      <c r="B956" s="41">
        <f t="shared" si="183"/>
        <v>46427</v>
      </c>
      <c r="C956" s="42" t="str">
        <f t="shared" si="181"/>
        <v>第2  火曜日</v>
      </c>
      <c r="D956" s="4" t="str">
        <f>_xlfn.XLOOKUP(B956,syukujitsu[国民の祝日・休日月日],syukujitsu[国民の祝日・休日名称],"",0,1)</f>
        <v/>
      </c>
    </row>
    <row r="957" spans="1:6">
      <c r="A957" s="53">
        <f t="shared" si="182"/>
        <v>46428</v>
      </c>
      <c r="B957" s="41">
        <f t="shared" si="183"/>
        <v>46428</v>
      </c>
      <c r="C957" s="42" t="str">
        <f t="shared" si="181"/>
        <v>第2  水曜日</v>
      </c>
      <c r="D957" s="4" t="str">
        <f>_xlfn.XLOOKUP(B957,syukujitsu[国民の祝日・休日月日],syukujitsu[国民の祝日・休日名称],"",0,1)</f>
        <v/>
      </c>
    </row>
    <row r="958" spans="1:6">
      <c r="A958" s="53">
        <f t="shared" si="182"/>
        <v>46429</v>
      </c>
      <c r="B958" s="41">
        <f t="shared" si="183"/>
        <v>46429</v>
      </c>
      <c r="C958" s="42" t="str">
        <f t="shared" si="181"/>
        <v>第2  木曜日</v>
      </c>
      <c r="D958" s="4" t="str">
        <f>_xlfn.XLOOKUP(B958,syukujitsu[国民の祝日・休日月日],syukujitsu[国民の祝日・休日名称],"",0,1)</f>
        <v>建国記念の日</v>
      </c>
    </row>
    <row r="959" spans="1:6">
      <c r="A959" s="53">
        <f t="shared" si="182"/>
        <v>46430</v>
      </c>
      <c r="B959" s="41">
        <f t="shared" si="183"/>
        <v>46430</v>
      </c>
      <c r="C959" s="42" t="str">
        <f t="shared" si="181"/>
        <v>第2  金曜日</v>
      </c>
      <c r="D959" s="4" t="str">
        <f>_xlfn.XLOOKUP(B959,syukujitsu[国民の祝日・休日月日],syukujitsu[国民の祝日・休日名称],"",0,1)</f>
        <v/>
      </c>
      <c r="F959" s="43" t="s">
        <v>955</v>
      </c>
    </row>
    <row r="960" spans="1:6">
      <c r="A960" s="53">
        <f t="shared" si="182"/>
        <v>46431</v>
      </c>
      <c r="B960" s="41">
        <f t="shared" si="183"/>
        <v>46431</v>
      </c>
      <c r="C960" s="42" t="str">
        <f t="shared" si="181"/>
        <v>第2  土曜日</v>
      </c>
      <c r="D960" s="4" t="str">
        <f>_xlfn.XLOOKUP(B960,syukujitsu[国民の祝日・休日月日],syukujitsu[国民の祝日・休日名称],"",0,1)</f>
        <v/>
      </c>
    </row>
    <row r="961" spans="1:6">
      <c r="A961" s="53">
        <f t="shared" si="182"/>
        <v>46432</v>
      </c>
      <c r="B961" s="41">
        <f t="shared" si="183"/>
        <v>46432</v>
      </c>
      <c r="C961" s="42" t="str">
        <f t="shared" si="181"/>
        <v>第2  日曜日</v>
      </c>
      <c r="D961" s="4" t="str">
        <f>_xlfn.XLOOKUP(B961,syukujitsu[国民の祝日・休日月日],syukujitsu[国民の祝日・休日名称],"",0,1)</f>
        <v/>
      </c>
    </row>
    <row r="962" spans="1:6">
      <c r="A962" s="53">
        <f t="shared" si="182"/>
        <v>46433</v>
      </c>
      <c r="B962" s="41">
        <f t="shared" si="183"/>
        <v>46433</v>
      </c>
      <c r="C962" s="42" t="str">
        <f t="shared" si="181"/>
        <v>第3  月曜日</v>
      </c>
      <c r="D962" s="4" t="str">
        <f>_xlfn.XLOOKUP(B962,syukujitsu[国民の祝日・休日月日],syukujitsu[国民の祝日・休日名称],"",0,1)</f>
        <v/>
      </c>
    </row>
    <row r="963" spans="1:6">
      <c r="A963" s="53">
        <f t="shared" si="182"/>
        <v>46434</v>
      </c>
      <c r="B963" s="41">
        <f t="shared" si="183"/>
        <v>46434</v>
      </c>
      <c r="C963" s="42" t="str">
        <f t="shared" si="181"/>
        <v>第3  火曜日</v>
      </c>
      <c r="D963" s="4" t="str">
        <f>_xlfn.XLOOKUP(B963,syukujitsu[国民の祝日・休日月日],syukujitsu[国民の祝日・休日名称],"",0,1)</f>
        <v/>
      </c>
    </row>
    <row r="964" spans="1:6">
      <c r="A964" s="53">
        <f t="shared" si="182"/>
        <v>46435</v>
      </c>
      <c r="B964" s="41">
        <f t="shared" si="183"/>
        <v>46435</v>
      </c>
      <c r="C964" s="42" t="str">
        <f t="shared" si="181"/>
        <v>第3  水曜日</v>
      </c>
      <c r="D964" s="4" t="str">
        <f>_xlfn.XLOOKUP(B964,syukujitsu[国民の祝日・休日月日],syukujitsu[国民の祝日・休日名称],"",0,1)</f>
        <v/>
      </c>
    </row>
    <row r="965" spans="1:6">
      <c r="A965" s="53">
        <f t="shared" si="182"/>
        <v>46436</v>
      </c>
      <c r="B965" s="41">
        <f t="shared" si="183"/>
        <v>46436</v>
      </c>
      <c r="C965" s="42" t="str">
        <f t="shared" si="181"/>
        <v>第3  木曜日</v>
      </c>
      <c r="D965" s="4" t="str">
        <f>_xlfn.XLOOKUP(B965,syukujitsu[国民の祝日・休日月日],syukujitsu[国民の祝日・休日名称],"",0,1)</f>
        <v/>
      </c>
    </row>
    <row r="966" spans="1:6">
      <c r="A966" s="53">
        <f t="shared" si="182"/>
        <v>46437</v>
      </c>
      <c r="B966" s="41">
        <f t="shared" si="183"/>
        <v>46437</v>
      </c>
      <c r="C966" s="42" t="str">
        <f t="shared" si="181"/>
        <v>第3  金曜日</v>
      </c>
      <c r="D966" s="4" t="str">
        <f>_xlfn.XLOOKUP(B966,syukujitsu[国民の祝日・休日月日],syukujitsu[国民の祝日・休日名称],"",0,1)</f>
        <v/>
      </c>
      <c r="F966" s="43" t="s">
        <v>955</v>
      </c>
    </row>
    <row r="967" spans="1:6">
      <c r="A967" s="53">
        <f t="shared" si="182"/>
        <v>46438</v>
      </c>
      <c r="B967" s="41">
        <f t="shared" si="183"/>
        <v>46438</v>
      </c>
      <c r="C967" s="42" t="str">
        <f t="shared" si="181"/>
        <v>第3  土曜日</v>
      </c>
      <c r="D967" s="4" t="str">
        <f>_xlfn.XLOOKUP(B967,syukujitsu[国民の祝日・休日月日],syukujitsu[国民の祝日・休日名称],"",0,1)</f>
        <v/>
      </c>
    </row>
    <row r="968" spans="1:6">
      <c r="A968" s="53">
        <f t="shared" si="182"/>
        <v>46439</v>
      </c>
      <c r="B968" s="41">
        <f t="shared" si="183"/>
        <v>46439</v>
      </c>
      <c r="C968" s="42" t="str">
        <f t="shared" si="181"/>
        <v>第3  日曜日</v>
      </c>
      <c r="D968" s="4" t="str">
        <f>_xlfn.XLOOKUP(B968,syukujitsu[国民の祝日・休日月日],syukujitsu[国民の祝日・休日名称],"",0,1)</f>
        <v/>
      </c>
    </row>
    <row r="969" spans="1:6">
      <c r="A969" s="53">
        <f t="shared" si="182"/>
        <v>46440</v>
      </c>
      <c r="B969" s="41">
        <f t="shared" si="183"/>
        <v>46440</v>
      </c>
      <c r="C969" s="42" t="str">
        <f t="shared" si="181"/>
        <v>第4  月曜日</v>
      </c>
      <c r="D969" s="4" t="str">
        <f>_xlfn.XLOOKUP(B969,syukujitsu[国民の祝日・休日月日],syukujitsu[国民の祝日・休日名称],"",0,1)</f>
        <v/>
      </c>
    </row>
    <row r="970" spans="1:6">
      <c r="A970" s="53">
        <f t="shared" si="182"/>
        <v>46441</v>
      </c>
      <c r="B970" s="41">
        <f t="shared" si="183"/>
        <v>46441</v>
      </c>
      <c r="C970" s="42" t="str">
        <f t="shared" si="181"/>
        <v>第4  火曜日</v>
      </c>
      <c r="D970" s="4" t="str">
        <f>_xlfn.XLOOKUP(B970,syukujitsu[国民の祝日・休日月日],syukujitsu[国民の祝日・休日名称],"",0,1)</f>
        <v>天皇誕生日</v>
      </c>
    </row>
    <row r="971" spans="1:6">
      <c r="A971" s="53">
        <f t="shared" si="182"/>
        <v>46442</v>
      </c>
      <c r="B971" s="41">
        <f t="shared" si="183"/>
        <v>46442</v>
      </c>
      <c r="C971" s="42" t="str">
        <f t="shared" si="181"/>
        <v>第4  水曜日</v>
      </c>
      <c r="D971" s="4" t="str">
        <f>_xlfn.XLOOKUP(B971,syukujitsu[国民の祝日・休日月日],syukujitsu[国民の祝日・休日名称],"",0,1)</f>
        <v/>
      </c>
    </row>
    <row r="972" spans="1:6">
      <c r="A972" s="53">
        <f t="shared" si="182"/>
        <v>46443</v>
      </c>
      <c r="B972" s="41">
        <f t="shared" si="183"/>
        <v>46443</v>
      </c>
      <c r="C972" s="42" t="str">
        <f t="shared" ref="C972:C1035" si="184">"第"&amp;ROUNDUP(DAY(B972)/7,0)  &amp;"  "&amp;TEXT(B972,"aaaa")</f>
        <v>第4  木曜日</v>
      </c>
      <c r="D972" s="4" t="str">
        <f>_xlfn.XLOOKUP(B972,syukujitsu[国民の祝日・休日月日],syukujitsu[国民の祝日・休日名称],"",0,1)</f>
        <v/>
      </c>
    </row>
    <row r="973" spans="1:6">
      <c r="A973" s="53">
        <f t="shared" si="182"/>
        <v>46444</v>
      </c>
      <c r="B973" s="41">
        <f t="shared" si="183"/>
        <v>46444</v>
      </c>
      <c r="C973" s="42" t="str">
        <f t="shared" si="184"/>
        <v>第4  金曜日</v>
      </c>
      <c r="D973" s="4" t="str">
        <f>_xlfn.XLOOKUP(B973,syukujitsu[国民の祝日・休日月日],syukujitsu[国民の祝日・休日名称],"",0,1)</f>
        <v/>
      </c>
      <c r="F973" s="43" t="s">
        <v>955</v>
      </c>
    </row>
    <row r="974" spans="1:6">
      <c r="A974" s="53">
        <f t="shared" si="182"/>
        <v>46445</v>
      </c>
      <c r="B974" s="41">
        <f t="shared" si="183"/>
        <v>46445</v>
      </c>
      <c r="C974" s="42" t="str">
        <f t="shared" si="184"/>
        <v>第4  土曜日</v>
      </c>
      <c r="D974" s="4" t="str">
        <f>_xlfn.XLOOKUP(B974,syukujitsu[国民の祝日・休日月日],syukujitsu[国民の祝日・休日名称],"",0,1)</f>
        <v/>
      </c>
    </row>
    <row r="975" spans="1:6">
      <c r="A975" s="53">
        <f t="shared" si="182"/>
        <v>46446</v>
      </c>
      <c r="B975" s="41">
        <f t="shared" si="183"/>
        <v>46446</v>
      </c>
      <c r="C975" s="42" t="str">
        <f t="shared" si="184"/>
        <v>第4  日曜日</v>
      </c>
      <c r="D975" s="4" t="str">
        <f>_xlfn.XLOOKUP(B975,syukujitsu[国民の祝日・休日月日],syukujitsu[国民の祝日・休日名称],"",0,1)</f>
        <v/>
      </c>
    </row>
    <row r="976" spans="1:6">
      <c r="A976" s="53">
        <f t="shared" si="182"/>
        <v>46447</v>
      </c>
      <c r="B976" s="41">
        <f t="shared" si="183"/>
        <v>46447</v>
      </c>
      <c r="C976" s="42" t="str">
        <f t="shared" si="184"/>
        <v>第1  月曜日</v>
      </c>
      <c r="D976" s="4" t="str">
        <f>_xlfn.XLOOKUP(B976,syukujitsu[国民の祝日・休日月日],syukujitsu[国民の祝日・休日名称],"",0,1)</f>
        <v/>
      </c>
    </row>
    <row r="977" spans="1:6">
      <c r="A977" s="53">
        <f t="shared" si="182"/>
        <v>46448</v>
      </c>
      <c r="B977" s="41">
        <f t="shared" si="183"/>
        <v>46448</v>
      </c>
      <c r="C977" s="42" t="str">
        <f t="shared" si="184"/>
        <v>第1  火曜日</v>
      </c>
      <c r="D977" s="4" t="str">
        <f>_xlfn.XLOOKUP(B977,syukujitsu[国民の祝日・休日月日],syukujitsu[国民の祝日・休日名称],"",0,1)</f>
        <v/>
      </c>
    </row>
    <row r="978" spans="1:6">
      <c r="A978" s="53">
        <f t="shared" si="182"/>
        <v>46449</v>
      </c>
      <c r="B978" s="41">
        <f t="shared" si="183"/>
        <v>46449</v>
      </c>
      <c r="C978" s="42" t="str">
        <f t="shared" si="184"/>
        <v>第1  水曜日</v>
      </c>
      <c r="D978" s="4" t="str">
        <f>_xlfn.XLOOKUP(B978,syukujitsu[国民の祝日・休日月日],syukujitsu[国民の祝日・休日名称],"",0,1)</f>
        <v/>
      </c>
    </row>
    <row r="979" spans="1:6">
      <c r="A979" s="53">
        <f t="shared" si="182"/>
        <v>46450</v>
      </c>
      <c r="B979" s="41">
        <f t="shared" si="183"/>
        <v>46450</v>
      </c>
      <c r="C979" s="42" t="str">
        <f t="shared" si="184"/>
        <v>第1  木曜日</v>
      </c>
      <c r="D979" s="4" t="str">
        <f>_xlfn.XLOOKUP(B979,syukujitsu[国民の祝日・休日月日],syukujitsu[国民の祝日・休日名称],"",0,1)</f>
        <v/>
      </c>
    </row>
    <row r="980" spans="1:6">
      <c r="A980" s="53">
        <f t="shared" si="182"/>
        <v>46451</v>
      </c>
      <c r="B980" s="41">
        <f t="shared" si="183"/>
        <v>46451</v>
      </c>
      <c r="C980" s="42" t="str">
        <f t="shared" si="184"/>
        <v>第1  金曜日</v>
      </c>
      <c r="D980" s="4" t="str">
        <f>_xlfn.XLOOKUP(B980,syukujitsu[国民の祝日・休日月日],syukujitsu[国民の祝日・休日名称],"",0,1)</f>
        <v/>
      </c>
      <c r="F980" s="43" t="s">
        <v>955</v>
      </c>
    </row>
    <row r="981" spans="1:6">
      <c r="A981" s="53">
        <f t="shared" si="182"/>
        <v>46452</v>
      </c>
      <c r="B981" s="41">
        <f t="shared" si="183"/>
        <v>46452</v>
      </c>
      <c r="C981" s="42" t="str">
        <f t="shared" si="184"/>
        <v>第1  土曜日</v>
      </c>
      <c r="D981" s="4" t="str">
        <f>_xlfn.XLOOKUP(B981,syukujitsu[国民の祝日・休日月日],syukujitsu[国民の祝日・休日名称],"",0,1)</f>
        <v/>
      </c>
    </row>
    <row r="982" spans="1:6">
      <c r="A982" s="53">
        <f t="shared" si="182"/>
        <v>46453</v>
      </c>
      <c r="B982" s="41">
        <f t="shared" si="183"/>
        <v>46453</v>
      </c>
      <c r="C982" s="42" t="str">
        <f t="shared" si="184"/>
        <v>第1  日曜日</v>
      </c>
      <c r="D982" s="4" t="str">
        <f>_xlfn.XLOOKUP(B982,syukujitsu[国民の祝日・休日月日],syukujitsu[国民の祝日・休日名称],"",0,1)</f>
        <v/>
      </c>
    </row>
    <row r="983" spans="1:6">
      <c r="A983" s="53">
        <f t="shared" si="182"/>
        <v>46454</v>
      </c>
      <c r="B983" s="41">
        <f t="shared" si="183"/>
        <v>46454</v>
      </c>
      <c r="C983" s="42" t="str">
        <f t="shared" si="184"/>
        <v>第2  月曜日</v>
      </c>
      <c r="D983" s="4" t="str">
        <f>_xlfn.XLOOKUP(B983,syukujitsu[国民の祝日・休日月日],syukujitsu[国民の祝日・休日名称],"",0,1)</f>
        <v/>
      </c>
    </row>
    <row r="984" spans="1:6">
      <c r="A984" s="53">
        <f t="shared" si="182"/>
        <v>46455</v>
      </c>
      <c r="B984" s="41">
        <f t="shared" si="183"/>
        <v>46455</v>
      </c>
      <c r="C984" s="42" t="str">
        <f t="shared" si="184"/>
        <v>第2  火曜日</v>
      </c>
      <c r="D984" s="4" t="str">
        <f>_xlfn.XLOOKUP(B984,syukujitsu[国民の祝日・休日月日],syukujitsu[国民の祝日・休日名称],"",0,1)</f>
        <v/>
      </c>
    </row>
    <row r="985" spans="1:6">
      <c r="A985" s="53">
        <f t="shared" si="182"/>
        <v>46456</v>
      </c>
      <c r="B985" s="41">
        <f t="shared" si="183"/>
        <v>46456</v>
      </c>
      <c r="C985" s="42" t="str">
        <f t="shared" si="184"/>
        <v>第2  水曜日</v>
      </c>
      <c r="D985" s="4" t="str">
        <f>_xlfn.XLOOKUP(B985,syukujitsu[国民の祝日・休日月日],syukujitsu[国民の祝日・休日名称],"",0,1)</f>
        <v/>
      </c>
    </row>
    <row r="986" spans="1:6">
      <c r="A986" s="53">
        <f t="shared" si="182"/>
        <v>46457</v>
      </c>
      <c r="B986" s="41">
        <f t="shared" si="183"/>
        <v>46457</v>
      </c>
      <c r="C986" s="42" t="str">
        <f t="shared" si="184"/>
        <v>第2  木曜日</v>
      </c>
      <c r="D986" s="4" t="str">
        <f>_xlfn.XLOOKUP(B986,syukujitsu[国民の祝日・休日月日],syukujitsu[国民の祝日・休日名称],"",0,1)</f>
        <v/>
      </c>
    </row>
    <row r="987" spans="1:6">
      <c r="A987" s="53">
        <f t="shared" si="182"/>
        <v>46458</v>
      </c>
      <c r="B987" s="41">
        <f t="shared" si="183"/>
        <v>46458</v>
      </c>
      <c r="C987" s="42" t="str">
        <f t="shared" si="184"/>
        <v>第2  金曜日</v>
      </c>
      <c r="D987" s="4" t="str">
        <f>_xlfn.XLOOKUP(B987,syukujitsu[国民の祝日・休日月日],syukujitsu[国民の祝日・休日名称],"",0,1)</f>
        <v/>
      </c>
      <c r="F987" s="43" t="s">
        <v>955</v>
      </c>
    </row>
    <row r="988" spans="1:6">
      <c r="A988" s="53">
        <f t="shared" si="182"/>
        <v>46459</v>
      </c>
      <c r="B988" s="41">
        <f t="shared" si="183"/>
        <v>46459</v>
      </c>
      <c r="C988" s="42" t="str">
        <f t="shared" si="184"/>
        <v>第2  土曜日</v>
      </c>
      <c r="D988" s="4" t="str">
        <f>_xlfn.XLOOKUP(B988,syukujitsu[国民の祝日・休日月日],syukujitsu[国民の祝日・休日名称],"",0,1)</f>
        <v/>
      </c>
    </row>
    <row r="989" spans="1:6">
      <c r="A989" s="53">
        <f t="shared" si="182"/>
        <v>46460</v>
      </c>
      <c r="B989" s="41">
        <f t="shared" si="183"/>
        <v>46460</v>
      </c>
      <c r="C989" s="42" t="str">
        <f t="shared" si="184"/>
        <v>第2  日曜日</v>
      </c>
      <c r="D989" s="4" t="str">
        <f>_xlfn.XLOOKUP(B989,syukujitsu[国民の祝日・休日月日],syukujitsu[国民の祝日・休日名称],"",0,1)</f>
        <v/>
      </c>
    </row>
    <row r="990" spans="1:6">
      <c r="A990" s="53">
        <f t="shared" si="182"/>
        <v>46461</v>
      </c>
      <c r="B990" s="41">
        <f t="shared" si="183"/>
        <v>46461</v>
      </c>
      <c r="C990" s="42" t="str">
        <f t="shared" si="184"/>
        <v>第3  月曜日</v>
      </c>
      <c r="D990" s="4" t="str">
        <f>_xlfn.XLOOKUP(B990,syukujitsu[国民の祝日・休日月日],syukujitsu[国民の祝日・休日名称],"",0,1)</f>
        <v/>
      </c>
    </row>
    <row r="991" spans="1:6">
      <c r="A991" s="53">
        <f t="shared" si="182"/>
        <v>46462</v>
      </c>
      <c r="B991" s="41">
        <f t="shared" si="183"/>
        <v>46462</v>
      </c>
      <c r="C991" s="42" t="str">
        <f t="shared" si="184"/>
        <v>第3  火曜日</v>
      </c>
      <c r="D991" s="4" t="str">
        <f>_xlfn.XLOOKUP(B991,syukujitsu[国民の祝日・休日月日],syukujitsu[国民の祝日・休日名称],"",0,1)</f>
        <v/>
      </c>
    </row>
    <row r="992" spans="1:6">
      <c r="A992" s="53">
        <f t="shared" ref="A992:A1055" si="185">B992</f>
        <v>46463</v>
      </c>
      <c r="B992" s="41">
        <f t="shared" si="183"/>
        <v>46463</v>
      </c>
      <c r="C992" s="42" t="str">
        <f t="shared" si="184"/>
        <v>第3  水曜日</v>
      </c>
      <c r="D992" s="4" t="str">
        <f>_xlfn.XLOOKUP(B992,syukujitsu[国民の祝日・休日月日],syukujitsu[国民の祝日・休日名称],"",0,1)</f>
        <v/>
      </c>
    </row>
    <row r="993" spans="1:6">
      <c r="A993" s="53">
        <f t="shared" si="185"/>
        <v>46464</v>
      </c>
      <c r="B993" s="41">
        <f t="shared" si="183"/>
        <v>46464</v>
      </c>
      <c r="C993" s="42" t="str">
        <f t="shared" si="184"/>
        <v>第3  木曜日</v>
      </c>
      <c r="D993" s="4" t="str">
        <f>_xlfn.XLOOKUP(B993,syukujitsu[国民の祝日・休日月日],syukujitsu[国民の祝日・休日名称],"",0,1)</f>
        <v/>
      </c>
    </row>
    <row r="994" spans="1:6">
      <c r="A994" s="53">
        <f t="shared" si="185"/>
        <v>46465</v>
      </c>
      <c r="B994" s="41">
        <f t="shared" si="183"/>
        <v>46465</v>
      </c>
      <c r="C994" s="42" t="str">
        <f t="shared" si="184"/>
        <v>第3  金曜日</v>
      </c>
      <c r="D994" s="4" t="str">
        <f>_xlfn.XLOOKUP(B994,syukujitsu[国民の祝日・休日月日],syukujitsu[国民の祝日・休日名称],"",0,1)</f>
        <v/>
      </c>
      <c r="F994" s="43" t="s">
        <v>955</v>
      </c>
    </row>
    <row r="995" spans="1:6">
      <c r="A995" s="53">
        <f t="shared" si="185"/>
        <v>46466</v>
      </c>
      <c r="B995" s="41">
        <f t="shared" si="183"/>
        <v>46466</v>
      </c>
      <c r="C995" s="42" t="str">
        <f t="shared" si="184"/>
        <v>第3  土曜日</v>
      </c>
      <c r="D995" s="4" t="str">
        <f>_xlfn.XLOOKUP(B995,syukujitsu[国民の祝日・休日月日],syukujitsu[国民の祝日・休日名称],"",0,1)</f>
        <v/>
      </c>
    </row>
    <row r="996" spans="1:6">
      <c r="A996" s="53">
        <f t="shared" si="185"/>
        <v>46467</v>
      </c>
      <c r="B996" s="41">
        <f t="shared" si="183"/>
        <v>46467</v>
      </c>
      <c r="C996" s="42" t="str">
        <f t="shared" si="184"/>
        <v>第3  日曜日</v>
      </c>
      <c r="D996" s="4" t="str">
        <f>_xlfn.XLOOKUP(B996,syukujitsu[国民の祝日・休日月日],syukujitsu[国民の祝日・休日名称],"",0,1)</f>
        <v>春分の日</v>
      </c>
    </row>
    <row r="997" spans="1:6">
      <c r="A997" s="53">
        <f t="shared" si="185"/>
        <v>46468</v>
      </c>
      <c r="B997" s="41">
        <f t="shared" si="183"/>
        <v>46468</v>
      </c>
      <c r="C997" s="42" t="str">
        <f t="shared" si="184"/>
        <v>第4  月曜日</v>
      </c>
      <c r="D997" s="4" t="str">
        <f>_xlfn.XLOOKUP(B997,syukujitsu[国民の祝日・休日月日],syukujitsu[国民の祝日・休日名称],"",0,1)</f>
        <v>振替休日</v>
      </c>
    </row>
    <row r="998" spans="1:6">
      <c r="A998" s="53">
        <f t="shared" si="185"/>
        <v>46469</v>
      </c>
      <c r="B998" s="41">
        <f t="shared" si="183"/>
        <v>46469</v>
      </c>
      <c r="C998" s="42" t="str">
        <f t="shared" si="184"/>
        <v>第4  火曜日</v>
      </c>
      <c r="D998" s="4" t="str">
        <f>_xlfn.XLOOKUP(B998,syukujitsu[国民の祝日・休日月日],syukujitsu[国民の祝日・休日名称],"",0,1)</f>
        <v/>
      </c>
    </row>
    <row r="999" spans="1:6">
      <c r="A999" s="53">
        <f t="shared" si="185"/>
        <v>46470</v>
      </c>
      <c r="B999" s="41">
        <f t="shared" si="183"/>
        <v>46470</v>
      </c>
      <c r="C999" s="42" t="str">
        <f t="shared" si="184"/>
        <v>第4  水曜日</v>
      </c>
      <c r="D999" s="4" t="str">
        <f>_xlfn.XLOOKUP(B999,syukujitsu[国民の祝日・休日月日],syukujitsu[国民の祝日・休日名称],"",0,1)</f>
        <v/>
      </c>
    </row>
    <row r="1000" spans="1:6">
      <c r="A1000" s="53">
        <f t="shared" si="185"/>
        <v>46471</v>
      </c>
      <c r="B1000" s="41">
        <f t="shared" si="183"/>
        <v>46471</v>
      </c>
      <c r="C1000" s="42" t="str">
        <f t="shared" si="184"/>
        <v>第4  木曜日</v>
      </c>
      <c r="D1000" s="4" t="str">
        <f>_xlfn.XLOOKUP(B1000,syukujitsu[国民の祝日・休日月日],syukujitsu[国民の祝日・休日名称],"",0,1)</f>
        <v/>
      </c>
    </row>
    <row r="1001" spans="1:6">
      <c r="A1001" s="53">
        <f t="shared" si="185"/>
        <v>46472</v>
      </c>
      <c r="B1001" s="41">
        <f t="shared" si="183"/>
        <v>46472</v>
      </c>
      <c r="C1001" s="42" t="str">
        <f t="shared" si="184"/>
        <v>第4  金曜日</v>
      </c>
      <c r="D1001" s="4" t="str">
        <f>_xlfn.XLOOKUP(B1001,syukujitsu[国民の祝日・休日月日],syukujitsu[国民の祝日・休日名称],"",0,1)</f>
        <v/>
      </c>
      <c r="F1001" s="43" t="s">
        <v>955</v>
      </c>
    </row>
    <row r="1002" spans="1:6">
      <c r="A1002" s="53">
        <f t="shared" si="185"/>
        <v>46473</v>
      </c>
      <c r="B1002" s="41">
        <f t="shared" si="183"/>
        <v>46473</v>
      </c>
      <c r="C1002" s="42" t="str">
        <f t="shared" si="184"/>
        <v>第4  土曜日</v>
      </c>
      <c r="D1002" s="4" t="str">
        <f>_xlfn.XLOOKUP(B1002,syukujitsu[国民の祝日・休日月日],syukujitsu[国民の祝日・休日名称],"",0,1)</f>
        <v/>
      </c>
    </row>
    <row r="1003" spans="1:6">
      <c r="A1003" s="53">
        <f t="shared" si="185"/>
        <v>46474</v>
      </c>
      <c r="B1003" s="41">
        <f t="shared" si="183"/>
        <v>46474</v>
      </c>
      <c r="C1003" s="42" t="str">
        <f t="shared" si="184"/>
        <v>第4  日曜日</v>
      </c>
      <c r="D1003" s="4" t="str">
        <f>_xlfn.XLOOKUP(B1003,syukujitsu[国民の祝日・休日月日],syukujitsu[国民の祝日・休日名称],"",0,1)</f>
        <v/>
      </c>
    </row>
    <row r="1004" spans="1:6">
      <c r="A1004" s="53">
        <f t="shared" si="185"/>
        <v>46475</v>
      </c>
      <c r="B1004" s="41">
        <f t="shared" si="183"/>
        <v>46475</v>
      </c>
      <c r="C1004" s="42" t="str">
        <f t="shared" si="184"/>
        <v>第5  月曜日</v>
      </c>
      <c r="D1004" s="4" t="str">
        <f>_xlfn.XLOOKUP(B1004,syukujitsu[国民の祝日・休日月日],syukujitsu[国民の祝日・休日名称],"",0,1)</f>
        <v/>
      </c>
    </row>
    <row r="1005" spans="1:6">
      <c r="A1005" s="53">
        <f t="shared" si="185"/>
        <v>46476</v>
      </c>
      <c r="B1005" s="41">
        <f t="shared" si="183"/>
        <v>46476</v>
      </c>
      <c r="C1005" s="42" t="str">
        <f t="shared" si="184"/>
        <v>第5  火曜日</v>
      </c>
      <c r="D1005" s="4" t="str">
        <f>_xlfn.XLOOKUP(B1005,syukujitsu[国民の祝日・休日月日],syukujitsu[国民の祝日・休日名称],"",0,1)</f>
        <v/>
      </c>
    </row>
    <row r="1006" spans="1:6">
      <c r="A1006" s="53">
        <f t="shared" si="185"/>
        <v>46477</v>
      </c>
      <c r="B1006" s="41">
        <f t="shared" si="183"/>
        <v>46477</v>
      </c>
      <c r="C1006" s="42" t="str">
        <f t="shared" si="184"/>
        <v>第5  水曜日</v>
      </c>
      <c r="D1006" s="4" t="str">
        <f>_xlfn.XLOOKUP(B1006,syukujitsu[国民の祝日・休日月日],syukujitsu[国民の祝日・休日名称],"",0,1)</f>
        <v/>
      </c>
    </row>
    <row r="1007" spans="1:6">
      <c r="A1007" s="53">
        <f t="shared" si="185"/>
        <v>46478</v>
      </c>
      <c r="B1007" s="41">
        <f t="shared" si="183"/>
        <v>46478</v>
      </c>
      <c r="C1007" s="42" t="str">
        <f t="shared" si="184"/>
        <v>第1  木曜日</v>
      </c>
      <c r="D1007" s="4" t="str">
        <f>_xlfn.XLOOKUP(B1007,syukujitsu[国民の祝日・休日月日],syukujitsu[国民の祝日・休日名称],"",0,1)</f>
        <v/>
      </c>
    </row>
    <row r="1008" spans="1:6">
      <c r="A1008" s="53">
        <f t="shared" si="185"/>
        <v>46479</v>
      </c>
      <c r="B1008" s="41">
        <f t="shared" si="183"/>
        <v>46479</v>
      </c>
      <c r="C1008" s="42" t="str">
        <f t="shared" si="184"/>
        <v>第1  金曜日</v>
      </c>
      <c r="D1008" s="4" t="str">
        <f>_xlfn.XLOOKUP(B1008,syukujitsu[国民の祝日・休日月日],syukujitsu[国民の祝日・休日名称],"",0,1)</f>
        <v/>
      </c>
      <c r="F1008" s="43" t="s">
        <v>955</v>
      </c>
    </row>
    <row r="1009" spans="1:6">
      <c r="A1009" s="53">
        <f t="shared" si="185"/>
        <v>46480</v>
      </c>
      <c r="B1009" s="41">
        <f t="shared" si="183"/>
        <v>46480</v>
      </c>
      <c r="C1009" s="42" t="str">
        <f t="shared" si="184"/>
        <v>第1  土曜日</v>
      </c>
      <c r="D1009" s="4" t="str">
        <f>_xlfn.XLOOKUP(B1009,syukujitsu[国民の祝日・休日月日],syukujitsu[国民の祝日・休日名称],"",0,1)</f>
        <v/>
      </c>
    </row>
    <row r="1010" spans="1:6">
      <c r="A1010" s="53">
        <f t="shared" si="185"/>
        <v>46481</v>
      </c>
      <c r="B1010" s="41">
        <f t="shared" si="183"/>
        <v>46481</v>
      </c>
      <c r="C1010" s="42" t="str">
        <f t="shared" si="184"/>
        <v>第1  日曜日</v>
      </c>
      <c r="D1010" s="4" t="str">
        <f>_xlfn.XLOOKUP(B1010,syukujitsu[国民の祝日・休日月日],syukujitsu[国民の祝日・休日名称],"",0,1)</f>
        <v/>
      </c>
    </row>
    <row r="1011" spans="1:6">
      <c r="A1011" s="53">
        <f t="shared" si="185"/>
        <v>46482</v>
      </c>
      <c r="B1011" s="41">
        <f t="shared" si="183"/>
        <v>46482</v>
      </c>
      <c r="C1011" s="42" t="str">
        <f t="shared" si="184"/>
        <v>第1  月曜日</v>
      </c>
      <c r="D1011" s="4" t="str">
        <f>_xlfn.XLOOKUP(B1011,syukujitsu[国民の祝日・休日月日],syukujitsu[国民の祝日・休日名称],"",0,1)</f>
        <v/>
      </c>
    </row>
    <row r="1012" spans="1:6">
      <c r="A1012" s="53">
        <f t="shared" si="185"/>
        <v>46483</v>
      </c>
      <c r="B1012" s="41">
        <f t="shared" si="183"/>
        <v>46483</v>
      </c>
      <c r="C1012" s="42" t="str">
        <f t="shared" si="184"/>
        <v>第1  火曜日</v>
      </c>
      <c r="D1012" s="4" t="str">
        <f>_xlfn.XLOOKUP(B1012,syukujitsu[国民の祝日・休日月日],syukujitsu[国民の祝日・休日名称],"",0,1)</f>
        <v/>
      </c>
    </row>
    <row r="1013" spans="1:6">
      <c r="A1013" s="53">
        <f t="shared" si="185"/>
        <v>46484</v>
      </c>
      <c r="B1013" s="41">
        <f t="shared" si="183"/>
        <v>46484</v>
      </c>
      <c r="C1013" s="42" t="str">
        <f t="shared" si="184"/>
        <v>第1  水曜日</v>
      </c>
      <c r="D1013" s="4" t="str">
        <f>_xlfn.XLOOKUP(B1013,syukujitsu[国民の祝日・休日月日],syukujitsu[国民の祝日・休日名称],"",0,1)</f>
        <v/>
      </c>
    </row>
    <row r="1014" spans="1:6">
      <c r="A1014" s="53">
        <f t="shared" si="185"/>
        <v>46485</v>
      </c>
      <c r="B1014" s="41">
        <f t="shared" si="183"/>
        <v>46485</v>
      </c>
      <c r="C1014" s="42" t="str">
        <f t="shared" si="184"/>
        <v>第2  木曜日</v>
      </c>
      <c r="D1014" s="4" t="str">
        <f>_xlfn.XLOOKUP(B1014,syukujitsu[国民の祝日・休日月日],syukujitsu[国民の祝日・休日名称],"",0,1)</f>
        <v/>
      </c>
    </row>
    <row r="1015" spans="1:6">
      <c r="A1015" s="53">
        <f t="shared" si="185"/>
        <v>46486</v>
      </c>
      <c r="B1015" s="41">
        <f t="shared" ref="B1015:B1078" si="186">B1014+1</f>
        <v>46486</v>
      </c>
      <c r="C1015" s="42" t="str">
        <f t="shared" si="184"/>
        <v>第2  金曜日</v>
      </c>
      <c r="D1015" s="4" t="str">
        <f>_xlfn.XLOOKUP(B1015,syukujitsu[国民の祝日・休日月日],syukujitsu[国民の祝日・休日名称],"",0,1)</f>
        <v/>
      </c>
      <c r="F1015" s="43" t="s">
        <v>955</v>
      </c>
    </row>
    <row r="1016" spans="1:6">
      <c r="A1016" s="53">
        <f t="shared" si="185"/>
        <v>46487</v>
      </c>
      <c r="B1016" s="41">
        <f t="shared" si="186"/>
        <v>46487</v>
      </c>
      <c r="C1016" s="42" t="str">
        <f t="shared" si="184"/>
        <v>第2  土曜日</v>
      </c>
      <c r="D1016" s="4" t="str">
        <f>_xlfn.XLOOKUP(B1016,syukujitsu[国民の祝日・休日月日],syukujitsu[国民の祝日・休日名称],"",0,1)</f>
        <v/>
      </c>
    </row>
    <row r="1017" spans="1:6">
      <c r="A1017" s="53">
        <f t="shared" si="185"/>
        <v>46488</v>
      </c>
      <c r="B1017" s="41">
        <f t="shared" si="186"/>
        <v>46488</v>
      </c>
      <c r="C1017" s="42" t="str">
        <f t="shared" si="184"/>
        <v>第2  日曜日</v>
      </c>
      <c r="D1017" s="4" t="str">
        <f>_xlfn.XLOOKUP(B1017,syukujitsu[国民の祝日・休日月日],syukujitsu[国民の祝日・休日名称],"",0,1)</f>
        <v/>
      </c>
    </row>
    <row r="1018" spans="1:6">
      <c r="A1018" s="53">
        <f t="shared" si="185"/>
        <v>46489</v>
      </c>
      <c r="B1018" s="41">
        <f t="shared" si="186"/>
        <v>46489</v>
      </c>
      <c r="C1018" s="42" t="str">
        <f t="shared" si="184"/>
        <v>第2  月曜日</v>
      </c>
      <c r="D1018" s="4" t="str">
        <f>_xlfn.XLOOKUP(B1018,syukujitsu[国民の祝日・休日月日],syukujitsu[国民の祝日・休日名称],"",0,1)</f>
        <v/>
      </c>
    </row>
    <row r="1019" spans="1:6">
      <c r="A1019" s="53">
        <f t="shared" si="185"/>
        <v>46490</v>
      </c>
      <c r="B1019" s="41">
        <f t="shared" si="186"/>
        <v>46490</v>
      </c>
      <c r="C1019" s="42" t="str">
        <f t="shared" si="184"/>
        <v>第2  火曜日</v>
      </c>
      <c r="D1019" s="4" t="str">
        <f>_xlfn.XLOOKUP(B1019,syukujitsu[国民の祝日・休日月日],syukujitsu[国民の祝日・休日名称],"",0,1)</f>
        <v/>
      </c>
    </row>
    <row r="1020" spans="1:6">
      <c r="A1020" s="53">
        <f t="shared" si="185"/>
        <v>46491</v>
      </c>
      <c r="B1020" s="41">
        <f t="shared" si="186"/>
        <v>46491</v>
      </c>
      <c r="C1020" s="42" t="str">
        <f t="shared" si="184"/>
        <v>第2  水曜日</v>
      </c>
      <c r="D1020" s="4" t="str">
        <f>_xlfn.XLOOKUP(B1020,syukujitsu[国民の祝日・休日月日],syukujitsu[国民の祝日・休日名称],"",0,1)</f>
        <v/>
      </c>
    </row>
    <row r="1021" spans="1:6">
      <c r="A1021" s="53">
        <f t="shared" si="185"/>
        <v>46492</v>
      </c>
      <c r="B1021" s="41">
        <f t="shared" si="186"/>
        <v>46492</v>
      </c>
      <c r="C1021" s="42" t="str">
        <f t="shared" si="184"/>
        <v>第3  木曜日</v>
      </c>
      <c r="D1021" s="4" t="str">
        <f>_xlfn.XLOOKUP(B1021,syukujitsu[国民の祝日・休日月日],syukujitsu[国民の祝日・休日名称],"",0,1)</f>
        <v/>
      </c>
    </row>
    <row r="1022" spans="1:6">
      <c r="A1022" s="53">
        <f t="shared" si="185"/>
        <v>46493</v>
      </c>
      <c r="B1022" s="41">
        <f t="shared" si="186"/>
        <v>46493</v>
      </c>
      <c r="C1022" s="42" t="str">
        <f t="shared" si="184"/>
        <v>第3  金曜日</v>
      </c>
      <c r="D1022" s="4" t="str">
        <f>_xlfn.XLOOKUP(B1022,syukujitsu[国民の祝日・休日月日],syukujitsu[国民の祝日・休日名称],"",0,1)</f>
        <v/>
      </c>
      <c r="F1022" s="43" t="s">
        <v>955</v>
      </c>
    </row>
    <row r="1023" spans="1:6">
      <c r="A1023" s="53">
        <f t="shared" si="185"/>
        <v>46494</v>
      </c>
      <c r="B1023" s="41">
        <f t="shared" si="186"/>
        <v>46494</v>
      </c>
      <c r="C1023" s="42" t="str">
        <f t="shared" si="184"/>
        <v>第3  土曜日</v>
      </c>
      <c r="D1023" s="4" t="str">
        <f>_xlfn.XLOOKUP(B1023,syukujitsu[国民の祝日・休日月日],syukujitsu[国民の祝日・休日名称],"",0,1)</f>
        <v/>
      </c>
    </row>
    <row r="1024" spans="1:6">
      <c r="A1024" s="53">
        <f t="shared" si="185"/>
        <v>46495</v>
      </c>
      <c r="B1024" s="41">
        <f t="shared" si="186"/>
        <v>46495</v>
      </c>
      <c r="C1024" s="42" t="str">
        <f t="shared" si="184"/>
        <v>第3  日曜日</v>
      </c>
      <c r="D1024" s="4" t="str">
        <f>_xlfn.XLOOKUP(B1024,syukujitsu[国民の祝日・休日月日],syukujitsu[国民の祝日・休日名称],"",0,1)</f>
        <v/>
      </c>
    </row>
    <row r="1025" spans="1:6">
      <c r="A1025" s="53">
        <f t="shared" si="185"/>
        <v>46496</v>
      </c>
      <c r="B1025" s="41">
        <f t="shared" si="186"/>
        <v>46496</v>
      </c>
      <c r="C1025" s="42" t="str">
        <f t="shared" si="184"/>
        <v>第3  月曜日</v>
      </c>
      <c r="D1025" s="4" t="str">
        <f>_xlfn.XLOOKUP(B1025,syukujitsu[国民の祝日・休日月日],syukujitsu[国民の祝日・休日名称],"",0,1)</f>
        <v/>
      </c>
    </row>
    <row r="1026" spans="1:6">
      <c r="A1026" s="53">
        <f t="shared" si="185"/>
        <v>46497</v>
      </c>
      <c r="B1026" s="41">
        <f t="shared" si="186"/>
        <v>46497</v>
      </c>
      <c r="C1026" s="42" t="str">
        <f t="shared" si="184"/>
        <v>第3  火曜日</v>
      </c>
      <c r="D1026" s="4" t="str">
        <f>_xlfn.XLOOKUP(B1026,syukujitsu[国民の祝日・休日月日],syukujitsu[国民の祝日・休日名称],"",0,1)</f>
        <v/>
      </c>
    </row>
    <row r="1027" spans="1:6">
      <c r="A1027" s="53">
        <f t="shared" si="185"/>
        <v>46498</v>
      </c>
      <c r="B1027" s="41">
        <f t="shared" si="186"/>
        <v>46498</v>
      </c>
      <c r="C1027" s="42" t="str">
        <f t="shared" si="184"/>
        <v>第3  水曜日</v>
      </c>
      <c r="D1027" s="4" t="str">
        <f>_xlfn.XLOOKUP(B1027,syukujitsu[国民の祝日・休日月日],syukujitsu[国民の祝日・休日名称],"",0,1)</f>
        <v/>
      </c>
    </row>
    <row r="1028" spans="1:6">
      <c r="A1028" s="53">
        <f t="shared" si="185"/>
        <v>46499</v>
      </c>
      <c r="B1028" s="41">
        <f t="shared" si="186"/>
        <v>46499</v>
      </c>
      <c r="C1028" s="42" t="str">
        <f t="shared" si="184"/>
        <v>第4  木曜日</v>
      </c>
      <c r="D1028" s="4" t="str">
        <f>_xlfn.XLOOKUP(B1028,syukujitsu[国民の祝日・休日月日],syukujitsu[国民の祝日・休日名称],"",0,1)</f>
        <v/>
      </c>
    </row>
    <row r="1029" spans="1:6">
      <c r="A1029" s="53">
        <f t="shared" si="185"/>
        <v>46500</v>
      </c>
      <c r="B1029" s="41">
        <f t="shared" si="186"/>
        <v>46500</v>
      </c>
      <c r="C1029" s="42" t="str">
        <f t="shared" si="184"/>
        <v>第4  金曜日</v>
      </c>
      <c r="D1029" s="4" t="str">
        <f>_xlfn.XLOOKUP(B1029,syukujitsu[国民の祝日・休日月日],syukujitsu[国民の祝日・休日名称],"",0,1)</f>
        <v/>
      </c>
      <c r="F1029" s="43" t="s">
        <v>955</v>
      </c>
    </row>
    <row r="1030" spans="1:6">
      <c r="A1030" s="53">
        <f t="shared" si="185"/>
        <v>46501</v>
      </c>
      <c r="B1030" s="41">
        <f t="shared" si="186"/>
        <v>46501</v>
      </c>
      <c r="C1030" s="42" t="str">
        <f t="shared" si="184"/>
        <v>第4  土曜日</v>
      </c>
      <c r="D1030" s="4" t="str">
        <f>_xlfn.XLOOKUP(B1030,syukujitsu[国民の祝日・休日月日],syukujitsu[国民の祝日・休日名称],"",0,1)</f>
        <v/>
      </c>
    </row>
    <row r="1031" spans="1:6">
      <c r="A1031" s="53">
        <f t="shared" si="185"/>
        <v>46502</v>
      </c>
      <c r="B1031" s="41">
        <f t="shared" si="186"/>
        <v>46502</v>
      </c>
      <c r="C1031" s="42" t="str">
        <f t="shared" si="184"/>
        <v>第4  日曜日</v>
      </c>
      <c r="D1031" s="4" t="str">
        <f>_xlfn.XLOOKUP(B1031,syukujitsu[国民の祝日・休日月日],syukujitsu[国民の祝日・休日名称],"",0,1)</f>
        <v/>
      </c>
    </row>
    <row r="1032" spans="1:6">
      <c r="A1032" s="53">
        <f t="shared" si="185"/>
        <v>46503</v>
      </c>
      <c r="B1032" s="41">
        <f t="shared" si="186"/>
        <v>46503</v>
      </c>
      <c r="C1032" s="42" t="str">
        <f t="shared" si="184"/>
        <v>第4  月曜日</v>
      </c>
      <c r="D1032" s="4" t="str">
        <f>_xlfn.XLOOKUP(B1032,syukujitsu[国民の祝日・休日月日],syukujitsu[国民の祝日・休日名称],"",0,1)</f>
        <v/>
      </c>
    </row>
    <row r="1033" spans="1:6">
      <c r="A1033" s="53">
        <f t="shared" si="185"/>
        <v>46504</v>
      </c>
      <c r="B1033" s="41">
        <f t="shared" si="186"/>
        <v>46504</v>
      </c>
      <c r="C1033" s="42" t="str">
        <f t="shared" si="184"/>
        <v>第4  火曜日</v>
      </c>
      <c r="D1033" s="4" t="str">
        <f>_xlfn.XLOOKUP(B1033,syukujitsu[国民の祝日・休日月日],syukujitsu[国民の祝日・休日名称],"",0,1)</f>
        <v/>
      </c>
    </row>
    <row r="1034" spans="1:6">
      <c r="A1034" s="53">
        <f t="shared" si="185"/>
        <v>46505</v>
      </c>
      <c r="B1034" s="41">
        <f t="shared" si="186"/>
        <v>46505</v>
      </c>
      <c r="C1034" s="42" t="str">
        <f t="shared" si="184"/>
        <v>第4  水曜日</v>
      </c>
      <c r="D1034" s="4" t="str">
        <f>_xlfn.XLOOKUP(B1034,syukujitsu[国民の祝日・休日月日],syukujitsu[国民の祝日・休日名称],"",0,1)</f>
        <v/>
      </c>
    </row>
    <row r="1035" spans="1:6">
      <c r="A1035" s="53">
        <f t="shared" si="185"/>
        <v>46506</v>
      </c>
      <c r="B1035" s="41">
        <f t="shared" si="186"/>
        <v>46506</v>
      </c>
      <c r="C1035" s="42" t="str">
        <f t="shared" si="184"/>
        <v>第5  木曜日</v>
      </c>
      <c r="D1035" s="4" t="str">
        <f>_xlfn.XLOOKUP(B1035,syukujitsu[国民の祝日・休日月日],syukujitsu[国民の祝日・休日名称],"",0,1)</f>
        <v>昭和の日</v>
      </c>
    </row>
    <row r="1036" spans="1:6">
      <c r="A1036" s="53">
        <f t="shared" si="185"/>
        <v>46507</v>
      </c>
      <c r="B1036" s="41">
        <f t="shared" si="186"/>
        <v>46507</v>
      </c>
      <c r="C1036" s="42" t="str">
        <f t="shared" ref="C1036:C1099" si="187">"第"&amp;ROUNDUP(DAY(B1036)/7,0)  &amp;"  "&amp;TEXT(B1036,"aaaa")</f>
        <v>第5  金曜日</v>
      </c>
      <c r="D1036" s="4" t="str">
        <f>_xlfn.XLOOKUP(B1036,syukujitsu[国民の祝日・休日月日],syukujitsu[国民の祝日・休日名称],"",0,1)</f>
        <v/>
      </c>
      <c r="F1036" s="43" t="s">
        <v>955</v>
      </c>
    </row>
    <row r="1037" spans="1:6">
      <c r="A1037" s="53">
        <f t="shared" si="185"/>
        <v>46508</v>
      </c>
      <c r="B1037" s="41">
        <f t="shared" si="186"/>
        <v>46508</v>
      </c>
      <c r="C1037" s="42" t="str">
        <f t="shared" si="187"/>
        <v>第1  土曜日</v>
      </c>
      <c r="D1037" s="4" t="str">
        <f>_xlfn.XLOOKUP(B1037,syukujitsu[国民の祝日・休日月日],syukujitsu[国民の祝日・休日名称],"",0,1)</f>
        <v/>
      </c>
    </row>
    <row r="1038" spans="1:6">
      <c r="A1038" s="53">
        <f t="shared" si="185"/>
        <v>46509</v>
      </c>
      <c r="B1038" s="41">
        <f t="shared" si="186"/>
        <v>46509</v>
      </c>
      <c r="C1038" s="42" t="str">
        <f t="shared" si="187"/>
        <v>第1  日曜日</v>
      </c>
      <c r="D1038" s="4" t="str">
        <f>_xlfn.XLOOKUP(B1038,syukujitsu[国民の祝日・休日月日],syukujitsu[国民の祝日・休日名称],"",0,1)</f>
        <v/>
      </c>
    </row>
    <row r="1039" spans="1:6">
      <c r="A1039" s="53">
        <f t="shared" si="185"/>
        <v>46510</v>
      </c>
      <c r="B1039" s="41">
        <f t="shared" si="186"/>
        <v>46510</v>
      </c>
      <c r="C1039" s="42" t="str">
        <f t="shared" si="187"/>
        <v>第1  月曜日</v>
      </c>
      <c r="D1039" s="4" t="str">
        <f>_xlfn.XLOOKUP(B1039,syukujitsu[国民の祝日・休日月日],syukujitsu[国民の祝日・休日名称],"",0,1)</f>
        <v>憲法記念日</v>
      </c>
    </row>
    <row r="1040" spans="1:6">
      <c r="A1040" s="53">
        <f t="shared" si="185"/>
        <v>46511</v>
      </c>
      <c r="B1040" s="41">
        <f t="shared" si="186"/>
        <v>46511</v>
      </c>
      <c r="C1040" s="42" t="str">
        <f t="shared" si="187"/>
        <v>第1  火曜日</v>
      </c>
      <c r="D1040" s="4" t="str">
        <f>_xlfn.XLOOKUP(B1040,syukujitsu[国民の祝日・休日月日],syukujitsu[国民の祝日・休日名称],"",0,1)</f>
        <v>みどりの日</v>
      </c>
    </row>
    <row r="1041" spans="1:6">
      <c r="A1041" s="53">
        <f t="shared" si="185"/>
        <v>46512</v>
      </c>
      <c r="B1041" s="41">
        <f t="shared" si="186"/>
        <v>46512</v>
      </c>
      <c r="C1041" s="42" t="str">
        <f t="shared" si="187"/>
        <v>第1  水曜日</v>
      </c>
      <c r="D1041" s="4" t="str">
        <f>_xlfn.XLOOKUP(B1041,syukujitsu[国民の祝日・休日月日],syukujitsu[国民の祝日・休日名称],"",0,1)</f>
        <v>こどもの日</v>
      </c>
    </row>
    <row r="1042" spans="1:6">
      <c r="A1042" s="53">
        <f t="shared" si="185"/>
        <v>46513</v>
      </c>
      <c r="B1042" s="41">
        <f t="shared" si="186"/>
        <v>46513</v>
      </c>
      <c r="C1042" s="42" t="str">
        <f t="shared" si="187"/>
        <v>第1  木曜日</v>
      </c>
      <c r="D1042" s="4" t="str">
        <f>_xlfn.XLOOKUP(B1042,syukujitsu[国民の祝日・休日月日],syukujitsu[国民の祝日・休日名称],"",0,1)</f>
        <v/>
      </c>
    </row>
    <row r="1043" spans="1:6">
      <c r="A1043" s="53">
        <f t="shared" si="185"/>
        <v>46514</v>
      </c>
      <c r="B1043" s="41">
        <f t="shared" si="186"/>
        <v>46514</v>
      </c>
      <c r="C1043" s="42" t="str">
        <f t="shared" si="187"/>
        <v>第1  金曜日</v>
      </c>
      <c r="D1043" s="4" t="str">
        <f>_xlfn.XLOOKUP(B1043,syukujitsu[国民の祝日・休日月日],syukujitsu[国民の祝日・休日名称],"",0,1)</f>
        <v/>
      </c>
      <c r="F1043" s="43" t="s">
        <v>955</v>
      </c>
    </row>
    <row r="1044" spans="1:6">
      <c r="A1044" s="53">
        <f t="shared" si="185"/>
        <v>46515</v>
      </c>
      <c r="B1044" s="41">
        <f t="shared" si="186"/>
        <v>46515</v>
      </c>
      <c r="C1044" s="42" t="str">
        <f t="shared" si="187"/>
        <v>第2  土曜日</v>
      </c>
      <c r="D1044" s="4" t="str">
        <f>_xlfn.XLOOKUP(B1044,syukujitsu[国民の祝日・休日月日],syukujitsu[国民の祝日・休日名称],"",0,1)</f>
        <v/>
      </c>
    </row>
    <row r="1045" spans="1:6">
      <c r="A1045" s="53">
        <f t="shared" si="185"/>
        <v>46516</v>
      </c>
      <c r="B1045" s="41">
        <f t="shared" si="186"/>
        <v>46516</v>
      </c>
      <c r="C1045" s="42" t="str">
        <f t="shared" si="187"/>
        <v>第2  日曜日</v>
      </c>
      <c r="D1045" s="4" t="str">
        <f>_xlfn.XLOOKUP(B1045,syukujitsu[国民の祝日・休日月日],syukujitsu[国民の祝日・休日名称],"",0,1)</f>
        <v/>
      </c>
    </row>
    <row r="1046" spans="1:6">
      <c r="A1046" s="53">
        <f t="shared" si="185"/>
        <v>46517</v>
      </c>
      <c r="B1046" s="41">
        <f t="shared" si="186"/>
        <v>46517</v>
      </c>
      <c r="C1046" s="42" t="str">
        <f t="shared" si="187"/>
        <v>第2  月曜日</v>
      </c>
      <c r="D1046" s="4" t="str">
        <f>_xlfn.XLOOKUP(B1046,syukujitsu[国民の祝日・休日月日],syukujitsu[国民の祝日・休日名称],"",0,1)</f>
        <v/>
      </c>
    </row>
    <row r="1047" spans="1:6">
      <c r="A1047" s="53">
        <f t="shared" si="185"/>
        <v>46518</v>
      </c>
      <c r="B1047" s="41">
        <f t="shared" si="186"/>
        <v>46518</v>
      </c>
      <c r="C1047" s="42" t="str">
        <f t="shared" si="187"/>
        <v>第2  火曜日</v>
      </c>
      <c r="D1047" s="4" t="str">
        <f>_xlfn.XLOOKUP(B1047,syukujitsu[国民の祝日・休日月日],syukujitsu[国民の祝日・休日名称],"",0,1)</f>
        <v/>
      </c>
    </row>
    <row r="1048" spans="1:6">
      <c r="A1048" s="53">
        <f t="shared" si="185"/>
        <v>46519</v>
      </c>
      <c r="B1048" s="41">
        <f t="shared" si="186"/>
        <v>46519</v>
      </c>
      <c r="C1048" s="42" t="str">
        <f t="shared" si="187"/>
        <v>第2  水曜日</v>
      </c>
      <c r="D1048" s="4" t="str">
        <f>_xlfn.XLOOKUP(B1048,syukujitsu[国民の祝日・休日月日],syukujitsu[国民の祝日・休日名称],"",0,1)</f>
        <v/>
      </c>
    </row>
    <row r="1049" spans="1:6">
      <c r="A1049" s="53">
        <f t="shared" si="185"/>
        <v>46520</v>
      </c>
      <c r="B1049" s="41">
        <f t="shared" si="186"/>
        <v>46520</v>
      </c>
      <c r="C1049" s="42" t="str">
        <f t="shared" si="187"/>
        <v>第2  木曜日</v>
      </c>
      <c r="D1049" s="4" t="str">
        <f>_xlfn.XLOOKUP(B1049,syukujitsu[国民の祝日・休日月日],syukujitsu[国民の祝日・休日名称],"",0,1)</f>
        <v/>
      </c>
    </row>
    <row r="1050" spans="1:6">
      <c r="A1050" s="53">
        <f t="shared" si="185"/>
        <v>46521</v>
      </c>
      <c r="B1050" s="41">
        <f t="shared" si="186"/>
        <v>46521</v>
      </c>
      <c r="C1050" s="42" t="str">
        <f t="shared" si="187"/>
        <v>第2  金曜日</v>
      </c>
      <c r="D1050" s="4" t="str">
        <f>_xlfn.XLOOKUP(B1050,syukujitsu[国民の祝日・休日月日],syukujitsu[国民の祝日・休日名称],"",0,1)</f>
        <v/>
      </c>
      <c r="F1050" s="43" t="s">
        <v>955</v>
      </c>
    </row>
    <row r="1051" spans="1:6">
      <c r="A1051" s="53">
        <f t="shared" si="185"/>
        <v>46522</v>
      </c>
      <c r="B1051" s="41">
        <f t="shared" si="186"/>
        <v>46522</v>
      </c>
      <c r="C1051" s="42" t="str">
        <f t="shared" si="187"/>
        <v>第3  土曜日</v>
      </c>
      <c r="D1051" s="4" t="str">
        <f>_xlfn.XLOOKUP(B1051,syukujitsu[国民の祝日・休日月日],syukujitsu[国民の祝日・休日名称],"",0,1)</f>
        <v/>
      </c>
    </row>
    <row r="1052" spans="1:6">
      <c r="A1052" s="53">
        <f t="shared" si="185"/>
        <v>46523</v>
      </c>
      <c r="B1052" s="41">
        <f t="shared" si="186"/>
        <v>46523</v>
      </c>
      <c r="C1052" s="42" t="str">
        <f t="shared" si="187"/>
        <v>第3  日曜日</v>
      </c>
      <c r="D1052" s="4" t="str">
        <f>_xlfn.XLOOKUP(B1052,syukujitsu[国民の祝日・休日月日],syukujitsu[国民の祝日・休日名称],"",0,1)</f>
        <v/>
      </c>
    </row>
    <row r="1053" spans="1:6">
      <c r="A1053" s="53">
        <f t="shared" si="185"/>
        <v>46524</v>
      </c>
      <c r="B1053" s="41">
        <f t="shared" si="186"/>
        <v>46524</v>
      </c>
      <c r="C1053" s="42" t="str">
        <f t="shared" si="187"/>
        <v>第3  月曜日</v>
      </c>
      <c r="D1053" s="4" t="str">
        <f>_xlfn.XLOOKUP(B1053,syukujitsu[国民の祝日・休日月日],syukujitsu[国民の祝日・休日名称],"",0,1)</f>
        <v/>
      </c>
    </row>
    <row r="1054" spans="1:6">
      <c r="A1054" s="53">
        <f t="shared" si="185"/>
        <v>46525</v>
      </c>
      <c r="B1054" s="41">
        <f t="shared" si="186"/>
        <v>46525</v>
      </c>
      <c r="C1054" s="42" t="str">
        <f t="shared" si="187"/>
        <v>第3  火曜日</v>
      </c>
      <c r="D1054" s="4" t="str">
        <f>_xlfn.XLOOKUP(B1054,syukujitsu[国民の祝日・休日月日],syukujitsu[国民の祝日・休日名称],"",0,1)</f>
        <v/>
      </c>
    </row>
    <row r="1055" spans="1:6">
      <c r="A1055" s="53">
        <f t="shared" si="185"/>
        <v>46526</v>
      </c>
      <c r="B1055" s="41">
        <f t="shared" si="186"/>
        <v>46526</v>
      </c>
      <c r="C1055" s="42" t="str">
        <f t="shared" si="187"/>
        <v>第3  水曜日</v>
      </c>
      <c r="D1055" s="4" t="str">
        <f>_xlfn.XLOOKUP(B1055,syukujitsu[国民の祝日・休日月日],syukujitsu[国民の祝日・休日名称],"",0,1)</f>
        <v/>
      </c>
    </row>
    <row r="1056" spans="1:6">
      <c r="A1056" s="53">
        <f t="shared" ref="A1056:A1119" si="188">B1056</f>
        <v>46527</v>
      </c>
      <c r="B1056" s="41">
        <f t="shared" si="186"/>
        <v>46527</v>
      </c>
      <c r="C1056" s="42" t="str">
        <f t="shared" si="187"/>
        <v>第3  木曜日</v>
      </c>
      <c r="D1056" s="4" t="str">
        <f>_xlfn.XLOOKUP(B1056,syukujitsu[国民の祝日・休日月日],syukujitsu[国民の祝日・休日名称],"",0,1)</f>
        <v/>
      </c>
    </row>
    <row r="1057" spans="1:4">
      <c r="A1057" s="53">
        <f t="shared" si="188"/>
        <v>46528</v>
      </c>
      <c r="B1057" s="41">
        <f t="shared" si="186"/>
        <v>46528</v>
      </c>
      <c r="C1057" s="42" t="str">
        <f t="shared" si="187"/>
        <v>第3  金曜日</v>
      </c>
      <c r="D1057" s="4" t="str">
        <f>_xlfn.XLOOKUP(B1057,syukujitsu[国民の祝日・休日月日],syukujitsu[国民の祝日・休日名称],"",0,1)</f>
        <v/>
      </c>
    </row>
    <row r="1058" spans="1:4">
      <c r="A1058" s="53">
        <f t="shared" si="188"/>
        <v>46529</v>
      </c>
      <c r="B1058" s="41">
        <f t="shared" si="186"/>
        <v>46529</v>
      </c>
      <c r="C1058" s="42" t="str">
        <f t="shared" si="187"/>
        <v>第4  土曜日</v>
      </c>
      <c r="D1058" s="4" t="str">
        <f>_xlfn.XLOOKUP(B1058,syukujitsu[国民の祝日・休日月日],syukujitsu[国民の祝日・休日名称],"",0,1)</f>
        <v/>
      </c>
    </row>
    <row r="1059" spans="1:4">
      <c r="A1059" s="53">
        <f t="shared" si="188"/>
        <v>46530</v>
      </c>
      <c r="B1059" s="41">
        <f t="shared" si="186"/>
        <v>46530</v>
      </c>
      <c r="C1059" s="42" t="str">
        <f t="shared" si="187"/>
        <v>第4  日曜日</v>
      </c>
      <c r="D1059" s="4" t="str">
        <f>_xlfn.XLOOKUP(B1059,syukujitsu[国民の祝日・休日月日],syukujitsu[国民の祝日・休日名称],"",0,1)</f>
        <v/>
      </c>
    </row>
    <row r="1060" spans="1:4">
      <c r="A1060" s="53">
        <f t="shared" si="188"/>
        <v>46531</v>
      </c>
      <c r="B1060" s="41">
        <f t="shared" si="186"/>
        <v>46531</v>
      </c>
      <c r="C1060" s="42" t="str">
        <f t="shared" si="187"/>
        <v>第4  月曜日</v>
      </c>
      <c r="D1060" s="4" t="str">
        <f>_xlfn.XLOOKUP(B1060,syukujitsu[国民の祝日・休日月日],syukujitsu[国民の祝日・休日名称],"",0,1)</f>
        <v/>
      </c>
    </row>
    <row r="1061" spans="1:4">
      <c r="A1061" s="53">
        <f t="shared" si="188"/>
        <v>46532</v>
      </c>
      <c r="B1061" s="41">
        <f t="shared" si="186"/>
        <v>46532</v>
      </c>
      <c r="C1061" s="42" t="str">
        <f t="shared" si="187"/>
        <v>第4  火曜日</v>
      </c>
      <c r="D1061" s="4" t="str">
        <f>_xlfn.XLOOKUP(B1061,syukujitsu[国民の祝日・休日月日],syukujitsu[国民の祝日・休日名称],"",0,1)</f>
        <v/>
      </c>
    </row>
    <row r="1062" spans="1:4">
      <c r="A1062" s="53">
        <f t="shared" si="188"/>
        <v>46533</v>
      </c>
      <c r="B1062" s="41">
        <f t="shared" si="186"/>
        <v>46533</v>
      </c>
      <c r="C1062" s="42" t="str">
        <f t="shared" si="187"/>
        <v>第4  水曜日</v>
      </c>
      <c r="D1062" s="4" t="str">
        <f>_xlfn.XLOOKUP(B1062,syukujitsu[国民の祝日・休日月日],syukujitsu[国民の祝日・休日名称],"",0,1)</f>
        <v/>
      </c>
    </row>
    <row r="1063" spans="1:4">
      <c r="A1063" s="53">
        <f t="shared" si="188"/>
        <v>46534</v>
      </c>
      <c r="B1063" s="41">
        <f t="shared" si="186"/>
        <v>46534</v>
      </c>
      <c r="C1063" s="42" t="str">
        <f t="shared" si="187"/>
        <v>第4  木曜日</v>
      </c>
      <c r="D1063" s="4" t="str">
        <f>_xlfn.XLOOKUP(B1063,syukujitsu[国民の祝日・休日月日],syukujitsu[国民の祝日・休日名称],"",0,1)</f>
        <v/>
      </c>
    </row>
    <row r="1064" spans="1:4">
      <c r="A1064" s="53">
        <f t="shared" si="188"/>
        <v>46535</v>
      </c>
      <c r="B1064" s="41">
        <f t="shared" si="186"/>
        <v>46535</v>
      </c>
      <c r="C1064" s="42" t="str">
        <f t="shared" si="187"/>
        <v>第4  金曜日</v>
      </c>
      <c r="D1064" s="4" t="str">
        <f>_xlfn.XLOOKUP(B1064,syukujitsu[国民の祝日・休日月日],syukujitsu[国民の祝日・休日名称],"",0,1)</f>
        <v/>
      </c>
    </row>
    <row r="1065" spans="1:4">
      <c r="A1065" s="53">
        <f t="shared" si="188"/>
        <v>46536</v>
      </c>
      <c r="B1065" s="41">
        <f t="shared" si="186"/>
        <v>46536</v>
      </c>
      <c r="C1065" s="42" t="str">
        <f t="shared" si="187"/>
        <v>第5  土曜日</v>
      </c>
      <c r="D1065" s="4" t="str">
        <f>_xlfn.XLOOKUP(B1065,syukujitsu[国民の祝日・休日月日],syukujitsu[国民の祝日・休日名称],"",0,1)</f>
        <v/>
      </c>
    </row>
    <row r="1066" spans="1:4">
      <c r="A1066" s="53">
        <f t="shared" si="188"/>
        <v>46537</v>
      </c>
      <c r="B1066" s="41">
        <f t="shared" si="186"/>
        <v>46537</v>
      </c>
      <c r="C1066" s="42" t="str">
        <f t="shared" si="187"/>
        <v>第5  日曜日</v>
      </c>
      <c r="D1066" s="4" t="str">
        <f>_xlfn.XLOOKUP(B1066,syukujitsu[国民の祝日・休日月日],syukujitsu[国民の祝日・休日名称],"",0,1)</f>
        <v/>
      </c>
    </row>
    <row r="1067" spans="1:4">
      <c r="A1067" s="53">
        <f t="shared" si="188"/>
        <v>46538</v>
      </c>
      <c r="B1067" s="41">
        <f t="shared" si="186"/>
        <v>46538</v>
      </c>
      <c r="C1067" s="42" t="str">
        <f t="shared" si="187"/>
        <v>第5  月曜日</v>
      </c>
      <c r="D1067" s="4" t="str">
        <f>_xlfn.XLOOKUP(B1067,syukujitsu[国民の祝日・休日月日],syukujitsu[国民の祝日・休日名称],"",0,1)</f>
        <v/>
      </c>
    </row>
    <row r="1068" spans="1:4">
      <c r="A1068" s="53">
        <f t="shared" si="188"/>
        <v>46539</v>
      </c>
      <c r="B1068" s="41">
        <f t="shared" si="186"/>
        <v>46539</v>
      </c>
      <c r="C1068" s="42" t="str">
        <f t="shared" si="187"/>
        <v>第1  火曜日</v>
      </c>
      <c r="D1068" s="4" t="str">
        <f>_xlfn.XLOOKUP(B1068,syukujitsu[国民の祝日・休日月日],syukujitsu[国民の祝日・休日名称],"",0,1)</f>
        <v/>
      </c>
    </row>
    <row r="1069" spans="1:4">
      <c r="A1069" s="53">
        <f t="shared" si="188"/>
        <v>46540</v>
      </c>
      <c r="B1069" s="41">
        <f t="shared" si="186"/>
        <v>46540</v>
      </c>
      <c r="C1069" s="42" t="str">
        <f t="shared" si="187"/>
        <v>第1  水曜日</v>
      </c>
      <c r="D1069" s="4" t="str">
        <f>_xlfn.XLOOKUP(B1069,syukujitsu[国民の祝日・休日月日],syukujitsu[国民の祝日・休日名称],"",0,1)</f>
        <v/>
      </c>
    </row>
    <row r="1070" spans="1:4">
      <c r="A1070" s="53">
        <f t="shared" si="188"/>
        <v>46541</v>
      </c>
      <c r="B1070" s="41">
        <f t="shared" si="186"/>
        <v>46541</v>
      </c>
      <c r="C1070" s="42" t="str">
        <f t="shared" si="187"/>
        <v>第1  木曜日</v>
      </c>
      <c r="D1070" s="4" t="str">
        <f>_xlfn.XLOOKUP(B1070,syukujitsu[国民の祝日・休日月日],syukujitsu[国民の祝日・休日名称],"",0,1)</f>
        <v/>
      </c>
    </row>
    <row r="1071" spans="1:4">
      <c r="A1071" s="53">
        <f t="shared" si="188"/>
        <v>46542</v>
      </c>
      <c r="B1071" s="41">
        <f t="shared" si="186"/>
        <v>46542</v>
      </c>
      <c r="C1071" s="42" t="str">
        <f t="shared" si="187"/>
        <v>第1  金曜日</v>
      </c>
      <c r="D1071" s="4" t="str">
        <f>_xlfn.XLOOKUP(B1071,syukujitsu[国民の祝日・休日月日],syukujitsu[国民の祝日・休日名称],"",0,1)</f>
        <v/>
      </c>
    </row>
    <row r="1072" spans="1:4">
      <c r="A1072" s="53">
        <f t="shared" si="188"/>
        <v>46543</v>
      </c>
      <c r="B1072" s="41">
        <f t="shared" si="186"/>
        <v>46543</v>
      </c>
      <c r="C1072" s="42" t="str">
        <f t="shared" si="187"/>
        <v>第1  土曜日</v>
      </c>
      <c r="D1072" s="4" t="str">
        <f>_xlfn.XLOOKUP(B1072,syukujitsu[国民の祝日・休日月日],syukujitsu[国民の祝日・休日名称],"",0,1)</f>
        <v/>
      </c>
    </row>
    <row r="1073" spans="1:4">
      <c r="A1073" s="53">
        <f t="shared" si="188"/>
        <v>46544</v>
      </c>
      <c r="B1073" s="41">
        <f t="shared" si="186"/>
        <v>46544</v>
      </c>
      <c r="C1073" s="42" t="str">
        <f t="shared" si="187"/>
        <v>第1  日曜日</v>
      </c>
      <c r="D1073" s="4" t="str">
        <f>_xlfn.XLOOKUP(B1073,syukujitsu[国民の祝日・休日月日],syukujitsu[国民の祝日・休日名称],"",0,1)</f>
        <v/>
      </c>
    </row>
    <row r="1074" spans="1:4">
      <c r="A1074" s="53">
        <f t="shared" si="188"/>
        <v>46545</v>
      </c>
      <c r="B1074" s="41">
        <f t="shared" si="186"/>
        <v>46545</v>
      </c>
      <c r="C1074" s="42" t="str">
        <f t="shared" si="187"/>
        <v>第1  月曜日</v>
      </c>
      <c r="D1074" s="4" t="str">
        <f>_xlfn.XLOOKUP(B1074,syukujitsu[国民の祝日・休日月日],syukujitsu[国民の祝日・休日名称],"",0,1)</f>
        <v/>
      </c>
    </row>
    <row r="1075" spans="1:4">
      <c r="A1075" s="53">
        <f t="shared" si="188"/>
        <v>46546</v>
      </c>
      <c r="B1075" s="41">
        <f t="shared" si="186"/>
        <v>46546</v>
      </c>
      <c r="C1075" s="42" t="str">
        <f t="shared" si="187"/>
        <v>第2  火曜日</v>
      </c>
      <c r="D1075" s="4" t="str">
        <f>_xlfn.XLOOKUP(B1075,syukujitsu[国民の祝日・休日月日],syukujitsu[国民の祝日・休日名称],"",0,1)</f>
        <v/>
      </c>
    </row>
    <row r="1076" spans="1:4">
      <c r="A1076" s="53">
        <f t="shared" si="188"/>
        <v>46547</v>
      </c>
      <c r="B1076" s="41">
        <f t="shared" si="186"/>
        <v>46547</v>
      </c>
      <c r="C1076" s="42" t="str">
        <f t="shared" si="187"/>
        <v>第2  水曜日</v>
      </c>
      <c r="D1076" s="4" t="str">
        <f>_xlfn.XLOOKUP(B1076,syukujitsu[国民の祝日・休日月日],syukujitsu[国民の祝日・休日名称],"",0,1)</f>
        <v/>
      </c>
    </row>
    <row r="1077" spans="1:4">
      <c r="A1077" s="53">
        <f t="shared" si="188"/>
        <v>46548</v>
      </c>
      <c r="B1077" s="41">
        <f t="shared" si="186"/>
        <v>46548</v>
      </c>
      <c r="C1077" s="42" t="str">
        <f t="shared" si="187"/>
        <v>第2  木曜日</v>
      </c>
      <c r="D1077" s="4" t="str">
        <f>_xlfn.XLOOKUP(B1077,syukujitsu[国民の祝日・休日月日],syukujitsu[国民の祝日・休日名称],"",0,1)</f>
        <v/>
      </c>
    </row>
    <row r="1078" spans="1:4">
      <c r="A1078" s="53">
        <f t="shared" si="188"/>
        <v>46549</v>
      </c>
      <c r="B1078" s="41">
        <f t="shared" si="186"/>
        <v>46549</v>
      </c>
      <c r="C1078" s="42" t="str">
        <f t="shared" si="187"/>
        <v>第2  金曜日</v>
      </c>
      <c r="D1078" s="4" t="str">
        <f>_xlfn.XLOOKUP(B1078,syukujitsu[国民の祝日・休日月日],syukujitsu[国民の祝日・休日名称],"",0,1)</f>
        <v/>
      </c>
    </row>
    <row r="1079" spans="1:4">
      <c r="A1079" s="53">
        <f t="shared" si="188"/>
        <v>46550</v>
      </c>
      <c r="B1079" s="41">
        <f t="shared" ref="B1079:B1142" si="189">B1078+1</f>
        <v>46550</v>
      </c>
      <c r="C1079" s="42" t="str">
        <f t="shared" si="187"/>
        <v>第2  土曜日</v>
      </c>
      <c r="D1079" s="4" t="str">
        <f>_xlfn.XLOOKUP(B1079,syukujitsu[国民の祝日・休日月日],syukujitsu[国民の祝日・休日名称],"",0,1)</f>
        <v/>
      </c>
    </row>
    <row r="1080" spans="1:4">
      <c r="A1080" s="53">
        <f t="shared" si="188"/>
        <v>46551</v>
      </c>
      <c r="B1080" s="41">
        <f t="shared" si="189"/>
        <v>46551</v>
      </c>
      <c r="C1080" s="42" t="str">
        <f t="shared" si="187"/>
        <v>第2  日曜日</v>
      </c>
      <c r="D1080" s="4" t="str">
        <f>_xlfn.XLOOKUP(B1080,syukujitsu[国民の祝日・休日月日],syukujitsu[国民の祝日・休日名称],"",0,1)</f>
        <v/>
      </c>
    </row>
    <row r="1081" spans="1:4">
      <c r="A1081" s="53">
        <f t="shared" si="188"/>
        <v>46552</v>
      </c>
      <c r="B1081" s="41">
        <f t="shared" si="189"/>
        <v>46552</v>
      </c>
      <c r="C1081" s="42" t="str">
        <f t="shared" si="187"/>
        <v>第2  月曜日</v>
      </c>
      <c r="D1081" s="4" t="str">
        <f>_xlfn.XLOOKUP(B1081,syukujitsu[国民の祝日・休日月日],syukujitsu[国民の祝日・休日名称],"",0,1)</f>
        <v/>
      </c>
    </row>
    <row r="1082" spans="1:4">
      <c r="A1082" s="53">
        <f t="shared" si="188"/>
        <v>46553</v>
      </c>
      <c r="B1082" s="41">
        <f t="shared" si="189"/>
        <v>46553</v>
      </c>
      <c r="C1082" s="42" t="str">
        <f t="shared" si="187"/>
        <v>第3  火曜日</v>
      </c>
      <c r="D1082" s="4" t="str">
        <f>_xlfn.XLOOKUP(B1082,syukujitsu[国民の祝日・休日月日],syukujitsu[国民の祝日・休日名称],"",0,1)</f>
        <v/>
      </c>
    </row>
    <row r="1083" spans="1:4">
      <c r="A1083" s="53">
        <f t="shared" si="188"/>
        <v>46554</v>
      </c>
      <c r="B1083" s="41">
        <f t="shared" si="189"/>
        <v>46554</v>
      </c>
      <c r="C1083" s="42" t="str">
        <f t="shared" si="187"/>
        <v>第3  水曜日</v>
      </c>
      <c r="D1083" s="4" t="str">
        <f>_xlfn.XLOOKUP(B1083,syukujitsu[国民の祝日・休日月日],syukujitsu[国民の祝日・休日名称],"",0,1)</f>
        <v/>
      </c>
    </row>
    <row r="1084" spans="1:4">
      <c r="A1084" s="53">
        <f t="shared" si="188"/>
        <v>46555</v>
      </c>
      <c r="B1084" s="41">
        <f t="shared" si="189"/>
        <v>46555</v>
      </c>
      <c r="C1084" s="42" t="str">
        <f t="shared" si="187"/>
        <v>第3  木曜日</v>
      </c>
      <c r="D1084" s="4" t="str">
        <f>_xlfn.XLOOKUP(B1084,syukujitsu[国民の祝日・休日月日],syukujitsu[国民の祝日・休日名称],"",0,1)</f>
        <v/>
      </c>
    </row>
    <row r="1085" spans="1:4">
      <c r="A1085" s="53">
        <f t="shared" si="188"/>
        <v>46556</v>
      </c>
      <c r="B1085" s="41">
        <f t="shared" si="189"/>
        <v>46556</v>
      </c>
      <c r="C1085" s="42" t="str">
        <f t="shared" si="187"/>
        <v>第3  金曜日</v>
      </c>
      <c r="D1085" s="4" t="str">
        <f>_xlfn.XLOOKUP(B1085,syukujitsu[国民の祝日・休日月日],syukujitsu[国民の祝日・休日名称],"",0,1)</f>
        <v/>
      </c>
    </row>
    <row r="1086" spans="1:4">
      <c r="A1086" s="53">
        <f t="shared" si="188"/>
        <v>46557</v>
      </c>
      <c r="B1086" s="41">
        <f t="shared" si="189"/>
        <v>46557</v>
      </c>
      <c r="C1086" s="42" t="str">
        <f t="shared" si="187"/>
        <v>第3  土曜日</v>
      </c>
      <c r="D1086" s="4" t="str">
        <f>_xlfn.XLOOKUP(B1086,syukujitsu[国民の祝日・休日月日],syukujitsu[国民の祝日・休日名称],"",0,1)</f>
        <v/>
      </c>
    </row>
    <row r="1087" spans="1:4">
      <c r="A1087" s="53">
        <f t="shared" si="188"/>
        <v>46558</v>
      </c>
      <c r="B1087" s="41">
        <f t="shared" si="189"/>
        <v>46558</v>
      </c>
      <c r="C1087" s="42" t="str">
        <f t="shared" si="187"/>
        <v>第3  日曜日</v>
      </c>
      <c r="D1087" s="4" t="str">
        <f>_xlfn.XLOOKUP(B1087,syukujitsu[国民の祝日・休日月日],syukujitsu[国民の祝日・休日名称],"",0,1)</f>
        <v/>
      </c>
    </row>
    <row r="1088" spans="1:4">
      <c r="A1088" s="53">
        <f t="shared" si="188"/>
        <v>46559</v>
      </c>
      <c r="B1088" s="41">
        <f t="shared" si="189"/>
        <v>46559</v>
      </c>
      <c r="C1088" s="42" t="str">
        <f t="shared" si="187"/>
        <v>第3  月曜日</v>
      </c>
      <c r="D1088" s="4" t="str">
        <f>_xlfn.XLOOKUP(B1088,syukujitsu[国民の祝日・休日月日],syukujitsu[国民の祝日・休日名称],"",0,1)</f>
        <v/>
      </c>
    </row>
    <row r="1089" spans="1:4">
      <c r="A1089" s="53">
        <f t="shared" si="188"/>
        <v>46560</v>
      </c>
      <c r="B1089" s="41">
        <f t="shared" si="189"/>
        <v>46560</v>
      </c>
      <c r="C1089" s="42" t="str">
        <f t="shared" si="187"/>
        <v>第4  火曜日</v>
      </c>
      <c r="D1089" s="4" t="str">
        <f>_xlfn.XLOOKUP(B1089,syukujitsu[国民の祝日・休日月日],syukujitsu[国民の祝日・休日名称],"",0,1)</f>
        <v/>
      </c>
    </row>
    <row r="1090" spans="1:4">
      <c r="A1090" s="53">
        <f t="shared" si="188"/>
        <v>46561</v>
      </c>
      <c r="B1090" s="41">
        <f t="shared" si="189"/>
        <v>46561</v>
      </c>
      <c r="C1090" s="42" t="str">
        <f t="shared" si="187"/>
        <v>第4  水曜日</v>
      </c>
      <c r="D1090" s="4" t="str">
        <f>_xlfn.XLOOKUP(B1090,syukujitsu[国民の祝日・休日月日],syukujitsu[国民の祝日・休日名称],"",0,1)</f>
        <v/>
      </c>
    </row>
    <row r="1091" spans="1:4">
      <c r="A1091" s="53">
        <f t="shared" si="188"/>
        <v>46562</v>
      </c>
      <c r="B1091" s="41">
        <f t="shared" si="189"/>
        <v>46562</v>
      </c>
      <c r="C1091" s="42" t="str">
        <f t="shared" si="187"/>
        <v>第4  木曜日</v>
      </c>
      <c r="D1091" s="4" t="str">
        <f>_xlfn.XLOOKUP(B1091,syukujitsu[国民の祝日・休日月日],syukujitsu[国民の祝日・休日名称],"",0,1)</f>
        <v/>
      </c>
    </row>
    <row r="1092" spans="1:4">
      <c r="A1092" s="53">
        <f t="shared" si="188"/>
        <v>46563</v>
      </c>
      <c r="B1092" s="41">
        <f t="shared" si="189"/>
        <v>46563</v>
      </c>
      <c r="C1092" s="42" t="str">
        <f t="shared" si="187"/>
        <v>第4  金曜日</v>
      </c>
      <c r="D1092" s="4" t="str">
        <f>_xlfn.XLOOKUP(B1092,syukujitsu[国民の祝日・休日月日],syukujitsu[国民の祝日・休日名称],"",0,1)</f>
        <v/>
      </c>
    </row>
    <row r="1093" spans="1:4">
      <c r="A1093" s="53">
        <f t="shared" si="188"/>
        <v>46564</v>
      </c>
      <c r="B1093" s="41">
        <f t="shared" si="189"/>
        <v>46564</v>
      </c>
      <c r="C1093" s="42" t="str">
        <f t="shared" si="187"/>
        <v>第4  土曜日</v>
      </c>
      <c r="D1093" s="4" t="str">
        <f>_xlfn.XLOOKUP(B1093,syukujitsu[国民の祝日・休日月日],syukujitsu[国民の祝日・休日名称],"",0,1)</f>
        <v/>
      </c>
    </row>
    <row r="1094" spans="1:4">
      <c r="A1094" s="53">
        <f t="shared" si="188"/>
        <v>46565</v>
      </c>
      <c r="B1094" s="41">
        <f t="shared" si="189"/>
        <v>46565</v>
      </c>
      <c r="C1094" s="42" t="str">
        <f t="shared" si="187"/>
        <v>第4  日曜日</v>
      </c>
      <c r="D1094" s="4" t="str">
        <f>_xlfn.XLOOKUP(B1094,syukujitsu[国民の祝日・休日月日],syukujitsu[国民の祝日・休日名称],"",0,1)</f>
        <v/>
      </c>
    </row>
    <row r="1095" spans="1:4">
      <c r="A1095" s="53">
        <f t="shared" si="188"/>
        <v>46566</v>
      </c>
      <c r="B1095" s="41">
        <f t="shared" si="189"/>
        <v>46566</v>
      </c>
      <c r="C1095" s="42" t="str">
        <f t="shared" si="187"/>
        <v>第4  月曜日</v>
      </c>
      <c r="D1095" s="4" t="str">
        <f>_xlfn.XLOOKUP(B1095,syukujitsu[国民の祝日・休日月日],syukujitsu[国民の祝日・休日名称],"",0,1)</f>
        <v/>
      </c>
    </row>
    <row r="1096" spans="1:4">
      <c r="A1096" s="53">
        <f t="shared" si="188"/>
        <v>46567</v>
      </c>
      <c r="B1096" s="41">
        <f t="shared" si="189"/>
        <v>46567</v>
      </c>
      <c r="C1096" s="42" t="str">
        <f t="shared" si="187"/>
        <v>第5  火曜日</v>
      </c>
      <c r="D1096" s="4" t="str">
        <f>_xlfn.XLOOKUP(B1096,syukujitsu[国民の祝日・休日月日],syukujitsu[国民の祝日・休日名称],"",0,1)</f>
        <v/>
      </c>
    </row>
    <row r="1097" spans="1:4">
      <c r="A1097" s="53">
        <f t="shared" si="188"/>
        <v>46568</v>
      </c>
      <c r="B1097" s="41">
        <f t="shared" si="189"/>
        <v>46568</v>
      </c>
      <c r="C1097" s="42" t="str">
        <f t="shared" si="187"/>
        <v>第5  水曜日</v>
      </c>
      <c r="D1097" s="4" t="str">
        <f>_xlfn.XLOOKUP(B1097,syukujitsu[国民の祝日・休日月日],syukujitsu[国民の祝日・休日名称],"",0,1)</f>
        <v/>
      </c>
    </row>
    <row r="1098" spans="1:4">
      <c r="A1098" s="53">
        <f t="shared" si="188"/>
        <v>46569</v>
      </c>
      <c r="B1098" s="41">
        <f t="shared" si="189"/>
        <v>46569</v>
      </c>
      <c r="C1098" s="42" t="str">
        <f t="shared" si="187"/>
        <v>第1  木曜日</v>
      </c>
      <c r="D1098" s="4" t="str">
        <f>_xlfn.XLOOKUP(B1098,syukujitsu[国民の祝日・休日月日],syukujitsu[国民の祝日・休日名称],"",0,1)</f>
        <v/>
      </c>
    </row>
    <row r="1099" spans="1:4">
      <c r="A1099" s="53">
        <f t="shared" si="188"/>
        <v>46570</v>
      </c>
      <c r="B1099" s="41">
        <f t="shared" si="189"/>
        <v>46570</v>
      </c>
      <c r="C1099" s="42" t="str">
        <f t="shared" si="187"/>
        <v>第1  金曜日</v>
      </c>
      <c r="D1099" s="4" t="str">
        <f>_xlfn.XLOOKUP(B1099,syukujitsu[国民の祝日・休日月日],syukujitsu[国民の祝日・休日名称],"",0,1)</f>
        <v/>
      </c>
    </row>
    <row r="1100" spans="1:4">
      <c r="A1100" s="53">
        <f t="shared" si="188"/>
        <v>46571</v>
      </c>
      <c r="B1100" s="41">
        <f t="shared" si="189"/>
        <v>46571</v>
      </c>
      <c r="C1100" s="42" t="str">
        <f t="shared" ref="C1100:C1163" si="190">"第"&amp;ROUNDUP(DAY(B1100)/7,0)  &amp;"  "&amp;TEXT(B1100,"aaaa")</f>
        <v>第1  土曜日</v>
      </c>
      <c r="D1100" s="4" t="str">
        <f>_xlfn.XLOOKUP(B1100,syukujitsu[国民の祝日・休日月日],syukujitsu[国民の祝日・休日名称],"",0,1)</f>
        <v/>
      </c>
    </row>
    <row r="1101" spans="1:4">
      <c r="A1101" s="53">
        <f t="shared" si="188"/>
        <v>46572</v>
      </c>
      <c r="B1101" s="41">
        <f t="shared" si="189"/>
        <v>46572</v>
      </c>
      <c r="C1101" s="42" t="str">
        <f t="shared" si="190"/>
        <v>第1  日曜日</v>
      </c>
      <c r="D1101" s="4" t="str">
        <f>_xlfn.XLOOKUP(B1101,syukujitsu[国民の祝日・休日月日],syukujitsu[国民の祝日・休日名称],"",0,1)</f>
        <v/>
      </c>
    </row>
    <row r="1102" spans="1:4">
      <c r="A1102" s="53">
        <f t="shared" si="188"/>
        <v>46573</v>
      </c>
      <c r="B1102" s="41">
        <f t="shared" si="189"/>
        <v>46573</v>
      </c>
      <c r="C1102" s="42" t="str">
        <f t="shared" si="190"/>
        <v>第1  月曜日</v>
      </c>
      <c r="D1102" s="4" t="str">
        <f>_xlfn.XLOOKUP(B1102,syukujitsu[国民の祝日・休日月日],syukujitsu[国民の祝日・休日名称],"",0,1)</f>
        <v/>
      </c>
    </row>
    <row r="1103" spans="1:4">
      <c r="A1103" s="53">
        <f t="shared" si="188"/>
        <v>46574</v>
      </c>
      <c r="B1103" s="41">
        <f t="shared" si="189"/>
        <v>46574</v>
      </c>
      <c r="C1103" s="42" t="str">
        <f t="shared" si="190"/>
        <v>第1  火曜日</v>
      </c>
      <c r="D1103" s="4" t="str">
        <f>_xlfn.XLOOKUP(B1103,syukujitsu[国民の祝日・休日月日],syukujitsu[国民の祝日・休日名称],"",0,1)</f>
        <v/>
      </c>
    </row>
    <row r="1104" spans="1:4">
      <c r="A1104" s="53">
        <f t="shared" si="188"/>
        <v>46575</v>
      </c>
      <c r="B1104" s="41">
        <f t="shared" si="189"/>
        <v>46575</v>
      </c>
      <c r="C1104" s="42" t="str">
        <f t="shared" si="190"/>
        <v>第1  水曜日</v>
      </c>
      <c r="D1104" s="4" t="str">
        <f>_xlfn.XLOOKUP(B1104,syukujitsu[国民の祝日・休日月日],syukujitsu[国民の祝日・休日名称],"",0,1)</f>
        <v/>
      </c>
    </row>
    <row r="1105" spans="1:4">
      <c r="A1105" s="53">
        <f t="shared" si="188"/>
        <v>46576</v>
      </c>
      <c r="B1105" s="41">
        <f t="shared" si="189"/>
        <v>46576</v>
      </c>
      <c r="C1105" s="42" t="str">
        <f t="shared" si="190"/>
        <v>第2  木曜日</v>
      </c>
      <c r="D1105" s="4" t="str">
        <f>_xlfn.XLOOKUP(B1105,syukujitsu[国民の祝日・休日月日],syukujitsu[国民の祝日・休日名称],"",0,1)</f>
        <v/>
      </c>
    </row>
    <row r="1106" spans="1:4">
      <c r="A1106" s="53">
        <f t="shared" si="188"/>
        <v>46577</v>
      </c>
      <c r="B1106" s="41">
        <f t="shared" si="189"/>
        <v>46577</v>
      </c>
      <c r="C1106" s="42" t="str">
        <f t="shared" si="190"/>
        <v>第2  金曜日</v>
      </c>
      <c r="D1106" s="4" t="str">
        <f>_xlfn.XLOOKUP(B1106,syukujitsu[国民の祝日・休日月日],syukujitsu[国民の祝日・休日名称],"",0,1)</f>
        <v/>
      </c>
    </row>
    <row r="1107" spans="1:4">
      <c r="A1107" s="53">
        <f t="shared" si="188"/>
        <v>46578</v>
      </c>
      <c r="B1107" s="41">
        <f t="shared" si="189"/>
        <v>46578</v>
      </c>
      <c r="C1107" s="42" t="str">
        <f t="shared" si="190"/>
        <v>第2  土曜日</v>
      </c>
      <c r="D1107" s="4" t="str">
        <f>_xlfn.XLOOKUP(B1107,syukujitsu[国民の祝日・休日月日],syukujitsu[国民の祝日・休日名称],"",0,1)</f>
        <v/>
      </c>
    </row>
    <row r="1108" spans="1:4">
      <c r="A1108" s="53">
        <f t="shared" si="188"/>
        <v>46579</v>
      </c>
      <c r="B1108" s="41">
        <f t="shared" si="189"/>
        <v>46579</v>
      </c>
      <c r="C1108" s="42" t="str">
        <f t="shared" si="190"/>
        <v>第2  日曜日</v>
      </c>
      <c r="D1108" s="4" t="str">
        <f>_xlfn.XLOOKUP(B1108,syukujitsu[国民の祝日・休日月日],syukujitsu[国民の祝日・休日名称],"",0,1)</f>
        <v/>
      </c>
    </row>
    <row r="1109" spans="1:4">
      <c r="A1109" s="53">
        <f t="shared" si="188"/>
        <v>46580</v>
      </c>
      <c r="B1109" s="41">
        <f t="shared" si="189"/>
        <v>46580</v>
      </c>
      <c r="C1109" s="42" t="str">
        <f t="shared" si="190"/>
        <v>第2  月曜日</v>
      </c>
      <c r="D1109" s="4" t="str">
        <f>_xlfn.XLOOKUP(B1109,syukujitsu[国民の祝日・休日月日],syukujitsu[国民の祝日・休日名称],"",0,1)</f>
        <v/>
      </c>
    </row>
    <row r="1110" spans="1:4">
      <c r="A1110" s="53">
        <f t="shared" si="188"/>
        <v>46581</v>
      </c>
      <c r="B1110" s="41">
        <f t="shared" si="189"/>
        <v>46581</v>
      </c>
      <c r="C1110" s="42" t="str">
        <f t="shared" si="190"/>
        <v>第2  火曜日</v>
      </c>
      <c r="D1110" s="4" t="str">
        <f>_xlfn.XLOOKUP(B1110,syukujitsu[国民の祝日・休日月日],syukujitsu[国民の祝日・休日名称],"",0,1)</f>
        <v/>
      </c>
    </row>
    <row r="1111" spans="1:4">
      <c r="A1111" s="53">
        <f t="shared" si="188"/>
        <v>46582</v>
      </c>
      <c r="B1111" s="41">
        <f t="shared" si="189"/>
        <v>46582</v>
      </c>
      <c r="C1111" s="42" t="str">
        <f t="shared" si="190"/>
        <v>第2  水曜日</v>
      </c>
      <c r="D1111" s="4" t="str">
        <f>_xlfn.XLOOKUP(B1111,syukujitsu[国民の祝日・休日月日],syukujitsu[国民の祝日・休日名称],"",0,1)</f>
        <v/>
      </c>
    </row>
    <row r="1112" spans="1:4">
      <c r="A1112" s="53">
        <f t="shared" si="188"/>
        <v>46583</v>
      </c>
      <c r="B1112" s="41">
        <f t="shared" si="189"/>
        <v>46583</v>
      </c>
      <c r="C1112" s="42" t="str">
        <f t="shared" si="190"/>
        <v>第3  木曜日</v>
      </c>
      <c r="D1112" s="4" t="str">
        <f>_xlfn.XLOOKUP(B1112,syukujitsu[国民の祝日・休日月日],syukujitsu[国民の祝日・休日名称],"",0,1)</f>
        <v/>
      </c>
    </row>
    <row r="1113" spans="1:4">
      <c r="A1113" s="53">
        <f t="shared" si="188"/>
        <v>46584</v>
      </c>
      <c r="B1113" s="41">
        <f t="shared" si="189"/>
        <v>46584</v>
      </c>
      <c r="C1113" s="42" t="str">
        <f t="shared" si="190"/>
        <v>第3  金曜日</v>
      </c>
      <c r="D1113" s="4" t="str">
        <f>_xlfn.XLOOKUP(B1113,syukujitsu[国民の祝日・休日月日],syukujitsu[国民の祝日・休日名称],"",0,1)</f>
        <v/>
      </c>
    </row>
    <row r="1114" spans="1:4">
      <c r="A1114" s="53">
        <f t="shared" si="188"/>
        <v>46585</v>
      </c>
      <c r="B1114" s="41">
        <f t="shared" si="189"/>
        <v>46585</v>
      </c>
      <c r="C1114" s="42" t="str">
        <f t="shared" si="190"/>
        <v>第3  土曜日</v>
      </c>
      <c r="D1114" s="4" t="str">
        <f>_xlfn.XLOOKUP(B1114,syukujitsu[国民の祝日・休日月日],syukujitsu[国民の祝日・休日名称],"",0,1)</f>
        <v/>
      </c>
    </row>
    <row r="1115" spans="1:4">
      <c r="A1115" s="53">
        <f t="shared" si="188"/>
        <v>46586</v>
      </c>
      <c r="B1115" s="41">
        <f t="shared" si="189"/>
        <v>46586</v>
      </c>
      <c r="C1115" s="42" t="str">
        <f t="shared" si="190"/>
        <v>第3  日曜日</v>
      </c>
      <c r="D1115" s="4" t="str">
        <f>_xlfn.XLOOKUP(B1115,syukujitsu[国民の祝日・休日月日],syukujitsu[国民の祝日・休日名称],"",0,1)</f>
        <v/>
      </c>
    </row>
    <row r="1116" spans="1:4">
      <c r="A1116" s="53">
        <f t="shared" si="188"/>
        <v>46587</v>
      </c>
      <c r="B1116" s="41">
        <f t="shared" si="189"/>
        <v>46587</v>
      </c>
      <c r="C1116" s="42" t="str">
        <f t="shared" si="190"/>
        <v>第3  月曜日</v>
      </c>
      <c r="D1116" s="4" t="str">
        <f>_xlfn.XLOOKUP(B1116,syukujitsu[国民の祝日・休日月日],syukujitsu[国民の祝日・休日名称],"",0,1)</f>
        <v>海の日</v>
      </c>
    </row>
    <row r="1117" spans="1:4">
      <c r="A1117" s="53">
        <f t="shared" si="188"/>
        <v>46588</v>
      </c>
      <c r="B1117" s="41">
        <f t="shared" si="189"/>
        <v>46588</v>
      </c>
      <c r="C1117" s="42" t="str">
        <f t="shared" si="190"/>
        <v>第3  火曜日</v>
      </c>
      <c r="D1117" s="4" t="str">
        <f>_xlfn.XLOOKUP(B1117,syukujitsu[国民の祝日・休日月日],syukujitsu[国民の祝日・休日名称],"",0,1)</f>
        <v/>
      </c>
    </row>
    <row r="1118" spans="1:4">
      <c r="A1118" s="53">
        <f t="shared" si="188"/>
        <v>46589</v>
      </c>
      <c r="B1118" s="41">
        <f t="shared" si="189"/>
        <v>46589</v>
      </c>
      <c r="C1118" s="42" t="str">
        <f t="shared" si="190"/>
        <v>第3  水曜日</v>
      </c>
      <c r="D1118" s="4" t="str">
        <f>_xlfn.XLOOKUP(B1118,syukujitsu[国民の祝日・休日月日],syukujitsu[国民の祝日・休日名称],"",0,1)</f>
        <v/>
      </c>
    </row>
    <row r="1119" spans="1:4">
      <c r="A1119" s="53">
        <f t="shared" si="188"/>
        <v>46590</v>
      </c>
      <c r="B1119" s="41">
        <f t="shared" si="189"/>
        <v>46590</v>
      </c>
      <c r="C1119" s="42" t="str">
        <f t="shared" si="190"/>
        <v>第4  木曜日</v>
      </c>
      <c r="D1119" s="4" t="str">
        <f>_xlfn.XLOOKUP(B1119,syukujitsu[国民の祝日・休日月日],syukujitsu[国民の祝日・休日名称],"",0,1)</f>
        <v/>
      </c>
    </row>
    <row r="1120" spans="1:4">
      <c r="A1120" s="53">
        <f t="shared" ref="A1120:A1183" si="191">B1120</f>
        <v>46591</v>
      </c>
      <c r="B1120" s="41">
        <f t="shared" si="189"/>
        <v>46591</v>
      </c>
      <c r="C1120" s="42" t="str">
        <f t="shared" si="190"/>
        <v>第4  金曜日</v>
      </c>
      <c r="D1120" s="4" t="str">
        <f>_xlfn.XLOOKUP(B1120,syukujitsu[国民の祝日・休日月日],syukujitsu[国民の祝日・休日名称],"",0,1)</f>
        <v/>
      </c>
    </row>
    <row r="1121" spans="1:4">
      <c r="A1121" s="53">
        <f t="shared" si="191"/>
        <v>46592</v>
      </c>
      <c r="B1121" s="41">
        <f t="shared" si="189"/>
        <v>46592</v>
      </c>
      <c r="C1121" s="42" t="str">
        <f t="shared" si="190"/>
        <v>第4  土曜日</v>
      </c>
      <c r="D1121" s="4" t="str">
        <f>_xlfn.XLOOKUP(B1121,syukujitsu[国民の祝日・休日月日],syukujitsu[国民の祝日・休日名称],"",0,1)</f>
        <v/>
      </c>
    </row>
    <row r="1122" spans="1:4">
      <c r="A1122" s="53">
        <f t="shared" si="191"/>
        <v>46593</v>
      </c>
      <c r="B1122" s="41">
        <f t="shared" si="189"/>
        <v>46593</v>
      </c>
      <c r="C1122" s="42" t="str">
        <f t="shared" si="190"/>
        <v>第4  日曜日</v>
      </c>
      <c r="D1122" s="4" t="str">
        <f>_xlfn.XLOOKUP(B1122,syukujitsu[国民の祝日・休日月日],syukujitsu[国民の祝日・休日名称],"",0,1)</f>
        <v/>
      </c>
    </row>
    <row r="1123" spans="1:4">
      <c r="A1123" s="53">
        <f t="shared" si="191"/>
        <v>46594</v>
      </c>
      <c r="B1123" s="41">
        <f t="shared" si="189"/>
        <v>46594</v>
      </c>
      <c r="C1123" s="42" t="str">
        <f t="shared" si="190"/>
        <v>第4  月曜日</v>
      </c>
      <c r="D1123" s="4" t="str">
        <f>_xlfn.XLOOKUP(B1123,syukujitsu[国民の祝日・休日月日],syukujitsu[国民の祝日・休日名称],"",0,1)</f>
        <v/>
      </c>
    </row>
    <row r="1124" spans="1:4">
      <c r="A1124" s="53">
        <f t="shared" si="191"/>
        <v>46595</v>
      </c>
      <c r="B1124" s="41">
        <f t="shared" si="189"/>
        <v>46595</v>
      </c>
      <c r="C1124" s="42" t="str">
        <f t="shared" si="190"/>
        <v>第4  火曜日</v>
      </c>
      <c r="D1124" s="4" t="str">
        <f>_xlfn.XLOOKUP(B1124,syukujitsu[国民の祝日・休日月日],syukujitsu[国民の祝日・休日名称],"",0,1)</f>
        <v/>
      </c>
    </row>
    <row r="1125" spans="1:4">
      <c r="A1125" s="53">
        <f t="shared" si="191"/>
        <v>46596</v>
      </c>
      <c r="B1125" s="41">
        <f t="shared" si="189"/>
        <v>46596</v>
      </c>
      <c r="C1125" s="42" t="str">
        <f t="shared" si="190"/>
        <v>第4  水曜日</v>
      </c>
      <c r="D1125" s="4" t="str">
        <f>_xlfn.XLOOKUP(B1125,syukujitsu[国民の祝日・休日月日],syukujitsu[国民の祝日・休日名称],"",0,1)</f>
        <v/>
      </c>
    </row>
    <row r="1126" spans="1:4">
      <c r="A1126" s="53">
        <f t="shared" si="191"/>
        <v>46597</v>
      </c>
      <c r="B1126" s="41">
        <f t="shared" si="189"/>
        <v>46597</v>
      </c>
      <c r="C1126" s="42" t="str">
        <f t="shared" si="190"/>
        <v>第5  木曜日</v>
      </c>
      <c r="D1126" s="4" t="str">
        <f>_xlfn.XLOOKUP(B1126,syukujitsu[国民の祝日・休日月日],syukujitsu[国民の祝日・休日名称],"",0,1)</f>
        <v/>
      </c>
    </row>
    <row r="1127" spans="1:4">
      <c r="A1127" s="53">
        <f t="shared" si="191"/>
        <v>46598</v>
      </c>
      <c r="B1127" s="41">
        <f t="shared" si="189"/>
        <v>46598</v>
      </c>
      <c r="C1127" s="42" t="str">
        <f t="shared" si="190"/>
        <v>第5  金曜日</v>
      </c>
      <c r="D1127" s="4" t="str">
        <f>_xlfn.XLOOKUP(B1127,syukujitsu[国民の祝日・休日月日],syukujitsu[国民の祝日・休日名称],"",0,1)</f>
        <v/>
      </c>
    </row>
    <row r="1128" spans="1:4">
      <c r="A1128" s="53">
        <f t="shared" si="191"/>
        <v>46599</v>
      </c>
      <c r="B1128" s="41">
        <f t="shared" si="189"/>
        <v>46599</v>
      </c>
      <c r="C1128" s="42" t="str">
        <f t="shared" si="190"/>
        <v>第5  土曜日</v>
      </c>
      <c r="D1128" s="4" t="str">
        <f>_xlfn.XLOOKUP(B1128,syukujitsu[国民の祝日・休日月日],syukujitsu[国民の祝日・休日名称],"",0,1)</f>
        <v/>
      </c>
    </row>
    <row r="1129" spans="1:4">
      <c r="A1129" s="53">
        <f t="shared" si="191"/>
        <v>46600</v>
      </c>
      <c r="B1129" s="41">
        <f t="shared" si="189"/>
        <v>46600</v>
      </c>
      <c r="C1129" s="42" t="str">
        <f t="shared" si="190"/>
        <v>第1  日曜日</v>
      </c>
      <c r="D1129" s="4" t="str">
        <f>_xlfn.XLOOKUP(B1129,syukujitsu[国民の祝日・休日月日],syukujitsu[国民の祝日・休日名称],"",0,1)</f>
        <v/>
      </c>
    </row>
    <row r="1130" spans="1:4">
      <c r="A1130" s="53">
        <f t="shared" si="191"/>
        <v>46601</v>
      </c>
      <c r="B1130" s="41">
        <f t="shared" si="189"/>
        <v>46601</v>
      </c>
      <c r="C1130" s="42" t="str">
        <f t="shared" si="190"/>
        <v>第1  月曜日</v>
      </c>
      <c r="D1130" s="4" t="str">
        <f>_xlfn.XLOOKUP(B1130,syukujitsu[国民の祝日・休日月日],syukujitsu[国民の祝日・休日名称],"",0,1)</f>
        <v/>
      </c>
    </row>
    <row r="1131" spans="1:4">
      <c r="A1131" s="53">
        <f t="shared" si="191"/>
        <v>46602</v>
      </c>
      <c r="B1131" s="41">
        <f t="shared" si="189"/>
        <v>46602</v>
      </c>
      <c r="C1131" s="42" t="str">
        <f t="shared" si="190"/>
        <v>第1  火曜日</v>
      </c>
      <c r="D1131" s="4" t="str">
        <f>_xlfn.XLOOKUP(B1131,syukujitsu[国民の祝日・休日月日],syukujitsu[国民の祝日・休日名称],"",0,1)</f>
        <v/>
      </c>
    </row>
    <row r="1132" spans="1:4">
      <c r="A1132" s="53">
        <f t="shared" si="191"/>
        <v>46603</v>
      </c>
      <c r="B1132" s="41">
        <f t="shared" si="189"/>
        <v>46603</v>
      </c>
      <c r="C1132" s="42" t="str">
        <f t="shared" si="190"/>
        <v>第1  水曜日</v>
      </c>
      <c r="D1132" s="4" t="str">
        <f>_xlfn.XLOOKUP(B1132,syukujitsu[国民の祝日・休日月日],syukujitsu[国民の祝日・休日名称],"",0,1)</f>
        <v/>
      </c>
    </row>
    <row r="1133" spans="1:4">
      <c r="A1133" s="53">
        <f t="shared" si="191"/>
        <v>46604</v>
      </c>
      <c r="B1133" s="41">
        <f t="shared" si="189"/>
        <v>46604</v>
      </c>
      <c r="C1133" s="42" t="str">
        <f t="shared" si="190"/>
        <v>第1  木曜日</v>
      </c>
      <c r="D1133" s="4" t="str">
        <f>_xlfn.XLOOKUP(B1133,syukujitsu[国民の祝日・休日月日],syukujitsu[国民の祝日・休日名称],"",0,1)</f>
        <v/>
      </c>
    </row>
    <row r="1134" spans="1:4">
      <c r="A1134" s="53">
        <f t="shared" si="191"/>
        <v>46605</v>
      </c>
      <c r="B1134" s="41">
        <f t="shared" si="189"/>
        <v>46605</v>
      </c>
      <c r="C1134" s="42" t="str">
        <f t="shared" si="190"/>
        <v>第1  金曜日</v>
      </c>
      <c r="D1134" s="4" t="str">
        <f>_xlfn.XLOOKUP(B1134,syukujitsu[国民の祝日・休日月日],syukujitsu[国民の祝日・休日名称],"",0,1)</f>
        <v/>
      </c>
    </row>
    <row r="1135" spans="1:4">
      <c r="A1135" s="53">
        <f t="shared" si="191"/>
        <v>46606</v>
      </c>
      <c r="B1135" s="41">
        <f t="shared" si="189"/>
        <v>46606</v>
      </c>
      <c r="C1135" s="42" t="str">
        <f t="shared" si="190"/>
        <v>第1  土曜日</v>
      </c>
      <c r="D1135" s="4" t="str">
        <f>_xlfn.XLOOKUP(B1135,syukujitsu[国民の祝日・休日月日],syukujitsu[国民の祝日・休日名称],"",0,1)</f>
        <v/>
      </c>
    </row>
    <row r="1136" spans="1:4">
      <c r="A1136" s="53">
        <f t="shared" si="191"/>
        <v>46607</v>
      </c>
      <c r="B1136" s="41">
        <f t="shared" si="189"/>
        <v>46607</v>
      </c>
      <c r="C1136" s="42" t="str">
        <f t="shared" si="190"/>
        <v>第2  日曜日</v>
      </c>
      <c r="D1136" s="4" t="str">
        <f>_xlfn.XLOOKUP(B1136,syukujitsu[国民の祝日・休日月日],syukujitsu[国民の祝日・休日名称],"",0,1)</f>
        <v/>
      </c>
    </row>
    <row r="1137" spans="1:4">
      <c r="A1137" s="53">
        <f t="shared" si="191"/>
        <v>46608</v>
      </c>
      <c r="B1137" s="41">
        <f t="shared" si="189"/>
        <v>46608</v>
      </c>
      <c r="C1137" s="42" t="str">
        <f t="shared" si="190"/>
        <v>第2  月曜日</v>
      </c>
      <c r="D1137" s="4" t="str">
        <f>_xlfn.XLOOKUP(B1137,syukujitsu[国民の祝日・休日月日],syukujitsu[国民の祝日・休日名称],"",0,1)</f>
        <v/>
      </c>
    </row>
    <row r="1138" spans="1:4">
      <c r="A1138" s="53">
        <f t="shared" si="191"/>
        <v>46609</v>
      </c>
      <c r="B1138" s="41">
        <f t="shared" si="189"/>
        <v>46609</v>
      </c>
      <c r="C1138" s="42" t="str">
        <f t="shared" si="190"/>
        <v>第2  火曜日</v>
      </c>
      <c r="D1138" s="4" t="str">
        <f>_xlfn.XLOOKUP(B1138,syukujitsu[国民の祝日・休日月日],syukujitsu[国民の祝日・休日名称],"",0,1)</f>
        <v/>
      </c>
    </row>
    <row r="1139" spans="1:4">
      <c r="A1139" s="53">
        <f t="shared" si="191"/>
        <v>46610</v>
      </c>
      <c r="B1139" s="41">
        <f t="shared" si="189"/>
        <v>46610</v>
      </c>
      <c r="C1139" s="42" t="str">
        <f t="shared" si="190"/>
        <v>第2  水曜日</v>
      </c>
      <c r="D1139" s="4" t="str">
        <f>_xlfn.XLOOKUP(B1139,syukujitsu[国民の祝日・休日月日],syukujitsu[国民の祝日・休日名称],"",0,1)</f>
        <v>山の日</v>
      </c>
    </row>
    <row r="1140" spans="1:4">
      <c r="A1140" s="53">
        <f t="shared" si="191"/>
        <v>46611</v>
      </c>
      <c r="B1140" s="41">
        <f t="shared" si="189"/>
        <v>46611</v>
      </c>
      <c r="C1140" s="42" t="str">
        <f t="shared" si="190"/>
        <v>第2  木曜日</v>
      </c>
      <c r="D1140" s="4" t="str">
        <f>_xlfn.XLOOKUP(B1140,syukujitsu[国民の祝日・休日月日],syukujitsu[国民の祝日・休日名称],"",0,1)</f>
        <v/>
      </c>
    </row>
    <row r="1141" spans="1:4">
      <c r="A1141" s="53">
        <f t="shared" si="191"/>
        <v>46612</v>
      </c>
      <c r="B1141" s="41">
        <f t="shared" si="189"/>
        <v>46612</v>
      </c>
      <c r="C1141" s="42" t="str">
        <f t="shared" si="190"/>
        <v>第2  金曜日</v>
      </c>
      <c r="D1141" s="4" t="str">
        <f>_xlfn.XLOOKUP(B1141,syukujitsu[国民の祝日・休日月日],syukujitsu[国民の祝日・休日名称],"",0,1)</f>
        <v/>
      </c>
    </row>
    <row r="1142" spans="1:4">
      <c r="A1142" s="53">
        <f t="shared" si="191"/>
        <v>46613</v>
      </c>
      <c r="B1142" s="41">
        <f t="shared" si="189"/>
        <v>46613</v>
      </c>
      <c r="C1142" s="42" t="str">
        <f t="shared" si="190"/>
        <v>第2  土曜日</v>
      </c>
      <c r="D1142" s="4" t="str">
        <f>_xlfn.XLOOKUP(B1142,syukujitsu[国民の祝日・休日月日],syukujitsu[国民の祝日・休日名称],"",0,1)</f>
        <v/>
      </c>
    </row>
    <row r="1143" spans="1:4">
      <c r="A1143" s="53">
        <f t="shared" si="191"/>
        <v>46614</v>
      </c>
      <c r="B1143" s="41">
        <f t="shared" ref="B1143:B1206" si="192">B1142+1</f>
        <v>46614</v>
      </c>
      <c r="C1143" s="42" t="str">
        <f t="shared" si="190"/>
        <v>第3  日曜日</v>
      </c>
      <c r="D1143" s="4" t="str">
        <f>_xlfn.XLOOKUP(B1143,syukujitsu[国民の祝日・休日月日],syukujitsu[国民の祝日・休日名称],"",0,1)</f>
        <v/>
      </c>
    </row>
    <row r="1144" spans="1:4">
      <c r="A1144" s="53">
        <f t="shared" si="191"/>
        <v>46615</v>
      </c>
      <c r="B1144" s="41">
        <f t="shared" si="192"/>
        <v>46615</v>
      </c>
      <c r="C1144" s="42" t="str">
        <f t="shared" si="190"/>
        <v>第3  月曜日</v>
      </c>
      <c r="D1144" s="4" t="str">
        <f>_xlfn.XLOOKUP(B1144,syukujitsu[国民の祝日・休日月日],syukujitsu[国民の祝日・休日名称],"",0,1)</f>
        <v/>
      </c>
    </row>
    <row r="1145" spans="1:4">
      <c r="A1145" s="53">
        <f t="shared" si="191"/>
        <v>46616</v>
      </c>
      <c r="B1145" s="41">
        <f t="shared" si="192"/>
        <v>46616</v>
      </c>
      <c r="C1145" s="42" t="str">
        <f t="shared" si="190"/>
        <v>第3  火曜日</v>
      </c>
      <c r="D1145" s="4" t="str">
        <f>_xlfn.XLOOKUP(B1145,syukujitsu[国民の祝日・休日月日],syukujitsu[国民の祝日・休日名称],"",0,1)</f>
        <v/>
      </c>
    </row>
    <row r="1146" spans="1:4">
      <c r="A1146" s="53">
        <f t="shared" si="191"/>
        <v>46617</v>
      </c>
      <c r="B1146" s="41">
        <f t="shared" si="192"/>
        <v>46617</v>
      </c>
      <c r="C1146" s="42" t="str">
        <f t="shared" si="190"/>
        <v>第3  水曜日</v>
      </c>
      <c r="D1146" s="4" t="str">
        <f>_xlfn.XLOOKUP(B1146,syukujitsu[国民の祝日・休日月日],syukujitsu[国民の祝日・休日名称],"",0,1)</f>
        <v/>
      </c>
    </row>
    <row r="1147" spans="1:4">
      <c r="A1147" s="53">
        <f t="shared" si="191"/>
        <v>46618</v>
      </c>
      <c r="B1147" s="41">
        <f t="shared" si="192"/>
        <v>46618</v>
      </c>
      <c r="C1147" s="42" t="str">
        <f t="shared" si="190"/>
        <v>第3  木曜日</v>
      </c>
      <c r="D1147" s="4" t="str">
        <f>_xlfn.XLOOKUP(B1147,syukujitsu[国民の祝日・休日月日],syukujitsu[国民の祝日・休日名称],"",0,1)</f>
        <v/>
      </c>
    </row>
    <row r="1148" spans="1:4">
      <c r="A1148" s="53">
        <f t="shared" si="191"/>
        <v>46619</v>
      </c>
      <c r="B1148" s="41">
        <f t="shared" si="192"/>
        <v>46619</v>
      </c>
      <c r="C1148" s="42" t="str">
        <f t="shared" si="190"/>
        <v>第3  金曜日</v>
      </c>
      <c r="D1148" s="4" t="str">
        <f>_xlfn.XLOOKUP(B1148,syukujitsu[国民の祝日・休日月日],syukujitsu[国民の祝日・休日名称],"",0,1)</f>
        <v/>
      </c>
    </row>
    <row r="1149" spans="1:4">
      <c r="A1149" s="53">
        <f t="shared" si="191"/>
        <v>46620</v>
      </c>
      <c r="B1149" s="41">
        <f t="shared" si="192"/>
        <v>46620</v>
      </c>
      <c r="C1149" s="42" t="str">
        <f t="shared" si="190"/>
        <v>第3  土曜日</v>
      </c>
      <c r="D1149" s="4" t="str">
        <f>_xlfn.XLOOKUP(B1149,syukujitsu[国民の祝日・休日月日],syukujitsu[国民の祝日・休日名称],"",0,1)</f>
        <v/>
      </c>
    </row>
    <row r="1150" spans="1:4">
      <c r="A1150" s="53">
        <f t="shared" si="191"/>
        <v>46621</v>
      </c>
      <c r="B1150" s="41">
        <f t="shared" si="192"/>
        <v>46621</v>
      </c>
      <c r="C1150" s="42" t="str">
        <f t="shared" si="190"/>
        <v>第4  日曜日</v>
      </c>
      <c r="D1150" s="4" t="str">
        <f>_xlfn.XLOOKUP(B1150,syukujitsu[国民の祝日・休日月日],syukujitsu[国民の祝日・休日名称],"",0,1)</f>
        <v/>
      </c>
    </row>
    <row r="1151" spans="1:4">
      <c r="A1151" s="53">
        <f t="shared" si="191"/>
        <v>46622</v>
      </c>
      <c r="B1151" s="41">
        <f t="shared" si="192"/>
        <v>46622</v>
      </c>
      <c r="C1151" s="42" t="str">
        <f t="shared" si="190"/>
        <v>第4  月曜日</v>
      </c>
      <c r="D1151" s="4" t="str">
        <f>_xlfn.XLOOKUP(B1151,syukujitsu[国民の祝日・休日月日],syukujitsu[国民の祝日・休日名称],"",0,1)</f>
        <v/>
      </c>
    </row>
    <row r="1152" spans="1:4">
      <c r="A1152" s="53">
        <f t="shared" si="191"/>
        <v>46623</v>
      </c>
      <c r="B1152" s="41">
        <f t="shared" si="192"/>
        <v>46623</v>
      </c>
      <c r="C1152" s="42" t="str">
        <f t="shared" si="190"/>
        <v>第4  火曜日</v>
      </c>
      <c r="D1152" s="4" t="str">
        <f>_xlfn.XLOOKUP(B1152,syukujitsu[国民の祝日・休日月日],syukujitsu[国民の祝日・休日名称],"",0,1)</f>
        <v/>
      </c>
    </row>
    <row r="1153" spans="1:4">
      <c r="A1153" s="53">
        <f t="shared" si="191"/>
        <v>46624</v>
      </c>
      <c r="B1153" s="41">
        <f t="shared" si="192"/>
        <v>46624</v>
      </c>
      <c r="C1153" s="42" t="str">
        <f t="shared" si="190"/>
        <v>第4  水曜日</v>
      </c>
      <c r="D1153" s="4" t="str">
        <f>_xlfn.XLOOKUP(B1153,syukujitsu[国民の祝日・休日月日],syukujitsu[国民の祝日・休日名称],"",0,1)</f>
        <v/>
      </c>
    </row>
    <row r="1154" spans="1:4">
      <c r="A1154" s="53">
        <f t="shared" si="191"/>
        <v>46625</v>
      </c>
      <c r="B1154" s="41">
        <f t="shared" si="192"/>
        <v>46625</v>
      </c>
      <c r="C1154" s="42" t="str">
        <f t="shared" si="190"/>
        <v>第4  木曜日</v>
      </c>
      <c r="D1154" s="4" t="str">
        <f>_xlfn.XLOOKUP(B1154,syukujitsu[国民の祝日・休日月日],syukujitsu[国民の祝日・休日名称],"",0,1)</f>
        <v/>
      </c>
    </row>
    <row r="1155" spans="1:4">
      <c r="A1155" s="53">
        <f t="shared" si="191"/>
        <v>46626</v>
      </c>
      <c r="B1155" s="41">
        <f t="shared" si="192"/>
        <v>46626</v>
      </c>
      <c r="C1155" s="42" t="str">
        <f t="shared" si="190"/>
        <v>第4  金曜日</v>
      </c>
      <c r="D1155" s="4" t="str">
        <f>_xlfn.XLOOKUP(B1155,syukujitsu[国民の祝日・休日月日],syukujitsu[国民の祝日・休日名称],"",0,1)</f>
        <v/>
      </c>
    </row>
    <row r="1156" spans="1:4">
      <c r="A1156" s="53">
        <f t="shared" si="191"/>
        <v>46627</v>
      </c>
      <c r="B1156" s="41">
        <f t="shared" si="192"/>
        <v>46627</v>
      </c>
      <c r="C1156" s="42" t="str">
        <f t="shared" si="190"/>
        <v>第4  土曜日</v>
      </c>
      <c r="D1156" s="4" t="str">
        <f>_xlfn.XLOOKUP(B1156,syukujitsu[国民の祝日・休日月日],syukujitsu[国民の祝日・休日名称],"",0,1)</f>
        <v/>
      </c>
    </row>
    <row r="1157" spans="1:4">
      <c r="A1157" s="53">
        <f t="shared" si="191"/>
        <v>46628</v>
      </c>
      <c r="B1157" s="41">
        <f t="shared" si="192"/>
        <v>46628</v>
      </c>
      <c r="C1157" s="42" t="str">
        <f t="shared" si="190"/>
        <v>第5  日曜日</v>
      </c>
      <c r="D1157" s="4" t="str">
        <f>_xlfn.XLOOKUP(B1157,syukujitsu[国民の祝日・休日月日],syukujitsu[国民の祝日・休日名称],"",0,1)</f>
        <v/>
      </c>
    </row>
    <row r="1158" spans="1:4">
      <c r="A1158" s="53">
        <f t="shared" si="191"/>
        <v>46629</v>
      </c>
      <c r="B1158" s="41">
        <f t="shared" si="192"/>
        <v>46629</v>
      </c>
      <c r="C1158" s="42" t="str">
        <f t="shared" si="190"/>
        <v>第5  月曜日</v>
      </c>
      <c r="D1158" s="4" t="str">
        <f>_xlfn.XLOOKUP(B1158,syukujitsu[国民の祝日・休日月日],syukujitsu[国民の祝日・休日名称],"",0,1)</f>
        <v/>
      </c>
    </row>
    <row r="1159" spans="1:4">
      <c r="A1159" s="53">
        <f t="shared" si="191"/>
        <v>46630</v>
      </c>
      <c r="B1159" s="41">
        <f t="shared" si="192"/>
        <v>46630</v>
      </c>
      <c r="C1159" s="42" t="str">
        <f t="shared" si="190"/>
        <v>第5  火曜日</v>
      </c>
      <c r="D1159" s="4" t="str">
        <f>_xlfn.XLOOKUP(B1159,syukujitsu[国民の祝日・休日月日],syukujitsu[国民の祝日・休日名称],"",0,1)</f>
        <v/>
      </c>
    </row>
    <row r="1160" spans="1:4">
      <c r="A1160" s="53">
        <f t="shared" si="191"/>
        <v>46631</v>
      </c>
      <c r="B1160" s="41">
        <f t="shared" si="192"/>
        <v>46631</v>
      </c>
      <c r="C1160" s="42" t="str">
        <f t="shared" si="190"/>
        <v>第1  水曜日</v>
      </c>
      <c r="D1160" s="4" t="str">
        <f>_xlfn.XLOOKUP(B1160,syukujitsu[国民の祝日・休日月日],syukujitsu[国民の祝日・休日名称],"",0,1)</f>
        <v/>
      </c>
    </row>
    <row r="1161" spans="1:4">
      <c r="A1161" s="53">
        <f t="shared" si="191"/>
        <v>46632</v>
      </c>
      <c r="B1161" s="41">
        <f t="shared" si="192"/>
        <v>46632</v>
      </c>
      <c r="C1161" s="42" t="str">
        <f t="shared" si="190"/>
        <v>第1  木曜日</v>
      </c>
      <c r="D1161" s="4" t="str">
        <f>_xlfn.XLOOKUP(B1161,syukujitsu[国民の祝日・休日月日],syukujitsu[国民の祝日・休日名称],"",0,1)</f>
        <v/>
      </c>
    </row>
    <row r="1162" spans="1:4">
      <c r="A1162" s="53">
        <f t="shared" si="191"/>
        <v>46633</v>
      </c>
      <c r="B1162" s="41">
        <f t="shared" si="192"/>
        <v>46633</v>
      </c>
      <c r="C1162" s="42" t="str">
        <f t="shared" si="190"/>
        <v>第1  金曜日</v>
      </c>
      <c r="D1162" s="4" t="str">
        <f>_xlfn.XLOOKUP(B1162,syukujitsu[国民の祝日・休日月日],syukujitsu[国民の祝日・休日名称],"",0,1)</f>
        <v/>
      </c>
    </row>
    <row r="1163" spans="1:4">
      <c r="A1163" s="53">
        <f t="shared" si="191"/>
        <v>46634</v>
      </c>
      <c r="B1163" s="41">
        <f t="shared" si="192"/>
        <v>46634</v>
      </c>
      <c r="C1163" s="42" t="str">
        <f t="shared" si="190"/>
        <v>第1  土曜日</v>
      </c>
      <c r="D1163" s="4" t="str">
        <f>_xlfn.XLOOKUP(B1163,syukujitsu[国民の祝日・休日月日],syukujitsu[国民の祝日・休日名称],"",0,1)</f>
        <v/>
      </c>
    </row>
    <row r="1164" spans="1:4">
      <c r="A1164" s="53">
        <f t="shared" si="191"/>
        <v>46635</v>
      </c>
      <c r="B1164" s="41">
        <f t="shared" si="192"/>
        <v>46635</v>
      </c>
      <c r="C1164" s="42" t="str">
        <f t="shared" ref="C1164:C1227" si="193">"第"&amp;ROUNDUP(DAY(B1164)/7,0)  &amp;"  "&amp;TEXT(B1164,"aaaa")</f>
        <v>第1  日曜日</v>
      </c>
      <c r="D1164" s="4" t="str">
        <f>_xlfn.XLOOKUP(B1164,syukujitsu[国民の祝日・休日月日],syukujitsu[国民の祝日・休日名称],"",0,1)</f>
        <v/>
      </c>
    </row>
    <row r="1165" spans="1:4">
      <c r="A1165" s="53">
        <f t="shared" si="191"/>
        <v>46636</v>
      </c>
      <c r="B1165" s="41">
        <f t="shared" si="192"/>
        <v>46636</v>
      </c>
      <c r="C1165" s="42" t="str">
        <f t="shared" si="193"/>
        <v>第1  月曜日</v>
      </c>
      <c r="D1165" s="4" t="str">
        <f>_xlfn.XLOOKUP(B1165,syukujitsu[国民の祝日・休日月日],syukujitsu[国民の祝日・休日名称],"",0,1)</f>
        <v/>
      </c>
    </row>
    <row r="1166" spans="1:4">
      <c r="A1166" s="53">
        <f t="shared" si="191"/>
        <v>46637</v>
      </c>
      <c r="B1166" s="41">
        <f t="shared" si="192"/>
        <v>46637</v>
      </c>
      <c r="C1166" s="42" t="str">
        <f t="shared" si="193"/>
        <v>第1  火曜日</v>
      </c>
      <c r="D1166" s="4" t="str">
        <f>_xlfn.XLOOKUP(B1166,syukujitsu[国民の祝日・休日月日],syukujitsu[国民の祝日・休日名称],"",0,1)</f>
        <v/>
      </c>
    </row>
    <row r="1167" spans="1:4">
      <c r="A1167" s="53">
        <f t="shared" si="191"/>
        <v>46638</v>
      </c>
      <c r="B1167" s="41">
        <f t="shared" si="192"/>
        <v>46638</v>
      </c>
      <c r="C1167" s="42" t="str">
        <f t="shared" si="193"/>
        <v>第2  水曜日</v>
      </c>
      <c r="D1167" s="4" t="str">
        <f>_xlfn.XLOOKUP(B1167,syukujitsu[国民の祝日・休日月日],syukujitsu[国民の祝日・休日名称],"",0,1)</f>
        <v/>
      </c>
    </row>
    <row r="1168" spans="1:4">
      <c r="A1168" s="53">
        <f t="shared" si="191"/>
        <v>46639</v>
      </c>
      <c r="B1168" s="41">
        <f t="shared" si="192"/>
        <v>46639</v>
      </c>
      <c r="C1168" s="42" t="str">
        <f t="shared" si="193"/>
        <v>第2  木曜日</v>
      </c>
      <c r="D1168" s="4" t="str">
        <f>_xlfn.XLOOKUP(B1168,syukujitsu[国民の祝日・休日月日],syukujitsu[国民の祝日・休日名称],"",0,1)</f>
        <v/>
      </c>
    </row>
    <row r="1169" spans="1:4">
      <c r="A1169" s="53">
        <f t="shared" si="191"/>
        <v>46640</v>
      </c>
      <c r="B1169" s="41">
        <f t="shared" si="192"/>
        <v>46640</v>
      </c>
      <c r="C1169" s="42" t="str">
        <f t="shared" si="193"/>
        <v>第2  金曜日</v>
      </c>
      <c r="D1169" s="4" t="str">
        <f>_xlfn.XLOOKUP(B1169,syukujitsu[国民の祝日・休日月日],syukujitsu[国民の祝日・休日名称],"",0,1)</f>
        <v/>
      </c>
    </row>
    <row r="1170" spans="1:4">
      <c r="A1170" s="53">
        <f t="shared" si="191"/>
        <v>46641</v>
      </c>
      <c r="B1170" s="41">
        <f t="shared" si="192"/>
        <v>46641</v>
      </c>
      <c r="C1170" s="42" t="str">
        <f t="shared" si="193"/>
        <v>第2  土曜日</v>
      </c>
      <c r="D1170" s="4" t="str">
        <f>_xlfn.XLOOKUP(B1170,syukujitsu[国民の祝日・休日月日],syukujitsu[国民の祝日・休日名称],"",0,1)</f>
        <v/>
      </c>
    </row>
    <row r="1171" spans="1:4">
      <c r="A1171" s="53">
        <f t="shared" si="191"/>
        <v>46642</v>
      </c>
      <c r="B1171" s="41">
        <f t="shared" si="192"/>
        <v>46642</v>
      </c>
      <c r="C1171" s="42" t="str">
        <f t="shared" si="193"/>
        <v>第2  日曜日</v>
      </c>
      <c r="D1171" s="4" t="str">
        <f>_xlfn.XLOOKUP(B1171,syukujitsu[国民の祝日・休日月日],syukujitsu[国民の祝日・休日名称],"",0,1)</f>
        <v/>
      </c>
    </row>
    <row r="1172" spans="1:4">
      <c r="A1172" s="53">
        <f t="shared" si="191"/>
        <v>46643</v>
      </c>
      <c r="B1172" s="41">
        <f t="shared" si="192"/>
        <v>46643</v>
      </c>
      <c r="C1172" s="42" t="str">
        <f t="shared" si="193"/>
        <v>第2  月曜日</v>
      </c>
      <c r="D1172" s="4" t="str">
        <f>_xlfn.XLOOKUP(B1172,syukujitsu[国民の祝日・休日月日],syukujitsu[国民の祝日・休日名称],"",0,1)</f>
        <v/>
      </c>
    </row>
    <row r="1173" spans="1:4">
      <c r="A1173" s="53">
        <f t="shared" si="191"/>
        <v>46644</v>
      </c>
      <c r="B1173" s="41">
        <f t="shared" si="192"/>
        <v>46644</v>
      </c>
      <c r="C1173" s="42" t="str">
        <f t="shared" si="193"/>
        <v>第2  火曜日</v>
      </c>
      <c r="D1173" s="4" t="str">
        <f>_xlfn.XLOOKUP(B1173,syukujitsu[国民の祝日・休日月日],syukujitsu[国民の祝日・休日名称],"",0,1)</f>
        <v/>
      </c>
    </row>
    <row r="1174" spans="1:4">
      <c r="A1174" s="53">
        <f t="shared" si="191"/>
        <v>46645</v>
      </c>
      <c r="B1174" s="41">
        <f t="shared" si="192"/>
        <v>46645</v>
      </c>
      <c r="C1174" s="42" t="str">
        <f t="shared" si="193"/>
        <v>第3  水曜日</v>
      </c>
      <c r="D1174" s="4" t="str">
        <f>_xlfn.XLOOKUP(B1174,syukujitsu[国民の祝日・休日月日],syukujitsu[国民の祝日・休日名称],"",0,1)</f>
        <v/>
      </c>
    </row>
    <row r="1175" spans="1:4">
      <c r="A1175" s="53">
        <f t="shared" si="191"/>
        <v>46646</v>
      </c>
      <c r="B1175" s="41">
        <f t="shared" si="192"/>
        <v>46646</v>
      </c>
      <c r="C1175" s="42" t="str">
        <f t="shared" si="193"/>
        <v>第3  木曜日</v>
      </c>
      <c r="D1175" s="4" t="str">
        <f>_xlfn.XLOOKUP(B1175,syukujitsu[国民の祝日・休日月日],syukujitsu[国民の祝日・休日名称],"",0,1)</f>
        <v/>
      </c>
    </row>
    <row r="1176" spans="1:4">
      <c r="A1176" s="53">
        <f t="shared" si="191"/>
        <v>46647</v>
      </c>
      <c r="B1176" s="41">
        <f t="shared" si="192"/>
        <v>46647</v>
      </c>
      <c r="C1176" s="42" t="str">
        <f t="shared" si="193"/>
        <v>第3  金曜日</v>
      </c>
      <c r="D1176" s="4" t="str">
        <f>_xlfn.XLOOKUP(B1176,syukujitsu[国民の祝日・休日月日],syukujitsu[国民の祝日・休日名称],"",0,1)</f>
        <v/>
      </c>
    </row>
    <row r="1177" spans="1:4">
      <c r="A1177" s="53">
        <f t="shared" si="191"/>
        <v>46648</v>
      </c>
      <c r="B1177" s="41">
        <f t="shared" si="192"/>
        <v>46648</v>
      </c>
      <c r="C1177" s="42" t="str">
        <f t="shared" si="193"/>
        <v>第3  土曜日</v>
      </c>
      <c r="D1177" s="4" t="str">
        <f>_xlfn.XLOOKUP(B1177,syukujitsu[国民の祝日・休日月日],syukujitsu[国民の祝日・休日名称],"",0,1)</f>
        <v/>
      </c>
    </row>
    <row r="1178" spans="1:4">
      <c r="A1178" s="53">
        <f t="shared" si="191"/>
        <v>46649</v>
      </c>
      <c r="B1178" s="41">
        <f t="shared" si="192"/>
        <v>46649</v>
      </c>
      <c r="C1178" s="42" t="str">
        <f t="shared" si="193"/>
        <v>第3  日曜日</v>
      </c>
      <c r="D1178" s="4" t="str">
        <f>_xlfn.XLOOKUP(B1178,syukujitsu[国民の祝日・休日月日],syukujitsu[国民の祝日・休日名称],"",0,1)</f>
        <v/>
      </c>
    </row>
    <row r="1179" spans="1:4">
      <c r="A1179" s="53">
        <f t="shared" si="191"/>
        <v>46650</v>
      </c>
      <c r="B1179" s="41">
        <f t="shared" si="192"/>
        <v>46650</v>
      </c>
      <c r="C1179" s="42" t="str">
        <f t="shared" si="193"/>
        <v>第3  月曜日</v>
      </c>
      <c r="D1179" s="4" t="str">
        <f>_xlfn.XLOOKUP(B1179,syukujitsu[国民の祝日・休日月日],syukujitsu[国民の祝日・休日名称],"",0,1)</f>
        <v>敬老の日</v>
      </c>
    </row>
    <row r="1180" spans="1:4">
      <c r="A1180" s="53">
        <f t="shared" si="191"/>
        <v>46651</v>
      </c>
      <c r="B1180" s="41">
        <f t="shared" si="192"/>
        <v>46651</v>
      </c>
      <c r="C1180" s="42" t="str">
        <f t="shared" si="193"/>
        <v>第3  火曜日</v>
      </c>
      <c r="D1180" s="4" t="str">
        <f>_xlfn.XLOOKUP(B1180,syukujitsu[国民の祝日・休日月日],syukujitsu[国民の祝日・休日名称],"",0,1)</f>
        <v/>
      </c>
    </row>
    <row r="1181" spans="1:4">
      <c r="A1181" s="53">
        <f t="shared" si="191"/>
        <v>46652</v>
      </c>
      <c r="B1181" s="41">
        <f t="shared" si="192"/>
        <v>46652</v>
      </c>
      <c r="C1181" s="42" t="str">
        <f t="shared" si="193"/>
        <v>第4  水曜日</v>
      </c>
      <c r="D1181" s="4" t="str">
        <f>_xlfn.XLOOKUP(B1181,syukujitsu[国民の祝日・休日月日],syukujitsu[国民の祝日・休日名称],"",0,1)</f>
        <v/>
      </c>
    </row>
    <row r="1182" spans="1:4">
      <c r="A1182" s="53">
        <f t="shared" si="191"/>
        <v>46653</v>
      </c>
      <c r="B1182" s="41">
        <f t="shared" si="192"/>
        <v>46653</v>
      </c>
      <c r="C1182" s="42" t="str">
        <f t="shared" si="193"/>
        <v>第4  木曜日</v>
      </c>
      <c r="D1182" s="4" t="str">
        <f>_xlfn.XLOOKUP(B1182,syukujitsu[国民の祝日・休日月日],syukujitsu[国民の祝日・休日名称],"",0,1)</f>
        <v>秋分の日</v>
      </c>
    </row>
    <row r="1183" spans="1:4">
      <c r="A1183" s="53">
        <f t="shared" si="191"/>
        <v>46654</v>
      </c>
      <c r="B1183" s="41">
        <f t="shared" si="192"/>
        <v>46654</v>
      </c>
      <c r="C1183" s="42" t="str">
        <f t="shared" si="193"/>
        <v>第4  金曜日</v>
      </c>
      <c r="D1183" s="4" t="str">
        <f>_xlfn.XLOOKUP(B1183,syukujitsu[国民の祝日・休日月日],syukujitsu[国民の祝日・休日名称],"",0,1)</f>
        <v/>
      </c>
    </row>
    <row r="1184" spans="1:4">
      <c r="A1184" s="53">
        <f t="shared" ref="A1184:A1247" si="194">B1184</f>
        <v>46655</v>
      </c>
      <c r="B1184" s="41">
        <f t="shared" si="192"/>
        <v>46655</v>
      </c>
      <c r="C1184" s="42" t="str">
        <f t="shared" si="193"/>
        <v>第4  土曜日</v>
      </c>
      <c r="D1184" s="4" t="str">
        <f>_xlfn.XLOOKUP(B1184,syukujitsu[国民の祝日・休日月日],syukujitsu[国民の祝日・休日名称],"",0,1)</f>
        <v/>
      </c>
    </row>
    <row r="1185" spans="1:4">
      <c r="A1185" s="53">
        <f t="shared" si="194"/>
        <v>46656</v>
      </c>
      <c r="B1185" s="41">
        <f t="shared" si="192"/>
        <v>46656</v>
      </c>
      <c r="C1185" s="42" t="str">
        <f t="shared" si="193"/>
        <v>第4  日曜日</v>
      </c>
      <c r="D1185" s="4" t="str">
        <f>_xlfn.XLOOKUP(B1185,syukujitsu[国民の祝日・休日月日],syukujitsu[国民の祝日・休日名称],"",0,1)</f>
        <v/>
      </c>
    </row>
    <row r="1186" spans="1:4">
      <c r="A1186" s="53">
        <f t="shared" si="194"/>
        <v>46657</v>
      </c>
      <c r="B1186" s="41">
        <f t="shared" si="192"/>
        <v>46657</v>
      </c>
      <c r="C1186" s="42" t="str">
        <f t="shared" si="193"/>
        <v>第4  月曜日</v>
      </c>
      <c r="D1186" s="4" t="str">
        <f>_xlfn.XLOOKUP(B1186,syukujitsu[国民の祝日・休日月日],syukujitsu[国民の祝日・休日名称],"",0,1)</f>
        <v/>
      </c>
    </row>
    <row r="1187" spans="1:4">
      <c r="A1187" s="53">
        <f t="shared" si="194"/>
        <v>46658</v>
      </c>
      <c r="B1187" s="41">
        <f t="shared" si="192"/>
        <v>46658</v>
      </c>
      <c r="C1187" s="42" t="str">
        <f t="shared" si="193"/>
        <v>第4  火曜日</v>
      </c>
      <c r="D1187" s="4" t="str">
        <f>_xlfn.XLOOKUP(B1187,syukujitsu[国民の祝日・休日月日],syukujitsu[国民の祝日・休日名称],"",0,1)</f>
        <v/>
      </c>
    </row>
    <row r="1188" spans="1:4">
      <c r="A1188" s="53">
        <f t="shared" si="194"/>
        <v>46659</v>
      </c>
      <c r="B1188" s="41">
        <f t="shared" si="192"/>
        <v>46659</v>
      </c>
      <c r="C1188" s="42" t="str">
        <f t="shared" si="193"/>
        <v>第5  水曜日</v>
      </c>
      <c r="D1188" s="4" t="str">
        <f>_xlfn.XLOOKUP(B1188,syukujitsu[国民の祝日・休日月日],syukujitsu[国民の祝日・休日名称],"",0,1)</f>
        <v/>
      </c>
    </row>
    <row r="1189" spans="1:4">
      <c r="A1189" s="53">
        <f t="shared" si="194"/>
        <v>46660</v>
      </c>
      <c r="B1189" s="41">
        <f t="shared" si="192"/>
        <v>46660</v>
      </c>
      <c r="C1189" s="42" t="str">
        <f t="shared" si="193"/>
        <v>第5  木曜日</v>
      </c>
      <c r="D1189" s="4" t="str">
        <f>_xlfn.XLOOKUP(B1189,syukujitsu[国民の祝日・休日月日],syukujitsu[国民の祝日・休日名称],"",0,1)</f>
        <v/>
      </c>
    </row>
    <row r="1190" spans="1:4">
      <c r="A1190" s="53">
        <f t="shared" si="194"/>
        <v>46661</v>
      </c>
      <c r="B1190" s="41">
        <f t="shared" si="192"/>
        <v>46661</v>
      </c>
      <c r="C1190" s="42" t="str">
        <f t="shared" si="193"/>
        <v>第1  金曜日</v>
      </c>
      <c r="D1190" s="4" t="str">
        <f>_xlfn.XLOOKUP(B1190,syukujitsu[国民の祝日・休日月日],syukujitsu[国民の祝日・休日名称],"",0,1)</f>
        <v/>
      </c>
    </row>
    <row r="1191" spans="1:4">
      <c r="A1191" s="53">
        <f t="shared" si="194"/>
        <v>46662</v>
      </c>
      <c r="B1191" s="41">
        <f t="shared" si="192"/>
        <v>46662</v>
      </c>
      <c r="C1191" s="42" t="str">
        <f t="shared" si="193"/>
        <v>第1  土曜日</v>
      </c>
      <c r="D1191" s="4" t="str">
        <f>_xlfn.XLOOKUP(B1191,syukujitsu[国民の祝日・休日月日],syukujitsu[国民の祝日・休日名称],"",0,1)</f>
        <v/>
      </c>
    </row>
    <row r="1192" spans="1:4">
      <c r="A1192" s="53">
        <f t="shared" si="194"/>
        <v>46663</v>
      </c>
      <c r="B1192" s="41">
        <f t="shared" si="192"/>
        <v>46663</v>
      </c>
      <c r="C1192" s="42" t="str">
        <f t="shared" si="193"/>
        <v>第1  日曜日</v>
      </c>
      <c r="D1192" s="4" t="str">
        <f>_xlfn.XLOOKUP(B1192,syukujitsu[国民の祝日・休日月日],syukujitsu[国民の祝日・休日名称],"",0,1)</f>
        <v/>
      </c>
    </row>
    <row r="1193" spans="1:4">
      <c r="A1193" s="53">
        <f t="shared" si="194"/>
        <v>46664</v>
      </c>
      <c r="B1193" s="41">
        <f t="shared" si="192"/>
        <v>46664</v>
      </c>
      <c r="C1193" s="42" t="str">
        <f t="shared" si="193"/>
        <v>第1  月曜日</v>
      </c>
      <c r="D1193" s="4" t="str">
        <f>_xlfn.XLOOKUP(B1193,syukujitsu[国民の祝日・休日月日],syukujitsu[国民の祝日・休日名称],"",0,1)</f>
        <v/>
      </c>
    </row>
    <row r="1194" spans="1:4">
      <c r="A1194" s="53">
        <f t="shared" si="194"/>
        <v>46665</v>
      </c>
      <c r="B1194" s="41">
        <f t="shared" si="192"/>
        <v>46665</v>
      </c>
      <c r="C1194" s="42" t="str">
        <f t="shared" si="193"/>
        <v>第1  火曜日</v>
      </c>
      <c r="D1194" s="4" t="str">
        <f>_xlfn.XLOOKUP(B1194,syukujitsu[国民の祝日・休日月日],syukujitsu[国民の祝日・休日名称],"",0,1)</f>
        <v/>
      </c>
    </row>
    <row r="1195" spans="1:4">
      <c r="A1195" s="53">
        <f t="shared" si="194"/>
        <v>46666</v>
      </c>
      <c r="B1195" s="41">
        <f t="shared" si="192"/>
        <v>46666</v>
      </c>
      <c r="C1195" s="42" t="str">
        <f t="shared" si="193"/>
        <v>第1  水曜日</v>
      </c>
      <c r="D1195" s="4" t="str">
        <f>_xlfn.XLOOKUP(B1195,syukujitsu[国民の祝日・休日月日],syukujitsu[国民の祝日・休日名称],"",0,1)</f>
        <v/>
      </c>
    </row>
    <row r="1196" spans="1:4">
      <c r="A1196" s="53">
        <f t="shared" si="194"/>
        <v>46667</v>
      </c>
      <c r="B1196" s="41">
        <f t="shared" si="192"/>
        <v>46667</v>
      </c>
      <c r="C1196" s="42" t="str">
        <f t="shared" si="193"/>
        <v>第1  木曜日</v>
      </c>
      <c r="D1196" s="4" t="str">
        <f>_xlfn.XLOOKUP(B1196,syukujitsu[国民の祝日・休日月日],syukujitsu[国民の祝日・休日名称],"",0,1)</f>
        <v/>
      </c>
    </row>
    <row r="1197" spans="1:4">
      <c r="A1197" s="53">
        <f t="shared" si="194"/>
        <v>46668</v>
      </c>
      <c r="B1197" s="41">
        <f t="shared" si="192"/>
        <v>46668</v>
      </c>
      <c r="C1197" s="42" t="str">
        <f t="shared" si="193"/>
        <v>第2  金曜日</v>
      </c>
      <c r="D1197" s="4" t="str">
        <f>_xlfn.XLOOKUP(B1197,syukujitsu[国民の祝日・休日月日],syukujitsu[国民の祝日・休日名称],"",0,1)</f>
        <v/>
      </c>
    </row>
    <row r="1198" spans="1:4">
      <c r="A1198" s="53">
        <f t="shared" si="194"/>
        <v>46669</v>
      </c>
      <c r="B1198" s="41">
        <f t="shared" si="192"/>
        <v>46669</v>
      </c>
      <c r="C1198" s="42" t="str">
        <f t="shared" si="193"/>
        <v>第2  土曜日</v>
      </c>
      <c r="D1198" s="4" t="str">
        <f>_xlfn.XLOOKUP(B1198,syukujitsu[国民の祝日・休日月日],syukujitsu[国民の祝日・休日名称],"",0,1)</f>
        <v/>
      </c>
    </row>
    <row r="1199" spans="1:4">
      <c r="A1199" s="53">
        <f t="shared" si="194"/>
        <v>46670</v>
      </c>
      <c r="B1199" s="41">
        <f t="shared" si="192"/>
        <v>46670</v>
      </c>
      <c r="C1199" s="42" t="str">
        <f t="shared" si="193"/>
        <v>第2  日曜日</v>
      </c>
      <c r="D1199" s="4" t="str">
        <f>_xlfn.XLOOKUP(B1199,syukujitsu[国民の祝日・休日月日],syukujitsu[国民の祝日・休日名称],"",0,1)</f>
        <v/>
      </c>
    </row>
    <row r="1200" spans="1:4">
      <c r="A1200" s="53">
        <f t="shared" si="194"/>
        <v>46671</v>
      </c>
      <c r="B1200" s="41">
        <f t="shared" si="192"/>
        <v>46671</v>
      </c>
      <c r="C1200" s="42" t="str">
        <f t="shared" si="193"/>
        <v>第2  月曜日</v>
      </c>
      <c r="D1200" s="4" t="str">
        <f>_xlfn.XLOOKUP(B1200,syukujitsu[国民の祝日・休日月日],syukujitsu[国民の祝日・休日名称],"",0,1)</f>
        <v>スポーツの日</v>
      </c>
    </row>
    <row r="1201" spans="1:4">
      <c r="A1201" s="53">
        <f t="shared" si="194"/>
        <v>46672</v>
      </c>
      <c r="B1201" s="41">
        <f t="shared" si="192"/>
        <v>46672</v>
      </c>
      <c r="C1201" s="42" t="str">
        <f t="shared" si="193"/>
        <v>第2  火曜日</v>
      </c>
      <c r="D1201" s="4" t="str">
        <f>_xlfn.XLOOKUP(B1201,syukujitsu[国民の祝日・休日月日],syukujitsu[国民の祝日・休日名称],"",0,1)</f>
        <v/>
      </c>
    </row>
    <row r="1202" spans="1:4">
      <c r="A1202" s="53">
        <f t="shared" si="194"/>
        <v>46673</v>
      </c>
      <c r="B1202" s="41">
        <f t="shared" si="192"/>
        <v>46673</v>
      </c>
      <c r="C1202" s="42" t="str">
        <f t="shared" si="193"/>
        <v>第2  水曜日</v>
      </c>
      <c r="D1202" s="4" t="str">
        <f>_xlfn.XLOOKUP(B1202,syukujitsu[国民の祝日・休日月日],syukujitsu[国民の祝日・休日名称],"",0,1)</f>
        <v/>
      </c>
    </row>
    <row r="1203" spans="1:4">
      <c r="A1203" s="53">
        <f t="shared" si="194"/>
        <v>46674</v>
      </c>
      <c r="B1203" s="41">
        <f t="shared" si="192"/>
        <v>46674</v>
      </c>
      <c r="C1203" s="42" t="str">
        <f t="shared" si="193"/>
        <v>第2  木曜日</v>
      </c>
      <c r="D1203" s="4" t="str">
        <f>_xlfn.XLOOKUP(B1203,syukujitsu[国民の祝日・休日月日],syukujitsu[国民の祝日・休日名称],"",0,1)</f>
        <v/>
      </c>
    </row>
    <row r="1204" spans="1:4">
      <c r="A1204" s="53">
        <f t="shared" si="194"/>
        <v>46675</v>
      </c>
      <c r="B1204" s="41">
        <f t="shared" si="192"/>
        <v>46675</v>
      </c>
      <c r="C1204" s="42" t="str">
        <f t="shared" si="193"/>
        <v>第3  金曜日</v>
      </c>
      <c r="D1204" s="4" t="str">
        <f>_xlfn.XLOOKUP(B1204,syukujitsu[国民の祝日・休日月日],syukujitsu[国民の祝日・休日名称],"",0,1)</f>
        <v/>
      </c>
    </row>
    <row r="1205" spans="1:4">
      <c r="A1205" s="53">
        <f t="shared" si="194"/>
        <v>46676</v>
      </c>
      <c r="B1205" s="41">
        <f t="shared" si="192"/>
        <v>46676</v>
      </c>
      <c r="C1205" s="42" t="str">
        <f t="shared" si="193"/>
        <v>第3  土曜日</v>
      </c>
      <c r="D1205" s="4" t="str">
        <f>_xlfn.XLOOKUP(B1205,syukujitsu[国民の祝日・休日月日],syukujitsu[国民の祝日・休日名称],"",0,1)</f>
        <v/>
      </c>
    </row>
    <row r="1206" spans="1:4">
      <c r="A1206" s="53">
        <f t="shared" si="194"/>
        <v>46677</v>
      </c>
      <c r="B1206" s="41">
        <f t="shared" si="192"/>
        <v>46677</v>
      </c>
      <c r="C1206" s="42" t="str">
        <f t="shared" si="193"/>
        <v>第3  日曜日</v>
      </c>
      <c r="D1206" s="4" t="str">
        <f>_xlfn.XLOOKUP(B1206,syukujitsu[国民の祝日・休日月日],syukujitsu[国民の祝日・休日名称],"",0,1)</f>
        <v/>
      </c>
    </row>
    <row r="1207" spans="1:4">
      <c r="A1207" s="53">
        <f t="shared" si="194"/>
        <v>46678</v>
      </c>
      <c r="B1207" s="41">
        <f t="shared" ref="B1207:B1270" si="195">B1206+1</f>
        <v>46678</v>
      </c>
      <c r="C1207" s="42" t="str">
        <f t="shared" si="193"/>
        <v>第3  月曜日</v>
      </c>
      <c r="D1207" s="4" t="str">
        <f>_xlfn.XLOOKUP(B1207,syukujitsu[国民の祝日・休日月日],syukujitsu[国民の祝日・休日名称],"",0,1)</f>
        <v/>
      </c>
    </row>
    <row r="1208" spans="1:4">
      <c r="A1208" s="53">
        <f t="shared" si="194"/>
        <v>46679</v>
      </c>
      <c r="B1208" s="41">
        <f t="shared" si="195"/>
        <v>46679</v>
      </c>
      <c r="C1208" s="42" t="str">
        <f t="shared" si="193"/>
        <v>第3  火曜日</v>
      </c>
      <c r="D1208" s="4" t="str">
        <f>_xlfn.XLOOKUP(B1208,syukujitsu[国民の祝日・休日月日],syukujitsu[国民の祝日・休日名称],"",0,1)</f>
        <v/>
      </c>
    </row>
    <row r="1209" spans="1:4">
      <c r="A1209" s="53">
        <f t="shared" si="194"/>
        <v>46680</v>
      </c>
      <c r="B1209" s="41">
        <f t="shared" si="195"/>
        <v>46680</v>
      </c>
      <c r="C1209" s="42" t="str">
        <f t="shared" si="193"/>
        <v>第3  水曜日</v>
      </c>
      <c r="D1209" s="4" t="str">
        <f>_xlfn.XLOOKUP(B1209,syukujitsu[国民の祝日・休日月日],syukujitsu[国民の祝日・休日名称],"",0,1)</f>
        <v/>
      </c>
    </row>
    <row r="1210" spans="1:4">
      <c r="A1210" s="53">
        <f t="shared" si="194"/>
        <v>46681</v>
      </c>
      <c r="B1210" s="41">
        <f t="shared" si="195"/>
        <v>46681</v>
      </c>
      <c r="C1210" s="42" t="str">
        <f t="shared" si="193"/>
        <v>第3  木曜日</v>
      </c>
      <c r="D1210" s="4" t="str">
        <f>_xlfn.XLOOKUP(B1210,syukujitsu[国民の祝日・休日月日],syukujitsu[国民の祝日・休日名称],"",0,1)</f>
        <v/>
      </c>
    </row>
    <row r="1211" spans="1:4">
      <c r="A1211" s="53">
        <f t="shared" si="194"/>
        <v>46682</v>
      </c>
      <c r="B1211" s="41">
        <f t="shared" si="195"/>
        <v>46682</v>
      </c>
      <c r="C1211" s="42" t="str">
        <f t="shared" si="193"/>
        <v>第4  金曜日</v>
      </c>
      <c r="D1211" s="4" t="str">
        <f>_xlfn.XLOOKUP(B1211,syukujitsu[国民の祝日・休日月日],syukujitsu[国民の祝日・休日名称],"",0,1)</f>
        <v/>
      </c>
    </row>
    <row r="1212" spans="1:4">
      <c r="A1212" s="53">
        <f t="shared" si="194"/>
        <v>46683</v>
      </c>
      <c r="B1212" s="41">
        <f t="shared" si="195"/>
        <v>46683</v>
      </c>
      <c r="C1212" s="42" t="str">
        <f t="shared" si="193"/>
        <v>第4  土曜日</v>
      </c>
      <c r="D1212" s="4" t="str">
        <f>_xlfn.XLOOKUP(B1212,syukujitsu[国民の祝日・休日月日],syukujitsu[国民の祝日・休日名称],"",0,1)</f>
        <v/>
      </c>
    </row>
    <row r="1213" spans="1:4">
      <c r="A1213" s="53">
        <f t="shared" si="194"/>
        <v>46684</v>
      </c>
      <c r="B1213" s="41">
        <f t="shared" si="195"/>
        <v>46684</v>
      </c>
      <c r="C1213" s="42" t="str">
        <f t="shared" si="193"/>
        <v>第4  日曜日</v>
      </c>
      <c r="D1213" s="4" t="str">
        <f>_xlfn.XLOOKUP(B1213,syukujitsu[国民の祝日・休日月日],syukujitsu[国民の祝日・休日名称],"",0,1)</f>
        <v/>
      </c>
    </row>
    <row r="1214" spans="1:4">
      <c r="A1214" s="53">
        <f t="shared" si="194"/>
        <v>46685</v>
      </c>
      <c r="B1214" s="41">
        <f t="shared" si="195"/>
        <v>46685</v>
      </c>
      <c r="C1214" s="42" t="str">
        <f t="shared" si="193"/>
        <v>第4  月曜日</v>
      </c>
      <c r="D1214" s="4" t="str">
        <f>_xlfn.XLOOKUP(B1214,syukujitsu[国民の祝日・休日月日],syukujitsu[国民の祝日・休日名称],"",0,1)</f>
        <v/>
      </c>
    </row>
    <row r="1215" spans="1:4">
      <c r="A1215" s="53">
        <f t="shared" si="194"/>
        <v>46686</v>
      </c>
      <c r="B1215" s="41">
        <f t="shared" si="195"/>
        <v>46686</v>
      </c>
      <c r="C1215" s="42" t="str">
        <f t="shared" si="193"/>
        <v>第4  火曜日</v>
      </c>
      <c r="D1215" s="4" t="str">
        <f>_xlfn.XLOOKUP(B1215,syukujitsu[国民の祝日・休日月日],syukujitsu[国民の祝日・休日名称],"",0,1)</f>
        <v/>
      </c>
    </row>
    <row r="1216" spans="1:4">
      <c r="A1216" s="53">
        <f t="shared" si="194"/>
        <v>46687</v>
      </c>
      <c r="B1216" s="41">
        <f t="shared" si="195"/>
        <v>46687</v>
      </c>
      <c r="C1216" s="42" t="str">
        <f t="shared" si="193"/>
        <v>第4  水曜日</v>
      </c>
      <c r="D1216" s="4" t="str">
        <f>_xlfn.XLOOKUP(B1216,syukujitsu[国民の祝日・休日月日],syukujitsu[国民の祝日・休日名称],"",0,1)</f>
        <v/>
      </c>
    </row>
    <row r="1217" spans="1:4">
      <c r="A1217" s="53">
        <f t="shared" si="194"/>
        <v>46688</v>
      </c>
      <c r="B1217" s="41">
        <f t="shared" si="195"/>
        <v>46688</v>
      </c>
      <c r="C1217" s="42" t="str">
        <f t="shared" si="193"/>
        <v>第4  木曜日</v>
      </c>
      <c r="D1217" s="4" t="str">
        <f>_xlfn.XLOOKUP(B1217,syukujitsu[国民の祝日・休日月日],syukujitsu[国民の祝日・休日名称],"",0,1)</f>
        <v/>
      </c>
    </row>
    <row r="1218" spans="1:4">
      <c r="A1218" s="53">
        <f t="shared" si="194"/>
        <v>46689</v>
      </c>
      <c r="B1218" s="41">
        <f t="shared" si="195"/>
        <v>46689</v>
      </c>
      <c r="C1218" s="42" t="str">
        <f t="shared" si="193"/>
        <v>第5  金曜日</v>
      </c>
      <c r="D1218" s="4" t="str">
        <f>_xlfn.XLOOKUP(B1218,syukujitsu[国民の祝日・休日月日],syukujitsu[国民の祝日・休日名称],"",0,1)</f>
        <v/>
      </c>
    </row>
    <row r="1219" spans="1:4">
      <c r="A1219" s="53">
        <f t="shared" si="194"/>
        <v>46690</v>
      </c>
      <c r="B1219" s="41">
        <f t="shared" si="195"/>
        <v>46690</v>
      </c>
      <c r="C1219" s="42" t="str">
        <f t="shared" si="193"/>
        <v>第5  土曜日</v>
      </c>
      <c r="D1219" s="4" t="str">
        <f>_xlfn.XLOOKUP(B1219,syukujitsu[国民の祝日・休日月日],syukujitsu[国民の祝日・休日名称],"",0,1)</f>
        <v/>
      </c>
    </row>
    <row r="1220" spans="1:4">
      <c r="A1220" s="53">
        <f t="shared" si="194"/>
        <v>46691</v>
      </c>
      <c r="B1220" s="41">
        <f t="shared" si="195"/>
        <v>46691</v>
      </c>
      <c r="C1220" s="42" t="str">
        <f t="shared" si="193"/>
        <v>第5  日曜日</v>
      </c>
      <c r="D1220" s="4" t="str">
        <f>_xlfn.XLOOKUP(B1220,syukujitsu[国民の祝日・休日月日],syukujitsu[国民の祝日・休日名称],"",0,1)</f>
        <v/>
      </c>
    </row>
    <row r="1221" spans="1:4">
      <c r="A1221" s="53">
        <f t="shared" si="194"/>
        <v>46692</v>
      </c>
      <c r="B1221" s="41">
        <f t="shared" si="195"/>
        <v>46692</v>
      </c>
      <c r="C1221" s="42" t="str">
        <f t="shared" si="193"/>
        <v>第1  月曜日</v>
      </c>
      <c r="D1221" s="4" t="str">
        <f>_xlfn.XLOOKUP(B1221,syukujitsu[国民の祝日・休日月日],syukujitsu[国民の祝日・休日名称],"",0,1)</f>
        <v/>
      </c>
    </row>
    <row r="1222" spans="1:4">
      <c r="A1222" s="53">
        <f t="shared" si="194"/>
        <v>46693</v>
      </c>
      <c r="B1222" s="41">
        <f t="shared" si="195"/>
        <v>46693</v>
      </c>
      <c r="C1222" s="42" t="str">
        <f t="shared" si="193"/>
        <v>第1  火曜日</v>
      </c>
      <c r="D1222" s="4" t="str">
        <f>_xlfn.XLOOKUP(B1222,syukujitsu[国民の祝日・休日月日],syukujitsu[国民の祝日・休日名称],"",0,1)</f>
        <v/>
      </c>
    </row>
    <row r="1223" spans="1:4">
      <c r="A1223" s="53">
        <f t="shared" si="194"/>
        <v>46694</v>
      </c>
      <c r="B1223" s="41">
        <f t="shared" si="195"/>
        <v>46694</v>
      </c>
      <c r="C1223" s="42" t="str">
        <f t="shared" si="193"/>
        <v>第1  水曜日</v>
      </c>
      <c r="D1223" s="4" t="str">
        <f>_xlfn.XLOOKUP(B1223,syukujitsu[国民の祝日・休日月日],syukujitsu[国民の祝日・休日名称],"",0,1)</f>
        <v/>
      </c>
    </row>
    <row r="1224" spans="1:4">
      <c r="A1224" s="53">
        <f t="shared" si="194"/>
        <v>46695</v>
      </c>
      <c r="B1224" s="41">
        <f t="shared" si="195"/>
        <v>46695</v>
      </c>
      <c r="C1224" s="42" t="str">
        <f t="shared" si="193"/>
        <v>第1  木曜日</v>
      </c>
      <c r="D1224" s="4" t="str">
        <f>_xlfn.XLOOKUP(B1224,syukujitsu[国民の祝日・休日月日],syukujitsu[国民の祝日・休日名称],"",0,1)</f>
        <v/>
      </c>
    </row>
    <row r="1225" spans="1:4">
      <c r="A1225" s="53">
        <f t="shared" si="194"/>
        <v>46696</v>
      </c>
      <c r="B1225" s="41">
        <f t="shared" si="195"/>
        <v>46696</v>
      </c>
      <c r="C1225" s="42" t="str">
        <f t="shared" si="193"/>
        <v>第1  金曜日</v>
      </c>
      <c r="D1225" s="4" t="str">
        <f>_xlfn.XLOOKUP(B1225,syukujitsu[国民の祝日・休日月日],syukujitsu[国民の祝日・休日名称],"",0,1)</f>
        <v/>
      </c>
    </row>
    <row r="1226" spans="1:4">
      <c r="A1226" s="53">
        <f t="shared" si="194"/>
        <v>46697</v>
      </c>
      <c r="B1226" s="41">
        <f t="shared" si="195"/>
        <v>46697</v>
      </c>
      <c r="C1226" s="42" t="str">
        <f t="shared" si="193"/>
        <v>第1  土曜日</v>
      </c>
      <c r="D1226" s="4" t="str">
        <f>_xlfn.XLOOKUP(B1226,syukujitsu[国民の祝日・休日月日],syukujitsu[国民の祝日・休日名称],"",0,1)</f>
        <v/>
      </c>
    </row>
    <row r="1227" spans="1:4">
      <c r="A1227" s="53">
        <f t="shared" si="194"/>
        <v>46698</v>
      </c>
      <c r="B1227" s="41">
        <f t="shared" si="195"/>
        <v>46698</v>
      </c>
      <c r="C1227" s="42" t="str">
        <f t="shared" si="193"/>
        <v>第1  日曜日</v>
      </c>
      <c r="D1227" s="4" t="str">
        <f>_xlfn.XLOOKUP(B1227,syukujitsu[国民の祝日・休日月日],syukujitsu[国民の祝日・休日名称],"",0,1)</f>
        <v/>
      </c>
    </row>
    <row r="1228" spans="1:4">
      <c r="A1228" s="53">
        <f t="shared" si="194"/>
        <v>46699</v>
      </c>
      <c r="B1228" s="41">
        <f t="shared" si="195"/>
        <v>46699</v>
      </c>
      <c r="C1228" s="42" t="str">
        <f t="shared" ref="C1228:C1291" si="196">"第"&amp;ROUNDUP(DAY(B1228)/7,0)  &amp;"  "&amp;TEXT(B1228,"aaaa")</f>
        <v>第2  月曜日</v>
      </c>
      <c r="D1228" s="4" t="str">
        <f>_xlfn.XLOOKUP(B1228,syukujitsu[国民の祝日・休日月日],syukujitsu[国民の祝日・休日名称],"",0,1)</f>
        <v/>
      </c>
    </row>
    <row r="1229" spans="1:4">
      <c r="A1229" s="53">
        <f t="shared" si="194"/>
        <v>46700</v>
      </c>
      <c r="B1229" s="41">
        <f t="shared" si="195"/>
        <v>46700</v>
      </c>
      <c r="C1229" s="42" t="str">
        <f t="shared" si="196"/>
        <v>第2  火曜日</v>
      </c>
      <c r="D1229" s="4" t="str">
        <f>_xlfn.XLOOKUP(B1229,syukujitsu[国民の祝日・休日月日],syukujitsu[国民の祝日・休日名称],"",0,1)</f>
        <v/>
      </c>
    </row>
    <row r="1230" spans="1:4">
      <c r="A1230" s="53">
        <f t="shared" si="194"/>
        <v>46701</v>
      </c>
      <c r="B1230" s="41">
        <f t="shared" si="195"/>
        <v>46701</v>
      </c>
      <c r="C1230" s="42" t="str">
        <f t="shared" si="196"/>
        <v>第2  水曜日</v>
      </c>
      <c r="D1230" s="4" t="str">
        <f>_xlfn.XLOOKUP(B1230,syukujitsu[国民の祝日・休日月日],syukujitsu[国民の祝日・休日名称],"",0,1)</f>
        <v/>
      </c>
    </row>
    <row r="1231" spans="1:4">
      <c r="A1231" s="53">
        <f t="shared" si="194"/>
        <v>46702</v>
      </c>
      <c r="B1231" s="41">
        <f t="shared" si="195"/>
        <v>46702</v>
      </c>
      <c r="C1231" s="42" t="str">
        <f t="shared" si="196"/>
        <v>第2  木曜日</v>
      </c>
      <c r="D1231" s="4" t="str">
        <f>_xlfn.XLOOKUP(B1231,syukujitsu[国民の祝日・休日月日],syukujitsu[国民の祝日・休日名称],"",0,1)</f>
        <v/>
      </c>
    </row>
    <row r="1232" spans="1:4">
      <c r="A1232" s="53">
        <f t="shared" si="194"/>
        <v>46703</v>
      </c>
      <c r="B1232" s="41">
        <f t="shared" si="195"/>
        <v>46703</v>
      </c>
      <c r="C1232" s="42" t="str">
        <f t="shared" si="196"/>
        <v>第2  金曜日</v>
      </c>
      <c r="D1232" s="4" t="str">
        <f>_xlfn.XLOOKUP(B1232,syukujitsu[国民の祝日・休日月日],syukujitsu[国民の祝日・休日名称],"",0,1)</f>
        <v/>
      </c>
    </row>
    <row r="1233" spans="1:4">
      <c r="A1233" s="53">
        <f t="shared" si="194"/>
        <v>46704</v>
      </c>
      <c r="B1233" s="41">
        <f t="shared" si="195"/>
        <v>46704</v>
      </c>
      <c r="C1233" s="42" t="str">
        <f t="shared" si="196"/>
        <v>第2  土曜日</v>
      </c>
      <c r="D1233" s="4" t="str">
        <f>_xlfn.XLOOKUP(B1233,syukujitsu[国民の祝日・休日月日],syukujitsu[国民の祝日・休日名称],"",0,1)</f>
        <v/>
      </c>
    </row>
    <row r="1234" spans="1:4">
      <c r="A1234" s="53">
        <f t="shared" si="194"/>
        <v>46705</v>
      </c>
      <c r="B1234" s="41">
        <f t="shared" si="195"/>
        <v>46705</v>
      </c>
      <c r="C1234" s="42" t="str">
        <f t="shared" si="196"/>
        <v>第2  日曜日</v>
      </c>
      <c r="D1234" s="4" t="str">
        <f>_xlfn.XLOOKUP(B1234,syukujitsu[国民の祝日・休日月日],syukujitsu[国民の祝日・休日名称],"",0,1)</f>
        <v/>
      </c>
    </row>
    <row r="1235" spans="1:4">
      <c r="A1235" s="53">
        <f t="shared" si="194"/>
        <v>46706</v>
      </c>
      <c r="B1235" s="41">
        <f t="shared" si="195"/>
        <v>46706</v>
      </c>
      <c r="C1235" s="42" t="str">
        <f t="shared" si="196"/>
        <v>第3  月曜日</v>
      </c>
      <c r="D1235" s="4" t="str">
        <f>_xlfn.XLOOKUP(B1235,syukujitsu[国民の祝日・休日月日],syukujitsu[国民の祝日・休日名称],"",0,1)</f>
        <v/>
      </c>
    </row>
    <row r="1236" spans="1:4">
      <c r="A1236" s="53">
        <f t="shared" si="194"/>
        <v>46707</v>
      </c>
      <c r="B1236" s="41">
        <f t="shared" si="195"/>
        <v>46707</v>
      </c>
      <c r="C1236" s="42" t="str">
        <f t="shared" si="196"/>
        <v>第3  火曜日</v>
      </c>
      <c r="D1236" s="4" t="str">
        <f>_xlfn.XLOOKUP(B1236,syukujitsu[国民の祝日・休日月日],syukujitsu[国民の祝日・休日名称],"",0,1)</f>
        <v/>
      </c>
    </row>
    <row r="1237" spans="1:4">
      <c r="A1237" s="53">
        <f t="shared" si="194"/>
        <v>46708</v>
      </c>
      <c r="B1237" s="41">
        <f t="shared" si="195"/>
        <v>46708</v>
      </c>
      <c r="C1237" s="42" t="str">
        <f t="shared" si="196"/>
        <v>第3  水曜日</v>
      </c>
      <c r="D1237" s="4" t="str">
        <f>_xlfn.XLOOKUP(B1237,syukujitsu[国民の祝日・休日月日],syukujitsu[国民の祝日・休日名称],"",0,1)</f>
        <v/>
      </c>
    </row>
    <row r="1238" spans="1:4">
      <c r="A1238" s="53">
        <f t="shared" si="194"/>
        <v>46709</v>
      </c>
      <c r="B1238" s="41">
        <f t="shared" si="195"/>
        <v>46709</v>
      </c>
      <c r="C1238" s="42" t="str">
        <f t="shared" si="196"/>
        <v>第3  木曜日</v>
      </c>
      <c r="D1238" s="4" t="str">
        <f>_xlfn.XLOOKUP(B1238,syukujitsu[国民の祝日・休日月日],syukujitsu[国民の祝日・休日名称],"",0,1)</f>
        <v/>
      </c>
    </row>
    <row r="1239" spans="1:4">
      <c r="A1239" s="53">
        <f t="shared" si="194"/>
        <v>46710</v>
      </c>
      <c r="B1239" s="41">
        <f t="shared" si="195"/>
        <v>46710</v>
      </c>
      <c r="C1239" s="42" t="str">
        <f t="shared" si="196"/>
        <v>第3  金曜日</v>
      </c>
      <c r="D1239" s="4" t="str">
        <f>_xlfn.XLOOKUP(B1239,syukujitsu[国民の祝日・休日月日],syukujitsu[国民の祝日・休日名称],"",0,1)</f>
        <v/>
      </c>
    </row>
    <row r="1240" spans="1:4">
      <c r="A1240" s="53">
        <f t="shared" si="194"/>
        <v>46711</v>
      </c>
      <c r="B1240" s="41">
        <f t="shared" si="195"/>
        <v>46711</v>
      </c>
      <c r="C1240" s="42" t="str">
        <f t="shared" si="196"/>
        <v>第3  土曜日</v>
      </c>
      <c r="D1240" s="4" t="str">
        <f>_xlfn.XLOOKUP(B1240,syukujitsu[国民の祝日・休日月日],syukujitsu[国民の祝日・休日名称],"",0,1)</f>
        <v/>
      </c>
    </row>
    <row r="1241" spans="1:4">
      <c r="A1241" s="53">
        <f t="shared" si="194"/>
        <v>46712</v>
      </c>
      <c r="B1241" s="41">
        <f t="shared" si="195"/>
        <v>46712</v>
      </c>
      <c r="C1241" s="42" t="str">
        <f t="shared" si="196"/>
        <v>第3  日曜日</v>
      </c>
      <c r="D1241" s="4" t="str">
        <f>_xlfn.XLOOKUP(B1241,syukujitsu[国民の祝日・休日月日],syukujitsu[国民の祝日・休日名称],"",0,1)</f>
        <v/>
      </c>
    </row>
    <row r="1242" spans="1:4">
      <c r="A1242" s="53">
        <f t="shared" si="194"/>
        <v>46713</v>
      </c>
      <c r="B1242" s="41">
        <f t="shared" si="195"/>
        <v>46713</v>
      </c>
      <c r="C1242" s="42" t="str">
        <f t="shared" si="196"/>
        <v>第4  月曜日</v>
      </c>
      <c r="D1242" s="4" t="str">
        <f>_xlfn.XLOOKUP(B1242,syukujitsu[国民の祝日・休日月日],syukujitsu[国民の祝日・休日名称],"",0,1)</f>
        <v/>
      </c>
    </row>
    <row r="1243" spans="1:4">
      <c r="A1243" s="53">
        <f t="shared" si="194"/>
        <v>46714</v>
      </c>
      <c r="B1243" s="41">
        <f t="shared" si="195"/>
        <v>46714</v>
      </c>
      <c r="C1243" s="42" t="str">
        <f t="shared" si="196"/>
        <v>第4  火曜日</v>
      </c>
      <c r="D1243" s="4" t="str">
        <f>_xlfn.XLOOKUP(B1243,syukujitsu[国民の祝日・休日月日],syukujitsu[国民の祝日・休日名称],"",0,1)</f>
        <v/>
      </c>
    </row>
    <row r="1244" spans="1:4">
      <c r="A1244" s="53">
        <f t="shared" si="194"/>
        <v>46715</v>
      </c>
      <c r="B1244" s="41">
        <f t="shared" si="195"/>
        <v>46715</v>
      </c>
      <c r="C1244" s="42" t="str">
        <f t="shared" si="196"/>
        <v>第4  水曜日</v>
      </c>
      <c r="D1244" s="4" t="str">
        <f>_xlfn.XLOOKUP(B1244,syukujitsu[国民の祝日・休日月日],syukujitsu[国民の祝日・休日名称],"",0,1)</f>
        <v/>
      </c>
    </row>
    <row r="1245" spans="1:4">
      <c r="A1245" s="53">
        <f t="shared" si="194"/>
        <v>46716</v>
      </c>
      <c r="B1245" s="41">
        <f t="shared" si="195"/>
        <v>46716</v>
      </c>
      <c r="C1245" s="42" t="str">
        <f t="shared" si="196"/>
        <v>第4  木曜日</v>
      </c>
      <c r="D1245" s="4" t="str">
        <f>_xlfn.XLOOKUP(B1245,syukujitsu[国民の祝日・休日月日],syukujitsu[国民の祝日・休日名称],"",0,1)</f>
        <v/>
      </c>
    </row>
    <row r="1246" spans="1:4">
      <c r="A1246" s="53">
        <f t="shared" si="194"/>
        <v>46717</v>
      </c>
      <c r="B1246" s="41">
        <f t="shared" si="195"/>
        <v>46717</v>
      </c>
      <c r="C1246" s="42" t="str">
        <f t="shared" si="196"/>
        <v>第4  金曜日</v>
      </c>
      <c r="D1246" s="4" t="str">
        <f>_xlfn.XLOOKUP(B1246,syukujitsu[国民の祝日・休日月日],syukujitsu[国民の祝日・休日名称],"",0,1)</f>
        <v/>
      </c>
    </row>
    <row r="1247" spans="1:4">
      <c r="A1247" s="53">
        <f t="shared" si="194"/>
        <v>46718</v>
      </c>
      <c r="B1247" s="41">
        <f t="shared" si="195"/>
        <v>46718</v>
      </c>
      <c r="C1247" s="42" t="str">
        <f t="shared" si="196"/>
        <v>第4  土曜日</v>
      </c>
      <c r="D1247" s="4" t="str">
        <f>_xlfn.XLOOKUP(B1247,syukujitsu[国民の祝日・休日月日],syukujitsu[国民の祝日・休日名称],"",0,1)</f>
        <v/>
      </c>
    </row>
    <row r="1248" spans="1:4">
      <c r="A1248" s="53">
        <f t="shared" ref="A1248:A1311" si="197">B1248</f>
        <v>46719</v>
      </c>
      <c r="B1248" s="41">
        <f t="shared" si="195"/>
        <v>46719</v>
      </c>
      <c r="C1248" s="42" t="str">
        <f t="shared" si="196"/>
        <v>第4  日曜日</v>
      </c>
      <c r="D1248" s="4" t="str">
        <f>_xlfn.XLOOKUP(B1248,syukujitsu[国民の祝日・休日月日],syukujitsu[国民の祝日・休日名称],"",0,1)</f>
        <v/>
      </c>
    </row>
    <row r="1249" spans="1:4">
      <c r="A1249" s="53">
        <f t="shared" si="197"/>
        <v>46720</v>
      </c>
      <c r="B1249" s="41">
        <f t="shared" si="195"/>
        <v>46720</v>
      </c>
      <c r="C1249" s="42" t="str">
        <f t="shared" si="196"/>
        <v>第5  月曜日</v>
      </c>
      <c r="D1249" s="4" t="str">
        <f>_xlfn.XLOOKUP(B1249,syukujitsu[国民の祝日・休日月日],syukujitsu[国民の祝日・休日名称],"",0,1)</f>
        <v/>
      </c>
    </row>
    <row r="1250" spans="1:4">
      <c r="A1250" s="53">
        <f t="shared" si="197"/>
        <v>46721</v>
      </c>
      <c r="B1250" s="41">
        <f t="shared" si="195"/>
        <v>46721</v>
      </c>
      <c r="C1250" s="42" t="str">
        <f t="shared" si="196"/>
        <v>第5  火曜日</v>
      </c>
      <c r="D1250" s="4" t="str">
        <f>_xlfn.XLOOKUP(B1250,syukujitsu[国民の祝日・休日月日],syukujitsu[国民の祝日・休日名称],"",0,1)</f>
        <v/>
      </c>
    </row>
    <row r="1251" spans="1:4">
      <c r="A1251" s="53">
        <f t="shared" si="197"/>
        <v>46722</v>
      </c>
      <c r="B1251" s="41">
        <f t="shared" si="195"/>
        <v>46722</v>
      </c>
      <c r="C1251" s="42" t="str">
        <f t="shared" si="196"/>
        <v>第1  水曜日</v>
      </c>
      <c r="D1251" s="4" t="str">
        <f>_xlfn.XLOOKUP(B1251,syukujitsu[国民の祝日・休日月日],syukujitsu[国民の祝日・休日名称],"",0,1)</f>
        <v/>
      </c>
    </row>
    <row r="1252" spans="1:4">
      <c r="A1252" s="53">
        <f t="shared" si="197"/>
        <v>46723</v>
      </c>
      <c r="B1252" s="41">
        <f t="shared" si="195"/>
        <v>46723</v>
      </c>
      <c r="C1252" s="42" t="str">
        <f t="shared" si="196"/>
        <v>第1  木曜日</v>
      </c>
      <c r="D1252" s="4" t="str">
        <f>_xlfn.XLOOKUP(B1252,syukujitsu[国民の祝日・休日月日],syukujitsu[国民の祝日・休日名称],"",0,1)</f>
        <v/>
      </c>
    </row>
    <row r="1253" spans="1:4">
      <c r="A1253" s="53">
        <f t="shared" si="197"/>
        <v>46724</v>
      </c>
      <c r="B1253" s="41">
        <f t="shared" si="195"/>
        <v>46724</v>
      </c>
      <c r="C1253" s="42" t="str">
        <f t="shared" si="196"/>
        <v>第1  金曜日</v>
      </c>
      <c r="D1253" s="4" t="str">
        <f>_xlfn.XLOOKUP(B1253,syukujitsu[国民の祝日・休日月日],syukujitsu[国民の祝日・休日名称],"",0,1)</f>
        <v/>
      </c>
    </row>
    <row r="1254" spans="1:4">
      <c r="A1254" s="53">
        <f t="shared" si="197"/>
        <v>46725</v>
      </c>
      <c r="B1254" s="41">
        <f t="shared" si="195"/>
        <v>46725</v>
      </c>
      <c r="C1254" s="42" t="str">
        <f t="shared" si="196"/>
        <v>第1  土曜日</v>
      </c>
      <c r="D1254" s="4" t="str">
        <f>_xlfn.XLOOKUP(B1254,syukujitsu[国民の祝日・休日月日],syukujitsu[国民の祝日・休日名称],"",0,1)</f>
        <v/>
      </c>
    </row>
    <row r="1255" spans="1:4">
      <c r="A1255" s="53">
        <f t="shared" si="197"/>
        <v>46726</v>
      </c>
      <c r="B1255" s="41">
        <f t="shared" si="195"/>
        <v>46726</v>
      </c>
      <c r="C1255" s="42" t="str">
        <f t="shared" si="196"/>
        <v>第1  日曜日</v>
      </c>
      <c r="D1255" s="4" t="str">
        <f>_xlfn.XLOOKUP(B1255,syukujitsu[国民の祝日・休日月日],syukujitsu[国民の祝日・休日名称],"",0,1)</f>
        <v/>
      </c>
    </row>
    <row r="1256" spans="1:4">
      <c r="A1256" s="53">
        <f t="shared" si="197"/>
        <v>46727</v>
      </c>
      <c r="B1256" s="41">
        <f t="shared" si="195"/>
        <v>46727</v>
      </c>
      <c r="C1256" s="42" t="str">
        <f t="shared" si="196"/>
        <v>第1  月曜日</v>
      </c>
      <c r="D1256" s="4" t="str">
        <f>_xlfn.XLOOKUP(B1256,syukujitsu[国民の祝日・休日月日],syukujitsu[国民の祝日・休日名称],"",0,1)</f>
        <v/>
      </c>
    </row>
    <row r="1257" spans="1:4">
      <c r="A1257" s="53">
        <f t="shared" si="197"/>
        <v>46728</v>
      </c>
      <c r="B1257" s="41">
        <f t="shared" si="195"/>
        <v>46728</v>
      </c>
      <c r="C1257" s="42" t="str">
        <f t="shared" si="196"/>
        <v>第1  火曜日</v>
      </c>
      <c r="D1257" s="4" t="str">
        <f>_xlfn.XLOOKUP(B1257,syukujitsu[国民の祝日・休日月日],syukujitsu[国民の祝日・休日名称],"",0,1)</f>
        <v/>
      </c>
    </row>
    <row r="1258" spans="1:4">
      <c r="A1258" s="53">
        <f t="shared" si="197"/>
        <v>46729</v>
      </c>
      <c r="B1258" s="41">
        <f t="shared" si="195"/>
        <v>46729</v>
      </c>
      <c r="C1258" s="42" t="str">
        <f t="shared" si="196"/>
        <v>第2  水曜日</v>
      </c>
      <c r="D1258" s="4" t="str">
        <f>_xlfn.XLOOKUP(B1258,syukujitsu[国民の祝日・休日月日],syukujitsu[国民の祝日・休日名称],"",0,1)</f>
        <v/>
      </c>
    </row>
    <row r="1259" spans="1:4">
      <c r="A1259" s="53">
        <f t="shared" si="197"/>
        <v>46730</v>
      </c>
      <c r="B1259" s="41">
        <f t="shared" si="195"/>
        <v>46730</v>
      </c>
      <c r="C1259" s="42" t="str">
        <f t="shared" si="196"/>
        <v>第2  木曜日</v>
      </c>
      <c r="D1259" s="4" t="str">
        <f>_xlfn.XLOOKUP(B1259,syukujitsu[国民の祝日・休日月日],syukujitsu[国民の祝日・休日名称],"",0,1)</f>
        <v/>
      </c>
    </row>
    <row r="1260" spans="1:4">
      <c r="A1260" s="53">
        <f t="shared" si="197"/>
        <v>46731</v>
      </c>
      <c r="B1260" s="41">
        <f t="shared" si="195"/>
        <v>46731</v>
      </c>
      <c r="C1260" s="42" t="str">
        <f t="shared" si="196"/>
        <v>第2  金曜日</v>
      </c>
      <c r="D1260" s="4" t="str">
        <f>_xlfn.XLOOKUP(B1260,syukujitsu[国民の祝日・休日月日],syukujitsu[国民の祝日・休日名称],"",0,1)</f>
        <v/>
      </c>
    </row>
    <row r="1261" spans="1:4">
      <c r="A1261" s="53">
        <f t="shared" si="197"/>
        <v>46732</v>
      </c>
      <c r="B1261" s="41">
        <f t="shared" si="195"/>
        <v>46732</v>
      </c>
      <c r="C1261" s="42" t="str">
        <f t="shared" si="196"/>
        <v>第2  土曜日</v>
      </c>
      <c r="D1261" s="4" t="str">
        <f>_xlfn.XLOOKUP(B1261,syukujitsu[国民の祝日・休日月日],syukujitsu[国民の祝日・休日名称],"",0,1)</f>
        <v/>
      </c>
    </row>
    <row r="1262" spans="1:4">
      <c r="A1262" s="53">
        <f t="shared" si="197"/>
        <v>46733</v>
      </c>
      <c r="B1262" s="41">
        <f t="shared" si="195"/>
        <v>46733</v>
      </c>
      <c r="C1262" s="42" t="str">
        <f t="shared" si="196"/>
        <v>第2  日曜日</v>
      </c>
      <c r="D1262" s="4" t="str">
        <f>_xlfn.XLOOKUP(B1262,syukujitsu[国民の祝日・休日月日],syukujitsu[国民の祝日・休日名称],"",0,1)</f>
        <v/>
      </c>
    </row>
    <row r="1263" spans="1:4">
      <c r="A1263" s="53">
        <f t="shared" si="197"/>
        <v>46734</v>
      </c>
      <c r="B1263" s="41">
        <f t="shared" si="195"/>
        <v>46734</v>
      </c>
      <c r="C1263" s="42" t="str">
        <f t="shared" si="196"/>
        <v>第2  月曜日</v>
      </c>
      <c r="D1263" s="4" t="str">
        <f>_xlfn.XLOOKUP(B1263,syukujitsu[国民の祝日・休日月日],syukujitsu[国民の祝日・休日名称],"",0,1)</f>
        <v/>
      </c>
    </row>
    <row r="1264" spans="1:4">
      <c r="A1264" s="53">
        <f t="shared" si="197"/>
        <v>46735</v>
      </c>
      <c r="B1264" s="41">
        <f t="shared" si="195"/>
        <v>46735</v>
      </c>
      <c r="C1264" s="42" t="str">
        <f t="shared" si="196"/>
        <v>第2  火曜日</v>
      </c>
      <c r="D1264" s="4" t="str">
        <f>_xlfn.XLOOKUP(B1264,syukujitsu[国民の祝日・休日月日],syukujitsu[国民の祝日・休日名称],"",0,1)</f>
        <v/>
      </c>
    </row>
    <row r="1265" spans="1:4">
      <c r="A1265" s="53">
        <f t="shared" si="197"/>
        <v>46736</v>
      </c>
      <c r="B1265" s="41">
        <f t="shared" si="195"/>
        <v>46736</v>
      </c>
      <c r="C1265" s="42" t="str">
        <f t="shared" si="196"/>
        <v>第3  水曜日</v>
      </c>
      <c r="D1265" s="4" t="str">
        <f>_xlfn.XLOOKUP(B1265,syukujitsu[国民の祝日・休日月日],syukujitsu[国民の祝日・休日名称],"",0,1)</f>
        <v/>
      </c>
    </row>
    <row r="1266" spans="1:4">
      <c r="A1266" s="53">
        <f t="shared" si="197"/>
        <v>46737</v>
      </c>
      <c r="B1266" s="41">
        <f t="shared" si="195"/>
        <v>46737</v>
      </c>
      <c r="C1266" s="42" t="str">
        <f t="shared" si="196"/>
        <v>第3  木曜日</v>
      </c>
      <c r="D1266" s="4" t="str">
        <f>_xlfn.XLOOKUP(B1266,syukujitsu[国民の祝日・休日月日],syukujitsu[国民の祝日・休日名称],"",0,1)</f>
        <v/>
      </c>
    </row>
    <row r="1267" spans="1:4">
      <c r="A1267" s="53">
        <f t="shared" si="197"/>
        <v>46738</v>
      </c>
      <c r="B1267" s="41">
        <f t="shared" si="195"/>
        <v>46738</v>
      </c>
      <c r="C1267" s="42" t="str">
        <f t="shared" si="196"/>
        <v>第3  金曜日</v>
      </c>
      <c r="D1267" s="4" t="str">
        <f>_xlfn.XLOOKUP(B1267,syukujitsu[国民の祝日・休日月日],syukujitsu[国民の祝日・休日名称],"",0,1)</f>
        <v/>
      </c>
    </row>
    <row r="1268" spans="1:4">
      <c r="A1268" s="53">
        <f t="shared" si="197"/>
        <v>46739</v>
      </c>
      <c r="B1268" s="41">
        <f t="shared" si="195"/>
        <v>46739</v>
      </c>
      <c r="C1268" s="42" t="str">
        <f t="shared" si="196"/>
        <v>第3  土曜日</v>
      </c>
      <c r="D1268" s="4" t="str">
        <f>_xlfn.XLOOKUP(B1268,syukujitsu[国民の祝日・休日月日],syukujitsu[国民の祝日・休日名称],"",0,1)</f>
        <v/>
      </c>
    </row>
    <row r="1269" spans="1:4">
      <c r="A1269" s="53">
        <f t="shared" si="197"/>
        <v>46740</v>
      </c>
      <c r="B1269" s="41">
        <f t="shared" si="195"/>
        <v>46740</v>
      </c>
      <c r="C1269" s="42" t="str">
        <f t="shared" si="196"/>
        <v>第3  日曜日</v>
      </c>
      <c r="D1269" s="4" t="str">
        <f>_xlfn.XLOOKUP(B1269,syukujitsu[国民の祝日・休日月日],syukujitsu[国民の祝日・休日名称],"",0,1)</f>
        <v/>
      </c>
    </row>
    <row r="1270" spans="1:4">
      <c r="A1270" s="53">
        <f t="shared" si="197"/>
        <v>46741</v>
      </c>
      <c r="B1270" s="41">
        <f t="shared" si="195"/>
        <v>46741</v>
      </c>
      <c r="C1270" s="42" t="str">
        <f t="shared" si="196"/>
        <v>第3  月曜日</v>
      </c>
      <c r="D1270" s="4" t="str">
        <f>_xlfn.XLOOKUP(B1270,syukujitsu[国民の祝日・休日月日],syukujitsu[国民の祝日・休日名称],"",0,1)</f>
        <v/>
      </c>
    </row>
    <row r="1271" spans="1:4">
      <c r="A1271" s="53">
        <f t="shared" si="197"/>
        <v>46742</v>
      </c>
      <c r="B1271" s="41">
        <f t="shared" ref="B1271:B1334" si="198">B1270+1</f>
        <v>46742</v>
      </c>
      <c r="C1271" s="42" t="str">
        <f t="shared" si="196"/>
        <v>第3  火曜日</v>
      </c>
      <c r="D1271" s="4" t="str">
        <f>_xlfn.XLOOKUP(B1271,syukujitsu[国民の祝日・休日月日],syukujitsu[国民の祝日・休日名称],"",0,1)</f>
        <v/>
      </c>
    </row>
    <row r="1272" spans="1:4">
      <c r="A1272" s="53">
        <f t="shared" si="197"/>
        <v>46743</v>
      </c>
      <c r="B1272" s="41">
        <f t="shared" si="198"/>
        <v>46743</v>
      </c>
      <c r="C1272" s="42" t="str">
        <f t="shared" si="196"/>
        <v>第4  水曜日</v>
      </c>
      <c r="D1272" s="4" t="str">
        <f>_xlfn.XLOOKUP(B1272,syukujitsu[国民の祝日・休日月日],syukujitsu[国民の祝日・休日名称],"",0,1)</f>
        <v/>
      </c>
    </row>
    <row r="1273" spans="1:4">
      <c r="A1273" s="53">
        <f t="shared" si="197"/>
        <v>46744</v>
      </c>
      <c r="B1273" s="41">
        <f t="shared" si="198"/>
        <v>46744</v>
      </c>
      <c r="C1273" s="42" t="str">
        <f t="shared" si="196"/>
        <v>第4  木曜日</v>
      </c>
      <c r="D1273" s="4" t="str">
        <f>_xlfn.XLOOKUP(B1273,syukujitsu[国民の祝日・休日月日],syukujitsu[国民の祝日・休日名称],"",0,1)</f>
        <v/>
      </c>
    </row>
    <row r="1274" spans="1:4">
      <c r="A1274" s="53">
        <f t="shared" si="197"/>
        <v>46745</v>
      </c>
      <c r="B1274" s="41">
        <f t="shared" si="198"/>
        <v>46745</v>
      </c>
      <c r="C1274" s="42" t="str">
        <f t="shared" si="196"/>
        <v>第4  金曜日</v>
      </c>
      <c r="D1274" s="4" t="str">
        <f>_xlfn.XLOOKUP(B1274,syukujitsu[国民の祝日・休日月日],syukujitsu[国民の祝日・休日名称],"",0,1)</f>
        <v/>
      </c>
    </row>
    <row r="1275" spans="1:4">
      <c r="A1275" s="53">
        <f t="shared" si="197"/>
        <v>46746</v>
      </c>
      <c r="B1275" s="41">
        <f t="shared" si="198"/>
        <v>46746</v>
      </c>
      <c r="C1275" s="42" t="str">
        <f t="shared" si="196"/>
        <v>第4  土曜日</v>
      </c>
      <c r="D1275" s="4" t="str">
        <f>_xlfn.XLOOKUP(B1275,syukujitsu[国民の祝日・休日月日],syukujitsu[国民の祝日・休日名称],"",0,1)</f>
        <v/>
      </c>
    </row>
    <row r="1276" spans="1:4">
      <c r="A1276" s="53">
        <f t="shared" si="197"/>
        <v>46747</v>
      </c>
      <c r="B1276" s="41">
        <f t="shared" si="198"/>
        <v>46747</v>
      </c>
      <c r="C1276" s="42" t="str">
        <f t="shared" si="196"/>
        <v>第4  日曜日</v>
      </c>
      <c r="D1276" s="4" t="str">
        <f>_xlfn.XLOOKUP(B1276,syukujitsu[国民の祝日・休日月日],syukujitsu[国民の祝日・休日名称],"",0,1)</f>
        <v/>
      </c>
    </row>
    <row r="1277" spans="1:4">
      <c r="A1277" s="53">
        <f t="shared" si="197"/>
        <v>46748</v>
      </c>
      <c r="B1277" s="41">
        <f t="shared" si="198"/>
        <v>46748</v>
      </c>
      <c r="C1277" s="42" t="str">
        <f t="shared" si="196"/>
        <v>第4  月曜日</v>
      </c>
      <c r="D1277" s="4" t="str">
        <f>_xlfn.XLOOKUP(B1277,syukujitsu[国民の祝日・休日月日],syukujitsu[国民の祝日・休日名称],"",0,1)</f>
        <v/>
      </c>
    </row>
    <row r="1278" spans="1:4">
      <c r="A1278" s="53">
        <f t="shared" si="197"/>
        <v>46749</v>
      </c>
      <c r="B1278" s="41">
        <f t="shared" si="198"/>
        <v>46749</v>
      </c>
      <c r="C1278" s="42" t="str">
        <f t="shared" si="196"/>
        <v>第4  火曜日</v>
      </c>
      <c r="D1278" s="4" t="str">
        <f>_xlfn.XLOOKUP(B1278,syukujitsu[国民の祝日・休日月日],syukujitsu[国民の祝日・休日名称],"",0,1)</f>
        <v/>
      </c>
    </row>
    <row r="1279" spans="1:4">
      <c r="A1279" s="53">
        <f t="shared" si="197"/>
        <v>46750</v>
      </c>
      <c r="B1279" s="41">
        <f t="shared" si="198"/>
        <v>46750</v>
      </c>
      <c r="C1279" s="42" t="str">
        <f t="shared" si="196"/>
        <v>第5  水曜日</v>
      </c>
      <c r="D1279" s="4" t="str">
        <f>_xlfn.XLOOKUP(B1279,syukujitsu[国民の祝日・休日月日],syukujitsu[国民の祝日・休日名称],"",0,1)</f>
        <v/>
      </c>
    </row>
    <row r="1280" spans="1:4">
      <c r="A1280" s="53">
        <f t="shared" si="197"/>
        <v>46751</v>
      </c>
      <c r="B1280" s="41">
        <f t="shared" si="198"/>
        <v>46751</v>
      </c>
      <c r="C1280" s="42" t="str">
        <f t="shared" si="196"/>
        <v>第5  木曜日</v>
      </c>
      <c r="D1280" s="4" t="str">
        <f>_xlfn.XLOOKUP(B1280,syukujitsu[国民の祝日・休日月日],syukujitsu[国民の祝日・休日名称],"",0,1)</f>
        <v/>
      </c>
    </row>
    <row r="1281" spans="1:4">
      <c r="A1281" s="53">
        <f t="shared" si="197"/>
        <v>46752</v>
      </c>
      <c r="B1281" s="41">
        <f t="shared" si="198"/>
        <v>46752</v>
      </c>
      <c r="C1281" s="42" t="str">
        <f t="shared" si="196"/>
        <v>第5  金曜日</v>
      </c>
      <c r="D1281" s="4" t="str">
        <f>_xlfn.XLOOKUP(B1281,syukujitsu[国民の祝日・休日月日],syukujitsu[国民の祝日・休日名称],"",0,1)</f>
        <v/>
      </c>
    </row>
    <row r="1282" spans="1:4">
      <c r="A1282" s="53">
        <f t="shared" si="197"/>
        <v>46753</v>
      </c>
      <c r="B1282" s="41">
        <f t="shared" si="198"/>
        <v>46753</v>
      </c>
      <c r="C1282" s="42" t="str">
        <f t="shared" si="196"/>
        <v>第1  土曜日</v>
      </c>
      <c r="D1282" s="4" t="str">
        <f>_xlfn.XLOOKUP(B1282,syukujitsu[国民の祝日・休日月日],syukujitsu[国民の祝日・休日名称],"",0,1)</f>
        <v/>
      </c>
    </row>
    <row r="1283" spans="1:4">
      <c r="A1283" s="53">
        <f t="shared" si="197"/>
        <v>46754</v>
      </c>
      <c r="B1283" s="41">
        <f t="shared" si="198"/>
        <v>46754</v>
      </c>
      <c r="C1283" s="42" t="str">
        <f t="shared" si="196"/>
        <v>第1  日曜日</v>
      </c>
      <c r="D1283" s="4" t="str">
        <f>_xlfn.XLOOKUP(B1283,syukujitsu[国民の祝日・休日月日],syukujitsu[国民の祝日・休日名称],"",0,1)</f>
        <v/>
      </c>
    </row>
    <row r="1284" spans="1:4">
      <c r="A1284" s="53">
        <f t="shared" si="197"/>
        <v>46755</v>
      </c>
      <c r="B1284" s="41">
        <f t="shared" si="198"/>
        <v>46755</v>
      </c>
      <c r="C1284" s="42" t="str">
        <f t="shared" si="196"/>
        <v>第1  月曜日</v>
      </c>
      <c r="D1284" s="4" t="str">
        <f>_xlfn.XLOOKUP(B1284,syukujitsu[国民の祝日・休日月日],syukujitsu[国民の祝日・休日名称],"",0,1)</f>
        <v/>
      </c>
    </row>
    <row r="1285" spans="1:4">
      <c r="A1285" s="53">
        <f t="shared" si="197"/>
        <v>46756</v>
      </c>
      <c r="B1285" s="41">
        <f t="shared" si="198"/>
        <v>46756</v>
      </c>
      <c r="C1285" s="42" t="str">
        <f t="shared" si="196"/>
        <v>第1  火曜日</v>
      </c>
      <c r="D1285" s="4" t="str">
        <f>_xlfn.XLOOKUP(B1285,syukujitsu[国民の祝日・休日月日],syukujitsu[国民の祝日・休日名称],"",0,1)</f>
        <v/>
      </c>
    </row>
    <row r="1286" spans="1:4">
      <c r="A1286" s="53">
        <f t="shared" si="197"/>
        <v>46757</v>
      </c>
      <c r="B1286" s="41">
        <f t="shared" si="198"/>
        <v>46757</v>
      </c>
      <c r="C1286" s="42" t="str">
        <f t="shared" si="196"/>
        <v>第1  水曜日</v>
      </c>
      <c r="D1286" s="4" t="str">
        <f>_xlfn.XLOOKUP(B1286,syukujitsu[国民の祝日・休日月日],syukujitsu[国民の祝日・休日名称],"",0,1)</f>
        <v/>
      </c>
    </row>
    <row r="1287" spans="1:4">
      <c r="A1287" s="53">
        <f t="shared" si="197"/>
        <v>46758</v>
      </c>
      <c r="B1287" s="41">
        <f t="shared" si="198"/>
        <v>46758</v>
      </c>
      <c r="C1287" s="42" t="str">
        <f t="shared" si="196"/>
        <v>第1  木曜日</v>
      </c>
      <c r="D1287" s="4" t="str">
        <f>_xlfn.XLOOKUP(B1287,syukujitsu[国民の祝日・休日月日],syukujitsu[国民の祝日・休日名称],"",0,1)</f>
        <v/>
      </c>
    </row>
    <row r="1288" spans="1:4">
      <c r="A1288" s="53">
        <f t="shared" si="197"/>
        <v>46759</v>
      </c>
      <c r="B1288" s="41">
        <f t="shared" si="198"/>
        <v>46759</v>
      </c>
      <c r="C1288" s="42" t="str">
        <f t="shared" si="196"/>
        <v>第1  金曜日</v>
      </c>
      <c r="D1288" s="4" t="str">
        <f>_xlfn.XLOOKUP(B1288,syukujitsu[国民の祝日・休日月日],syukujitsu[国民の祝日・休日名称],"",0,1)</f>
        <v/>
      </c>
    </row>
    <row r="1289" spans="1:4">
      <c r="A1289" s="53">
        <f t="shared" si="197"/>
        <v>46760</v>
      </c>
      <c r="B1289" s="41">
        <f t="shared" si="198"/>
        <v>46760</v>
      </c>
      <c r="C1289" s="42" t="str">
        <f t="shared" si="196"/>
        <v>第2  土曜日</v>
      </c>
      <c r="D1289" s="4" t="str">
        <f>_xlfn.XLOOKUP(B1289,syukujitsu[国民の祝日・休日月日],syukujitsu[国民の祝日・休日名称],"",0,1)</f>
        <v/>
      </c>
    </row>
    <row r="1290" spans="1:4">
      <c r="A1290" s="53">
        <f t="shared" si="197"/>
        <v>46761</v>
      </c>
      <c r="B1290" s="41">
        <f t="shared" si="198"/>
        <v>46761</v>
      </c>
      <c r="C1290" s="42" t="str">
        <f t="shared" si="196"/>
        <v>第2  日曜日</v>
      </c>
      <c r="D1290" s="4" t="str">
        <f>_xlfn.XLOOKUP(B1290,syukujitsu[国民の祝日・休日月日],syukujitsu[国民の祝日・休日名称],"",0,1)</f>
        <v/>
      </c>
    </row>
    <row r="1291" spans="1:4">
      <c r="A1291" s="53">
        <f t="shared" si="197"/>
        <v>46762</v>
      </c>
      <c r="B1291" s="41">
        <f t="shared" si="198"/>
        <v>46762</v>
      </c>
      <c r="C1291" s="42" t="str">
        <f t="shared" si="196"/>
        <v>第2  月曜日</v>
      </c>
      <c r="D1291" s="4" t="str">
        <f>_xlfn.XLOOKUP(B1291,syukujitsu[国民の祝日・休日月日],syukujitsu[国民の祝日・休日名称],"",0,1)</f>
        <v/>
      </c>
    </row>
    <row r="1292" spans="1:4">
      <c r="A1292" s="53">
        <f t="shared" si="197"/>
        <v>46763</v>
      </c>
      <c r="B1292" s="41">
        <f t="shared" si="198"/>
        <v>46763</v>
      </c>
      <c r="C1292" s="42" t="str">
        <f t="shared" ref="C1292:C1355" si="199">"第"&amp;ROUNDUP(DAY(B1292)/7,0)  &amp;"  "&amp;TEXT(B1292,"aaaa")</f>
        <v>第2  火曜日</v>
      </c>
      <c r="D1292" s="4" t="str">
        <f>_xlfn.XLOOKUP(B1292,syukujitsu[国民の祝日・休日月日],syukujitsu[国民の祝日・休日名称],"",0,1)</f>
        <v/>
      </c>
    </row>
    <row r="1293" spans="1:4">
      <c r="A1293" s="53">
        <f t="shared" si="197"/>
        <v>46764</v>
      </c>
      <c r="B1293" s="41">
        <f t="shared" si="198"/>
        <v>46764</v>
      </c>
      <c r="C1293" s="42" t="str">
        <f t="shared" si="199"/>
        <v>第2  水曜日</v>
      </c>
      <c r="D1293" s="4" t="str">
        <f>_xlfn.XLOOKUP(B1293,syukujitsu[国民の祝日・休日月日],syukujitsu[国民の祝日・休日名称],"",0,1)</f>
        <v/>
      </c>
    </row>
    <row r="1294" spans="1:4">
      <c r="A1294" s="53">
        <f t="shared" si="197"/>
        <v>46765</v>
      </c>
      <c r="B1294" s="41">
        <f t="shared" si="198"/>
        <v>46765</v>
      </c>
      <c r="C1294" s="42" t="str">
        <f t="shared" si="199"/>
        <v>第2  木曜日</v>
      </c>
      <c r="D1294" s="4" t="str">
        <f>_xlfn.XLOOKUP(B1294,syukujitsu[国民の祝日・休日月日],syukujitsu[国民の祝日・休日名称],"",0,1)</f>
        <v/>
      </c>
    </row>
    <row r="1295" spans="1:4">
      <c r="A1295" s="53">
        <f t="shared" si="197"/>
        <v>46766</v>
      </c>
      <c r="B1295" s="41">
        <f t="shared" si="198"/>
        <v>46766</v>
      </c>
      <c r="C1295" s="42" t="str">
        <f t="shared" si="199"/>
        <v>第2  金曜日</v>
      </c>
      <c r="D1295" s="4" t="str">
        <f>_xlfn.XLOOKUP(B1295,syukujitsu[国民の祝日・休日月日],syukujitsu[国民の祝日・休日名称],"",0,1)</f>
        <v/>
      </c>
    </row>
    <row r="1296" spans="1:4">
      <c r="A1296" s="53">
        <f t="shared" si="197"/>
        <v>46767</v>
      </c>
      <c r="B1296" s="41">
        <f t="shared" si="198"/>
        <v>46767</v>
      </c>
      <c r="C1296" s="42" t="str">
        <f t="shared" si="199"/>
        <v>第3  土曜日</v>
      </c>
      <c r="D1296" s="4" t="str">
        <f>_xlfn.XLOOKUP(B1296,syukujitsu[国民の祝日・休日月日],syukujitsu[国民の祝日・休日名称],"",0,1)</f>
        <v/>
      </c>
    </row>
    <row r="1297" spans="1:4">
      <c r="A1297" s="53">
        <f t="shared" si="197"/>
        <v>46768</v>
      </c>
      <c r="B1297" s="41">
        <f t="shared" si="198"/>
        <v>46768</v>
      </c>
      <c r="C1297" s="42" t="str">
        <f t="shared" si="199"/>
        <v>第3  日曜日</v>
      </c>
      <c r="D1297" s="4" t="str">
        <f>_xlfn.XLOOKUP(B1297,syukujitsu[国民の祝日・休日月日],syukujitsu[国民の祝日・休日名称],"",0,1)</f>
        <v/>
      </c>
    </row>
    <row r="1298" spans="1:4">
      <c r="A1298" s="53">
        <f t="shared" si="197"/>
        <v>46769</v>
      </c>
      <c r="B1298" s="41">
        <f t="shared" si="198"/>
        <v>46769</v>
      </c>
      <c r="C1298" s="42" t="str">
        <f t="shared" si="199"/>
        <v>第3  月曜日</v>
      </c>
      <c r="D1298" s="4" t="str">
        <f>_xlfn.XLOOKUP(B1298,syukujitsu[国民の祝日・休日月日],syukujitsu[国民の祝日・休日名称],"",0,1)</f>
        <v/>
      </c>
    </row>
    <row r="1299" spans="1:4">
      <c r="A1299" s="53">
        <f t="shared" si="197"/>
        <v>46770</v>
      </c>
      <c r="B1299" s="41">
        <f t="shared" si="198"/>
        <v>46770</v>
      </c>
      <c r="C1299" s="42" t="str">
        <f t="shared" si="199"/>
        <v>第3  火曜日</v>
      </c>
      <c r="D1299" s="4" t="str">
        <f>_xlfn.XLOOKUP(B1299,syukujitsu[国民の祝日・休日月日],syukujitsu[国民の祝日・休日名称],"",0,1)</f>
        <v/>
      </c>
    </row>
    <row r="1300" spans="1:4">
      <c r="A1300" s="53">
        <f t="shared" si="197"/>
        <v>46771</v>
      </c>
      <c r="B1300" s="41">
        <f t="shared" si="198"/>
        <v>46771</v>
      </c>
      <c r="C1300" s="42" t="str">
        <f t="shared" si="199"/>
        <v>第3  水曜日</v>
      </c>
      <c r="D1300" s="4" t="str">
        <f>_xlfn.XLOOKUP(B1300,syukujitsu[国民の祝日・休日月日],syukujitsu[国民の祝日・休日名称],"",0,1)</f>
        <v/>
      </c>
    </row>
    <row r="1301" spans="1:4">
      <c r="A1301" s="53">
        <f t="shared" si="197"/>
        <v>46772</v>
      </c>
      <c r="B1301" s="41">
        <f t="shared" si="198"/>
        <v>46772</v>
      </c>
      <c r="C1301" s="42" t="str">
        <f t="shared" si="199"/>
        <v>第3  木曜日</v>
      </c>
      <c r="D1301" s="4" t="str">
        <f>_xlfn.XLOOKUP(B1301,syukujitsu[国民の祝日・休日月日],syukujitsu[国民の祝日・休日名称],"",0,1)</f>
        <v/>
      </c>
    </row>
    <row r="1302" spans="1:4">
      <c r="A1302" s="53">
        <f t="shared" si="197"/>
        <v>46773</v>
      </c>
      <c r="B1302" s="41">
        <f t="shared" si="198"/>
        <v>46773</v>
      </c>
      <c r="C1302" s="42" t="str">
        <f t="shared" si="199"/>
        <v>第3  金曜日</v>
      </c>
      <c r="D1302" s="4" t="str">
        <f>_xlfn.XLOOKUP(B1302,syukujitsu[国民の祝日・休日月日],syukujitsu[国民の祝日・休日名称],"",0,1)</f>
        <v/>
      </c>
    </row>
    <row r="1303" spans="1:4">
      <c r="A1303" s="53">
        <f t="shared" si="197"/>
        <v>46774</v>
      </c>
      <c r="B1303" s="41">
        <f t="shared" si="198"/>
        <v>46774</v>
      </c>
      <c r="C1303" s="42" t="str">
        <f t="shared" si="199"/>
        <v>第4  土曜日</v>
      </c>
      <c r="D1303" s="4" t="str">
        <f>_xlfn.XLOOKUP(B1303,syukujitsu[国民の祝日・休日月日],syukujitsu[国民の祝日・休日名称],"",0,1)</f>
        <v/>
      </c>
    </row>
    <row r="1304" spans="1:4">
      <c r="A1304" s="53">
        <f t="shared" si="197"/>
        <v>46775</v>
      </c>
      <c r="B1304" s="41">
        <f t="shared" si="198"/>
        <v>46775</v>
      </c>
      <c r="C1304" s="42" t="str">
        <f t="shared" si="199"/>
        <v>第4  日曜日</v>
      </c>
      <c r="D1304" s="4" t="str">
        <f>_xlfn.XLOOKUP(B1304,syukujitsu[国民の祝日・休日月日],syukujitsu[国民の祝日・休日名称],"",0,1)</f>
        <v/>
      </c>
    </row>
    <row r="1305" spans="1:4">
      <c r="A1305" s="53">
        <f t="shared" si="197"/>
        <v>46776</v>
      </c>
      <c r="B1305" s="41">
        <f t="shared" si="198"/>
        <v>46776</v>
      </c>
      <c r="C1305" s="42" t="str">
        <f t="shared" si="199"/>
        <v>第4  月曜日</v>
      </c>
      <c r="D1305" s="4" t="str">
        <f>_xlfn.XLOOKUP(B1305,syukujitsu[国民の祝日・休日月日],syukujitsu[国民の祝日・休日名称],"",0,1)</f>
        <v/>
      </c>
    </row>
    <row r="1306" spans="1:4">
      <c r="A1306" s="53">
        <f t="shared" si="197"/>
        <v>46777</v>
      </c>
      <c r="B1306" s="41">
        <f t="shared" si="198"/>
        <v>46777</v>
      </c>
      <c r="C1306" s="42" t="str">
        <f t="shared" si="199"/>
        <v>第4  火曜日</v>
      </c>
      <c r="D1306" s="4" t="str">
        <f>_xlfn.XLOOKUP(B1306,syukujitsu[国民の祝日・休日月日],syukujitsu[国民の祝日・休日名称],"",0,1)</f>
        <v/>
      </c>
    </row>
    <row r="1307" spans="1:4">
      <c r="A1307" s="53">
        <f t="shared" si="197"/>
        <v>46778</v>
      </c>
      <c r="B1307" s="41">
        <f t="shared" si="198"/>
        <v>46778</v>
      </c>
      <c r="C1307" s="42" t="str">
        <f t="shared" si="199"/>
        <v>第4  水曜日</v>
      </c>
      <c r="D1307" s="4" t="str">
        <f>_xlfn.XLOOKUP(B1307,syukujitsu[国民の祝日・休日月日],syukujitsu[国民の祝日・休日名称],"",0,1)</f>
        <v/>
      </c>
    </row>
    <row r="1308" spans="1:4">
      <c r="A1308" s="53">
        <f t="shared" si="197"/>
        <v>46779</v>
      </c>
      <c r="B1308" s="41">
        <f t="shared" si="198"/>
        <v>46779</v>
      </c>
      <c r="C1308" s="42" t="str">
        <f t="shared" si="199"/>
        <v>第4  木曜日</v>
      </c>
      <c r="D1308" s="4" t="str">
        <f>_xlfn.XLOOKUP(B1308,syukujitsu[国民の祝日・休日月日],syukujitsu[国民の祝日・休日名称],"",0,1)</f>
        <v/>
      </c>
    </row>
    <row r="1309" spans="1:4">
      <c r="A1309" s="53">
        <f t="shared" si="197"/>
        <v>46780</v>
      </c>
      <c r="B1309" s="41">
        <f t="shared" si="198"/>
        <v>46780</v>
      </c>
      <c r="C1309" s="42" t="str">
        <f t="shared" si="199"/>
        <v>第4  金曜日</v>
      </c>
      <c r="D1309" s="4" t="str">
        <f>_xlfn.XLOOKUP(B1309,syukujitsu[国民の祝日・休日月日],syukujitsu[国民の祝日・休日名称],"",0,1)</f>
        <v/>
      </c>
    </row>
    <row r="1310" spans="1:4">
      <c r="A1310" s="53">
        <f t="shared" si="197"/>
        <v>46781</v>
      </c>
      <c r="B1310" s="41">
        <f t="shared" si="198"/>
        <v>46781</v>
      </c>
      <c r="C1310" s="42" t="str">
        <f t="shared" si="199"/>
        <v>第5  土曜日</v>
      </c>
      <c r="D1310" s="4" t="str">
        <f>_xlfn.XLOOKUP(B1310,syukujitsu[国民の祝日・休日月日],syukujitsu[国民の祝日・休日名称],"",0,1)</f>
        <v/>
      </c>
    </row>
    <row r="1311" spans="1:4">
      <c r="A1311" s="53">
        <f t="shared" si="197"/>
        <v>46782</v>
      </c>
      <c r="B1311" s="41">
        <f t="shared" si="198"/>
        <v>46782</v>
      </c>
      <c r="C1311" s="42" t="str">
        <f t="shared" si="199"/>
        <v>第5  日曜日</v>
      </c>
      <c r="D1311" s="4" t="str">
        <f>_xlfn.XLOOKUP(B1311,syukujitsu[国民の祝日・休日月日],syukujitsu[国民の祝日・休日名称],"",0,1)</f>
        <v/>
      </c>
    </row>
    <row r="1312" spans="1:4">
      <c r="A1312" s="53">
        <f t="shared" ref="A1312:A1375" si="200">B1312</f>
        <v>46783</v>
      </c>
      <c r="B1312" s="41">
        <f t="shared" si="198"/>
        <v>46783</v>
      </c>
      <c r="C1312" s="42" t="str">
        <f t="shared" si="199"/>
        <v>第5  月曜日</v>
      </c>
      <c r="D1312" s="4" t="str">
        <f>_xlfn.XLOOKUP(B1312,syukujitsu[国民の祝日・休日月日],syukujitsu[国民の祝日・休日名称],"",0,1)</f>
        <v/>
      </c>
    </row>
    <row r="1313" spans="1:4">
      <c r="A1313" s="53">
        <f t="shared" si="200"/>
        <v>46784</v>
      </c>
      <c r="B1313" s="41">
        <f t="shared" si="198"/>
        <v>46784</v>
      </c>
      <c r="C1313" s="42" t="str">
        <f t="shared" si="199"/>
        <v>第1  火曜日</v>
      </c>
      <c r="D1313" s="4" t="str">
        <f>_xlfn.XLOOKUP(B1313,syukujitsu[国民の祝日・休日月日],syukujitsu[国民の祝日・休日名称],"",0,1)</f>
        <v/>
      </c>
    </row>
    <row r="1314" spans="1:4">
      <c r="A1314" s="53">
        <f t="shared" si="200"/>
        <v>46785</v>
      </c>
      <c r="B1314" s="41">
        <f t="shared" si="198"/>
        <v>46785</v>
      </c>
      <c r="C1314" s="42" t="str">
        <f t="shared" si="199"/>
        <v>第1  水曜日</v>
      </c>
      <c r="D1314" s="4" t="str">
        <f>_xlfn.XLOOKUP(B1314,syukujitsu[国民の祝日・休日月日],syukujitsu[国民の祝日・休日名称],"",0,1)</f>
        <v/>
      </c>
    </row>
    <row r="1315" spans="1:4">
      <c r="A1315" s="53">
        <f t="shared" si="200"/>
        <v>46786</v>
      </c>
      <c r="B1315" s="41">
        <f t="shared" si="198"/>
        <v>46786</v>
      </c>
      <c r="C1315" s="42" t="str">
        <f t="shared" si="199"/>
        <v>第1  木曜日</v>
      </c>
      <c r="D1315" s="4" t="str">
        <f>_xlfn.XLOOKUP(B1315,syukujitsu[国民の祝日・休日月日],syukujitsu[国民の祝日・休日名称],"",0,1)</f>
        <v/>
      </c>
    </row>
    <row r="1316" spans="1:4">
      <c r="A1316" s="53">
        <f t="shared" si="200"/>
        <v>46787</v>
      </c>
      <c r="B1316" s="41">
        <f t="shared" si="198"/>
        <v>46787</v>
      </c>
      <c r="C1316" s="42" t="str">
        <f t="shared" si="199"/>
        <v>第1  金曜日</v>
      </c>
      <c r="D1316" s="4" t="str">
        <f>_xlfn.XLOOKUP(B1316,syukujitsu[国民の祝日・休日月日],syukujitsu[国民の祝日・休日名称],"",0,1)</f>
        <v/>
      </c>
    </row>
    <row r="1317" spans="1:4">
      <c r="A1317" s="53">
        <f t="shared" si="200"/>
        <v>46788</v>
      </c>
      <c r="B1317" s="41">
        <f t="shared" si="198"/>
        <v>46788</v>
      </c>
      <c r="C1317" s="42" t="str">
        <f t="shared" si="199"/>
        <v>第1  土曜日</v>
      </c>
      <c r="D1317" s="4" t="str">
        <f>_xlfn.XLOOKUP(B1317,syukujitsu[国民の祝日・休日月日],syukujitsu[国民の祝日・休日名称],"",0,1)</f>
        <v/>
      </c>
    </row>
    <row r="1318" spans="1:4">
      <c r="A1318" s="53">
        <f t="shared" si="200"/>
        <v>46789</v>
      </c>
      <c r="B1318" s="41">
        <f t="shared" si="198"/>
        <v>46789</v>
      </c>
      <c r="C1318" s="42" t="str">
        <f t="shared" si="199"/>
        <v>第1  日曜日</v>
      </c>
      <c r="D1318" s="4" t="str">
        <f>_xlfn.XLOOKUP(B1318,syukujitsu[国民の祝日・休日月日],syukujitsu[国民の祝日・休日名称],"",0,1)</f>
        <v/>
      </c>
    </row>
    <row r="1319" spans="1:4">
      <c r="A1319" s="53">
        <f t="shared" si="200"/>
        <v>46790</v>
      </c>
      <c r="B1319" s="41">
        <f t="shared" si="198"/>
        <v>46790</v>
      </c>
      <c r="C1319" s="42" t="str">
        <f t="shared" si="199"/>
        <v>第1  月曜日</v>
      </c>
      <c r="D1319" s="4" t="str">
        <f>_xlfn.XLOOKUP(B1319,syukujitsu[国民の祝日・休日月日],syukujitsu[国民の祝日・休日名称],"",0,1)</f>
        <v/>
      </c>
    </row>
    <row r="1320" spans="1:4">
      <c r="A1320" s="53">
        <f t="shared" si="200"/>
        <v>46791</v>
      </c>
      <c r="B1320" s="41">
        <f t="shared" si="198"/>
        <v>46791</v>
      </c>
      <c r="C1320" s="42" t="str">
        <f t="shared" si="199"/>
        <v>第2  火曜日</v>
      </c>
      <c r="D1320" s="4" t="str">
        <f>_xlfn.XLOOKUP(B1320,syukujitsu[国民の祝日・休日月日],syukujitsu[国民の祝日・休日名称],"",0,1)</f>
        <v/>
      </c>
    </row>
    <row r="1321" spans="1:4">
      <c r="A1321" s="53">
        <f t="shared" si="200"/>
        <v>46792</v>
      </c>
      <c r="B1321" s="41">
        <f t="shared" si="198"/>
        <v>46792</v>
      </c>
      <c r="C1321" s="42" t="str">
        <f t="shared" si="199"/>
        <v>第2  水曜日</v>
      </c>
      <c r="D1321" s="4" t="str">
        <f>_xlfn.XLOOKUP(B1321,syukujitsu[国民の祝日・休日月日],syukujitsu[国民の祝日・休日名称],"",0,1)</f>
        <v/>
      </c>
    </row>
    <row r="1322" spans="1:4">
      <c r="A1322" s="53">
        <f t="shared" si="200"/>
        <v>46793</v>
      </c>
      <c r="B1322" s="41">
        <f t="shared" si="198"/>
        <v>46793</v>
      </c>
      <c r="C1322" s="42" t="str">
        <f t="shared" si="199"/>
        <v>第2  木曜日</v>
      </c>
      <c r="D1322" s="4" t="str">
        <f>_xlfn.XLOOKUP(B1322,syukujitsu[国民の祝日・休日月日],syukujitsu[国民の祝日・休日名称],"",0,1)</f>
        <v/>
      </c>
    </row>
    <row r="1323" spans="1:4">
      <c r="A1323" s="53">
        <f t="shared" si="200"/>
        <v>46794</v>
      </c>
      <c r="B1323" s="41">
        <f t="shared" si="198"/>
        <v>46794</v>
      </c>
      <c r="C1323" s="42" t="str">
        <f t="shared" si="199"/>
        <v>第2  金曜日</v>
      </c>
      <c r="D1323" s="4" t="str">
        <f>_xlfn.XLOOKUP(B1323,syukujitsu[国民の祝日・休日月日],syukujitsu[国民の祝日・休日名称],"",0,1)</f>
        <v/>
      </c>
    </row>
    <row r="1324" spans="1:4">
      <c r="A1324" s="53">
        <f t="shared" si="200"/>
        <v>46795</v>
      </c>
      <c r="B1324" s="41">
        <f t="shared" si="198"/>
        <v>46795</v>
      </c>
      <c r="C1324" s="42" t="str">
        <f t="shared" si="199"/>
        <v>第2  土曜日</v>
      </c>
      <c r="D1324" s="4" t="str">
        <f>_xlfn.XLOOKUP(B1324,syukujitsu[国民の祝日・休日月日],syukujitsu[国民の祝日・休日名称],"",0,1)</f>
        <v/>
      </c>
    </row>
    <row r="1325" spans="1:4">
      <c r="A1325" s="53">
        <f t="shared" si="200"/>
        <v>46796</v>
      </c>
      <c r="B1325" s="41">
        <f t="shared" si="198"/>
        <v>46796</v>
      </c>
      <c r="C1325" s="42" t="str">
        <f t="shared" si="199"/>
        <v>第2  日曜日</v>
      </c>
      <c r="D1325" s="4" t="str">
        <f>_xlfn.XLOOKUP(B1325,syukujitsu[国民の祝日・休日月日],syukujitsu[国民の祝日・休日名称],"",0,1)</f>
        <v/>
      </c>
    </row>
    <row r="1326" spans="1:4">
      <c r="A1326" s="53">
        <f t="shared" si="200"/>
        <v>46797</v>
      </c>
      <c r="B1326" s="41">
        <f t="shared" si="198"/>
        <v>46797</v>
      </c>
      <c r="C1326" s="42" t="str">
        <f t="shared" si="199"/>
        <v>第2  月曜日</v>
      </c>
      <c r="D1326" s="4" t="str">
        <f>_xlfn.XLOOKUP(B1326,syukujitsu[国民の祝日・休日月日],syukujitsu[国民の祝日・休日名称],"",0,1)</f>
        <v/>
      </c>
    </row>
    <row r="1327" spans="1:4">
      <c r="A1327" s="53">
        <f t="shared" si="200"/>
        <v>46798</v>
      </c>
      <c r="B1327" s="41">
        <f t="shared" si="198"/>
        <v>46798</v>
      </c>
      <c r="C1327" s="42" t="str">
        <f t="shared" si="199"/>
        <v>第3  火曜日</v>
      </c>
      <c r="D1327" s="4" t="str">
        <f>_xlfn.XLOOKUP(B1327,syukujitsu[国民の祝日・休日月日],syukujitsu[国民の祝日・休日名称],"",0,1)</f>
        <v/>
      </c>
    </row>
    <row r="1328" spans="1:4">
      <c r="A1328" s="53">
        <f t="shared" si="200"/>
        <v>46799</v>
      </c>
      <c r="B1328" s="41">
        <f t="shared" si="198"/>
        <v>46799</v>
      </c>
      <c r="C1328" s="42" t="str">
        <f t="shared" si="199"/>
        <v>第3  水曜日</v>
      </c>
      <c r="D1328" s="4" t="str">
        <f>_xlfn.XLOOKUP(B1328,syukujitsu[国民の祝日・休日月日],syukujitsu[国民の祝日・休日名称],"",0,1)</f>
        <v/>
      </c>
    </row>
    <row r="1329" spans="1:4">
      <c r="A1329" s="53">
        <f t="shared" si="200"/>
        <v>46800</v>
      </c>
      <c r="B1329" s="41">
        <f t="shared" si="198"/>
        <v>46800</v>
      </c>
      <c r="C1329" s="42" t="str">
        <f t="shared" si="199"/>
        <v>第3  木曜日</v>
      </c>
      <c r="D1329" s="4" t="str">
        <f>_xlfn.XLOOKUP(B1329,syukujitsu[国民の祝日・休日月日],syukujitsu[国民の祝日・休日名称],"",0,1)</f>
        <v/>
      </c>
    </row>
    <row r="1330" spans="1:4">
      <c r="A1330" s="53">
        <f t="shared" si="200"/>
        <v>46801</v>
      </c>
      <c r="B1330" s="41">
        <f t="shared" si="198"/>
        <v>46801</v>
      </c>
      <c r="C1330" s="42" t="str">
        <f t="shared" si="199"/>
        <v>第3  金曜日</v>
      </c>
      <c r="D1330" s="4" t="str">
        <f>_xlfn.XLOOKUP(B1330,syukujitsu[国民の祝日・休日月日],syukujitsu[国民の祝日・休日名称],"",0,1)</f>
        <v/>
      </c>
    </row>
    <row r="1331" spans="1:4">
      <c r="A1331" s="53">
        <f t="shared" si="200"/>
        <v>46802</v>
      </c>
      <c r="B1331" s="41">
        <f t="shared" si="198"/>
        <v>46802</v>
      </c>
      <c r="C1331" s="42" t="str">
        <f t="shared" si="199"/>
        <v>第3  土曜日</v>
      </c>
      <c r="D1331" s="4" t="str">
        <f>_xlfn.XLOOKUP(B1331,syukujitsu[国民の祝日・休日月日],syukujitsu[国民の祝日・休日名称],"",0,1)</f>
        <v/>
      </c>
    </row>
    <row r="1332" spans="1:4">
      <c r="A1332" s="53">
        <f t="shared" si="200"/>
        <v>46803</v>
      </c>
      <c r="B1332" s="41">
        <f t="shared" si="198"/>
        <v>46803</v>
      </c>
      <c r="C1332" s="42" t="str">
        <f t="shared" si="199"/>
        <v>第3  日曜日</v>
      </c>
      <c r="D1332" s="4" t="str">
        <f>_xlfn.XLOOKUP(B1332,syukujitsu[国民の祝日・休日月日],syukujitsu[国民の祝日・休日名称],"",0,1)</f>
        <v/>
      </c>
    </row>
    <row r="1333" spans="1:4">
      <c r="A1333" s="53">
        <f t="shared" si="200"/>
        <v>46804</v>
      </c>
      <c r="B1333" s="41">
        <f t="shared" si="198"/>
        <v>46804</v>
      </c>
      <c r="C1333" s="42" t="str">
        <f t="shared" si="199"/>
        <v>第3  月曜日</v>
      </c>
      <c r="D1333" s="4" t="str">
        <f>_xlfn.XLOOKUP(B1333,syukujitsu[国民の祝日・休日月日],syukujitsu[国民の祝日・休日名称],"",0,1)</f>
        <v/>
      </c>
    </row>
    <row r="1334" spans="1:4">
      <c r="A1334" s="53">
        <f t="shared" si="200"/>
        <v>46805</v>
      </c>
      <c r="B1334" s="41">
        <f t="shared" si="198"/>
        <v>46805</v>
      </c>
      <c r="C1334" s="42" t="str">
        <f t="shared" si="199"/>
        <v>第4  火曜日</v>
      </c>
      <c r="D1334" s="4" t="str">
        <f>_xlfn.XLOOKUP(B1334,syukujitsu[国民の祝日・休日月日],syukujitsu[国民の祝日・休日名称],"",0,1)</f>
        <v/>
      </c>
    </row>
    <row r="1335" spans="1:4">
      <c r="A1335" s="53">
        <f t="shared" si="200"/>
        <v>46806</v>
      </c>
      <c r="B1335" s="41">
        <f t="shared" ref="B1335:B1398" si="201">B1334+1</f>
        <v>46806</v>
      </c>
      <c r="C1335" s="42" t="str">
        <f t="shared" si="199"/>
        <v>第4  水曜日</v>
      </c>
      <c r="D1335" s="4" t="str">
        <f>_xlfn.XLOOKUP(B1335,syukujitsu[国民の祝日・休日月日],syukujitsu[国民の祝日・休日名称],"",0,1)</f>
        <v/>
      </c>
    </row>
    <row r="1336" spans="1:4">
      <c r="A1336" s="53">
        <f t="shared" si="200"/>
        <v>46807</v>
      </c>
      <c r="B1336" s="41">
        <f t="shared" si="201"/>
        <v>46807</v>
      </c>
      <c r="C1336" s="42" t="str">
        <f t="shared" si="199"/>
        <v>第4  木曜日</v>
      </c>
      <c r="D1336" s="4" t="str">
        <f>_xlfn.XLOOKUP(B1336,syukujitsu[国民の祝日・休日月日],syukujitsu[国民の祝日・休日名称],"",0,1)</f>
        <v/>
      </c>
    </row>
    <row r="1337" spans="1:4">
      <c r="A1337" s="53">
        <f t="shared" si="200"/>
        <v>46808</v>
      </c>
      <c r="B1337" s="41">
        <f t="shared" si="201"/>
        <v>46808</v>
      </c>
      <c r="C1337" s="42" t="str">
        <f t="shared" si="199"/>
        <v>第4  金曜日</v>
      </c>
      <c r="D1337" s="4" t="str">
        <f>_xlfn.XLOOKUP(B1337,syukujitsu[国民の祝日・休日月日],syukujitsu[国民の祝日・休日名称],"",0,1)</f>
        <v/>
      </c>
    </row>
    <row r="1338" spans="1:4">
      <c r="A1338" s="53">
        <f t="shared" si="200"/>
        <v>46809</v>
      </c>
      <c r="B1338" s="41">
        <f t="shared" si="201"/>
        <v>46809</v>
      </c>
      <c r="C1338" s="42" t="str">
        <f t="shared" si="199"/>
        <v>第4  土曜日</v>
      </c>
      <c r="D1338" s="4" t="str">
        <f>_xlfn.XLOOKUP(B1338,syukujitsu[国民の祝日・休日月日],syukujitsu[国民の祝日・休日名称],"",0,1)</f>
        <v/>
      </c>
    </row>
    <row r="1339" spans="1:4">
      <c r="A1339" s="53">
        <f t="shared" si="200"/>
        <v>46810</v>
      </c>
      <c r="B1339" s="41">
        <f t="shared" si="201"/>
        <v>46810</v>
      </c>
      <c r="C1339" s="42" t="str">
        <f t="shared" si="199"/>
        <v>第4  日曜日</v>
      </c>
      <c r="D1339" s="4" t="str">
        <f>_xlfn.XLOOKUP(B1339,syukujitsu[国民の祝日・休日月日],syukujitsu[国民の祝日・休日名称],"",0,1)</f>
        <v/>
      </c>
    </row>
    <row r="1340" spans="1:4">
      <c r="A1340" s="53">
        <f t="shared" si="200"/>
        <v>46811</v>
      </c>
      <c r="B1340" s="41">
        <f t="shared" si="201"/>
        <v>46811</v>
      </c>
      <c r="C1340" s="42" t="str">
        <f t="shared" si="199"/>
        <v>第4  月曜日</v>
      </c>
      <c r="D1340" s="4" t="str">
        <f>_xlfn.XLOOKUP(B1340,syukujitsu[国民の祝日・休日月日],syukujitsu[国民の祝日・休日名称],"",0,1)</f>
        <v/>
      </c>
    </row>
    <row r="1341" spans="1:4">
      <c r="A1341" s="53">
        <f t="shared" si="200"/>
        <v>46812</v>
      </c>
      <c r="B1341" s="41">
        <f t="shared" si="201"/>
        <v>46812</v>
      </c>
      <c r="C1341" s="42" t="str">
        <f t="shared" si="199"/>
        <v>第5  火曜日</v>
      </c>
      <c r="D1341" s="4" t="str">
        <f>_xlfn.XLOOKUP(B1341,syukujitsu[国民の祝日・休日月日],syukujitsu[国民の祝日・休日名称],"",0,1)</f>
        <v/>
      </c>
    </row>
    <row r="1342" spans="1:4">
      <c r="A1342" s="53">
        <f t="shared" si="200"/>
        <v>46813</v>
      </c>
      <c r="B1342" s="41">
        <f t="shared" si="201"/>
        <v>46813</v>
      </c>
      <c r="C1342" s="42" t="str">
        <f t="shared" si="199"/>
        <v>第1  水曜日</v>
      </c>
      <c r="D1342" s="4" t="str">
        <f>_xlfn.XLOOKUP(B1342,syukujitsu[国民の祝日・休日月日],syukujitsu[国民の祝日・休日名称],"",0,1)</f>
        <v/>
      </c>
    </row>
    <row r="1343" spans="1:4">
      <c r="A1343" s="53">
        <f t="shared" si="200"/>
        <v>46814</v>
      </c>
      <c r="B1343" s="41">
        <f t="shared" si="201"/>
        <v>46814</v>
      </c>
      <c r="C1343" s="42" t="str">
        <f t="shared" si="199"/>
        <v>第1  木曜日</v>
      </c>
      <c r="D1343" s="4" t="str">
        <f>_xlfn.XLOOKUP(B1343,syukujitsu[国民の祝日・休日月日],syukujitsu[国民の祝日・休日名称],"",0,1)</f>
        <v/>
      </c>
    </row>
    <row r="1344" spans="1:4">
      <c r="A1344" s="53">
        <f t="shared" si="200"/>
        <v>46815</v>
      </c>
      <c r="B1344" s="41">
        <f t="shared" si="201"/>
        <v>46815</v>
      </c>
      <c r="C1344" s="42" t="str">
        <f t="shared" si="199"/>
        <v>第1  金曜日</v>
      </c>
      <c r="D1344" s="4" t="str">
        <f>_xlfn.XLOOKUP(B1344,syukujitsu[国民の祝日・休日月日],syukujitsu[国民の祝日・休日名称],"",0,1)</f>
        <v/>
      </c>
    </row>
    <row r="1345" spans="1:4">
      <c r="A1345" s="53">
        <f t="shared" si="200"/>
        <v>46816</v>
      </c>
      <c r="B1345" s="41">
        <f t="shared" si="201"/>
        <v>46816</v>
      </c>
      <c r="C1345" s="42" t="str">
        <f t="shared" si="199"/>
        <v>第1  土曜日</v>
      </c>
      <c r="D1345" s="4" t="str">
        <f>_xlfn.XLOOKUP(B1345,syukujitsu[国民の祝日・休日月日],syukujitsu[国民の祝日・休日名称],"",0,1)</f>
        <v/>
      </c>
    </row>
    <row r="1346" spans="1:4">
      <c r="A1346" s="53">
        <f t="shared" si="200"/>
        <v>46817</v>
      </c>
      <c r="B1346" s="41">
        <f t="shared" si="201"/>
        <v>46817</v>
      </c>
      <c r="C1346" s="42" t="str">
        <f t="shared" si="199"/>
        <v>第1  日曜日</v>
      </c>
      <c r="D1346" s="4" t="str">
        <f>_xlfn.XLOOKUP(B1346,syukujitsu[国民の祝日・休日月日],syukujitsu[国民の祝日・休日名称],"",0,1)</f>
        <v/>
      </c>
    </row>
    <row r="1347" spans="1:4">
      <c r="A1347" s="53">
        <f t="shared" si="200"/>
        <v>46818</v>
      </c>
      <c r="B1347" s="41">
        <f t="shared" si="201"/>
        <v>46818</v>
      </c>
      <c r="C1347" s="42" t="str">
        <f t="shared" si="199"/>
        <v>第1  月曜日</v>
      </c>
      <c r="D1347" s="4" t="str">
        <f>_xlfn.XLOOKUP(B1347,syukujitsu[国民の祝日・休日月日],syukujitsu[国民の祝日・休日名称],"",0,1)</f>
        <v/>
      </c>
    </row>
    <row r="1348" spans="1:4">
      <c r="A1348" s="53">
        <f t="shared" si="200"/>
        <v>46819</v>
      </c>
      <c r="B1348" s="41">
        <f t="shared" si="201"/>
        <v>46819</v>
      </c>
      <c r="C1348" s="42" t="str">
        <f t="shared" si="199"/>
        <v>第1  火曜日</v>
      </c>
      <c r="D1348" s="4" t="str">
        <f>_xlfn.XLOOKUP(B1348,syukujitsu[国民の祝日・休日月日],syukujitsu[国民の祝日・休日名称],"",0,1)</f>
        <v/>
      </c>
    </row>
    <row r="1349" spans="1:4">
      <c r="A1349" s="53">
        <f t="shared" si="200"/>
        <v>46820</v>
      </c>
      <c r="B1349" s="41">
        <f t="shared" si="201"/>
        <v>46820</v>
      </c>
      <c r="C1349" s="42" t="str">
        <f t="shared" si="199"/>
        <v>第2  水曜日</v>
      </c>
      <c r="D1349" s="4" t="str">
        <f>_xlfn.XLOOKUP(B1349,syukujitsu[国民の祝日・休日月日],syukujitsu[国民の祝日・休日名称],"",0,1)</f>
        <v/>
      </c>
    </row>
    <row r="1350" spans="1:4">
      <c r="A1350" s="53">
        <f t="shared" si="200"/>
        <v>46821</v>
      </c>
      <c r="B1350" s="41">
        <f t="shared" si="201"/>
        <v>46821</v>
      </c>
      <c r="C1350" s="42" t="str">
        <f t="shared" si="199"/>
        <v>第2  木曜日</v>
      </c>
      <c r="D1350" s="4" t="str">
        <f>_xlfn.XLOOKUP(B1350,syukujitsu[国民の祝日・休日月日],syukujitsu[国民の祝日・休日名称],"",0,1)</f>
        <v/>
      </c>
    </row>
    <row r="1351" spans="1:4">
      <c r="A1351" s="53">
        <f t="shared" si="200"/>
        <v>46822</v>
      </c>
      <c r="B1351" s="41">
        <f t="shared" si="201"/>
        <v>46822</v>
      </c>
      <c r="C1351" s="42" t="str">
        <f t="shared" si="199"/>
        <v>第2  金曜日</v>
      </c>
      <c r="D1351" s="4" t="str">
        <f>_xlfn.XLOOKUP(B1351,syukujitsu[国民の祝日・休日月日],syukujitsu[国民の祝日・休日名称],"",0,1)</f>
        <v/>
      </c>
    </row>
    <row r="1352" spans="1:4">
      <c r="A1352" s="53">
        <f t="shared" si="200"/>
        <v>46823</v>
      </c>
      <c r="B1352" s="41">
        <f t="shared" si="201"/>
        <v>46823</v>
      </c>
      <c r="C1352" s="42" t="str">
        <f t="shared" si="199"/>
        <v>第2  土曜日</v>
      </c>
      <c r="D1352" s="4" t="str">
        <f>_xlfn.XLOOKUP(B1352,syukujitsu[国民の祝日・休日月日],syukujitsu[国民の祝日・休日名称],"",0,1)</f>
        <v/>
      </c>
    </row>
    <row r="1353" spans="1:4">
      <c r="A1353" s="53">
        <f t="shared" si="200"/>
        <v>46824</v>
      </c>
      <c r="B1353" s="41">
        <f t="shared" si="201"/>
        <v>46824</v>
      </c>
      <c r="C1353" s="42" t="str">
        <f t="shared" si="199"/>
        <v>第2  日曜日</v>
      </c>
      <c r="D1353" s="4" t="str">
        <f>_xlfn.XLOOKUP(B1353,syukujitsu[国民の祝日・休日月日],syukujitsu[国民の祝日・休日名称],"",0,1)</f>
        <v/>
      </c>
    </row>
    <row r="1354" spans="1:4">
      <c r="A1354" s="53">
        <f t="shared" si="200"/>
        <v>46825</v>
      </c>
      <c r="B1354" s="41">
        <f t="shared" si="201"/>
        <v>46825</v>
      </c>
      <c r="C1354" s="42" t="str">
        <f t="shared" si="199"/>
        <v>第2  月曜日</v>
      </c>
      <c r="D1354" s="4" t="str">
        <f>_xlfn.XLOOKUP(B1354,syukujitsu[国民の祝日・休日月日],syukujitsu[国民の祝日・休日名称],"",0,1)</f>
        <v/>
      </c>
    </row>
    <row r="1355" spans="1:4">
      <c r="A1355" s="53">
        <f t="shared" si="200"/>
        <v>46826</v>
      </c>
      <c r="B1355" s="41">
        <f t="shared" si="201"/>
        <v>46826</v>
      </c>
      <c r="C1355" s="42" t="str">
        <f t="shared" si="199"/>
        <v>第2  火曜日</v>
      </c>
      <c r="D1355" s="4" t="str">
        <f>_xlfn.XLOOKUP(B1355,syukujitsu[国民の祝日・休日月日],syukujitsu[国民の祝日・休日名称],"",0,1)</f>
        <v/>
      </c>
    </row>
    <row r="1356" spans="1:4">
      <c r="A1356" s="53">
        <f t="shared" si="200"/>
        <v>46827</v>
      </c>
      <c r="B1356" s="41">
        <f t="shared" si="201"/>
        <v>46827</v>
      </c>
      <c r="C1356" s="42" t="str">
        <f t="shared" ref="C1356:C1419" si="202">"第"&amp;ROUNDUP(DAY(B1356)/7,0)  &amp;"  "&amp;TEXT(B1356,"aaaa")</f>
        <v>第3  水曜日</v>
      </c>
      <c r="D1356" s="4" t="str">
        <f>_xlfn.XLOOKUP(B1356,syukujitsu[国民の祝日・休日月日],syukujitsu[国民の祝日・休日名称],"",0,1)</f>
        <v/>
      </c>
    </row>
    <row r="1357" spans="1:4">
      <c r="A1357" s="53">
        <f t="shared" si="200"/>
        <v>46828</v>
      </c>
      <c r="B1357" s="41">
        <f t="shared" si="201"/>
        <v>46828</v>
      </c>
      <c r="C1357" s="42" t="str">
        <f t="shared" si="202"/>
        <v>第3  木曜日</v>
      </c>
      <c r="D1357" s="4" t="str">
        <f>_xlfn.XLOOKUP(B1357,syukujitsu[国民の祝日・休日月日],syukujitsu[国民の祝日・休日名称],"",0,1)</f>
        <v/>
      </c>
    </row>
    <row r="1358" spans="1:4">
      <c r="A1358" s="53">
        <f t="shared" si="200"/>
        <v>46829</v>
      </c>
      <c r="B1358" s="41">
        <f t="shared" si="201"/>
        <v>46829</v>
      </c>
      <c r="C1358" s="42" t="str">
        <f t="shared" si="202"/>
        <v>第3  金曜日</v>
      </c>
      <c r="D1358" s="4" t="str">
        <f>_xlfn.XLOOKUP(B1358,syukujitsu[国民の祝日・休日月日],syukujitsu[国民の祝日・休日名称],"",0,1)</f>
        <v/>
      </c>
    </row>
    <row r="1359" spans="1:4">
      <c r="A1359" s="53">
        <f t="shared" si="200"/>
        <v>46830</v>
      </c>
      <c r="B1359" s="41">
        <f t="shared" si="201"/>
        <v>46830</v>
      </c>
      <c r="C1359" s="42" t="str">
        <f t="shared" si="202"/>
        <v>第3  土曜日</v>
      </c>
      <c r="D1359" s="4" t="str">
        <f>_xlfn.XLOOKUP(B1359,syukujitsu[国民の祝日・休日月日],syukujitsu[国民の祝日・休日名称],"",0,1)</f>
        <v/>
      </c>
    </row>
    <row r="1360" spans="1:4">
      <c r="A1360" s="53">
        <f t="shared" si="200"/>
        <v>46831</v>
      </c>
      <c r="B1360" s="41">
        <f t="shared" si="201"/>
        <v>46831</v>
      </c>
      <c r="C1360" s="42" t="str">
        <f t="shared" si="202"/>
        <v>第3  日曜日</v>
      </c>
      <c r="D1360" s="4" t="str">
        <f>_xlfn.XLOOKUP(B1360,syukujitsu[国民の祝日・休日月日],syukujitsu[国民の祝日・休日名称],"",0,1)</f>
        <v/>
      </c>
    </row>
    <row r="1361" spans="1:4">
      <c r="A1361" s="53">
        <f t="shared" si="200"/>
        <v>46832</v>
      </c>
      <c r="B1361" s="41">
        <f t="shared" si="201"/>
        <v>46832</v>
      </c>
      <c r="C1361" s="42" t="str">
        <f t="shared" si="202"/>
        <v>第3  月曜日</v>
      </c>
      <c r="D1361" s="4" t="str">
        <f>_xlfn.XLOOKUP(B1361,syukujitsu[国民の祝日・休日月日],syukujitsu[国民の祝日・休日名称],"",0,1)</f>
        <v/>
      </c>
    </row>
    <row r="1362" spans="1:4">
      <c r="A1362" s="53">
        <f t="shared" si="200"/>
        <v>46833</v>
      </c>
      <c r="B1362" s="41">
        <f t="shared" si="201"/>
        <v>46833</v>
      </c>
      <c r="C1362" s="42" t="str">
        <f t="shared" si="202"/>
        <v>第3  火曜日</v>
      </c>
      <c r="D1362" s="4" t="str">
        <f>_xlfn.XLOOKUP(B1362,syukujitsu[国民の祝日・休日月日],syukujitsu[国民の祝日・休日名称],"",0,1)</f>
        <v/>
      </c>
    </row>
    <row r="1363" spans="1:4">
      <c r="A1363" s="53">
        <f t="shared" si="200"/>
        <v>46834</v>
      </c>
      <c r="B1363" s="41">
        <f t="shared" si="201"/>
        <v>46834</v>
      </c>
      <c r="C1363" s="42" t="str">
        <f t="shared" si="202"/>
        <v>第4  水曜日</v>
      </c>
      <c r="D1363" s="4" t="str">
        <f>_xlfn.XLOOKUP(B1363,syukujitsu[国民の祝日・休日月日],syukujitsu[国民の祝日・休日名称],"",0,1)</f>
        <v/>
      </c>
    </row>
    <row r="1364" spans="1:4">
      <c r="A1364" s="53">
        <f t="shared" si="200"/>
        <v>46835</v>
      </c>
      <c r="B1364" s="41">
        <f t="shared" si="201"/>
        <v>46835</v>
      </c>
      <c r="C1364" s="42" t="str">
        <f t="shared" si="202"/>
        <v>第4  木曜日</v>
      </c>
      <c r="D1364" s="4" t="str">
        <f>_xlfn.XLOOKUP(B1364,syukujitsu[国民の祝日・休日月日],syukujitsu[国民の祝日・休日名称],"",0,1)</f>
        <v/>
      </c>
    </row>
    <row r="1365" spans="1:4">
      <c r="A1365" s="53">
        <f t="shared" si="200"/>
        <v>46836</v>
      </c>
      <c r="B1365" s="41">
        <f t="shared" si="201"/>
        <v>46836</v>
      </c>
      <c r="C1365" s="42" t="str">
        <f t="shared" si="202"/>
        <v>第4  金曜日</v>
      </c>
      <c r="D1365" s="4" t="str">
        <f>_xlfn.XLOOKUP(B1365,syukujitsu[国民の祝日・休日月日],syukujitsu[国民の祝日・休日名称],"",0,1)</f>
        <v/>
      </c>
    </row>
    <row r="1366" spans="1:4">
      <c r="A1366" s="53">
        <f t="shared" si="200"/>
        <v>46837</v>
      </c>
      <c r="B1366" s="41">
        <f t="shared" si="201"/>
        <v>46837</v>
      </c>
      <c r="C1366" s="42" t="str">
        <f t="shared" si="202"/>
        <v>第4  土曜日</v>
      </c>
      <c r="D1366" s="4" t="str">
        <f>_xlfn.XLOOKUP(B1366,syukujitsu[国民の祝日・休日月日],syukujitsu[国民の祝日・休日名称],"",0,1)</f>
        <v/>
      </c>
    </row>
    <row r="1367" spans="1:4">
      <c r="A1367" s="53">
        <f t="shared" si="200"/>
        <v>46838</v>
      </c>
      <c r="B1367" s="41">
        <f t="shared" si="201"/>
        <v>46838</v>
      </c>
      <c r="C1367" s="42" t="str">
        <f t="shared" si="202"/>
        <v>第4  日曜日</v>
      </c>
      <c r="D1367" s="4" t="str">
        <f>_xlfn.XLOOKUP(B1367,syukujitsu[国民の祝日・休日月日],syukujitsu[国民の祝日・休日名称],"",0,1)</f>
        <v/>
      </c>
    </row>
    <row r="1368" spans="1:4">
      <c r="A1368" s="53">
        <f t="shared" si="200"/>
        <v>46839</v>
      </c>
      <c r="B1368" s="41">
        <f t="shared" si="201"/>
        <v>46839</v>
      </c>
      <c r="C1368" s="42" t="str">
        <f t="shared" si="202"/>
        <v>第4  月曜日</v>
      </c>
      <c r="D1368" s="4" t="str">
        <f>_xlfn.XLOOKUP(B1368,syukujitsu[国民の祝日・休日月日],syukujitsu[国民の祝日・休日名称],"",0,1)</f>
        <v/>
      </c>
    </row>
    <row r="1369" spans="1:4">
      <c r="A1369" s="53">
        <f t="shared" si="200"/>
        <v>46840</v>
      </c>
      <c r="B1369" s="41">
        <f t="shared" si="201"/>
        <v>46840</v>
      </c>
      <c r="C1369" s="42" t="str">
        <f t="shared" si="202"/>
        <v>第4  火曜日</v>
      </c>
      <c r="D1369" s="4" t="str">
        <f>_xlfn.XLOOKUP(B1369,syukujitsu[国民の祝日・休日月日],syukujitsu[国民の祝日・休日名称],"",0,1)</f>
        <v/>
      </c>
    </row>
    <row r="1370" spans="1:4">
      <c r="A1370" s="53">
        <f t="shared" si="200"/>
        <v>46841</v>
      </c>
      <c r="B1370" s="41">
        <f t="shared" si="201"/>
        <v>46841</v>
      </c>
      <c r="C1370" s="42" t="str">
        <f t="shared" si="202"/>
        <v>第5  水曜日</v>
      </c>
      <c r="D1370" s="4" t="str">
        <f>_xlfn.XLOOKUP(B1370,syukujitsu[国民の祝日・休日月日],syukujitsu[国民の祝日・休日名称],"",0,1)</f>
        <v/>
      </c>
    </row>
    <row r="1371" spans="1:4">
      <c r="A1371" s="53">
        <f t="shared" si="200"/>
        <v>46842</v>
      </c>
      <c r="B1371" s="41">
        <f t="shared" si="201"/>
        <v>46842</v>
      </c>
      <c r="C1371" s="42" t="str">
        <f t="shared" si="202"/>
        <v>第5  木曜日</v>
      </c>
      <c r="D1371" s="4" t="str">
        <f>_xlfn.XLOOKUP(B1371,syukujitsu[国民の祝日・休日月日],syukujitsu[国民の祝日・休日名称],"",0,1)</f>
        <v/>
      </c>
    </row>
    <row r="1372" spans="1:4">
      <c r="A1372" s="53">
        <f t="shared" si="200"/>
        <v>46843</v>
      </c>
      <c r="B1372" s="41">
        <f t="shared" si="201"/>
        <v>46843</v>
      </c>
      <c r="C1372" s="42" t="str">
        <f t="shared" si="202"/>
        <v>第5  金曜日</v>
      </c>
      <c r="D1372" s="4" t="str">
        <f>_xlfn.XLOOKUP(B1372,syukujitsu[国民の祝日・休日月日],syukujitsu[国民の祝日・休日名称],"",0,1)</f>
        <v/>
      </c>
    </row>
    <row r="1373" spans="1:4">
      <c r="A1373" s="53">
        <f t="shared" si="200"/>
        <v>46844</v>
      </c>
      <c r="B1373" s="41">
        <f t="shared" si="201"/>
        <v>46844</v>
      </c>
      <c r="C1373" s="42" t="str">
        <f t="shared" si="202"/>
        <v>第1  土曜日</v>
      </c>
      <c r="D1373" s="4" t="str">
        <f>_xlfn.XLOOKUP(B1373,syukujitsu[国民の祝日・休日月日],syukujitsu[国民の祝日・休日名称],"",0,1)</f>
        <v/>
      </c>
    </row>
    <row r="1374" spans="1:4">
      <c r="A1374" s="53">
        <f t="shared" si="200"/>
        <v>46845</v>
      </c>
      <c r="B1374" s="41">
        <f t="shared" si="201"/>
        <v>46845</v>
      </c>
      <c r="C1374" s="42" t="str">
        <f t="shared" si="202"/>
        <v>第1  日曜日</v>
      </c>
      <c r="D1374" s="4" t="str">
        <f>_xlfn.XLOOKUP(B1374,syukujitsu[国民の祝日・休日月日],syukujitsu[国民の祝日・休日名称],"",0,1)</f>
        <v/>
      </c>
    </row>
    <row r="1375" spans="1:4">
      <c r="A1375" s="53">
        <f t="shared" si="200"/>
        <v>46846</v>
      </c>
      <c r="B1375" s="41">
        <f t="shared" si="201"/>
        <v>46846</v>
      </c>
      <c r="C1375" s="42" t="str">
        <f t="shared" si="202"/>
        <v>第1  月曜日</v>
      </c>
      <c r="D1375" s="4" t="str">
        <f>_xlfn.XLOOKUP(B1375,syukujitsu[国民の祝日・休日月日],syukujitsu[国民の祝日・休日名称],"",0,1)</f>
        <v/>
      </c>
    </row>
    <row r="1376" spans="1:4">
      <c r="A1376" s="53">
        <f t="shared" ref="A1376:A1439" si="203">B1376</f>
        <v>46847</v>
      </c>
      <c r="B1376" s="41">
        <f t="shared" si="201"/>
        <v>46847</v>
      </c>
      <c r="C1376" s="42" t="str">
        <f t="shared" si="202"/>
        <v>第1  火曜日</v>
      </c>
      <c r="D1376" s="4" t="str">
        <f>_xlfn.XLOOKUP(B1376,syukujitsu[国民の祝日・休日月日],syukujitsu[国民の祝日・休日名称],"",0,1)</f>
        <v/>
      </c>
    </row>
    <row r="1377" spans="1:4">
      <c r="A1377" s="53">
        <f t="shared" si="203"/>
        <v>46848</v>
      </c>
      <c r="B1377" s="41">
        <f t="shared" si="201"/>
        <v>46848</v>
      </c>
      <c r="C1377" s="42" t="str">
        <f t="shared" si="202"/>
        <v>第1  水曜日</v>
      </c>
      <c r="D1377" s="4" t="str">
        <f>_xlfn.XLOOKUP(B1377,syukujitsu[国民の祝日・休日月日],syukujitsu[国民の祝日・休日名称],"",0,1)</f>
        <v/>
      </c>
    </row>
    <row r="1378" spans="1:4">
      <c r="A1378" s="53">
        <f t="shared" si="203"/>
        <v>46849</v>
      </c>
      <c r="B1378" s="41">
        <f t="shared" si="201"/>
        <v>46849</v>
      </c>
      <c r="C1378" s="42" t="str">
        <f t="shared" si="202"/>
        <v>第1  木曜日</v>
      </c>
      <c r="D1378" s="4" t="str">
        <f>_xlfn.XLOOKUP(B1378,syukujitsu[国民の祝日・休日月日],syukujitsu[国民の祝日・休日名称],"",0,1)</f>
        <v/>
      </c>
    </row>
    <row r="1379" spans="1:4">
      <c r="A1379" s="53">
        <f t="shared" si="203"/>
        <v>46850</v>
      </c>
      <c r="B1379" s="41">
        <f t="shared" si="201"/>
        <v>46850</v>
      </c>
      <c r="C1379" s="42" t="str">
        <f t="shared" si="202"/>
        <v>第1  金曜日</v>
      </c>
      <c r="D1379" s="4" t="str">
        <f>_xlfn.XLOOKUP(B1379,syukujitsu[国民の祝日・休日月日],syukujitsu[国民の祝日・休日名称],"",0,1)</f>
        <v/>
      </c>
    </row>
    <row r="1380" spans="1:4">
      <c r="A1380" s="53">
        <f t="shared" si="203"/>
        <v>46851</v>
      </c>
      <c r="B1380" s="41">
        <f t="shared" si="201"/>
        <v>46851</v>
      </c>
      <c r="C1380" s="42" t="str">
        <f t="shared" si="202"/>
        <v>第2  土曜日</v>
      </c>
      <c r="D1380" s="4" t="str">
        <f>_xlfn.XLOOKUP(B1380,syukujitsu[国民の祝日・休日月日],syukujitsu[国民の祝日・休日名称],"",0,1)</f>
        <v/>
      </c>
    </row>
    <row r="1381" spans="1:4">
      <c r="A1381" s="53">
        <f t="shared" si="203"/>
        <v>46852</v>
      </c>
      <c r="B1381" s="41">
        <f t="shared" si="201"/>
        <v>46852</v>
      </c>
      <c r="C1381" s="42" t="str">
        <f t="shared" si="202"/>
        <v>第2  日曜日</v>
      </c>
      <c r="D1381" s="4" t="str">
        <f>_xlfn.XLOOKUP(B1381,syukujitsu[国民の祝日・休日月日],syukujitsu[国民の祝日・休日名称],"",0,1)</f>
        <v/>
      </c>
    </row>
    <row r="1382" spans="1:4">
      <c r="A1382" s="53">
        <f t="shared" si="203"/>
        <v>46853</v>
      </c>
      <c r="B1382" s="41">
        <f t="shared" si="201"/>
        <v>46853</v>
      </c>
      <c r="C1382" s="42" t="str">
        <f t="shared" si="202"/>
        <v>第2  月曜日</v>
      </c>
      <c r="D1382" s="4" t="str">
        <f>_xlfn.XLOOKUP(B1382,syukujitsu[国民の祝日・休日月日],syukujitsu[国民の祝日・休日名称],"",0,1)</f>
        <v/>
      </c>
    </row>
    <row r="1383" spans="1:4">
      <c r="A1383" s="53">
        <f t="shared" si="203"/>
        <v>46854</v>
      </c>
      <c r="B1383" s="41">
        <f t="shared" si="201"/>
        <v>46854</v>
      </c>
      <c r="C1383" s="42" t="str">
        <f t="shared" si="202"/>
        <v>第2  火曜日</v>
      </c>
      <c r="D1383" s="4" t="str">
        <f>_xlfn.XLOOKUP(B1383,syukujitsu[国民の祝日・休日月日],syukujitsu[国民の祝日・休日名称],"",0,1)</f>
        <v/>
      </c>
    </row>
    <row r="1384" spans="1:4">
      <c r="A1384" s="53">
        <f t="shared" si="203"/>
        <v>46855</v>
      </c>
      <c r="B1384" s="41">
        <f t="shared" si="201"/>
        <v>46855</v>
      </c>
      <c r="C1384" s="42" t="str">
        <f t="shared" si="202"/>
        <v>第2  水曜日</v>
      </c>
      <c r="D1384" s="4" t="str">
        <f>_xlfn.XLOOKUP(B1384,syukujitsu[国民の祝日・休日月日],syukujitsu[国民の祝日・休日名称],"",0,1)</f>
        <v/>
      </c>
    </row>
    <row r="1385" spans="1:4">
      <c r="A1385" s="53">
        <f t="shared" si="203"/>
        <v>46856</v>
      </c>
      <c r="B1385" s="41">
        <f t="shared" si="201"/>
        <v>46856</v>
      </c>
      <c r="C1385" s="42" t="str">
        <f t="shared" si="202"/>
        <v>第2  木曜日</v>
      </c>
      <c r="D1385" s="4" t="str">
        <f>_xlfn.XLOOKUP(B1385,syukujitsu[国民の祝日・休日月日],syukujitsu[国民の祝日・休日名称],"",0,1)</f>
        <v/>
      </c>
    </row>
    <row r="1386" spans="1:4">
      <c r="A1386" s="53">
        <f t="shared" si="203"/>
        <v>46857</v>
      </c>
      <c r="B1386" s="41">
        <f t="shared" si="201"/>
        <v>46857</v>
      </c>
      <c r="C1386" s="42" t="str">
        <f t="shared" si="202"/>
        <v>第2  金曜日</v>
      </c>
      <c r="D1386" s="4" t="str">
        <f>_xlfn.XLOOKUP(B1386,syukujitsu[国民の祝日・休日月日],syukujitsu[国民の祝日・休日名称],"",0,1)</f>
        <v/>
      </c>
    </row>
    <row r="1387" spans="1:4">
      <c r="A1387" s="53">
        <f t="shared" si="203"/>
        <v>46858</v>
      </c>
      <c r="B1387" s="41">
        <f t="shared" si="201"/>
        <v>46858</v>
      </c>
      <c r="C1387" s="42" t="str">
        <f t="shared" si="202"/>
        <v>第3  土曜日</v>
      </c>
      <c r="D1387" s="4" t="str">
        <f>_xlfn.XLOOKUP(B1387,syukujitsu[国民の祝日・休日月日],syukujitsu[国民の祝日・休日名称],"",0,1)</f>
        <v/>
      </c>
    </row>
    <row r="1388" spans="1:4">
      <c r="A1388" s="53">
        <f t="shared" si="203"/>
        <v>46859</v>
      </c>
      <c r="B1388" s="41">
        <f t="shared" si="201"/>
        <v>46859</v>
      </c>
      <c r="C1388" s="42" t="str">
        <f t="shared" si="202"/>
        <v>第3  日曜日</v>
      </c>
      <c r="D1388" s="4" t="str">
        <f>_xlfn.XLOOKUP(B1388,syukujitsu[国民の祝日・休日月日],syukujitsu[国民の祝日・休日名称],"",0,1)</f>
        <v/>
      </c>
    </row>
    <row r="1389" spans="1:4">
      <c r="A1389" s="53">
        <f t="shared" si="203"/>
        <v>46860</v>
      </c>
      <c r="B1389" s="41">
        <f t="shared" si="201"/>
        <v>46860</v>
      </c>
      <c r="C1389" s="42" t="str">
        <f t="shared" si="202"/>
        <v>第3  月曜日</v>
      </c>
      <c r="D1389" s="4" t="str">
        <f>_xlfn.XLOOKUP(B1389,syukujitsu[国民の祝日・休日月日],syukujitsu[国民の祝日・休日名称],"",0,1)</f>
        <v/>
      </c>
    </row>
    <row r="1390" spans="1:4">
      <c r="A1390" s="53">
        <f t="shared" si="203"/>
        <v>46861</v>
      </c>
      <c r="B1390" s="41">
        <f t="shared" si="201"/>
        <v>46861</v>
      </c>
      <c r="C1390" s="42" t="str">
        <f t="shared" si="202"/>
        <v>第3  火曜日</v>
      </c>
      <c r="D1390" s="4" t="str">
        <f>_xlfn.XLOOKUP(B1390,syukujitsu[国民の祝日・休日月日],syukujitsu[国民の祝日・休日名称],"",0,1)</f>
        <v/>
      </c>
    </row>
    <row r="1391" spans="1:4">
      <c r="A1391" s="53">
        <f t="shared" si="203"/>
        <v>46862</v>
      </c>
      <c r="B1391" s="41">
        <f t="shared" si="201"/>
        <v>46862</v>
      </c>
      <c r="C1391" s="42" t="str">
        <f t="shared" si="202"/>
        <v>第3  水曜日</v>
      </c>
      <c r="D1391" s="4" t="str">
        <f>_xlfn.XLOOKUP(B1391,syukujitsu[国民の祝日・休日月日],syukujitsu[国民の祝日・休日名称],"",0,1)</f>
        <v/>
      </c>
    </row>
    <row r="1392" spans="1:4">
      <c r="A1392" s="53">
        <f t="shared" si="203"/>
        <v>46863</v>
      </c>
      <c r="B1392" s="41">
        <f t="shared" si="201"/>
        <v>46863</v>
      </c>
      <c r="C1392" s="42" t="str">
        <f t="shared" si="202"/>
        <v>第3  木曜日</v>
      </c>
      <c r="D1392" s="4" t="str">
        <f>_xlfn.XLOOKUP(B1392,syukujitsu[国民の祝日・休日月日],syukujitsu[国民の祝日・休日名称],"",0,1)</f>
        <v/>
      </c>
    </row>
    <row r="1393" spans="1:4">
      <c r="A1393" s="53">
        <f t="shared" si="203"/>
        <v>46864</v>
      </c>
      <c r="B1393" s="41">
        <f t="shared" si="201"/>
        <v>46864</v>
      </c>
      <c r="C1393" s="42" t="str">
        <f t="shared" si="202"/>
        <v>第3  金曜日</v>
      </c>
      <c r="D1393" s="4" t="str">
        <f>_xlfn.XLOOKUP(B1393,syukujitsu[国民の祝日・休日月日],syukujitsu[国民の祝日・休日名称],"",0,1)</f>
        <v/>
      </c>
    </row>
    <row r="1394" spans="1:4">
      <c r="A1394" s="53">
        <f t="shared" si="203"/>
        <v>46865</v>
      </c>
      <c r="B1394" s="41">
        <f t="shared" si="201"/>
        <v>46865</v>
      </c>
      <c r="C1394" s="42" t="str">
        <f t="shared" si="202"/>
        <v>第4  土曜日</v>
      </c>
      <c r="D1394" s="4" t="str">
        <f>_xlfn.XLOOKUP(B1394,syukujitsu[国民の祝日・休日月日],syukujitsu[国民の祝日・休日名称],"",0,1)</f>
        <v/>
      </c>
    </row>
    <row r="1395" spans="1:4">
      <c r="A1395" s="53">
        <f t="shared" si="203"/>
        <v>46866</v>
      </c>
      <c r="B1395" s="41">
        <f t="shared" si="201"/>
        <v>46866</v>
      </c>
      <c r="C1395" s="42" t="str">
        <f t="shared" si="202"/>
        <v>第4  日曜日</v>
      </c>
      <c r="D1395" s="4" t="str">
        <f>_xlfn.XLOOKUP(B1395,syukujitsu[国民の祝日・休日月日],syukujitsu[国民の祝日・休日名称],"",0,1)</f>
        <v/>
      </c>
    </row>
    <row r="1396" spans="1:4">
      <c r="A1396" s="53">
        <f t="shared" si="203"/>
        <v>46867</v>
      </c>
      <c r="B1396" s="41">
        <f t="shared" si="201"/>
        <v>46867</v>
      </c>
      <c r="C1396" s="42" t="str">
        <f t="shared" si="202"/>
        <v>第4  月曜日</v>
      </c>
      <c r="D1396" s="4" t="str">
        <f>_xlfn.XLOOKUP(B1396,syukujitsu[国民の祝日・休日月日],syukujitsu[国民の祝日・休日名称],"",0,1)</f>
        <v/>
      </c>
    </row>
    <row r="1397" spans="1:4">
      <c r="A1397" s="53">
        <f t="shared" si="203"/>
        <v>46868</v>
      </c>
      <c r="B1397" s="41">
        <f t="shared" si="201"/>
        <v>46868</v>
      </c>
      <c r="C1397" s="42" t="str">
        <f t="shared" si="202"/>
        <v>第4  火曜日</v>
      </c>
      <c r="D1397" s="4" t="str">
        <f>_xlfn.XLOOKUP(B1397,syukujitsu[国民の祝日・休日月日],syukujitsu[国民の祝日・休日名称],"",0,1)</f>
        <v/>
      </c>
    </row>
    <row r="1398" spans="1:4">
      <c r="A1398" s="53">
        <f t="shared" si="203"/>
        <v>46869</v>
      </c>
      <c r="B1398" s="41">
        <f t="shared" si="201"/>
        <v>46869</v>
      </c>
      <c r="C1398" s="42" t="str">
        <f t="shared" si="202"/>
        <v>第4  水曜日</v>
      </c>
      <c r="D1398" s="4" t="str">
        <f>_xlfn.XLOOKUP(B1398,syukujitsu[国民の祝日・休日月日],syukujitsu[国民の祝日・休日名称],"",0,1)</f>
        <v/>
      </c>
    </row>
    <row r="1399" spans="1:4">
      <c r="A1399" s="53">
        <f t="shared" si="203"/>
        <v>46870</v>
      </c>
      <c r="B1399" s="41">
        <f t="shared" ref="B1399:B1462" si="204">B1398+1</f>
        <v>46870</v>
      </c>
      <c r="C1399" s="42" t="str">
        <f t="shared" si="202"/>
        <v>第4  木曜日</v>
      </c>
      <c r="D1399" s="4" t="str">
        <f>_xlfn.XLOOKUP(B1399,syukujitsu[国民の祝日・休日月日],syukujitsu[国民の祝日・休日名称],"",0,1)</f>
        <v/>
      </c>
    </row>
    <row r="1400" spans="1:4">
      <c r="A1400" s="53">
        <f t="shared" si="203"/>
        <v>46871</v>
      </c>
      <c r="B1400" s="41">
        <f t="shared" si="204"/>
        <v>46871</v>
      </c>
      <c r="C1400" s="42" t="str">
        <f t="shared" si="202"/>
        <v>第4  金曜日</v>
      </c>
      <c r="D1400" s="4" t="str">
        <f>_xlfn.XLOOKUP(B1400,syukujitsu[国民の祝日・休日月日],syukujitsu[国民の祝日・休日名称],"",0,1)</f>
        <v/>
      </c>
    </row>
    <row r="1401" spans="1:4">
      <c r="A1401" s="53">
        <f t="shared" si="203"/>
        <v>46872</v>
      </c>
      <c r="B1401" s="41">
        <f t="shared" si="204"/>
        <v>46872</v>
      </c>
      <c r="C1401" s="42" t="str">
        <f t="shared" si="202"/>
        <v>第5  土曜日</v>
      </c>
      <c r="D1401" s="4" t="str">
        <f>_xlfn.XLOOKUP(B1401,syukujitsu[国民の祝日・休日月日],syukujitsu[国民の祝日・休日名称],"",0,1)</f>
        <v/>
      </c>
    </row>
    <row r="1402" spans="1:4">
      <c r="A1402" s="53">
        <f t="shared" si="203"/>
        <v>46873</v>
      </c>
      <c r="B1402" s="41">
        <f t="shared" si="204"/>
        <v>46873</v>
      </c>
      <c r="C1402" s="42" t="str">
        <f t="shared" si="202"/>
        <v>第5  日曜日</v>
      </c>
      <c r="D1402" s="4" t="str">
        <f>_xlfn.XLOOKUP(B1402,syukujitsu[国民の祝日・休日月日],syukujitsu[国民の祝日・休日名称],"",0,1)</f>
        <v/>
      </c>
    </row>
    <row r="1403" spans="1:4">
      <c r="A1403" s="53">
        <f t="shared" si="203"/>
        <v>46874</v>
      </c>
      <c r="B1403" s="41">
        <f t="shared" si="204"/>
        <v>46874</v>
      </c>
      <c r="C1403" s="42" t="str">
        <f t="shared" si="202"/>
        <v>第1  月曜日</v>
      </c>
      <c r="D1403" s="4" t="str">
        <f>_xlfn.XLOOKUP(B1403,syukujitsu[国民の祝日・休日月日],syukujitsu[国民の祝日・休日名称],"",0,1)</f>
        <v/>
      </c>
    </row>
    <row r="1404" spans="1:4">
      <c r="A1404" s="53">
        <f t="shared" si="203"/>
        <v>46875</v>
      </c>
      <c r="B1404" s="41">
        <f t="shared" si="204"/>
        <v>46875</v>
      </c>
      <c r="C1404" s="42" t="str">
        <f t="shared" si="202"/>
        <v>第1  火曜日</v>
      </c>
      <c r="D1404" s="4" t="str">
        <f>_xlfn.XLOOKUP(B1404,syukujitsu[国民の祝日・休日月日],syukujitsu[国民の祝日・休日名称],"",0,1)</f>
        <v/>
      </c>
    </row>
    <row r="1405" spans="1:4">
      <c r="A1405" s="53">
        <f t="shared" si="203"/>
        <v>46876</v>
      </c>
      <c r="B1405" s="41">
        <f t="shared" si="204"/>
        <v>46876</v>
      </c>
      <c r="C1405" s="42" t="str">
        <f t="shared" si="202"/>
        <v>第1  水曜日</v>
      </c>
      <c r="D1405" s="4" t="str">
        <f>_xlfn.XLOOKUP(B1405,syukujitsu[国民の祝日・休日月日],syukujitsu[国民の祝日・休日名称],"",0,1)</f>
        <v/>
      </c>
    </row>
    <row r="1406" spans="1:4">
      <c r="A1406" s="53">
        <f t="shared" si="203"/>
        <v>46877</v>
      </c>
      <c r="B1406" s="41">
        <f t="shared" si="204"/>
        <v>46877</v>
      </c>
      <c r="C1406" s="42" t="str">
        <f t="shared" si="202"/>
        <v>第1  木曜日</v>
      </c>
      <c r="D1406" s="4" t="str">
        <f>_xlfn.XLOOKUP(B1406,syukujitsu[国民の祝日・休日月日],syukujitsu[国民の祝日・休日名称],"",0,1)</f>
        <v/>
      </c>
    </row>
    <row r="1407" spans="1:4">
      <c r="A1407" s="53">
        <f t="shared" si="203"/>
        <v>46878</v>
      </c>
      <c r="B1407" s="41">
        <f t="shared" si="204"/>
        <v>46878</v>
      </c>
      <c r="C1407" s="42" t="str">
        <f t="shared" si="202"/>
        <v>第1  金曜日</v>
      </c>
      <c r="D1407" s="4" t="str">
        <f>_xlfn.XLOOKUP(B1407,syukujitsu[国民の祝日・休日月日],syukujitsu[国民の祝日・休日名称],"",0,1)</f>
        <v/>
      </c>
    </row>
    <row r="1408" spans="1:4">
      <c r="A1408" s="53">
        <f t="shared" si="203"/>
        <v>46879</v>
      </c>
      <c r="B1408" s="41">
        <f t="shared" si="204"/>
        <v>46879</v>
      </c>
      <c r="C1408" s="42" t="str">
        <f t="shared" si="202"/>
        <v>第1  土曜日</v>
      </c>
      <c r="D1408" s="4" t="str">
        <f>_xlfn.XLOOKUP(B1408,syukujitsu[国民の祝日・休日月日],syukujitsu[国民の祝日・休日名称],"",0,1)</f>
        <v/>
      </c>
    </row>
    <row r="1409" spans="1:4">
      <c r="A1409" s="53">
        <f t="shared" si="203"/>
        <v>46880</v>
      </c>
      <c r="B1409" s="41">
        <f t="shared" si="204"/>
        <v>46880</v>
      </c>
      <c r="C1409" s="42" t="str">
        <f t="shared" si="202"/>
        <v>第1  日曜日</v>
      </c>
      <c r="D1409" s="4" t="str">
        <f>_xlfn.XLOOKUP(B1409,syukujitsu[国民の祝日・休日月日],syukujitsu[国民の祝日・休日名称],"",0,1)</f>
        <v/>
      </c>
    </row>
    <row r="1410" spans="1:4">
      <c r="A1410" s="53">
        <f t="shared" si="203"/>
        <v>46881</v>
      </c>
      <c r="B1410" s="41">
        <f t="shared" si="204"/>
        <v>46881</v>
      </c>
      <c r="C1410" s="42" t="str">
        <f t="shared" si="202"/>
        <v>第2  月曜日</v>
      </c>
      <c r="D1410" s="4" t="str">
        <f>_xlfn.XLOOKUP(B1410,syukujitsu[国民の祝日・休日月日],syukujitsu[国民の祝日・休日名称],"",0,1)</f>
        <v/>
      </c>
    </row>
    <row r="1411" spans="1:4">
      <c r="A1411" s="53">
        <f t="shared" si="203"/>
        <v>46882</v>
      </c>
      <c r="B1411" s="41">
        <f t="shared" si="204"/>
        <v>46882</v>
      </c>
      <c r="C1411" s="42" t="str">
        <f t="shared" si="202"/>
        <v>第2  火曜日</v>
      </c>
      <c r="D1411" s="4" t="str">
        <f>_xlfn.XLOOKUP(B1411,syukujitsu[国民の祝日・休日月日],syukujitsu[国民の祝日・休日名称],"",0,1)</f>
        <v/>
      </c>
    </row>
    <row r="1412" spans="1:4">
      <c r="A1412" s="53">
        <f t="shared" si="203"/>
        <v>46883</v>
      </c>
      <c r="B1412" s="41">
        <f t="shared" si="204"/>
        <v>46883</v>
      </c>
      <c r="C1412" s="42" t="str">
        <f t="shared" si="202"/>
        <v>第2  水曜日</v>
      </c>
      <c r="D1412" s="4" t="str">
        <f>_xlfn.XLOOKUP(B1412,syukujitsu[国民の祝日・休日月日],syukujitsu[国民の祝日・休日名称],"",0,1)</f>
        <v/>
      </c>
    </row>
    <row r="1413" spans="1:4">
      <c r="A1413" s="53">
        <f t="shared" si="203"/>
        <v>46884</v>
      </c>
      <c r="B1413" s="41">
        <f t="shared" si="204"/>
        <v>46884</v>
      </c>
      <c r="C1413" s="42" t="str">
        <f t="shared" si="202"/>
        <v>第2  木曜日</v>
      </c>
      <c r="D1413" s="4" t="str">
        <f>_xlfn.XLOOKUP(B1413,syukujitsu[国民の祝日・休日月日],syukujitsu[国民の祝日・休日名称],"",0,1)</f>
        <v/>
      </c>
    </row>
    <row r="1414" spans="1:4">
      <c r="A1414" s="53">
        <f t="shared" si="203"/>
        <v>46885</v>
      </c>
      <c r="B1414" s="41">
        <f t="shared" si="204"/>
        <v>46885</v>
      </c>
      <c r="C1414" s="42" t="str">
        <f t="shared" si="202"/>
        <v>第2  金曜日</v>
      </c>
      <c r="D1414" s="4" t="str">
        <f>_xlfn.XLOOKUP(B1414,syukujitsu[国民の祝日・休日月日],syukujitsu[国民の祝日・休日名称],"",0,1)</f>
        <v/>
      </c>
    </row>
    <row r="1415" spans="1:4">
      <c r="A1415" s="53">
        <f t="shared" si="203"/>
        <v>46886</v>
      </c>
      <c r="B1415" s="41">
        <f t="shared" si="204"/>
        <v>46886</v>
      </c>
      <c r="C1415" s="42" t="str">
        <f t="shared" si="202"/>
        <v>第2  土曜日</v>
      </c>
      <c r="D1415" s="4" t="str">
        <f>_xlfn.XLOOKUP(B1415,syukujitsu[国民の祝日・休日月日],syukujitsu[国民の祝日・休日名称],"",0,1)</f>
        <v/>
      </c>
    </row>
    <row r="1416" spans="1:4">
      <c r="A1416" s="53">
        <f t="shared" si="203"/>
        <v>46887</v>
      </c>
      <c r="B1416" s="41">
        <f t="shared" si="204"/>
        <v>46887</v>
      </c>
      <c r="C1416" s="42" t="str">
        <f t="shared" si="202"/>
        <v>第2  日曜日</v>
      </c>
      <c r="D1416" s="4" t="str">
        <f>_xlfn.XLOOKUP(B1416,syukujitsu[国民の祝日・休日月日],syukujitsu[国民の祝日・休日名称],"",0,1)</f>
        <v/>
      </c>
    </row>
    <row r="1417" spans="1:4">
      <c r="A1417" s="53">
        <f t="shared" si="203"/>
        <v>46888</v>
      </c>
      <c r="B1417" s="41">
        <f t="shared" si="204"/>
        <v>46888</v>
      </c>
      <c r="C1417" s="42" t="str">
        <f t="shared" si="202"/>
        <v>第3  月曜日</v>
      </c>
      <c r="D1417" s="4" t="str">
        <f>_xlfn.XLOOKUP(B1417,syukujitsu[国民の祝日・休日月日],syukujitsu[国民の祝日・休日名称],"",0,1)</f>
        <v/>
      </c>
    </row>
    <row r="1418" spans="1:4">
      <c r="A1418" s="53">
        <f t="shared" si="203"/>
        <v>46889</v>
      </c>
      <c r="B1418" s="41">
        <f t="shared" si="204"/>
        <v>46889</v>
      </c>
      <c r="C1418" s="42" t="str">
        <f t="shared" si="202"/>
        <v>第3  火曜日</v>
      </c>
      <c r="D1418" s="4" t="str">
        <f>_xlfn.XLOOKUP(B1418,syukujitsu[国民の祝日・休日月日],syukujitsu[国民の祝日・休日名称],"",0,1)</f>
        <v/>
      </c>
    </row>
    <row r="1419" spans="1:4">
      <c r="A1419" s="53">
        <f t="shared" si="203"/>
        <v>46890</v>
      </c>
      <c r="B1419" s="41">
        <f t="shared" si="204"/>
        <v>46890</v>
      </c>
      <c r="C1419" s="42" t="str">
        <f t="shared" si="202"/>
        <v>第3  水曜日</v>
      </c>
      <c r="D1419" s="4" t="str">
        <f>_xlfn.XLOOKUP(B1419,syukujitsu[国民の祝日・休日月日],syukujitsu[国民の祝日・休日名称],"",0,1)</f>
        <v/>
      </c>
    </row>
    <row r="1420" spans="1:4">
      <c r="A1420" s="53">
        <f t="shared" si="203"/>
        <v>46891</v>
      </c>
      <c r="B1420" s="41">
        <f t="shared" si="204"/>
        <v>46891</v>
      </c>
      <c r="C1420" s="42" t="str">
        <f t="shared" ref="C1420:C1483" si="205">"第"&amp;ROUNDUP(DAY(B1420)/7,0)  &amp;"  "&amp;TEXT(B1420,"aaaa")</f>
        <v>第3  木曜日</v>
      </c>
      <c r="D1420" s="4" t="str">
        <f>_xlfn.XLOOKUP(B1420,syukujitsu[国民の祝日・休日月日],syukujitsu[国民の祝日・休日名称],"",0,1)</f>
        <v/>
      </c>
    </row>
    <row r="1421" spans="1:4">
      <c r="A1421" s="53">
        <f t="shared" si="203"/>
        <v>46892</v>
      </c>
      <c r="B1421" s="41">
        <f t="shared" si="204"/>
        <v>46892</v>
      </c>
      <c r="C1421" s="42" t="str">
        <f t="shared" si="205"/>
        <v>第3  金曜日</v>
      </c>
      <c r="D1421" s="4" t="str">
        <f>_xlfn.XLOOKUP(B1421,syukujitsu[国民の祝日・休日月日],syukujitsu[国民の祝日・休日名称],"",0,1)</f>
        <v/>
      </c>
    </row>
    <row r="1422" spans="1:4">
      <c r="A1422" s="53">
        <f t="shared" si="203"/>
        <v>46893</v>
      </c>
      <c r="B1422" s="41">
        <f t="shared" si="204"/>
        <v>46893</v>
      </c>
      <c r="C1422" s="42" t="str">
        <f t="shared" si="205"/>
        <v>第3  土曜日</v>
      </c>
      <c r="D1422" s="4" t="str">
        <f>_xlfn.XLOOKUP(B1422,syukujitsu[国民の祝日・休日月日],syukujitsu[国民の祝日・休日名称],"",0,1)</f>
        <v/>
      </c>
    </row>
    <row r="1423" spans="1:4">
      <c r="A1423" s="53">
        <f t="shared" si="203"/>
        <v>46894</v>
      </c>
      <c r="B1423" s="41">
        <f t="shared" si="204"/>
        <v>46894</v>
      </c>
      <c r="C1423" s="42" t="str">
        <f t="shared" si="205"/>
        <v>第3  日曜日</v>
      </c>
      <c r="D1423" s="4" t="str">
        <f>_xlfn.XLOOKUP(B1423,syukujitsu[国民の祝日・休日月日],syukujitsu[国民の祝日・休日名称],"",0,1)</f>
        <v/>
      </c>
    </row>
    <row r="1424" spans="1:4">
      <c r="A1424" s="53">
        <f t="shared" si="203"/>
        <v>46895</v>
      </c>
      <c r="B1424" s="41">
        <f t="shared" si="204"/>
        <v>46895</v>
      </c>
      <c r="C1424" s="42" t="str">
        <f t="shared" si="205"/>
        <v>第4  月曜日</v>
      </c>
      <c r="D1424" s="4" t="str">
        <f>_xlfn.XLOOKUP(B1424,syukujitsu[国民の祝日・休日月日],syukujitsu[国民の祝日・休日名称],"",0,1)</f>
        <v/>
      </c>
    </row>
    <row r="1425" spans="1:4">
      <c r="A1425" s="53">
        <f t="shared" si="203"/>
        <v>46896</v>
      </c>
      <c r="B1425" s="41">
        <f t="shared" si="204"/>
        <v>46896</v>
      </c>
      <c r="C1425" s="42" t="str">
        <f t="shared" si="205"/>
        <v>第4  火曜日</v>
      </c>
      <c r="D1425" s="4" t="str">
        <f>_xlfn.XLOOKUP(B1425,syukujitsu[国民の祝日・休日月日],syukujitsu[国民の祝日・休日名称],"",0,1)</f>
        <v/>
      </c>
    </row>
    <row r="1426" spans="1:4">
      <c r="A1426" s="53">
        <f t="shared" si="203"/>
        <v>46897</v>
      </c>
      <c r="B1426" s="41">
        <f t="shared" si="204"/>
        <v>46897</v>
      </c>
      <c r="C1426" s="42" t="str">
        <f t="shared" si="205"/>
        <v>第4  水曜日</v>
      </c>
      <c r="D1426" s="4" t="str">
        <f>_xlfn.XLOOKUP(B1426,syukujitsu[国民の祝日・休日月日],syukujitsu[国民の祝日・休日名称],"",0,1)</f>
        <v/>
      </c>
    </row>
    <row r="1427" spans="1:4">
      <c r="A1427" s="53">
        <f t="shared" si="203"/>
        <v>46898</v>
      </c>
      <c r="B1427" s="41">
        <f t="shared" si="204"/>
        <v>46898</v>
      </c>
      <c r="C1427" s="42" t="str">
        <f t="shared" si="205"/>
        <v>第4  木曜日</v>
      </c>
      <c r="D1427" s="4" t="str">
        <f>_xlfn.XLOOKUP(B1427,syukujitsu[国民の祝日・休日月日],syukujitsu[国民の祝日・休日名称],"",0,1)</f>
        <v/>
      </c>
    </row>
    <row r="1428" spans="1:4">
      <c r="A1428" s="53">
        <f t="shared" si="203"/>
        <v>46899</v>
      </c>
      <c r="B1428" s="41">
        <f t="shared" si="204"/>
        <v>46899</v>
      </c>
      <c r="C1428" s="42" t="str">
        <f t="shared" si="205"/>
        <v>第4  金曜日</v>
      </c>
      <c r="D1428" s="4" t="str">
        <f>_xlfn.XLOOKUP(B1428,syukujitsu[国民の祝日・休日月日],syukujitsu[国民の祝日・休日名称],"",0,1)</f>
        <v/>
      </c>
    </row>
    <row r="1429" spans="1:4">
      <c r="A1429" s="53">
        <f t="shared" si="203"/>
        <v>46900</v>
      </c>
      <c r="B1429" s="41">
        <f t="shared" si="204"/>
        <v>46900</v>
      </c>
      <c r="C1429" s="42" t="str">
        <f t="shared" si="205"/>
        <v>第4  土曜日</v>
      </c>
      <c r="D1429" s="4" t="str">
        <f>_xlfn.XLOOKUP(B1429,syukujitsu[国民の祝日・休日月日],syukujitsu[国民の祝日・休日名称],"",0,1)</f>
        <v/>
      </c>
    </row>
    <row r="1430" spans="1:4">
      <c r="A1430" s="53">
        <f t="shared" si="203"/>
        <v>46901</v>
      </c>
      <c r="B1430" s="41">
        <f t="shared" si="204"/>
        <v>46901</v>
      </c>
      <c r="C1430" s="42" t="str">
        <f t="shared" si="205"/>
        <v>第4  日曜日</v>
      </c>
      <c r="D1430" s="4" t="str">
        <f>_xlfn.XLOOKUP(B1430,syukujitsu[国民の祝日・休日月日],syukujitsu[国民の祝日・休日名称],"",0,1)</f>
        <v/>
      </c>
    </row>
    <row r="1431" spans="1:4">
      <c r="A1431" s="53">
        <f t="shared" si="203"/>
        <v>46902</v>
      </c>
      <c r="B1431" s="41">
        <f t="shared" si="204"/>
        <v>46902</v>
      </c>
      <c r="C1431" s="42" t="str">
        <f t="shared" si="205"/>
        <v>第5  月曜日</v>
      </c>
      <c r="D1431" s="4" t="str">
        <f>_xlfn.XLOOKUP(B1431,syukujitsu[国民の祝日・休日月日],syukujitsu[国民の祝日・休日名称],"",0,1)</f>
        <v/>
      </c>
    </row>
    <row r="1432" spans="1:4">
      <c r="A1432" s="53">
        <f t="shared" si="203"/>
        <v>46903</v>
      </c>
      <c r="B1432" s="41">
        <f t="shared" si="204"/>
        <v>46903</v>
      </c>
      <c r="C1432" s="42" t="str">
        <f t="shared" si="205"/>
        <v>第5  火曜日</v>
      </c>
      <c r="D1432" s="4" t="str">
        <f>_xlfn.XLOOKUP(B1432,syukujitsu[国民の祝日・休日月日],syukujitsu[国民の祝日・休日名称],"",0,1)</f>
        <v/>
      </c>
    </row>
    <row r="1433" spans="1:4">
      <c r="A1433" s="53">
        <f t="shared" si="203"/>
        <v>46904</v>
      </c>
      <c r="B1433" s="41">
        <f t="shared" si="204"/>
        <v>46904</v>
      </c>
      <c r="C1433" s="42" t="str">
        <f t="shared" si="205"/>
        <v>第5  水曜日</v>
      </c>
      <c r="D1433" s="4" t="str">
        <f>_xlfn.XLOOKUP(B1433,syukujitsu[国民の祝日・休日月日],syukujitsu[国民の祝日・休日名称],"",0,1)</f>
        <v/>
      </c>
    </row>
    <row r="1434" spans="1:4">
      <c r="A1434" s="53">
        <f t="shared" si="203"/>
        <v>46905</v>
      </c>
      <c r="B1434" s="41">
        <f t="shared" si="204"/>
        <v>46905</v>
      </c>
      <c r="C1434" s="42" t="str">
        <f t="shared" si="205"/>
        <v>第1  木曜日</v>
      </c>
      <c r="D1434" s="4" t="str">
        <f>_xlfn.XLOOKUP(B1434,syukujitsu[国民の祝日・休日月日],syukujitsu[国民の祝日・休日名称],"",0,1)</f>
        <v/>
      </c>
    </row>
    <row r="1435" spans="1:4">
      <c r="A1435" s="53">
        <f t="shared" si="203"/>
        <v>46906</v>
      </c>
      <c r="B1435" s="41">
        <f t="shared" si="204"/>
        <v>46906</v>
      </c>
      <c r="C1435" s="42" t="str">
        <f t="shared" si="205"/>
        <v>第1  金曜日</v>
      </c>
      <c r="D1435" s="4" t="str">
        <f>_xlfn.XLOOKUP(B1435,syukujitsu[国民の祝日・休日月日],syukujitsu[国民の祝日・休日名称],"",0,1)</f>
        <v/>
      </c>
    </row>
    <row r="1436" spans="1:4">
      <c r="A1436" s="53">
        <f t="shared" si="203"/>
        <v>46907</v>
      </c>
      <c r="B1436" s="41">
        <f t="shared" si="204"/>
        <v>46907</v>
      </c>
      <c r="C1436" s="42" t="str">
        <f t="shared" si="205"/>
        <v>第1  土曜日</v>
      </c>
    </row>
    <row r="1437" spans="1:4">
      <c r="A1437" s="53">
        <f t="shared" si="203"/>
        <v>46908</v>
      </c>
      <c r="B1437" s="41">
        <f t="shared" si="204"/>
        <v>46908</v>
      </c>
      <c r="C1437" s="42" t="str">
        <f t="shared" si="205"/>
        <v>第1  日曜日</v>
      </c>
    </row>
    <row r="1438" spans="1:4">
      <c r="A1438" s="53">
        <f t="shared" si="203"/>
        <v>46909</v>
      </c>
      <c r="B1438" s="41">
        <f t="shared" si="204"/>
        <v>46909</v>
      </c>
      <c r="C1438" s="42" t="str">
        <f t="shared" si="205"/>
        <v>第1  月曜日</v>
      </c>
    </row>
    <row r="1439" spans="1:4">
      <c r="A1439" s="53">
        <f t="shared" si="203"/>
        <v>46910</v>
      </c>
      <c r="B1439" s="41">
        <f t="shared" si="204"/>
        <v>46910</v>
      </c>
      <c r="C1439" s="42" t="str">
        <f t="shared" si="205"/>
        <v>第1  火曜日</v>
      </c>
    </row>
    <row r="1440" spans="1:4">
      <c r="A1440" s="53">
        <f t="shared" ref="A1440:A1503" si="206">B1440</f>
        <v>46911</v>
      </c>
      <c r="B1440" s="41">
        <f t="shared" si="204"/>
        <v>46911</v>
      </c>
      <c r="C1440" s="42" t="str">
        <f t="shared" si="205"/>
        <v>第1  水曜日</v>
      </c>
    </row>
    <row r="1441" spans="1:3">
      <c r="A1441" s="53">
        <f t="shared" si="206"/>
        <v>46912</v>
      </c>
      <c r="B1441" s="41">
        <f t="shared" si="204"/>
        <v>46912</v>
      </c>
      <c r="C1441" s="42" t="str">
        <f t="shared" si="205"/>
        <v>第2  木曜日</v>
      </c>
    </row>
    <row r="1442" spans="1:3">
      <c r="A1442" s="53">
        <f t="shared" si="206"/>
        <v>46913</v>
      </c>
      <c r="B1442" s="41">
        <f t="shared" si="204"/>
        <v>46913</v>
      </c>
      <c r="C1442" s="42" t="str">
        <f t="shared" si="205"/>
        <v>第2  金曜日</v>
      </c>
    </row>
    <row r="1443" spans="1:3">
      <c r="A1443" s="53">
        <f t="shared" si="206"/>
        <v>46914</v>
      </c>
      <c r="B1443" s="41">
        <f t="shared" si="204"/>
        <v>46914</v>
      </c>
      <c r="C1443" s="42" t="str">
        <f t="shared" si="205"/>
        <v>第2  土曜日</v>
      </c>
    </row>
    <row r="1444" spans="1:3">
      <c r="A1444" s="53">
        <f t="shared" si="206"/>
        <v>46915</v>
      </c>
      <c r="B1444" s="41">
        <f t="shared" si="204"/>
        <v>46915</v>
      </c>
      <c r="C1444" s="42" t="str">
        <f t="shared" si="205"/>
        <v>第2  日曜日</v>
      </c>
    </row>
    <row r="1445" spans="1:3">
      <c r="A1445" s="53">
        <f t="shared" si="206"/>
        <v>46916</v>
      </c>
      <c r="B1445" s="41">
        <f t="shared" si="204"/>
        <v>46916</v>
      </c>
      <c r="C1445" s="42" t="str">
        <f t="shared" si="205"/>
        <v>第2  月曜日</v>
      </c>
    </row>
    <row r="1446" spans="1:3">
      <c r="A1446" s="53">
        <f t="shared" si="206"/>
        <v>46917</v>
      </c>
      <c r="B1446" s="41">
        <f t="shared" si="204"/>
        <v>46917</v>
      </c>
      <c r="C1446" s="42" t="str">
        <f t="shared" si="205"/>
        <v>第2  火曜日</v>
      </c>
    </row>
    <row r="1447" spans="1:3">
      <c r="A1447" s="53">
        <f t="shared" si="206"/>
        <v>46918</v>
      </c>
      <c r="B1447" s="41">
        <f t="shared" si="204"/>
        <v>46918</v>
      </c>
      <c r="C1447" s="42" t="str">
        <f t="shared" si="205"/>
        <v>第2  水曜日</v>
      </c>
    </row>
    <row r="1448" spans="1:3">
      <c r="A1448" s="53">
        <f t="shared" si="206"/>
        <v>46919</v>
      </c>
      <c r="B1448" s="41">
        <f t="shared" si="204"/>
        <v>46919</v>
      </c>
      <c r="C1448" s="42" t="str">
        <f t="shared" si="205"/>
        <v>第3  木曜日</v>
      </c>
    </row>
    <row r="1449" spans="1:3">
      <c r="A1449" s="53">
        <f t="shared" si="206"/>
        <v>46920</v>
      </c>
      <c r="B1449" s="41">
        <f t="shared" si="204"/>
        <v>46920</v>
      </c>
      <c r="C1449" s="42" t="str">
        <f t="shared" si="205"/>
        <v>第3  金曜日</v>
      </c>
    </row>
    <row r="1450" spans="1:3">
      <c r="A1450" s="53">
        <f t="shared" si="206"/>
        <v>46921</v>
      </c>
      <c r="B1450" s="41">
        <f t="shared" si="204"/>
        <v>46921</v>
      </c>
      <c r="C1450" s="42" t="str">
        <f t="shared" si="205"/>
        <v>第3  土曜日</v>
      </c>
    </row>
    <row r="1451" spans="1:3">
      <c r="A1451" s="53">
        <f t="shared" si="206"/>
        <v>46922</v>
      </c>
      <c r="B1451" s="41">
        <f t="shared" si="204"/>
        <v>46922</v>
      </c>
      <c r="C1451" s="42" t="str">
        <f t="shared" si="205"/>
        <v>第3  日曜日</v>
      </c>
    </row>
    <row r="1452" spans="1:3">
      <c r="A1452" s="53">
        <f t="shared" si="206"/>
        <v>46923</v>
      </c>
      <c r="B1452" s="41">
        <f t="shared" si="204"/>
        <v>46923</v>
      </c>
      <c r="C1452" s="42" t="str">
        <f t="shared" si="205"/>
        <v>第3  月曜日</v>
      </c>
    </row>
    <row r="1453" spans="1:3">
      <c r="A1453" s="53">
        <f t="shared" si="206"/>
        <v>46924</v>
      </c>
      <c r="B1453" s="41">
        <f t="shared" si="204"/>
        <v>46924</v>
      </c>
      <c r="C1453" s="42" t="str">
        <f t="shared" si="205"/>
        <v>第3  火曜日</v>
      </c>
    </row>
    <row r="1454" spans="1:3">
      <c r="A1454" s="53">
        <f t="shared" si="206"/>
        <v>46925</v>
      </c>
      <c r="B1454" s="41">
        <f t="shared" si="204"/>
        <v>46925</v>
      </c>
      <c r="C1454" s="42" t="str">
        <f t="shared" si="205"/>
        <v>第3  水曜日</v>
      </c>
    </row>
    <row r="1455" spans="1:3">
      <c r="A1455" s="53">
        <f t="shared" si="206"/>
        <v>46926</v>
      </c>
      <c r="B1455" s="41">
        <f t="shared" si="204"/>
        <v>46926</v>
      </c>
      <c r="C1455" s="42" t="str">
        <f t="shared" si="205"/>
        <v>第4  木曜日</v>
      </c>
    </row>
    <row r="1456" spans="1:3">
      <c r="A1456" s="53">
        <f t="shared" si="206"/>
        <v>46927</v>
      </c>
      <c r="B1456" s="41">
        <f t="shared" si="204"/>
        <v>46927</v>
      </c>
      <c r="C1456" s="42" t="str">
        <f t="shared" si="205"/>
        <v>第4  金曜日</v>
      </c>
    </row>
    <row r="1457" spans="1:3">
      <c r="A1457" s="53">
        <f t="shared" si="206"/>
        <v>46928</v>
      </c>
      <c r="B1457" s="41">
        <f t="shared" si="204"/>
        <v>46928</v>
      </c>
      <c r="C1457" s="42" t="str">
        <f t="shared" si="205"/>
        <v>第4  土曜日</v>
      </c>
    </row>
    <row r="1458" spans="1:3">
      <c r="A1458" s="53">
        <f t="shared" si="206"/>
        <v>46929</v>
      </c>
      <c r="B1458" s="41">
        <f t="shared" si="204"/>
        <v>46929</v>
      </c>
      <c r="C1458" s="42" t="str">
        <f t="shared" si="205"/>
        <v>第4  日曜日</v>
      </c>
    </row>
    <row r="1459" spans="1:3">
      <c r="A1459" s="53">
        <f t="shared" si="206"/>
        <v>46930</v>
      </c>
      <c r="B1459" s="41">
        <f t="shared" si="204"/>
        <v>46930</v>
      </c>
      <c r="C1459" s="42" t="str">
        <f t="shared" si="205"/>
        <v>第4  月曜日</v>
      </c>
    </row>
    <row r="1460" spans="1:3">
      <c r="A1460" s="53">
        <f t="shared" si="206"/>
        <v>46931</v>
      </c>
      <c r="B1460" s="41">
        <f t="shared" si="204"/>
        <v>46931</v>
      </c>
      <c r="C1460" s="42" t="str">
        <f t="shared" si="205"/>
        <v>第4  火曜日</v>
      </c>
    </row>
    <row r="1461" spans="1:3">
      <c r="A1461" s="53">
        <f t="shared" si="206"/>
        <v>46932</v>
      </c>
      <c r="B1461" s="41">
        <f t="shared" si="204"/>
        <v>46932</v>
      </c>
      <c r="C1461" s="42" t="str">
        <f t="shared" si="205"/>
        <v>第4  水曜日</v>
      </c>
    </row>
    <row r="1462" spans="1:3">
      <c r="A1462" s="53">
        <f t="shared" si="206"/>
        <v>46933</v>
      </c>
      <c r="B1462" s="41">
        <f t="shared" si="204"/>
        <v>46933</v>
      </c>
      <c r="C1462" s="42" t="str">
        <f t="shared" si="205"/>
        <v>第5  木曜日</v>
      </c>
    </row>
    <row r="1463" spans="1:3">
      <c r="A1463" s="53">
        <f t="shared" si="206"/>
        <v>46934</v>
      </c>
      <c r="B1463" s="41">
        <f t="shared" ref="B1463:B1526" si="207">B1462+1</f>
        <v>46934</v>
      </c>
      <c r="C1463" s="42" t="str">
        <f t="shared" si="205"/>
        <v>第5  金曜日</v>
      </c>
    </row>
    <row r="1464" spans="1:3">
      <c r="A1464" s="53">
        <f t="shared" si="206"/>
        <v>46935</v>
      </c>
      <c r="B1464" s="41">
        <f t="shared" si="207"/>
        <v>46935</v>
      </c>
      <c r="C1464" s="42" t="str">
        <f t="shared" si="205"/>
        <v>第1  土曜日</v>
      </c>
    </row>
    <row r="1465" spans="1:3">
      <c r="A1465" s="53">
        <f t="shared" si="206"/>
        <v>46936</v>
      </c>
      <c r="B1465" s="41">
        <f t="shared" si="207"/>
        <v>46936</v>
      </c>
      <c r="C1465" s="42" t="str">
        <f t="shared" si="205"/>
        <v>第1  日曜日</v>
      </c>
    </row>
    <row r="1466" spans="1:3">
      <c r="A1466" s="53">
        <f t="shared" si="206"/>
        <v>46937</v>
      </c>
      <c r="B1466" s="41">
        <f t="shared" si="207"/>
        <v>46937</v>
      </c>
      <c r="C1466" s="42" t="str">
        <f t="shared" si="205"/>
        <v>第1  月曜日</v>
      </c>
    </row>
    <row r="1467" spans="1:3">
      <c r="A1467" s="53">
        <f t="shared" si="206"/>
        <v>46938</v>
      </c>
      <c r="B1467" s="41">
        <f t="shared" si="207"/>
        <v>46938</v>
      </c>
      <c r="C1467" s="42" t="str">
        <f t="shared" si="205"/>
        <v>第1  火曜日</v>
      </c>
    </row>
    <row r="1468" spans="1:3">
      <c r="A1468" s="53">
        <f t="shared" si="206"/>
        <v>46939</v>
      </c>
      <c r="B1468" s="41">
        <f t="shared" si="207"/>
        <v>46939</v>
      </c>
      <c r="C1468" s="42" t="str">
        <f t="shared" si="205"/>
        <v>第1  水曜日</v>
      </c>
    </row>
    <row r="1469" spans="1:3">
      <c r="A1469" s="53">
        <f t="shared" si="206"/>
        <v>46940</v>
      </c>
      <c r="B1469" s="41">
        <f t="shared" si="207"/>
        <v>46940</v>
      </c>
      <c r="C1469" s="42" t="str">
        <f t="shared" si="205"/>
        <v>第1  木曜日</v>
      </c>
    </row>
    <row r="1470" spans="1:3">
      <c r="A1470" s="53">
        <f t="shared" si="206"/>
        <v>46941</v>
      </c>
      <c r="B1470" s="41">
        <f t="shared" si="207"/>
        <v>46941</v>
      </c>
      <c r="C1470" s="42" t="str">
        <f t="shared" si="205"/>
        <v>第1  金曜日</v>
      </c>
    </row>
    <row r="1471" spans="1:3">
      <c r="A1471" s="53">
        <f t="shared" si="206"/>
        <v>46942</v>
      </c>
      <c r="B1471" s="41">
        <f t="shared" si="207"/>
        <v>46942</v>
      </c>
      <c r="C1471" s="42" t="str">
        <f t="shared" si="205"/>
        <v>第2  土曜日</v>
      </c>
    </row>
    <row r="1472" spans="1:3">
      <c r="A1472" s="53">
        <f t="shared" si="206"/>
        <v>46943</v>
      </c>
      <c r="B1472" s="41">
        <f t="shared" si="207"/>
        <v>46943</v>
      </c>
      <c r="C1472" s="42" t="str">
        <f t="shared" si="205"/>
        <v>第2  日曜日</v>
      </c>
    </row>
    <row r="1473" spans="1:3">
      <c r="A1473" s="53">
        <f t="shared" si="206"/>
        <v>46944</v>
      </c>
      <c r="B1473" s="41">
        <f t="shared" si="207"/>
        <v>46944</v>
      </c>
      <c r="C1473" s="42" t="str">
        <f t="shared" si="205"/>
        <v>第2  月曜日</v>
      </c>
    </row>
    <row r="1474" spans="1:3">
      <c r="A1474" s="53">
        <f t="shared" si="206"/>
        <v>46945</v>
      </c>
      <c r="B1474" s="41">
        <f t="shared" si="207"/>
        <v>46945</v>
      </c>
      <c r="C1474" s="42" t="str">
        <f t="shared" si="205"/>
        <v>第2  火曜日</v>
      </c>
    </row>
    <row r="1475" spans="1:3">
      <c r="A1475" s="53">
        <f t="shared" si="206"/>
        <v>46946</v>
      </c>
      <c r="B1475" s="41">
        <f t="shared" si="207"/>
        <v>46946</v>
      </c>
      <c r="C1475" s="42" t="str">
        <f t="shared" si="205"/>
        <v>第2  水曜日</v>
      </c>
    </row>
    <row r="1476" spans="1:3">
      <c r="A1476" s="53">
        <f t="shared" si="206"/>
        <v>46947</v>
      </c>
      <c r="B1476" s="41">
        <f t="shared" si="207"/>
        <v>46947</v>
      </c>
      <c r="C1476" s="42" t="str">
        <f t="shared" si="205"/>
        <v>第2  木曜日</v>
      </c>
    </row>
    <row r="1477" spans="1:3">
      <c r="A1477" s="53">
        <f t="shared" si="206"/>
        <v>46948</v>
      </c>
      <c r="B1477" s="41">
        <f t="shared" si="207"/>
        <v>46948</v>
      </c>
      <c r="C1477" s="42" t="str">
        <f t="shared" si="205"/>
        <v>第2  金曜日</v>
      </c>
    </row>
    <row r="1478" spans="1:3">
      <c r="A1478" s="53">
        <f t="shared" si="206"/>
        <v>46949</v>
      </c>
      <c r="B1478" s="41">
        <f t="shared" si="207"/>
        <v>46949</v>
      </c>
      <c r="C1478" s="42" t="str">
        <f t="shared" si="205"/>
        <v>第3  土曜日</v>
      </c>
    </row>
    <row r="1479" spans="1:3">
      <c r="A1479" s="53">
        <f t="shared" si="206"/>
        <v>46950</v>
      </c>
      <c r="B1479" s="41">
        <f t="shared" si="207"/>
        <v>46950</v>
      </c>
      <c r="C1479" s="42" t="str">
        <f t="shared" si="205"/>
        <v>第3  日曜日</v>
      </c>
    </row>
    <row r="1480" spans="1:3">
      <c r="A1480" s="53">
        <f t="shared" si="206"/>
        <v>46951</v>
      </c>
      <c r="B1480" s="41">
        <f t="shared" si="207"/>
        <v>46951</v>
      </c>
      <c r="C1480" s="42" t="str">
        <f t="shared" si="205"/>
        <v>第3  月曜日</v>
      </c>
    </row>
    <row r="1481" spans="1:3">
      <c r="A1481" s="53">
        <f t="shared" si="206"/>
        <v>46952</v>
      </c>
      <c r="B1481" s="41">
        <f t="shared" si="207"/>
        <v>46952</v>
      </c>
      <c r="C1481" s="42" t="str">
        <f t="shared" si="205"/>
        <v>第3  火曜日</v>
      </c>
    </row>
    <row r="1482" spans="1:3">
      <c r="A1482" s="53">
        <f t="shared" si="206"/>
        <v>46953</v>
      </c>
      <c r="B1482" s="41">
        <f t="shared" si="207"/>
        <v>46953</v>
      </c>
      <c r="C1482" s="42" t="str">
        <f t="shared" si="205"/>
        <v>第3  水曜日</v>
      </c>
    </row>
    <row r="1483" spans="1:3">
      <c r="A1483" s="53">
        <f t="shared" si="206"/>
        <v>46954</v>
      </c>
      <c r="B1483" s="41">
        <f t="shared" si="207"/>
        <v>46954</v>
      </c>
      <c r="C1483" s="42" t="str">
        <f t="shared" si="205"/>
        <v>第3  木曜日</v>
      </c>
    </row>
    <row r="1484" spans="1:3">
      <c r="A1484" s="53">
        <f t="shared" si="206"/>
        <v>46955</v>
      </c>
      <c r="B1484" s="41">
        <f t="shared" si="207"/>
        <v>46955</v>
      </c>
      <c r="C1484" s="42" t="str">
        <f t="shared" ref="C1484:C1547" si="208">"第"&amp;ROUNDUP(DAY(B1484)/7,0)  &amp;"  "&amp;TEXT(B1484,"aaaa")</f>
        <v>第3  金曜日</v>
      </c>
    </row>
    <row r="1485" spans="1:3">
      <c r="A1485" s="53">
        <f t="shared" si="206"/>
        <v>46956</v>
      </c>
      <c r="B1485" s="41">
        <f t="shared" si="207"/>
        <v>46956</v>
      </c>
      <c r="C1485" s="42" t="str">
        <f t="shared" si="208"/>
        <v>第4  土曜日</v>
      </c>
    </row>
    <row r="1486" spans="1:3">
      <c r="A1486" s="53">
        <f t="shared" si="206"/>
        <v>46957</v>
      </c>
      <c r="B1486" s="41">
        <f t="shared" si="207"/>
        <v>46957</v>
      </c>
      <c r="C1486" s="42" t="str">
        <f t="shared" si="208"/>
        <v>第4  日曜日</v>
      </c>
    </row>
    <row r="1487" spans="1:3">
      <c r="A1487" s="53">
        <f t="shared" si="206"/>
        <v>46958</v>
      </c>
      <c r="B1487" s="41">
        <f t="shared" si="207"/>
        <v>46958</v>
      </c>
      <c r="C1487" s="42" t="str">
        <f t="shared" si="208"/>
        <v>第4  月曜日</v>
      </c>
    </row>
    <row r="1488" spans="1:3">
      <c r="A1488" s="53">
        <f t="shared" si="206"/>
        <v>46959</v>
      </c>
      <c r="B1488" s="41">
        <f t="shared" si="207"/>
        <v>46959</v>
      </c>
      <c r="C1488" s="42" t="str">
        <f t="shared" si="208"/>
        <v>第4  火曜日</v>
      </c>
    </row>
    <row r="1489" spans="1:3">
      <c r="A1489" s="53">
        <f t="shared" si="206"/>
        <v>46960</v>
      </c>
      <c r="B1489" s="41">
        <f t="shared" si="207"/>
        <v>46960</v>
      </c>
      <c r="C1489" s="42" t="str">
        <f t="shared" si="208"/>
        <v>第4  水曜日</v>
      </c>
    </row>
    <row r="1490" spans="1:3">
      <c r="A1490" s="53">
        <f t="shared" si="206"/>
        <v>46961</v>
      </c>
      <c r="B1490" s="41">
        <f t="shared" si="207"/>
        <v>46961</v>
      </c>
      <c r="C1490" s="42" t="str">
        <f t="shared" si="208"/>
        <v>第4  木曜日</v>
      </c>
    </row>
    <row r="1491" spans="1:3">
      <c r="A1491" s="53">
        <f t="shared" si="206"/>
        <v>46962</v>
      </c>
      <c r="B1491" s="41">
        <f t="shared" si="207"/>
        <v>46962</v>
      </c>
      <c r="C1491" s="42" t="str">
        <f t="shared" si="208"/>
        <v>第4  金曜日</v>
      </c>
    </row>
    <row r="1492" spans="1:3">
      <c r="A1492" s="53">
        <f t="shared" si="206"/>
        <v>46963</v>
      </c>
      <c r="B1492" s="41">
        <f t="shared" si="207"/>
        <v>46963</v>
      </c>
      <c r="C1492" s="42" t="str">
        <f t="shared" si="208"/>
        <v>第5  土曜日</v>
      </c>
    </row>
    <row r="1493" spans="1:3">
      <c r="A1493" s="53">
        <f t="shared" si="206"/>
        <v>46964</v>
      </c>
      <c r="B1493" s="41">
        <f t="shared" si="207"/>
        <v>46964</v>
      </c>
      <c r="C1493" s="42" t="str">
        <f t="shared" si="208"/>
        <v>第5  日曜日</v>
      </c>
    </row>
    <row r="1494" spans="1:3">
      <c r="A1494" s="53">
        <f t="shared" si="206"/>
        <v>46965</v>
      </c>
      <c r="B1494" s="41">
        <f t="shared" si="207"/>
        <v>46965</v>
      </c>
      <c r="C1494" s="42" t="str">
        <f t="shared" si="208"/>
        <v>第5  月曜日</v>
      </c>
    </row>
    <row r="1495" spans="1:3">
      <c r="A1495" s="53">
        <f t="shared" si="206"/>
        <v>46966</v>
      </c>
      <c r="B1495" s="41">
        <f t="shared" si="207"/>
        <v>46966</v>
      </c>
      <c r="C1495" s="42" t="str">
        <f t="shared" si="208"/>
        <v>第1  火曜日</v>
      </c>
    </row>
    <row r="1496" spans="1:3">
      <c r="A1496" s="53">
        <f t="shared" si="206"/>
        <v>46967</v>
      </c>
      <c r="B1496" s="41">
        <f t="shared" si="207"/>
        <v>46967</v>
      </c>
      <c r="C1496" s="42" t="str">
        <f t="shared" si="208"/>
        <v>第1  水曜日</v>
      </c>
    </row>
    <row r="1497" spans="1:3">
      <c r="A1497" s="53">
        <f t="shared" si="206"/>
        <v>46968</v>
      </c>
      <c r="B1497" s="41">
        <f t="shared" si="207"/>
        <v>46968</v>
      </c>
      <c r="C1497" s="42" t="str">
        <f t="shared" si="208"/>
        <v>第1  木曜日</v>
      </c>
    </row>
    <row r="1498" spans="1:3">
      <c r="A1498" s="53">
        <f t="shared" si="206"/>
        <v>46969</v>
      </c>
      <c r="B1498" s="41">
        <f t="shared" si="207"/>
        <v>46969</v>
      </c>
      <c r="C1498" s="42" t="str">
        <f t="shared" si="208"/>
        <v>第1  金曜日</v>
      </c>
    </row>
    <row r="1499" spans="1:3">
      <c r="A1499" s="53">
        <f t="shared" si="206"/>
        <v>46970</v>
      </c>
      <c r="B1499" s="41">
        <f t="shared" si="207"/>
        <v>46970</v>
      </c>
      <c r="C1499" s="42" t="str">
        <f t="shared" si="208"/>
        <v>第1  土曜日</v>
      </c>
    </row>
    <row r="1500" spans="1:3">
      <c r="A1500" s="53">
        <f t="shared" si="206"/>
        <v>46971</v>
      </c>
      <c r="B1500" s="41">
        <f t="shared" si="207"/>
        <v>46971</v>
      </c>
      <c r="C1500" s="42" t="str">
        <f t="shared" si="208"/>
        <v>第1  日曜日</v>
      </c>
    </row>
    <row r="1501" spans="1:3">
      <c r="A1501" s="53">
        <f t="shared" si="206"/>
        <v>46972</v>
      </c>
      <c r="B1501" s="41">
        <f t="shared" si="207"/>
        <v>46972</v>
      </c>
      <c r="C1501" s="42" t="str">
        <f t="shared" si="208"/>
        <v>第1  月曜日</v>
      </c>
    </row>
    <row r="1502" spans="1:3">
      <c r="A1502" s="53">
        <f t="shared" si="206"/>
        <v>46973</v>
      </c>
      <c r="B1502" s="41">
        <f t="shared" si="207"/>
        <v>46973</v>
      </c>
      <c r="C1502" s="42" t="str">
        <f t="shared" si="208"/>
        <v>第2  火曜日</v>
      </c>
    </row>
    <row r="1503" spans="1:3">
      <c r="A1503" s="53">
        <f t="shared" si="206"/>
        <v>46974</v>
      </c>
      <c r="B1503" s="41">
        <f t="shared" si="207"/>
        <v>46974</v>
      </c>
      <c r="C1503" s="42" t="str">
        <f t="shared" si="208"/>
        <v>第2  水曜日</v>
      </c>
    </row>
    <row r="1504" spans="1:3">
      <c r="A1504" s="53">
        <f t="shared" ref="A1504:A1567" si="209">B1504</f>
        <v>46975</v>
      </c>
      <c r="B1504" s="41">
        <f t="shared" si="207"/>
        <v>46975</v>
      </c>
      <c r="C1504" s="42" t="str">
        <f t="shared" si="208"/>
        <v>第2  木曜日</v>
      </c>
    </row>
    <row r="1505" spans="1:3">
      <c r="A1505" s="53">
        <f t="shared" si="209"/>
        <v>46976</v>
      </c>
      <c r="B1505" s="41">
        <f t="shared" si="207"/>
        <v>46976</v>
      </c>
      <c r="C1505" s="42" t="str">
        <f t="shared" si="208"/>
        <v>第2  金曜日</v>
      </c>
    </row>
    <row r="1506" spans="1:3">
      <c r="A1506" s="53">
        <f t="shared" si="209"/>
        <v>46977</v>
      </c>
      <c r="B1506" s="41">
        <f t="shared" si="207"/>
        <v>46977</v>
      </c>
      <c r="C1506" s="42" t="str">
        <f t="shared" si="208"/>
        <v>第2  土曜日</v>
      </c>
    </row>
    <row r="1507" spans="1:3">
      <c r="A1507" s="53">
        <f t="shared" si="209"/>
        <v>46978</v>
      </c>
      <c r="B1507" s="41">
        <f t="shared" si="207"/>
        <v>46978</v>
      </c>
      <c r="C1507" s="42" t="str">
        <f t="shared" si="208"/>
        <v>第2  日曜日</v>
      </c>
    </row>
    <row r="1508" spans="1:3">
      <c r="A1508" s="53">
        <f t="shared" si="209"/>
        <v>46979</v>
      </c>
      <c r="B1508" s="41">
        <f t="shared" si="207"/>
        <v>46979</v>
      </c>
      <c r="C1508" s="42" t="str">
        <f t="shared" si="208"/>
        <v>第2  月曜日</v>
      </c>
    </row>
    <row r="1509" spans="1:3">
      <c r="A1509" s="53">
        <f t="shared" si="209"/>
        <v>46980</v>
      </c>
      <c r="B1509" s="41">
        <f t="shared" si="207"/>
        <v>46980</v>
      </c>
      <c r="C1509" s="42" t="str">
        <f t="shared" si="208"/>
        <v>第3  火曜日</v>
      </c>
    </row>
    <row r="1510" spans="1:3">
      <c r="A1510" s="53">
        <f t="shared" si="209"/>
        <v>46981</v>
      </c>
      <c r="B1510" s="41">
        <f t="shared" si="207"/>
        <v>46981</v>
      </c>
      <c r="C1510" s="42" t="str">
        <f t="shared" si="208"/>
        <v>第3  水曜日</v>
      </c>
    </row>
    <row r="1511" spans="1:3">
      <c r="A1511" s="53">
        <f t="shared" si="209"/>
        <v>46982</v>
      </c>
      <c r="B1511" s="41">
        <f t="shared" si="207"/>
        <v>46982</v>
      </c>
      <c r="C1511" s="42" t="str">
        <f t="shared" si="208"/>
        <v>第3  木曜日</v>
      </c>
    </row>
    <row r="1512" spans="1:3">
      <c r="A1512" s="53">
        <f t="shared" si="209"/>
        <v>46983</v>
      </c>
      <c r="B1512" s="41">
        <f t="shared" si="207"/>
        <v>46983</v>
      </c>
      <c r="C1512" s="42" t="str">
        <f t="shared" si="208"/>
        <v>第3  金曜日</v>
      </c>
    </row>
    <row r="1513" spans="1:3">
      <c r="A1513" s="53">
        <f t="shared" si="209"/>
        <v>46984</v>
      </c>
      <c r="B1513" s="41">
        <f t="shared" si="207"/>
        <v>46984</v>
      </c>
      <c r="C1513" s="42" t="str">
        <f t="shared" si="208"/>
        <v>第3  土曜日</v>
      </c>
    </row>
    <row r="1514" spans="1:3">
      <c r="A1514" s="53">
        <f t="shared" si="209"/>
        <v>46985</v>
      </c>
      <c r="B1514" s="41">
        <f t="shared" si="207"/>
        <v>46985</v>
      </c>
      <c r="C1514" s="42" t="str">
        <f t="shared" si="208"/>
        <v>第3  日曜日</v>
      </c>
    </row>
    <row r="1515" spans="1:3">
      <c r="A1515" s="53">
        <f t="shared" si="209"/>
        <v>46986</v>
      </c>
      <c r="B1515" s="41">
        <f t="shared" si="207"/>
        <v>46986</v>
      </c>
      <c r="C1515" s="42" t="str">
        <f t="shared" si="208"/>
        <v>第3  月曜日</v>
      </c>
    </row>
    <row r="1516" spans="1:3">
      <c r="A1516" s="53">
        <f t="shared" si="209"/>
        <v>46987</v>
      </c>
      <c r="B1516" s="41">
        <f t="shared" si="207"/>
        <v>46987</v>
      </c>
      <c r="C1516" s="42" t="str">
        <f t="shared" si="208"/>
        <v>第4  火曜日</v>
      </c>
    </row>
    <row r="1517" spans="1:3">
      <c r="A1517" s="53">
        <f t="shared" si="209"/>
        <v>46988</v>
      </c>
      <c r="B1517" s="41">
        <f t="shared" si="207"/>
        <v>46988</v>
      </c>
      <c r="C1517" s="42" t="str">
        <f t="shared" si="208"/>
        <v>第4  水曜日</v>
      </c>
    </row>
    <row r="1518" spans="1:3">
      <c r="A1518" s="53">
        <f t="shared" si="209"/>
        <v>46989</v>
      </c>
      <c r="B1518" s="41">
        <f t="shared" si="207"/>
        <v>46989</v>
      </c>
      <c r="C1518" s="42" t="str">
        <f t="shared" si="208"/>
        <v>第4  木曜日</v>
      </c>
    </row>
    <row r="1519" spans="1:3">
      <c r="A1519" s="53">
        <f t="shared" si="209"/>
        <v>46990</v>
      </c>
      <c r="B1519" s="41">
        <f t="shared" si="207"/>
        <v>46990</v>
      </c>
      <c r="C1519" s="42" t="str">
        <f t="shared" si="208"/>
        <v>第4  金曜日</v>
      </c>
    </row>
    <row r="1520" spans="1:3">
      <c r="A1520" s="53">
        <f t="shared" si="209"/>
        <v>46991</v>
      </c>
      <c r="B1520" s="41">
        <f t="shared" si="207"/>
        <v>46991</v>
      </c>
      <c r="C1520" s="42" t="str">
        <f t="shared" si="208"/>
        <v>第4  土曜日</v>
      </c>
    </row>
    <row r="1521" spans="1:3">
      <c r="A1521" s="53">
        <f t="shared" si="209"/>
        <v>46992</v>
      </c>
      <c r="B1521" s="41">
        <f t="shared" si="207"/>
        <v>46992</v>
      </c>
      <c r="C1521" s="42" t="str">
        <f t="shared" si="208"/>
        <v>第4  日曜日</v>
      </c>
    </row>
    <row r="1522" spans="1:3">
      <c r="A1522" s="53">
        <f t="shared" si="209"/>
        <v>46993</v>
      </c>
      <c r="B1522" s="41">
        <f t="shared" si="207"/>
        <v>46993</v>
      </c>
      <c r="C1522" s="42" t="str">
        <f t="shared" si="208"/>
        <v>第4  月曜日</v>
      </c>
    </row>
    <row r="1523" spans="1:3">
      <c r="A1523" s="53">
        <f t="shared" si="209"/>
        <v>46994</v>
      </c>
      <c r="B1523" s="41">
        <f t="shared" si="207"/>
        <v>46994</v>
      </c>
      <c r="C1523" s="42" t="str">
        <f t="shared" si="208"/>
        <v>第5  火曜日</v>
      </c>
    </row>
    <row r="1524" spans="1:3">
      <c r="A1524" s="53">
        <f t="shared" si="209"/>
        <v>46995</v>
      </c>
      <c r="B1524" s="41">
        <f t="shared" si="207"/>
        <v>46995</v>
      </c>
      <c r="C1524" s="42" t="str">
        <f t="shared" si="208"/>
        <v>第5  水曜日</v>
      </c>
    </row>
    <row r="1525" spans="1:3">
      <c r="A1525" s="53">
        <f t="shared" si="209"/>
        <v>46996</v>
      </c>
      <c r="B1525" s="41">
        <f t="shared" si="207"/>
        <v>46996</v>
      </c>
      <c r="C1525" s="42" t="str">
        <f t="shared" si="208"/>
        <v>第5  木曜日</v>
      </c>
    </row>
    <row r="1526" spans="1:3">
      <c r="A1526" s="53">
        <f t="shared" si="209"/>
        <v>46997</v>
      </c>
      <c r="B1526" s="41">
        <f t="shared" si="207"/>
        <v>46997</v>
      </c>
      <c r="C1526" s="42" t="str">
        <f t="shared" si="208"/>
        <v>第1  金曜日</v>
      </c>
    </row>
    <row r="1527" spans="1:3">
      <c r="A1527" s="53">
        <f t="shared" si="209"/>
        <v>46998</v>
      </c>
      <c r="B1527" s="41">
        <f t="shared" ref="B1527:B1590" si="210">B1526+1</f>
        <v>46998</v>
      </c>
      <c r="C1527" s="42" t="str">
        <f t="shared" si="208"/>
        <v>第1  土曜日</v>
      </c>
    </row>
    <row r="1528" spans="1:3">
      <c r="A1528" s="53">
        <f t="shared" si="209"/>
        <v>46999</v>
      </c>
      <c r="B1528" s="41">
        <f t="shared" si="210"/>
        <v>46999</v>
      </c>
      <c r="C1528" s="42" t="str">
        <f t="shared" si="208"/>
        <v>第1  日曜日</v>
      </c>
    </row>
    <row r="1529" spans="1:3">
      <c r="A1529" s="53">
        <f t="shared" si="209"/>
        <v>47000</v>
      </c>
      <c r="B1529" s="41">
        <f t="shared" si="210"/>
        <v>47000</v>
      </c>
      <c r="C1529" s="42" t="str">
        <f t="shared" si="208"/>
        <v>第1  月曜日</v>
      </c>
    </row>
    <row r="1530" spans="1:3">
      <c r="A1530" s="53">
        <f t="shared" si="209"/>
        <v>47001</v>
      </c>
      <c r="B1530" s="41">
        <f t="shared" si="210"/>
        <v>47001</v>
      </c>
      <c r="C1530" s="42" t="str">
        <f t="shared" si="208"/>
        <v>第1  火曜日</v>
      </c>
    </row>
    <row r="1531" spans="1:3">
      <c r="A1531" s="53">
        <f t="shared" si="209"/>
        <v>47002</v>
      </c>
      <c r="B1531" s="41">
        <f t="shared" si="210"/>
        <v>47002</v>
      </c>
      <c r="C1531" s="42" t="str">
        <f t="shared" si="208"/>
        <v>第1  水曜日</v>
      </c>
    </row>
    <row r="1532" spans="1:3">
      <c r="A1532" s="53">
        <f t="shared" si="209"/>
        <v>47003</v>
      </c>
      <c r="B1532" s="41">
        <f t="shared" si="210"/>
        <v>47003</v>
      </c>
      <c r="C1532" s="42" t="str">
        <f t="shared" si="208"/>
        <v>第1  木曜日</v>
      </c>
    </row>
    <row r="1533" spans="1:3">
      <c r="A1533" s="53">
        <f t="shared" si="209"/>
        <v>47004</v>
      </c>
      <c r="B1533" s="41">
        <f t="shared" si="210"/>
        <v>47004</v>
      </c>
      <c r="C1533" s="42" t="str">
        <f t="shared" si="208"/>
        <v>第2  金曜日</v>
      </c>
    </row>
    <row r="1534" spans="1:3">
      <c r="A1534" s="53">
        <f t="shared" si="209"/>
        <v>47005</v>
      </c>
      <c r="B1534" s="41">
        <f t="shared" si="210"/>
        <v>47005</v>
      </c>
      <c r="C1534" s="42" t="str">
        <f t="shared" si="208"/>
        <v>第2  土曜日</v>
      </c>
    </row>
    <row r="1535" spans="1:3">
      <c r="A1535" s="53">
        <f t="shared" si="209"/>
        <v>47006</v>
      </c>
      <c r="B1535" s="41">
        <f t="shared" si="210"/>
        <v>47006</v>
      </c>
      <c r="C1535" s="42" t="str">
        <f t="shared" si="208"/>
        <v>第2  日曜日</v>
      </c>
    </row>
    <row r="1536" spans="1:3">
      <c r="A1536" s="53">
        <f t="shared" si="209"/>
        <v>47007</v>
      </c>
      <c r="B1536" s="41">
        <f t="shared" si="210"/>
        <v>47007</v>
      </c>
      <c r="C1536" s="42" t="str">
        <f t="shared" si="208"/>
        <v>第2  月曜日</v>
      </c>
    </row>
    <row r="1537" spans="1:3">
      <c r="A1537" s="53">
        <f t="shared" si="209"/>
        <v>47008</v>
      </c>
      <c r="B1537" s="41">
        <f t="shared" si="210"/>
        <v>47008</v>
      </c>
      <c r="C1537" s="42" t="str">
        <f t="shared" si="208"/>
        <v>第2  火曜日</v>
      </c>
    </row>
    <row r="1538" spans="1:3">
      <c r="A1538" s="53">
        <f t="shared" si="209"/>
        <v>47009</v>
      </c>
      <c r="B1538" s="41">
        <f t="shared" si="210"/>
        <v>47009</v>
      </c>
      <c r="C1538" s="42" t="str">
        <f t="shared" si="208"/>
        <v>第2  水曜日</v>
      </c>
    </row>
    <row r="1539" spans="1:3">
      <c r="A1539" s="53">
        <f t="shared" si="209"/>
        <v>47010</v>
      </c>
      <c r="B1539" s="41">
        <f t="shared" si="210"/>
        <v>47010</v>
      </c>
      <c r="C1539" s="42" t="str">
        <f t="shared" si="208"/>
        <v>第2  木曜日</v>
      </c>
    </row>
    <row r="1540" spans="1:3">
      <c r="A1540" s="53">
        <f t="shared" si="209"/>
        <v>47011</v>
      </c>
      <c r="B1540" s="41">
        <f t="shared" si="210"/>
        <v>47011</v>
      </c>
      <c r="C1540" s="42" t="str">
        <f t="shared" si="208"/>
        <v>第3  金曜日</v>
      </c>
    </row>
    <row r="1541" spans="1:3">
      <c r="A1541" s="53">
        <f t="shared" si="209"/>
        <v>47012</v>
      </c>
      <c r="B1541" s="41">
        <f t="shared" si="210"/>
        <v>47012</v>
      </c>
      <c r="C1541" s="42" t="str">
        <f t="shared" si="208"/>
        <v>第3  土曜日</v>
      </c>
    </row>
    <row r="1542" spans="1:3">
      <c r="A1542" s="53">
        <f t="shared" si="209"/>
        <v>47013</v>
      </c>
      <c r="B1542" s="41">
        <f t="shared" si="210"/>
        <v>47013</v>
      </c>
      <c r="C1542" s="42" t="str">
        <f t="shared" si="208"/>
        <v>第3  日曜日</v>
      </c>
    </row>
    <row r="1543" spans="1:3">
      <c r="A1543" s="53">
        <f t="shared" si="209"/>
        <v>47014</v>
      </c>
      <c r="B1543" s="41">
        <f t="shared" si="210"/>
        <v>47014</v>
      </c>
      <c r="C1543" s="42" t="str">
        <f t="shared" si="208"/>
        <v>第3  月曜日</v>
      </c>
    </row>
    <row r="1544" spans="1:3">
      <c r="A1544" s="53">
        <f t="shared" si="209"/>
        <v>47015</v>
      </c>
      <c r="B1544" s="41">
        <f t="shared" si="210"/>
        <v>47015</v>
      </c>
      <c r="C1544" s="42" t="str">
        <f t="shared" si="208"/>
        <v>第3  火曜日</v>
      </c>
    </row>
    <row r="1545" spans="1:3">
      <c r="A1545" s="53">
        <f t="shared" si="209"/>
        <v>47016</v>
      </c>
      <c r="B1545" s="41">
        <f t="shared" si="210"/>
        <v>47016</v>
      </c>
      <c r="C1545" s="42" t="str">
        <f t="shared" si="208"/>
        <v>第3  水曜日</v>
      </c>
    </row>
    <row r="1546" spans="1:3">
      <c r="A1546" s="53">
        <f t="shared" si="209"/>
        <v>47017</v>
      </c>
      <c r="B1546" s="41">
        <f t="shared" si="210"/>
        <v>47017</v>
      </c>
      <c r="C1546" s="42" t="str">
        <f t="shared" si="208"/>
        <v>第3  木曜日</v>
      </c>
    </row>
    <row r="1547" spans="1:3">
      <c r="A1547" s="53">
        <f t="shared" si="209"/>
        <v>47018</v>
      </c>
      <c r="B1547" s="41">
        <f t="shared" si="210"/>
        <v>47018</v>
      </c>
      <c r="C1547" s="42" t="str">
        <f t="shared" si="208"/>
        <v>第4  金曜日</v>
      </c>
    </row>
    <row r="1548" spans="1:3">
      <c r="A1548" s="53">
        <f t="shared" si="209"/>
        <v>47019</v>
      </c>
      <c r="B1548" s="41">
        <f t="shared" si="210"/>
        <v>47019</v>
      </c>
      <c r="C1548" s="42" t="str">
        <f t="shared" ref="C1548:C1611" si="211">"第"&amp;ROUNDUP(DAY(B1548)/7,0)  &amp;"  "&amp;TEXT(B1548,"aaaa")</f>
        <v>第4  土曜日</v>
      </c>
    </row>
    <row r="1549" spans="1:3">
      <c r="A1549" s="53">
        <f t="shared" si="209"/>
        <v>47020</v>
      </c>
      <c r="B1549" s="41">
        <f t="shared" si="210"/>
        <v>47020</v>
      </c>
      <c r="C1549" s="42" t="str">
        <f t="shared" si="211"/>
        <v>第4  日曜日</v>
      </c>
    </row>
    <row r="1550" spans="1:3">
      <c r="A1550" s="53">
        <f t="shared" si="209"/>
        <v>47021</v>
      </c>
      <c r="B1550" s="41">
        <f t="shared" si="210"/>
        <v>47021</v>
      </c>
      <c r="C1550" s="42" t="str">
        <f t="shared" si="211"/>
        <v>第4  月曜日</v>
      </c>
    </row>
    <row r="1551" spans="1:3">
      <c r="A1551" s="53">
        <f t="shared" si="209"/>
        <v>47022</v>
      </c>
      <c r="B1551" s="41">
        <f t="shared" si="210"/>
        <v>47022</v>
      </c>
      <c r="C1551" s="42" t="str">
        <f t="shared" si="211"/>
        <v>第4  火曜日</v>
      </c>
    </row>
    <row r="1552" spans="1:3">
      <c r="A1552" s="53">
        <f t="shared" si="209"/>
        <v>47023</v>
      </c>
      <c r="B1552" s="41">
        <f t="shared" si="210"/>
        <v>47023</v>
      </c>
      <c r="C1552" s="42" t="str">
        <f t="shared" si="211"/>
        <v>第4  水曜日</v>
      </c>
    </row>
    <row r="1553" spans="1:3">
      <c r="A1553" s="53">
        <f t="shared" si="209"/>
        <v>47024</v>
      </c>
      <c r="B1553" s="41">
        <f t="shared" si="210"/>
        <v>47024</v>
      </c>
      <c r="C1553" s="42" t="str">
        <f t="shared" si="211"/>
        <v>第4  木曜日</v>
      </c>
    </row>
    <row r="1554" spans="1:3">
      <c r="A1554" s="53">
        <f t="shared" si="209"/>
        <v>47025</v>
      </c>
      <c r="B1554" s="41">
        <f t="shared" si="210"/>
        <v>47025</v>
      </c>
      <c r="C1554" s="42" t="str">
        <f t="shared" si="211"/>
        <v>第5  金曜日</v>
      </c>
    </row>
    <row r="1555" spans="1:3">
      <c r="A1555" s="53">
        <f t="shared" si="209"/>
        <v>47026</v>
      </c>
      <c r="B1555" s="41">
        <f t="shared" si="210"/>
        <v>47026</v>
      </c>
      <c r="C1555" s="42" t="str">
        <f t="shared" si="211"/>
        <v>第5  土曜日</v>
      </c>
    </row>
    <row r="1556" spans="1:3">
      <c r="A1556" s="53">
        <f t="shared" si="209"/>
        <v>47027</v>
      </c>
      <c r="B1556" s="41">
        <f t="shared" si="210"/>
        <v>47027</v>
      </c>
      <c r="C1556" s="42" t="str">
        <f t="shared" si="211"/>
        <v>第1  日曜日</v>
      </c>
    </row>
    <row r="1557" spans="1:3">
      <c r="A1557" s="53">
        <f t="shared" si="209"/>
        <v>47028</v>
      </c>
      <c r="B1557" s="41">
        <f t="shared" si="210"/>
        <v>47028</v>
      </c>
      <c r="C1557" s="42" t="str">
        <f t="shared" si="211"/>
        <v>第1  月曜日</v>
      </c>
    </row>
    <row r="1558" spans="1:3">
      <c r="A1558" s="53">
        <f t="shared" si="209"/>
        <v>47029</v>
      </c>
      <c r="B1558" s="41">
        <f t="shared" si="210"/>
        <v>47029</v>
      </c>
      <c r="C1558" s="42" t="str">
        <f t="shared" si="211"/>
        <v>第1  火曜日</v>
      </c>
    </row>
    <row r="1559" spans="1:3">
      <c r="A1559" s="53">
        <f t="shared" si="209"/>
        <v>47030</v>
      </c>
      <c r="B1559" s="41">
        <f t="shared" si="210"/>
        <v>47030</v>
      </c>
      <c r="C1559" s="42" t="str">
        <f t="shared" si="211"/>
        <v>第1  水曜日</v>
      </c>
    </row>
    <row r="1560" spans="1:3">
      <c r="A1560" s="53">
        <f t="shared" si="209"/>
        <v>47031</v>
      </c>
      <c r="B1560" s="41">
        <f t="shared" si="210"/>
        <v>47031</v>
      </c>
      <c r="C1560" s="42" t="str">
        <f t="shared" si="211"/>
        <v>第1  木曜日</v>
      </c>
    </row>
    <row r="1561" spans="1:3">
      <c r="A1561" s="53">
        <f t="shared" si="209"/>
        <v>47032</v>
      </c>
      <c r="B1561" s="41">
        <f t="shared" si="210"/>
        <v>47032</v>
      </c>
      <c r="C1561" s="42" t="str">
        <f t="shared" si="211"/>
        <v>第1  金曜日</v>
      </c>
    </row>
    <row r="1562" spans="1:3">
      <c r="A1562" s="53">
        <f t="shared" si="209"/>
        <v>47033</v>
      </c>
      <c r="B1562" s="41">
        <f t="shared" si="210"/>
        <v>47033</v>
      </c>
      <c r="C1562" s="42" t="str">
        <f t="shared" si="211"/>
        <v>第1  土曜日</v>
      </c>
    </row>
    <row r="1563" spans="1:3">
      <c r="A1563" s="53">
        <f t="shared" si="209"/>
        <v>47034</v>
      </c>
      <c r="B1563" s="41">
        <f t="shared" si="210"/>
        <v>47034</v>
      </c>
      <c r="C1563" s="42" t="str">
        <f t="shared" si="211"/>
        <v>第2  日曜日</v>
      </c>
    </row>
    <row r="1564" spans="1:3">
      <c r="A1564" s="53">
        <f t="shared" si="209"/>
        <v>47035</v>
      </c>
      <c r="B1564" s="41">
        <f t="shared" si="210"/>
        <v>47035</v>
      </c>
      <c r="C1564" s="42" t="str">
        <f t="shared" si="211"/>
        <v>第2  月曜日</v>
      </c>
    </row>
    <row r="1565" spans="1:3">
      <c r="A1565" s="53">
        <f t="shared" si="209"/>
        <v>47036</v>
      </c>
      <c r="B1565" s="41">
        <f t="shared" si="210"/>
        <v>47036</v>
      </c>
      <c r="C1565" s="42" t="str">
        <f t="shared" si="211"/>
        <v>第2  火曜日</v>
      </c>
    </row>
    <row r="1566" spans="1:3">
      <c r="A1566" s="53">
        <f t="shared" si="209"/>
        <v>47037</v>
      </c>
      <c r="B1566" s="41">
        <f t="shared" si="210"/>
        <v>47037</v>
      </c>
      <c r="C1566" s="42" t="str">
        <f t="shared" si="211"/>
        <v>第2  水曜日</v>
      </c>
    </row>
    <row r="1567" spans="1:3">
      <c r="A1567" s="53">
        <f t="shared" si="209"/>
        <v>47038</v>
      </c>
      <c r="B1567" s="41">
        <f t="shared" si="210"/>
        <v>47038</v>
      </c>
      <c r="C1567" s="42" t="str">
        <f t="shared" si="211"/>
        <v>第2  木曜日</v>
      </c>
    </row>
    <row r="1568" spans="1:3">
      <c r="A1568" s="53">
        <f t="shared" ref="A1568:A1631" si="212">B1568</f>
        <v>47039</v>
      </c>
      <c r="B1568" s="41">
        <f t="shared" si="210"/>
        <v>47039</v>
      </c>
      <c r="C1568" s="42" t="str">
        <f t="shared" si="211"/>
        <v>第2  金曜日</v>
      </c>
    </row>
    <row r="1569" spans="1:3">
      <c r="A1569" s="53">
        <f t="shared" si="212"/>
        <v>47040</v>
      </c>
      <c r="B1569" s="41">
        <f t="shared" si="210"/>
        <v>47040</v>
      </c>
      <c r="C1569" s="42" t="str">
        <f t="shared" si="211"/>
        <v>第2  土曜日</v>
      </c>
    </row>
    <row r="1570" spans="1:3">
      <c r="A1570" s="53">
        <f t="shared" si="212"/>
        <v>47041</v>
      </c>
      <c r="B1570" s="41">
        <f t="shared" si="210"/>
        <v>47041</v>
      </c>
      <c r="C1570" s="42" t="str">
        <f t="shared" si="211"/>
        <v>第3  日曜日</v>
      </c>
    </row>
    <row r="1571" spans="1:3">
      <c r="A1571" s="53">
        <f t="shared" si="212"/>
        <v>47042</v>
      </c>
      <c r="B1571" s="41">
        <f t="shared" si="210"/>
        <v>47042</v>
      </c>
      <c r="C1571" s="42" t="str">
        <f t="shared" si="211"/>
        <v>第3  月曜日</v>
      </c>
    </row>
    <row r="1572" spans="1:3">
      <c r="A1572" s="53">
        <f t="shared" si="212"/>
        <v>47043</v>
      </c>
      <c r="B1572" s="41">
        <f t="shared" si="210"/>
        <v>47043</v>
      </c>
      <c r="C1572" s="42" t="str">
        <f t="shared" si="211"/>
        <v>第3  火曜日</v>
      </c>
    </row>
    <row r="1573" spans="1:3">
      <c r="A1573" s="53">
        <f t="shared" si="212"/>
        <v>47044</v>
      </c>
      <c r="B1573" s="41">
        <f t="shared" si="210"/>
        <v>47044</v>
      </c>
      <c r="C1573" s="42" t="str">
        <f t="shared" si="211"/>
        <v>第3  水曜日</v>
      </c>
    </row>
    <row r="1574" spans="1:3">
      <c r="A1574" s="53">
        <f t="shared" si="212"/>
        <v>47045</v>
      </c>
      <c r="B1574" s="41">
        <f t="shared" si="210"/>
        <v>47045</v>
      </c>
      <c r="C1574" s="42" t="str">
        <f t="shared" si="211"/>
        <v>第3  木曜日</v>
      </c>
    </row>
    <row r="1575" spans="1:3">
      <c r="A1575" s="53">
        <f t="shared" si="212"/>
        <v>47046</v>
      </c>
      <c r="B1575" s="41">
        <f t="shared" si="210"/>
        <v>47046</v>
      </c>
      <c r="C1575" s="42" t="str">
        <f t="shared" si="211"/>
        <v>第3  金曜日</v>
      </c>
    </row>
    <row r="1576" spans="1:3">
      <c r="A1576" s="53">
        <f t="shared" si="212"/>
        <v>47047</v>
      </c>
      <c r="B1576" s="41">
        <f t="shared" si="210"/>
        <v>47047</v>
      </c>
      <c r="C1576" s="42" t="str">
        <f t="shared" si="211"/>
        <v>第3  土曜日</v>
      </c>
    </row>
    <row r="1577" spans="1:3">
      <c r="A1577" s="53">
        <f t="shared" si="212"/>
        <v>47048</v>
      </c>
      <c r="B1577" s="41">
        <f t="shared" si="210"/>
        <v>47048</v>
      </c>
      <c r="C1577" s="42" t="str">
        <f t="shared" si="211"/>
        <v>第4  日曜日</v>
      </c>
    </row>
    <row r="1578" spans="1:3">
      <c r="A1578" s="53">
        <f t="shared" si="212"/>
        <v>47049</v>
      </c>
      <c r="B1578" s="41">
        <f t="shared" si="210"/>
        <v>47049</v>
      </c>
      <c r="C1578" s="42" t="str">
        <f t="shared" si="211"/>
        <v>第4  月曜日</v>
      </c>
    </row>
    <row r="1579" spans="1:3">
      <c r="A1579" s="53">
        <f t="shared" si="212"/>
        <v>47050</v>
      </c>
      <c r="B1579" s="41">
        <f t="shared" si="210"/>
        <v>47050</v>
      </c>
      <c r="C1579" s="42" t="str">
        <f t="shared" si="211"/>
        <v>第4  火曜日</v>
      </c>
    </row>
    <row r="1580" spans="1:3">
      <c r="A1580" s="53">
        <f t="shared" si="212"/>
        <v>47051</v>
      </c>
      <c r="B1580" s="41">
        <f t="shared" si="210"/>
        <v>47051</v>
      </c>
      <c r="C1580" s="42" t="str">
        <f t="shared" si="211"/>
        <v>第4  水曜日</v>
      </c>
    </row>
    <row r="1581" spans="1:3">
      <c r="A1581" s="53">
        <f t="shared" si="212"/>
        <v>47052</v>
      </c>
      <c r="B1581" s="41">
        <f t="shared" si="210"/>
        <v>47052</v>
      </c>
      <c r="C1581" s="42" t="str">
        <f t="shared" si="211"/>
        <v>第4  木曜日</v>
      </c>
    </row>
    <row r="1582" spans="1:3">
      <c r="A1582" s="53">
        <f t="shared" si="212"/>
        <v>47053</v>
      </c>
      <c r="B1582" s="41">
        <f t="shared" si="210"/>
        <v>47053</v>
      </c>
      <c r="C1582" s="42" t="str">
        <f t="shared" si="211"/>
        <v>第4  金曜日</v>
      </c>
    </row>
    <row r="1583" spans="1:3">
      <c r="A1583" s="53">
        <f t="shared" si="212"/>
        <v>47054</v>
      </c>
      <c r="B1583" s="41">
        <f t="shared" si="210"/>
        <v>47054</v>
      </c>
      <c r="C1583" s="42" t="str">
        <f t="shared" si="211"/>
        <v>第4  土曜日</v>
      </c>
    </row>
    <row r="1584" spans="1:3">
      <c r="A1584" s="53">
        <f t="shared" si="212"/>
        <v>47055</v>
      </c>
      <c r="B1584" s="41">
        <f t="shared" si="210"/>
        <v>47055</v>
      </c>
      <c r="C1584" s="42" t="str">
        <f t="shared" si="211"/>
        <v>第5  日曜日</v>
      </c>
    </row>
    <row r="1585" spans="1:3">
      <c r="A1585" s="53">
        <f t="shared" si="212"/>
        <v>47056</v>
      </c>
      <c r="B1585" s="41">
        <f t="shared" si="210"/>
        <v>47056</v>
      </c>
      <c r="C1585" s="42" t="str">
        <f t="shared" si="211"/>
        <v>第5  月曜日</v>
      </c>
    </row>
    <row r="1586" spans="1:3">
      <c r="A1586" s="53">
        <f t="shared" si="212"/>
        <v>47057</v>
      </c>
      <c r="B1586" s="41">
        <f t="shared" si="210"/>
        <v>47057</v>
      </c>
      <c r="C1586" s="42" t="str">
        <f t="shared" si="211"/>
        <v>第5  火曜日</v>
      </c>
    </row>
    <row r="1587" spans="1:3">
      <c r="A1587" s="53">
        <f t="shared" si="212"/>
        <v>47058</v>
      </c>
      <c r="B1587" s="41">
        <f t="shared" si="210"/>
        <v>47058</v>
      </c>
      <c r="C1587" s="42" t="str">
        <f t="shared" si="211"/>
        <v>第1  水曜日</v>
      </c>
    </row>
    <row r="1588" spans="1:3">
      <c r="A1588" s="53">
        <f t="shared" si="212"/>
        <v>47059</v>
      </c>
      <c r="B1588" s="41">
        <f t="shared" si="210"/>
        <v>47059</v>
      </c>
      <c r="C1588" s="42" t="str">
        <f t="shared" si="211"/>
        <v>第1  木曜日</v>
      </c>
    </row>
    <row r="1589" spans="1:3">
      <c r="A1589" s="53">
        <f t="shared" si="212"/>
        <v>47060</v>
      </c>
      <c r="B1589" s="41">
        <f t="shared" si="210"/>
        <v>47060</v>
      </c>
      <c r="C1589" s="42" t="str">
        <f t="shared" si="211"/>
        <v>第1  金曜日</v>
      </c>
    </row>
    <row r="1590" spans="1:3">
      <c r="A1590" s="53">
        <f t="shared" si="212"/>
        <v>47061</v>
      </c>
      <c r="B1590" s="41">
        <f t="shared" si="210"/>
        <v>47061</v>
      </c>
      <c r="C1590" s="42" t="str">
        <f t="shared" si="211"/>
        <v>第1  土曜日</v>
      </c>
    </row>
    <row r="1591" spans="1:3">
      <c r="A1591" s="53">
        <f t="shared" si="212"/>
        <v>47062</v>
      </c>
      <c r="B1591" s="41">
        <f t="shared" ref="B1591:B1654" si="213">B1590+1</f>
        <v>47062</v>
      </c>
      <c r="C1591" s="42" t="str">
        <f t="shared" si="211"/>
        <v>第1  日曜日</v>
      </c>
    </row>
    <row r="1592" spans="1:3">
      <c r="A1592" s="53">
        <f t="shared" si="212"/>
        <v>47063</v>
      </c>
      <c r="B1592" s="41">
        <f t="shared" si="213"/>
        <v>47063</v>
      </c>
      <c r="C1592" s="42" t="str">
        <f t="shared" si="211"/>
        <v>第1  月曜日</v>
      </c>
    </row>
    <row r="1593" spans="1:3">
      <c r="A1593" s="53">
        <f t="shared" si="212"/>
        <v>47064</v>
      </c>
      <c r="B1593" s="41">
        <f t="shared" si="213"/>
        <v>47064</v>
      </c>
      <c r="C1593" s="42" t="str">
        <f t="shared" si="211"/>
        <v>第1  火曜日</v>
      </c>
    </row>
    <row r="1594" spans="1:3">
      <c r="A1594" s="53">
        <f t="shared" si="212"/>
        <v>47065</v>
      </c>
      <c r="B1594" s="41">
        <f t="shared" si="213"/>
        <v>47065</v>
      </c>
      <c r="C1594" s="42" t="str">
        <f t="shared" si="211"/>
        <v>第2  水曜日</v>
      </c>
    </row>
    <row r="1595" spans="1:3">
      <c r="A1595" s="53">
        <f t="shared" si="212"/>
        <v>47066</v>
      </c>
      <c r="B1595" s="41">
        <f t="shared" si="213"/>
        <v>47066</v>
      </c>
      <c r="C1595" s="42" t="str">
        <f t="shared" si="211"/>
        <v>第2  木曜日</v>
      </c>
    </row>
    <row r="1596" spans="1:3">
      <c r="A1596" s="53">
        <f t="shared" si="212"/>
        <v>47067</v>
      </c>
      <c r="B1596" s="41">
        <f t="shared" si="213"/>
        <v>47067</v>
      </c>
      <c r="C1596" s="42" t="str">
        <f t="shared" si="211"/>
        <v>第2  金曜日</v>
      </c>
    </row>
    <row r="1597" spans="1:3">
      <c r="A1597" s="53">
        <f t="shared" si="212"/>
        <v>47068</v>
      </c>
      <c r="B1597" s="41">
        <f t="shared" si="213"/>
        <v>47068</v>
      </c>
      <c r="C1597" s="42" t="str">
        <f t="shared" si="211"/>
        <v>第2  土曜日</v>
      </c>
    </row>
    <row r="1598" spans="1:3">
      <c r="A1598" s="53">
        <f t="shared" si="212"/>
        <v>47069</v>
      </c>
      <c r="B1598" s="41">
        <f t="shared" si="213"/>
        <v>47069</v>
      </c>
      <c r="C1598" s="42" t="str">
        <f t="shared" si="211"/>
        <v>第2  日曜日</v>
      </c>
    </row>
    <row r="1599" spans="1:3">
      <c r="A1599" s="53">
        <f t="shared" si="212"/>
        <v>47070</v>
      </c>
      <c r="B1599" s="41">
        <f t="shared" si="213"/>
        <v>47070</v>
      </c>
      <c r="C1599" s="42" t="str">
        <f t="shared" si="211"/>
        <v>第2  月曜日</v>
      </c>
    </row>
    <row r="1600" spans="1:3">
      <c r="A1600" s="53">
        <f t="shared" si="212"/>
        <v>47071</v>
      </c>
      <c r="B1600" s="41">
        <f t="shared" si="213"/>
        <v>47071</v>
      </c>
      <c r="C1600" s="42" t="str">
        <f t="shared" si="211"/>
        <v>第2  火曜日</v>
      </c>
    </row>
    <row r="1601" spans="1:3">
      <c r="A1601" s="53">
        <f t="shared" si="212"/>
        <v>47072</v>
      </c>
      <c r="B1601" s="41">
        <f t="shared" si="213"/>
        <v>47072</v>
      </c>
      <c r="C1601" s="42" t="str">
        <f t="shared" si="211"/>
        <v>第3  水曜日</v>
      </c>
    </row>
    <row r="1602" spans="1:3">
      <c r="A1602" s="53">
        <f t="shared" si="212"/>
        <v>47073</v>
      </c>
      <c r="B1602" s="41">
        <f t="shared" si="213"/>
        <v>47073</v>
      </c>
      <c r="C1602" s="42" t="str">
        <f t="shared" si="211"/>
        <v>第3  木曜日</v>
      </c>
    </row>
    <row r="1603" spans="1:3">
      <c r="A1603" s="53">
        <f t="shared" si="212"/>
        <v>47074</v>
      </c>
      <c r="B1603" s="41">
        <f t="shared" si="213"/>
        <v>47074</v>
      </c>
      <c r="C1603" s="42" t="str">
        <f t="shared" si="211"/>
        <v>第3  金曜日</v>
      </c>
    </row>
    <row r="1604" spans="1:3">
      <c r="A1604" s="53">
        <f t="shared" si="212"/>
        <v>47075</v>
      </c>
      <c r="B1604" s="41">
        <f t="shared" si="213"/>
        <v>47075</v>
      </c>
      <c r="C1604" s="42" t="str">
        <f t="shared" si="211"/>
        <v>第3  土曜日</v>
      </c>
    </row>
    <row r="1605" spans="1:3">
      <c r="A1605" s="53">
        <f t="shared" si="212"/>
        <v>47076</v>
      </c>
      <c r="B1605" s="41">
        <f t="shared" si="213"/>
        <v>47076</v>
      </c>
      <c r="C1605" s="42" t="str">
        <f t="shared" si="211"/>
        <v>第3  日曜日</v>
      </c>
    </row>
    <row r="1606" spans="1:3">
      <c r="A1606" s="53">
        <f t="shared" si="212"/>
        <v>47077</v>
      </c>
      <c r="B1606" s="41">
        <f t="shared" si="213"/>
        <v>47077</v>
      </c>
      <c r="C1606" s="42" t="str">
        <f t="shared" si="211"/>
        <v>第3  月曜日</v>
      </c>
    </row>
    <row r="1607" spans="1:3">
      <c r="A1607" s="53">
        <f t="shared" si="212"/>
        <v>47078</v>
      </c>
      <c r="B1607" s="41">
        <f t="shared" si="213"/>
        <v>47078</v>
      </c>
      <c r="C1607" s="42" t="str">
        <f t="shared" si="211"/>
        <v>第3  火曜日</v>
      </c>
    </row>
    <row r="1608" spans="1:3">
      <c r="A1608" s="53">
        <f t="shared" si="212"/>
        <v>47079</v>
      </c>
      <c r="B1608" s="41">
        <f t="shared" si="213"/>
        <v>47079</v>
      </c>
      <c r="C1608" s="42" t="str">
        <f t="shared" si="211"/>
        <v>第4  水曜日</v>
      </c>
    </row>
    <row r="1609" spans="1:3">
      <c r="A1609" s="53">
        <f t="shared" si="212"/>
        <v>47080</v>
      </c>
      <c r="B1609" s="41">
        <f t="shared" si="213"/>
        <v>47080</v>
      </c>
      <c r="C1609" s="42" t="str">
        <f t="shared" si="211"/>
        <v>第4  木曜日</v>
      </c>
    </row>
    <row r="1610" spans="1:3">
      <c r="A1610" s="53">
        <f t="shared" si="212"/>
        <v>47081</v>
      </c>
      <c r="B1610" s="41">
        <f t="shared" si="213"/>
        <v>47081</v>
      </c>
      <c r="C1610" s="42" t="str">
        <f t="shared" si="211"/>
        <v>第4  金曜日</v>
      </c>
    </row>
    <row r="1611" spans="1:3">
      <c r="A1611" s="53">
        <f t="shared" si="212"/>
        <v>47082</v>
      </c>
      <c r="B1611" s="41">
        <f t="shared" si="213"/>
        <v>47082</v>
      </c>
      <c r="C1611" s="42" t="str">
        <f t="shared" si="211"/>
        <v>第4  土曜日</v>
      </c>
    </row>
    <row r="1612" spans="1:3">
      <c r="A1612" s="53">
        <f t="shared" si="212"/>
        <v>47083</v>
      </c>
      <c r="B1612" s="41">
        <f t="shared" si="213"/>
        <v>47083</v>
      </c>
      <c r="C1612" s="42" t="str">
        <f t="shared" ref="C1612:C1675" si="214">"第"&amp;ROUNDUP(DAY(B1612)/7,0)  &amp;"  "&amp;TEXT(B1612,"aaaa")</f>
        <v>第4  日曜日</v>
      </c>
    </row>
    <row r="1613" spans="1:3">
      <c r="A1613" s="53">
        <f t="shared" si="212"/>
        <v>47084</v>
      </c>
      <c r="B1613" s="41">
        <f t="shared" si="213"/>
        <v>47084</v>
      </c>
      <c r="C1613" s="42" t="str">
        <f t="shared" si="214"/>
        <v>第4  月曜日</v>
      </c>
    </row>
    <row r="1614" spans="1:3">
      <c r="A1614" s="53">
        <f t="shared" si="212"/>
        <v>47085</v>
      </c>
      <c r="B1614" s="41">
        <f t="shared" si="213"/>
        <v>47085</v>
      </c>
      <c r="C1614" s="42" t="str">
        <f t="shared" si="214"/>
        <v>第4  火曜日</v>
      </c>
    </row>
    <row r="1615" spans="1:3">
      <c r="A1615" s="53">
        <f t="shared" si="212"/>
        <v>47086</v>
      </c>
      <c r="B1615" s="41">
        <f t="shared" si="213"/>
        <v>47086</v>
      </c>
      <c r="C1615" s="42" t="str">
        <f t="shared" si="214"/>
        <v>第5  水曜日</v>
      </c>
    </row>
    <row r="1616" spans="1:3">
      <c r="A1616" s="53">
        <f t="shared" si="212"/>
        <v>47087</v>
      </c>
      <c r="B1616" s="41">
        <f t="shared" si="213"/>
        <v>47087</v>
      </c>
      <c r="C1616" s="42" t="str">
        <f t="shared" si="214"/>
        <v>第5  木曜日</v>
      </c>
    </row>
    <row r="1617" spans="1:3">
      <c r="A1617" s="53">
        <f t="shared" si="212"/>
        <v>47088</v>
      </c>
      <c r="B1617" s="41">
        <f t="shared" si="213"/>
        <v>47088</v>
      </c>
      <c r="C1617" s="42" t="str">
        <f t="shared" si="214"/>
        <v>第1  金曜日</v>
      </c>
    </row>
    <row r="1618" spans="1:3">
      <c r="A1618" s="53">
        <f t="shared" si="212"/>
        <v>47089</v>
      </c>
      <c r="B1618" s="41">
        <f t="shared" si="213"/>
        <v>47089</v>
      </c>
      <c r="C1618" s="42" t="str">
        <f t="shared" si="214"/>
        <v>第1  土曜日</v>
      </c>
    </row>
    <row r="1619" spans="1:3">
      <c r="A1619" s="53">
        <f t="shared" si="212"/>
        <v>47090</v>
      </c>
      <c r="B1619" s="41">
        <f t="shared" si="213"/>
        <v>47090</v>
      </c>
      <c r="C1619" s="42" t="str">
        <f t="shared" si="214"/>
        <v>第1  日曜日</v>
      </c>
    </row>
    <row r="1620" spans="1:3">
      <c r="A1620" s="53">
        <f t="shared" si="212"/>
        <v>47091</v>
      </c>
      <c r="B1620" s="41">
        <f t="shared" si="213"/>
        <v>47091</v>
      </c>
      <c r="C1620" s="42" t="str">
        <f t="shared" si="214"/>
        <v>第1  月曜日</v>
      </c>
    </row>
    <row r="1621" spans="1:3">
      <c r="A1621" s="53">
        <f t="shared" si="212"/>
        <v>47092</v>
      </c>
      <c r="B1621" s="41">
        <f t="shared" si="213"/>
        <v>47092</v>
      </c>
      <c r="C1621" s="42" t="str">
        <f t="shared" si="214"/>
        <v>第1  火曜日</v>
      </c>
    </row>
    <row r="1622" spans="1:3">
      <c r="A1622" s="53">
        <f t="shared" si="212"/>
        <v>47093</v>
      </c>
      <c r="B1622" s="41">
        <f t="shared" si="213"/>
        <v>47093</v>
      </c>
      <c r="C1622" s="42" t="str">
        <f t="shared" si="214"/>
        <v>第1  水曜日</v>
      </c>
    </row>
    <row r="1623" spans="1:3">
      <c r="A1623" s="53">
        <f t="shared" si="212"/>
        <v>47094</v>
      </c>
      <c r="B1623" s="41">
        <f t="shared" si="213"/>
        <v>47094</v>
      </c>
      <c r="C1623" s="42" t="str">
        <f t="shared" si="214"/>
        <v>第1  木曜日</v>
      </c>
    </row>
    <row r="1624" spans="1:3">
      <c r="A1624" s="53">
        <f t="shared" si="212"/>
        <v>47095</v>
      </c>
      <c r="B1624" s="41">
        <f t="shared" si="213"/>
        <v>47095</v>
      </c>
      <c r="C1624" s="42" t="str">
        <f t="shared" si="214"/>
        <v>第2  金曜日</v>
      </c>
    </row>
    <row r="1625" spans="1:3">
      <c r="A1625" s="53">
        <f t="shared" si="212"/>
        <v>47096</v>
      </c>
      <c r="B1625" s="41">
        <f t="shared" si="213"/>
        <v>47096</v>
      </c>
      <c r="C1625" s="42" t="str">
        <f t="shared" si="214"/>
        <v>第2  土曜日</v>
      </c>
    </row>
    <row r="1626" spans="1:3">
      <c r="A1626" s="53">
        <f t="shared" si="212"/>
        <v>47097</v>
      </c>
      <c r="B1626" s="41">
        <f t="shared" si="213"/>
        <v>47097</v>
      </c>
      <c r="C1626" s="42" t="str">
        <f t="shared" si="214"/>
        <v>第2  日曜日</v>
      </c>
    </row>
    <row r="1627" spans="1:3">
      <c r="A1627" s="53">
        <f t="shared" si="212"/>
        <v>47098</v>
      </c>
      <c r="B1627" s="41">
        <f t="shared" si="213"/>
        <v>47098</v>
      </c>
      <c r="C1627" s="42" t="str">
        <f t="shared" si="214"/>
        <v>第2  月曜日</v>
      </c>
    </row>
    <row r="1628" spans="1:3">
      <c r="A1628" s="53">
        <f t="shared" si="212"/>
        <v>47099</v>
      </c>
      <c r="B1628" s="41">
        <f t="shared" si="213"/>
        <v>47099</v>
      </c>
      <c r="C1628" s="42" t="str">
        <f t="shared" si="214"/>
        <v>第2  火曜日</v>
      </c>
    </row>
    <row r="1629" spans="1:3">
      <c r="A1629" s="53">
        <f t="shared" si="212"/>
        <v>47100</v>
      </c>
      <c r="B1629" s="41">
        <f t="shared" si="213"/>
        <v>47100</v>
      </c>
      <c r="C1629" s="42" t="str">
        <f t="shared" si="214"/>
        <v>第2  水曜日</v>
      </c>
    </row>
    <row r="1630" spans="1:3">
      <c r="A1630" s="53">
        <f t="shared" si="212"/>
        <v>47101</v>
      </c>
      <c r="B1630" s="41">
        <f t="shared" si="213"/>
        <v>47101</v>
      </c>
      <c r="C1630" s="42" t="str">
        <f t="shared" si="214"/>
        <v>第2  木曜日</v>
      </c>
    </row>
    <row r="1631" spans="1:3">
      <c r="A1631" s="53">
        <f t="shared" si="212"/>
        <v>47102</v>
      </c>
      <c r="B1631" s="41">
        <f t="shared" si="213"/>
        <v>47102</v>
      </c>
      <c r="C1631" s="42" t="str">
        <f t="shared" si="214"/>
        <v>第3  金曜日</v>
      </c>
    </row>
    <row r="1632" spans="1:3">
      <c r="A1632" s="53">
        <f t="shared" ref="A1632:A1695" si="215">B1632</f>
        <v>47103</v>
      </c>
      <c r="B1632" s="41">
        <f t="shared" si="213"/>
        <v>47103</v>
      </c>
      <c r="C1632" s="42" t="str">
        <f t="shared" si="214"/>
        <v>第3  土曜日</v>
      </c>
    </row>
    <row r="1633" spans="1:3">
      <c r="A1633" s="53">
        <f t="shared" si="215"/>
        <v>47104</v>
      </c>
      <c r="B1633" s="41">
        <f t="shared" si="213"/>
        <v>47104</v>
      </c>
      <c r="C1633" s="42" t="str">
        <f t="shared" si="214"/>
        <v>第3  日曜日</v>
      </c>
    </row>
    <row r="1634" spans="1:3">
      <c r="A1634" s="53">
        <f t="shared" si="215"/>
        <v>47105</v>
      </c>
      <c r="B1634" s="41">
        <f t="shared" si="213"/>
        <v>47105</v>
      </c>
      <c r="C1634" s="42" t="str">
        <f t="shared" si="214"/>
        <v>第3  月曜日</v>
      </c>
    </row>
    <row r="1635" spans="1:3">
      <c r="A1635" s="53">
        <f t="shared" si="215"/>
        <v>47106</v>
      </c>
      <c r="B1635" s="41">
        <f t="shared" si="213"/>
        <v>47106</v>
      </c>
      <c r="C1635" s="42" t="str">
        <f t="shared" si="214"/>
        <v>第3  火曜日</v>
      </c>
    </row>
    <row r="1636" spans="1:3">
      <c r="A1636" s="53">
        <f t="shared" si="215"/>
        <v>47107</v>
      </c>
      <c r="B1636" s="41">
        <f t="shared" si="213"/>
        <v>47107</v>
      </c>
      <c r="C1636" s="42" t="str">
        <f t="shared" si="214"/>
        <v>第3  水曜日</v>
      </c>
    </row>
    <row r="1637" spans="1:3">
      <c r="A1637" s="53">
        <f t="shared" si="215"/>
        <v>47108</v>
      </c>
      <c r="B1637" s="41">
        <f t="shared" si="213"/>
        <v>47108</v>
      </c>
      <c r="C1637" s="42" t="str">
        <f t="shared" si="214"/>
        <v>第3  木曜日</v>
      </c>
    </row>
    <row r="1638" spans="1:3">
      <c r="A1638" s="53">
        <f t="shared" si="215"/>
        <v>47109</v>
      </c>
      <c r="B1638" s="41">
        <f t="shared" si="213"/>
        <v>47109</v>
      </c>
      <c r="C1638" s="42" t="str">
        <f t="shared" si="214"/>
        <v>第4  金曜日</v>
      </c>
    </row>
    <row r="1639" spans="1:3">
      <c r="A1639" s="53">
        <f t="shared" si="215"/>
        <v>47110</v>
      </c>
      <c r="B1639" s="41">
        <f t="shared" si="213"/>
        <v>47110</v>
      </c>
      <c r="C1639" s="42" t="str">
        <f t="shared" si="214"/>
        <v>第4  土曜日</v>
      </c>
    </row>
    <row r="1640" spans="1:3">
      <c r="A1640" s="53">
        <f t="shared" si="215"/>
        <v>47111</v>
      </c>
      <c r="B1640" s="41">
        <f t="shared" si="213"/>
        <v>47111</v>
      </c>
      <c r="C1640" s="42" t="str">
        <f t="shared" si="214"/>
        <v>第4  日曜日</v>
      </c>
    </row>
    <row r="1641" spans="1:3">
      <c r="A1641" s="53">
        <f t="shared" si="215"/>
        <v>47112</v>
      </c>
      <c r="B1641" s="41">
        <f t="shared" si="213"/>
        <v>47112</v>
      </c>
      <c r="C1641" s="42" t="str">
        <f t="shared" si="214"/>
        <v>第4  月曜日</v>
      </c>
    </row>
    <row r="1642" spans="1:3">
      <c r="A1642" s="53">
        <f t="shared" si="215"/>
        <v>47113</v>
      </c>
      <c r="B1642" s="41">
        <f t="shared" si="213"/>
        <v>47113</v>
      </c>
      <c r="C1642" s="42" t="str">
        <f t="shared" si="214"/>
        <v>第4  火曜日</v>
      </c>
    </row>
    <row r="1643" spans="1:3">
      <c r="A1643" s="53">
        <f t="shared" si="215"/>
        <v>47114</v>
      </c>
      <c r="B1643" s="41">
        <f t="shared" si="213"/>
        <v>47114</v>
      </c>
      <c r="C1643" s="42" t="str">
        <f t="shared" si="214"/>
        <v>第4  水曜日</v>
      </c>
    </row>
    <row r="1644" spans="1:3">
      <c r="A1644" s="53">
        <f t="shared" si="215"/>
        <v>47115</v>
      </c>
      <c r="B1644" s="41">
        <f t="shared" si="213"/>
        <v>47115</v>
      </c>
      <c r="C1644" s="42" t="str">
        <f t="shared" si="214"/>
        <v>第4  木曜日</v>
      </c>
    </row>
    <row r="1645" spans="1:3">
      <c r="A1645" s="53">
        <f t="shared" si="215"/>
        <v>47116</v>
      </c>
      <c r="B1645" s="41">
        <f t="shared" si="213"/>
        <v>47116</v>
      </c>
      <c r="C1645" s="42" t="str">
        <f t="shared" si="214"/>
        <v>第5  金曜日</v>
      </c>
    </row>
    <row r="1646" spans="1:3">
      <c r="A1646" s="53">
        <f t="shared" si="215"/>
        <v>47117</v>
      </c>
      <c r="B1646" s="41">
        <f t="shared" si="213"/>
        <v>47117</v>
      </c>
      <c r="C1646" s="42" t="str">
        <f t="shared" si="214"/>
        <v>第5  土曜日</v>
      </c>
    </row>
    <row r="1647" spans="1:3">
      <c r="A1647" s="53">
        <f t="shared" si="215"/>
        <v>47118</v>
      </c>
      <c r="B1647" s="41">
        <f t="shared" si="213"/>
        <v>47118</v>
      </c>
      <c r="C1647" s="42" t="str">
        <f t="shared" si="214"/>
        <v>第5  日曜日</v>
      </c>
    </row>
    <row r="1648" spans="1:3">
      <c r="A1648" s="53">
        <f t="shared" si="215"/>
        <v>47119</v>
      </c>
      <c r="B1648" s="41">
        <f t="shared" si="213"/>
        <v>47119</v>
      </c>
      <c r="C1648" s="42" t="str">
        <f t="shared" si="214"/>
        <v>第1  月曜日</v>
      </c>
    </row>
    <row r="1649" spans="1:3">
      <c r="A1649" s="53">
        <f t="shared" si="215"/>
        <v>47120</v>
      </c>
      <c r="B1649" s="41">
        <f t="shared" si="213"/>
        <v>47120</v>
      </c>
      <c r="C1649" s="42" t="str">
        <f t="shared" si="214"/>
        <v>第1  火曜日</v>
      </c>
    </row>
    <row r="1650" spans="1:3">
      <c r="A1650" s="53">
        <f t="shared" si="215"/>
        <v>47121</v>
      </c>
      <c r="B1650" s="41">
        <f t="shared" si="213"/>
        <v>47121</v>
      </c>
      <c r="C1650" s="42" t="str">
        <f t="shared" si="214"/>
        <v>第1  水曜日</v>
      </c>
    </row>
    <row r="1651" spans="1:3">
      <c r="A1651" s="53">
        <f t="shared" si="215"/>
        <v>47122</v>
      </c>
      <c r="B1651" s="41">
        <f t="shared" si="213"/>
        <v>47122</v>
      </c>
      <c r="C1651" s="42" t="str">
        <f t="shared" si="214"/>
        <v>第1  木曜日</v>
      </c>
    </row>
    <row r="1652" spans="1:3">
      <c r="A1652" s="53">
        <f t="shared" si="215"/>
        <v>47123</v>
      </c>
      <c r="B1652" s="41">
        <f t="shared" si="213"/>
        <v>47123</v>
      </c>
      <c r="C1652" s="42" t="str">
        <f t="shared" si="214"/>
        <v>第1  金曜日</v>
      </c>
    </row>
    <row r="1653" spans="1:3">
      <c r="A1653" s="53">
        <f t="shared" si="215"/>
        <v>47124</v>
      </c>
      <c r="B1653" s="41">
        <f t="shared" si="213"/>
        <v>47124</v>
      </c>
      <c r="C1653" s="42" t="str">
        <f t="shared" si="214"/>
        <v>第1  土曜日</v>
      </c>
    </row>
    <row r="1654" spans="1:3">
      <c r="A1654" s="53">
        <f t="shared" si="215"/>
        <v>47125</v>
      </c>
      <c r="B1654" s="41">
        <f t="shared" si="213"/>
        <v>47125</v>
      </c>
      <c r="C1654" s="42" t="str">
        <f t="shared" si="214"/>
        <v>第1  日曜日</v>
      </c>
    </row>
    <row r="1655" spans="1:3">
      <c r="A1655" s="53">
        <f t="shared" si="215"/>
        <v>47126</v>
      </c>
      <c r="B1655" s="41">
        <f t="shared" ref="B1655:B1718" si="216">B1654+1</f>
        <v>47126</v>
      </c>
      <c r="C1655" s="42" t="str">
        <f t="shared" si="214"/>
        <v>第2  月曜日</v>
      </c>
    </row>
    <row r="1656" spans="1:3">
      <c r="A1656" s="53">
        <f t="shared" si="215"/>
        <v>47127</v>
      </c>
      <c r="B1656" s="41">
        <f t="shared" si="216"/>
        <v>47127</v>
      </c>
      <c r="C1656" s="42" t="str">
        <f t="shared" si="214"/>
        <v>第2  火曜日</v>
      </c>
    </row>
    <row r="1657" spans="1:3">
      <c r="A1657" s="53">
        <f t="shared" si="215"/>
        <v>47128</v>
      </c>
      <c r="B1657" s="41">
        <f t="shared" si="216"/>
        <v>47128</v>
      </c>
      <c r="C1657" s="42" t="str">
        <f t="shared" si="214"/>
        <v>第2  水曜日</v>
      </c>
    </row>
    <row r="1658" spans="1:3">
      <c r="A1658" s="53">
        <f t="shared" si="215"/>
        <v>47129</v>
      </c>
      <c r="B1658" s="41">
        <f t="shared" si="216"/>
        <v>47129</v>
      </c>
      <c r="C1658" s="42" t="str">
        <f t="shared" si="214"/>
        <v>第2  木曜日</v>
      </c>
    </row>
    <row r="1659" spans="1:3">
      <c r="A1659" s="53">
        <f t="shared" si="215"/>
        <v>47130</v>
      </c>
      <c r="B1659" s="41">
        <f t="shared" si="216"/>
        <v>47130</v>
      </c>
      <c r="C1659" s="42" t="str">
        <f t="shared" si="214"/>
        <v>第2  金曜日</v>
      </c>
    </row>
    <row r="1660" spans="1:3">
      <c r="A1660" s="53">
        <f t="shared" si="215"/>
        <v>47131</v>
      </c>
      <c r="B1660" s="41">
        <f t="shared" si="216"/>
        <v>47131</v>
      </c>
      <c r="C1660" s="42" t="str">
        <f t="shared" si="214"/>
        <v>第2  土曜日</v>
      </c>
    </row>
    <row r="1661" spans="1:3">
      <c r="A1661" s="53">
        <f t="shared" si="215"/>
        <v>47132</v>
      </c>
      <c r="B1661" s="41">
        <f t="shared" si="216"/>
        <v>47132</v>
      </c>
      <c r="C1661" s="42" t="str">
        <f t="shared" si="214"/>
        <v>第2  日曜日</v>
      </c>
    </row>
    <row r="1662" spans="1:3">
      <c r="A1662" s="53">
        <f t="shared" si="215"/>
        <v>47133</v>
      </c>
      <c r="B1662" s="41">
        <f t="shared" si="216"/>
        <v>47133</v>
      </c>
      <c r="C1662" s="42" t="str">
        <f t="shared" si="214"/>
        <v>第3  月曜日</v>
      </c>
    </row>
    <row r="1663" spans="1:3">
      <c r="A1663" s="53">
        <f t="shared" si="215"/>
        <v>47134</v>
      </c>
      <c r="B1663" s="41">
        <f t="shared" si="216"/>
        <v>47134</v>
      </c>
      <c r="C1663" s="42" t="str">
        <f t="shared" si="214"/>
        <v>第3  火曜日</v>
      </c>
    </row>
    <row r="1664" spans="1:3">
      <c r="A1664" s="53">
        <f t="shared" si="215"/>
        <v>47135</v>
      </c>
      <c r="B1664" s="41">
        <f t="shared" si="216"/>
        <v>47135</v>
      </c>
      <c r="C1664" s="42" t="str">
        <f t="shared" si="214"/>
        <v>第3  水曜日</v>
      </c>
    </row>
    <row r="1665" spans="1:3">
      <c r="A1665" s="53">
        <f t="shared" si="215"/>
        <v>47136</v>
      </c>
      <c r="B1665" s="41">
        <f t="shared" si="216"/>
        <v>47136</v>
      </c>
      <c r="C1665" s="42" t="str">
        <f t="shared" si="214"/>
        <v>第3  木曜日</v>
      </c>
    </row>
    <row r="1666" spans="1:3">
      <c r="A1666" s="53">
        <f t="shared" si="215"/>
        <v>47137</v>
      </c>
      <c r="B1666" s="41">
        <f t="shared" si="216"/>
        <v>47137</v>
      </c>
      <c r="C1666" s="42" t="str">
        <f t="shared" si="214"/>
        <v>第3  金曜日</v>
      </c>
    </row>
    <row r="1667" spans="1:3">
      <c r="A1667" s="53">
        <f t="shared" si="215"/>
        <v>47138</v>
      </c>
      <c r="B1667" s="41">
        <f t="shared" si="216"/>
        <v>47138</v>
      </c>
      <c r="C1667" s="42" t="str">
        <f t="shared" si="214"/>
        <v>第3  土曜日</v>
      </c>
    </row>
    <row r="1668" spans="1:3">
      <c r="A1668" s="53">
        <f t="shared" si="215"/>
        <v>47139</v>
      </c>
      <c r="B1668" s="41">
        <f t="shared" si="216"/>
        <v>47139</v>
      </c>
      <c r="C1668" s="42" t="str">
        <f t="shared" si="214"/>
        <v>第3  日曜日</v>
      </c>
    </row>
    <row r="1669" spans="1:3">
      <c r="A1669" s="53">
        <f t="shared" si="215"/>
        <v>47140</v>
      </c>
      <c r="B1669" s="41">
        <f t="shared" si="216"/>
        <v>47140</v>
      </c>
      <c r="C1669" s="42" t="str">
        <f t="shared" si="214"/>
        <v>第4  月曜日</v>
      </c>
    </row>
    <row r="1670" spans="1:3">
      <c r="A1670" s="53">
        <f t="shared" si="215"/>
        <v>47141</v>
      </c>
      <c r="B1670" s="41">
        <f t="shared" si="216"/>
        <v>47141</v>
      </c>
      <c r="C1670" s="42" t="str">
        <f t="shared" si="214"/>
        <v>第4  火曜日</v>
      </c>
    </row>
    <row r="1671" spans="1:3">
      <c r="A1671" s="53">
        <f t="shared" si="215"/>
        <v>47142</v>
      </c>
      <c r="B1671" s="41">
        <f t="shared" si="216"/>
        <v>47142</v>
      </c>
      <c r="C1671" s="42" t="str">
        <f t="shared" si="214"/>
        <v>第4  水曜日</v>
      </c>
    </row>
    <row r="1672" spans="1:3">
      <c r="A1672" s="53">
        <f t="shared" si="215"/>
        <v>47143</v>
      </c>
      <c r="B1672" s="41">
        <f t="shared" si="216"/>
        <v>47143</v>
      </c>
      <c r="C1672" s="42" t="str">
        <f t="shared" si="214"/>
        <v>第4  木曜日</v>
      </c>
    </row>
    <row r="1673" spans="1:3">
      <c r="A1673" s="53">
        <f t="shared" si="215"/>
        <v>47144</v>
      </c>
      <c r="B1673" s="41">
        <f t="shared" si="216"/>
        <v>47144</v>
      </c>
      <c r="C1673" s="42" t="str">
        <f t="shared" si="214"/>
        <v>第4  金曜日</v>
      </c>
    </row>
    <row r="1674" spans="1:3">
      <c r="A1674" s="53">
        <f t="shared" si="215"/>
        <v>47145</v>
      </c>
      <c r="B1674" s="41">
        <f t="shared" si="216"/>
        <v>47145</v>
      </c>
      <c r="C1674" s="42" t="str">
        <f t="shared" si="214"/>
        <v>第4  土曜日</v>
      </c>
    </row>
    <row r="1675" spans="1:3">
      <c r="A1675" s="53">
        <f t="shared" si="215"/>
        <v>47146</v>
      </c>
      <c r="B1675" s="41">
        <f t="shared" si="216"/>
        <v>47146</v>
      </c>
      <c r="C1675" s="42" t="str">
        <f t="shared" si="214"/>
        <v>第4  日曜日</v>
      </c>
    </row>
    <row r="1676" spans="1:3">
      <c r="A1676" s="53">
        <f t="shared" si="215"/>
        <v>47147</v>
      </c>
      <c r="B1676" s="41">
        <f t="shared" si="216"/>
        <v>47147</v>
      </c>
      <c r="C1676" s="42" t="str">
        <f t="shared" ref="C1676:C1739" si="217">"第"&amp;ROUNDUP(DAY(B1676)/7,0)  &amp;"  "&amp;TEXT(B1676,"aaaa")</f>
        <v>第5  月曜日</v>
      </c>
    </row>
    <row r="1677" spans="1:3">
      <c r="A1677" s="53">
        <f t="shared" si="215"/>
        <v>47148</v>
      </c>
      <c r="B1677" s="41">
        <f t="shared" si="216"/>
        <v>47148</v>
      </c>
      <c r="C1677" s="42" t="str">
        <f t="shared" si="217"/>
        <v>第5  火曜日</v>
      </c>
    </row>
    <row r="1678" spans="1:3">
      <c r="A1678" s="53">
        <f t="shared" si="215"/>
        <v>47149</v>
      </c>
      <c r="B1678" s="41">
        <f t="shared" si="216"/>
        <v>47149</v>
      </c>
      <c r="C1678" s="42" t="str">
        <f t="shared" si="217"/>
        <v>第5  水曜日</v>
      </c>
    </row>
    <row r="1679" spans="1:3">
      <c r="A1679" s="53">
        <f t="shared" si="215"/>
        <v>47150</v>
      </c>
      <c r="B1679" s="41">
        <f t="shared" si="216"/>
        <v>47150</v>
      </c>
      <c r="C1679" s="42" t="str">
        <f t="shared" si="217"/>
        <v>第1  木曜日</v>
      </c>
    </row>
    <row r="1680" spans="1:3">
      <c r="A1680" s="53">
        <f t="shared" si="215"/>
        <v>47151</v>
      </c>
      <c r="B1680" s="41">
        <f t="shared" si="216"/>
        <v>47151</v>
      </c>
      <c r="C1680" s="42" t="str">
        <f t="shared" si="217"/>
        <v>第1  金曜日</v>
      </c>
    </row>
    <row r="1681" spans="1:3">
      <c r="A1681" s="53">
        <f t="shared" si="215"/>
        <v>47152</v>
      </c>
      <c r="B1681" s="41">
        <f t="shared" si="216"/>
        <v>47152</v>
      </c>
      <c r="C1681" s="42" t="str">
        <f t="shared" si="217"/>
        <v>第1  土曜日</v>
      </c>
    </row>
    <row r="1682" spans="1:3">
      <c r="A1682" s="53">
        <f t="shared" si="215"/>
        <v>47153</v>
      </c>
      <c r="B1682" s="41">
        <f t="shared" si="216"/>
        <v>47153</v>
      </c>
      <c r="C1682" s="42" t="str">
        <f t="shared" si="217"/>
        <v>第1  日曜日</v>
      </c>
    </row>
    <row r="1683" spans="1:3">
      <c r="A1683" s="53">
        <f t="shared" si="215"/>
        <v>47154</v>
      </c>
      <c r="B1683" s="41">
        <f t="shared" si="216"/>
        <v>47154</v>
      </c>
      <c r="C1683" s="42" t="str">
        <f t="shared" si="217"/>
        <v>第1  月曜日</v>
      </c>
    </row>
    <row r="1684" spans="1:3">
      <c r="A1684" s="53">
        <f t="shared" si="215"/>
        <v>47155</v>
      </c>
      <c r="B1684" s="41">
        <f t="shared" si="216"/>
        <v>47155</v>
      </c>
      <c r="C1684" s="42" t="str">
        <f t="shared" si="217"/>
        <v>第1  火曜日</v>
      </c>
    </row>
    <row r="1685" spans="1:3">
      <c r="A1685" s="53">
        <f t="shared" si="215"/>
        <v>47156</v>
      </c>
      <c r="B1685" s="41">
        <f t="shared" si="216"/>
        <v>47156</v>
      </c>
      <c r="C1685" s="42" t="str">
        <f t="shared" si="217"/>
        <v>第1  水曜日</v>
      </c>
    </row>
    <row r="1686" spans="1:3">
      <c r="A1686" s="53">
        <f t="shared" si="215"/>
        <v>47157</v>
      </c>
      <c r="B1686" s="41">
        <f t="shared" si="216"/>
        <v>47157</v>
      </c>
      <c r="C1686" s="42" t="str">
        <f t="shared" si="217"/>
        <v>第2  木曜日</v>
      </c>
    </row>
    <row r="1687" spans="1:3">
      <c r="A1687" s="53">
        <f t="shared" si="215"/>
        <v>47158</v>
      </c>
      <c r="B1687" s="41">
        <f t="shared" si="216"/>
        <v>47158</v>
      </c>
      <c r="C1687" s="42" t="str">
        <f t="shared" si="217"/>
        <v>第2  金曜日</v>
      </c>
    </row>
    <row r="1688" spans="1:3">
      <c r="A1688" s="53">
        <f t="shared" si="215"/>
        <v>47159</v>
      </c>
      <c r="B1688" s="41">
        <f t="shared" si="216"/>
        <v>47159</v>
      </c>
      <c r="C1688" s="42" t="str">
        <f t="shared" si="217"/>
        <v>第2  土曜日</v>
      </c>
    </row>
    <row r="1689" spans="1:3">
      <c r="A1689" s="53">
        <f t="shared" si="215"/>
        <v>47160</v>
      </c>
      <c r="B1689" s="41">
        <f t="shared" si="216"/>
        <v>47160</v>
      </c>
      <c r="C1689" s="42" t="str">
        <f t="shared" si="217"/>
        <v>第2  日曜日</v>
      </c>
    </row>
    <row r="1690" spans="1:3">
      <c r="A1690" s="53">
        <f t="shared" si="215"/>
        <v>47161</v>
      </c>
      <c r="B1690" s="41">
        <f t="shared" si="216"/>
        <v>47161</v>
      </c>
      <c r="C1690" s="42" t="str">
        <f t="shared" si="217"/>
        <v>第2  月曜日</v>
      </c>
    </row>
    <row r="1691" spans="1:3">
      <c r="A1691" s="53">
        <f t="shared" si="215"/>
        <v>47162</v>
      </c>
      <c r="B1691" s="41">
        <f t="shared" si="216"/>
        <v>47162</v>
      </c>
      <c r="C1691" s="42" t="str">
        <f t="shared" si="217"/>
        <v>第2  火曜日</v>
      </c>
    </row>
    <row r="1692" spans="1:3">
      <c r="A1692" s="53">
        <f t="shared" si="215"/>
        <v>47163</v>
      </c>
      <c r="B1692" s="41">
        <f t="shared" si="216"/>
        <v>47163</v>
      </c>
      <c r="C1692" s="42" t="str">
        <f t="shared" si="217"/>
        <v>第2  水曜日</v>
      </c>
    </row>
    <row r="1693" spans="1:3">
      <c r="A1693" s="53">
        <f t="shared" si="215"/>
        <v>47164</v>
      </c>
      <c r="B1693" s="41">
        <f t="shared" si="216"/>
        <v>47164</v>
      </c>
      <c r="C1693" s="42" t="str">
        <f t="shared" si="217"/>
        <v>第3  木曜日</v>
      </c>
    </row>
    <row r="1694" spans="1:3">
      <c r="A1694" s="53">
        <f t="shared" si="215"/>
        <v>47165</v>
      </c>
      <c r="B1694" s="41">
        <f t="shared" si="216"/>
        <v>47165</v>
      </c>
      <c r="C1694" s="42" t="str">
        <f t="shared" si="217"/>
        <v>第3  金曜日</v>
      </c>
    </row>
    <row r="1695" spans="1:3">
      <c r="A1695" s="53">
        <f t="shared" si="215"/>
        <v>47166</v>
      </c>
      <c r="B1695" s="41">
        <f t="shared" si="216"/>
        <v>47166</v>
      </c>
      <c r="C1695" s="42" t="str">
        <f t="shared" si="217"/>
        <v>第3  土曜日</v>
      </c>
    </row>
    <row r="1696" spans="1:3">
      <c r="A1696" s="53">
        <f t="shared" ref="A1696:A1759" si="218">B1696</f>
        <v>47167</v>
      </c>
      <c r="B1696" s="41">
        <f t="shared" si="216"/>
        <v>47167</v>
      </c>
      <c r="C1696" s="42" t="str">
        <f t="shared" si="217"/>
        <v>第3  日曜日</v>
      </c>
    </row>
    <row r="1697" spans="1:3">
      <c r="A1697" s="53">
        <f t="shared" si="218"/>
        <v>47168</v>
      </c>
      <c r="B1697" s="41">
        <f t="shared" si="216"/>
        <v>47168</v>
      </c>
      <c r="C1697" s="42" t="str">
        <f t="shared" si="217"/>
        <v>第3  月曜日</v>
      </c>
    </row>
    <row r="1698" spans="1:3">
      <c r="A1698" s="53">
        <f t="shared" si="218"/>
        <v>47169</v>
      </c>
      <c r="B1698" s="41">
        <f t="shared" si="216"/>
        <v>47169</v>
      </c>
      <c r="C1698" s="42" t="str">
        <f t="shared" si="217"/>
        <v>第3  火曜日</v>
      </c>
    </row>
    <row r="1699" spans="1:3">
      <c r="A1699" s="53">
        <f t="shared" si="218"/>
        <v>47170</v>
      </c>
      <c r="B1699" s="41">
        <f t="shared" si="216"/>
        <v>47170</v>
      </c>
      <c r="C1699" s="42" t="str">
        <f t="shared" si="217"/>
        <v>第3  水曜日</v>
      </c>
    </row>
    <row r="1700" spans="1:3">
      <c r="A1700" s="53">
        <f t="shared" si="218"/>
        <v>47171</v>
      </c>
      <c r="B1700" s="41">
        <f t="shared" si="216"/>
        <v>47171</v>
      </c>
      <c r="C1700" s="42" t="str">
        <f t="shared" si="217"/>
        <v>第4  木曜日</v>
      </c>
    </row>
    <row r="1701" spans="1:3">
      <c r="A1701" s="53">
        <f t="shared" si="218"/>
        <v>47172</v>
      </c>
      <c r="B1701" s="41">
        <f t="shared" si="216"/>
        <v>47172</v>
      </c>
      <c r="C1701" s="42" t="str">
        <f t="shared" si="217"/>
        <v>第4  金曜日</v>
      </c>
    </row>
    <row r="1702" spans="1:3">
      <c r="A1702" s="53">
        <f t="shared" si="218"/>
        <v>47173</v>
      </c>
      <c r="B1702" s="41">
        <f t="shared" si="216"/>
        <v>47173</v>
      </c>
      <c r="C1702" s="42" t="str">
        <f t="shared" si="217"/>
        <v>第4  土曜日</v>
      </c>
    </row>
    <row r="1703" spans="1:3">
      <c r="A1703" s="53">
        <f t="shared" si="218"/>
        <v>47174</v>
      </c>
      <c r="B1703" s="41">
        <f t="shared" si="216"/>
        <v>47174</v>
      </c>
      <c r="C1703" s="42" t="str">
        <f t="shared" si="217"/>
        <v>第4  日曜日</v>
      </c>
    </row>
    <row r="1704" spans="1:3">
      <c r="A1704" s="53">
        <f t="shared" si="218"/>
        <v>47175</v>
      </c>
      <c r="B1704" s="41">
        <f t="shared" si="216"/>
        <v>47175</v>
      </c>
      <c r="C1704" s="42" t="str">
        <f t="shared" si="217"/>
        <v>第4  月曜日</v>
      </c>
    </row>
    <row r="1705" spans="1:3">
      <c r="A1705" s="53">
        <f t="shared" si="218"/>
        <v>47176</v>
      </c>
      <c r="B1705" s="41">
        <f t="shared" si="216"/>
        <v>47176</v>
      </c>
      <c r="C1705" s="42" t="str">
        <f t="shared" si="217"/>
        <v>第4  火曜日</v>
      </c>
    </row>
    <row r="1706" spans="1:3">
      <c r="A1706" s="53">
        <f t="shared" si="218"/>
        <v>47177</v>
      </c>
      <c r="B1706" s="41">
        <f t="shared" si="216"/>
        <v>47177</v>
      </c>
      <c r="C1706" s="42" t="str">
        <f t="shared" si="217"/>
        <v>第4  水曜日</v>
      </c>
    </row>
    <row r="1707" spans="1:3">
      <c r="A1707" s="53">
        <f t="shared" si="218"/>
        <v>47178</v>
      </c>
      <c r="B1707" s="41">
        <f t="shared" si="216"/>
        <v>47178</v>
      </c>
      <c r="C1707" s="42" t="str">
        <f t="shared" si="217"/>
        <v>第1  木曜日</v>
      </c>
    </row>
    <row r="1708" spans="1:3">
      <c r="A1708" s="53">
        <f t="shared" si="218"/>
        <v>47179</v>
      </c>
      <c r="B1708" s="41">
        <f t="shared" si="216"/>
        <v>47179</v>
      </c>
      <c r="C1708" s="42" t="str">
        <f t="shared" si="217"/>
        <v>第1  金曜日</v>
      </c>
    </row>
    <row r="1709" spans="1:3">
      <c r="A1709" s="53">
        <f t="shared" si="218"/>
        <v>47180</v>
      </c>
      <c r="B1709" s="41">
        <f t="shared" si="216"/>
        <v>47180</v>
      </c>
      <c r="C1709" s="42" t="str">
        <f t="shared" si="217"/>
        <v>第1  土曜日</v>
      </c>
    </row>
    <row r="1710" spans="1:3">
      <c r="A1710" s="53">
        <f t="shared" si="218"/>
        <v>47181</v>
      </c>
      <c r="B1710" s="41">
        <f t="shared" si="216"/>
        <v>47181</v>
      </c>
      <c r="C1710" s="42" t="str">
        <f t="shared" si="217"/>
        <v>第1  日曜日</v>
      </c>
    </row>
    <row r="1711" spans="1:3">
      <c r="A1711" s="53">
        <f t="shared" si="218"/>
        <v>47182</v>
      </c>
      <c r="B1711" s="41">
        <f t="shared" si="216"/>
        <v>47182</v>
      </c>
      <c r="C1711" s="42" t="str">
        <f t="shared" si="217"/>
        <v>第1  月曜日</v>
      </c>
    </row>
    <row r="1712" spans="1:3">
      <c r="A1712" s="53">
        <f t="shared" si="218"/>
        <v>47183</v>
      </c>
      <c r="B1712" s="41">
        <f t="shared" si="216"/>
        <v>47183</v>
      </c>
      <c r="C1712" s="42" t="str">
        <f t="shared" si="217"/>
        <v>第1  火曜日</v>
      </c>
    </row>
    <row r="1713" spans="1:3">
      <c r="A1713" s="53">
        <f t="shared" si="218"/>
        <v>47184</v>
      </c>
      <c r="B1713" s="41">
        <f t="shared" si="216"/>
        <v>47184</v>
      </c>
      <c r="C1713" s="42" t="str">
        <f t="shared" si="217"/>
        <v>第1  水曜日</v>
      </c>
    </row>
    <row r="1714" spans="1:3">
      <c r="A1714" s="53">
        <f t="shared" si="218"/>
        <v>47185</v>
      </c>
      <c r="B1714" s="41">
        <f t="shared" si="216"/>
        <v>47185</v>
      </c>
      <c r="C1714" s="42" t="str">
        <f t="shared" si="217"/>
        <v>第2  木曜日</v>
      </c>
    </row>
    <row r="1715" spans="1:3">
      <c r="A1715" s="53">
        <f t="shared" si="218"/>
        <v>47186</v>
      </c>
      <c r="B1715" s="41">
        <f t="shared" si="216"/>
        <v>47186</v>
      </c>
      <c r="C1715" s="42" t="str">
        <f t="shared" si="217"/>
        <v>第2  金曜日</v>
      </c>
    </row>
    <row r="1716" spans="1:3">
      <c r="A1716" s="53">
        <f t="shared" si="218"/>
        <v>47187</v>
      </c>
      <c r="B1716" s="41">
        <f t="shared" si="216"/>
        <v>47187</v>
      </c>
      <c r="C1716" s="42" t="str">
        <f t="shared" si="217"/>
        <v>第2  土曜日</v>
      </c>
    </row>
    <row r="1717" spans="1:3">
      <c r="A1717" s="53">
        <f t="shared" si="218"/>
        <v>47188</v>
      </c>
      <c r="B1717" s="41">
        <f t="shared" si="216"/>
        <v>47188</v>
      </c>
      <c r="C1717" s="42" t="str">
        <f t="shared" si="217"/>
        <v>第2  日曜日</v>
      </c>
    </row>
    <row r="1718" spans="1:3">
      <c r="A1718" s="53">
        <f t="shared" si="218"/>
        <v>47189</v>
      </c>
      <c r="B1718" s="41">
        <f t="shared" si="216"/>
        <v>47189</v>
      </c>
      <c r="C1718" s="42" t="str">
        <f t="shared" si="217"/>
        <v>第2  月曜日</v>
      </c>
    </row>
    <row r="1719" spans="1:3">
      <c r="A1719" s="53">
        <f t="shared" si="218"/>
        <v>47190</v>
      </c>
      <c r="B1719" s="41">
        <f t="shared" ref="B1719:B1782" si="219">B1718+1</f>
        <v>47190</v>
      </c>
      <c r="C1719" s="42" t="str">
        <f t="shared" si="217"/>
        <v>第2  火曜日</v>
      </c>
    </row>
    <row r="1720" spans="1:3">
      <c r="A1720" s="53">
        <f t="shared" si="218"/>
        <v>47191</v>
      </c>
      <c r="B1720" s="41">
        <f t="shared" si="219"/>
        <v>47191</v>
      </c>
      <c r="C1720" s="42" t="str">
        <f t="shared" si="217"/>
        <v>第2  水曜日</v>
      </c>
    </row>
    <row r="1721" spans="1:3">
      <c r="A1721" s="53">
        <f t="shared" si="218"/>
        <v>47192</v>
      </c>
      <c r="B1721" s="41">
        <f t="shared" si="219"/>
        <v>47192</v>
      </c>
      <c r="C1721" s="42" t="str">
        <f t="shared" si="217"/>
        <v>第3  木曜日</v>
      </c>
    </row>
    <row r="1722" spans="1:3">
      <c r="A1722" s="53">
        <f t="shared" si="218"/>
        <v>47193</v>
      </c>
      <c r="B1722" s="41">
        <f t="shared" si="219"/>
        <v>47193</v>
      </c>
      <c r="C1722" s="42" t="str">
        <f t="shared" si="217"/>
        <v>第3  金曜日</v>
      </c>
    </row>
    <row r="1723" spans="1:3">
      <c r="A1723" s="53">
        <f t="shared" si="218"/>
        <v>47194</v>
      </c>
      <c r="B1723" s="41">
        <f t="shared" si="219"/>
        <v>47194</v>
      </c>
      <c r="C1723" s="42" t="str">
        <f t="shared" si="217"/>
        <v>第3  土曜日</v>
      </c>
    </row>
    <row r="1724" spans="1:3">
      <c r="A1724" s="53">
        <f t="shared" si="218"/>
        <v>47195</v>
      </c>
      <c r="B1724" s="41">
        <f t="shared" si="219"/>
        <v>47195</v>
      </c>
      <c r="C1724" s="42" t="str">
        <f t="shared" si="217"/>
        <v>第3  日曜日</v>
      </c>
    </row>
    <row r="1725" spans="1:3">
      <c r="A1725" s="53">
        <f t="shared" si="218"/>
        <v>47196</v>
      </c>
      <c r="B1725" s="41">
        <f t="shared" si="219"/>
        <v>47196</v>
      </c>
      <c r="C1725" s="42" t="str">
        <f t="shared" si="217"/>
        <v>第3  月曜日</v>
      </c>
    </row>
    <row r="1726" spans="1:3">
      <c r="A1726" s="53">
        <f t="shared" si="218"/>
        <v>47197</v>
      </c>
      <c r="B1726" s="41">
        <f t="shared" si="219"/>
        <v>47197</v>
      </c>
      <c r="C1726" s="42" t="str">
        <f t="shared" si="217"/>
        <v>第3  火曜日</v>
      </c>
    </row>
    <row r="1727" spans="1:3">
      <c r="A1727" s="53">
        <f t="shared" si="218"/>
        <v>47198</v>
      </c>
      <c r="B1727" s="41">
        <f t="shared" si="219"/>
        <v>47198</v>
      </c>
      <c r="C1727" s="42" t="str">
        <f t="shared" si="217"/>
        <v>第3  水曜日</v>
      </c>
    </row>
    <row r="1728" spans="1:3">
      <c r="A1728" s="53">
        <f t="shared" si="218"/>
        <v>47199</v>
      </c>
      <c r="B1728" s="41">
        <f t="shared" si="219"/>
        <v>47199</v>
      </c>
      <c r="C1728" s="42" t="str">
        <f t="shared" si="217"/>
        <v>第4  木曜日</v>
      </c>
    </row>
    <row r="1729" spans="1:3">
      <c r="A1729" s="53">
        <f t="shared" si="218"/>
        <v>47200</v>
      </c>
      <c r="B1729" s="41">
        <f t="shared" si="219"/>
        <v>47200</v>
      </c>
      <c r="C1729" s="42" t="str">
        <f t="shared" si="217"/>
        <v>第4  金曜日</v>
      </c>
    </row>
    <row r="1730" spans="1:3">
      <c r="A1730" s="53">
        <f t="shared" si="218"/>
        <v>47201</v>
      </c>
      <c r="B1730" s="41">
        <f t="shared" si="219"/>
        <v>47201</v>
      </c>
      <c r="C1730" s="42" t="str">
        <f t="shared" si="217"/>
        <v>第4  土曜日</v>
      </c>
    </row>
    <row r="1731" spans="1:3">
      <c r="A1731" s="53">
        <f t="shared" si="218"/>
        <v>47202</v>
      </c>
      <c r="B1731" s="41">
        <f t="shared" si="219"/>
        <v>47202</v>
      </c>
      <c r="C1731" s="42" t="str">
        <f t="shared" si="217"/>
        <v>第4  日曜日</v>
      </c>
    </row>
    <row r="1732" spans="1:3">
      <c r="A1732" s="53">
        <f t="shared" si="218"/>
        <v>47203</v>
      </c>
      <c r="B1732" s="41">
        <f t="shared" si="219"/>
        <v>47203</v>
      </c>
      <c r="C1732" s="42" t="str">
        <f t="shared" si="217"/>
        <v>第4  月曜日</v>
      </c>
    </row>
    <row r="1733" spans="1:3">
      <c r="A1733" s="53">
        <f t="shared" si="218"/>
        <v>47204</v>
      </c>
      <c r="B1733" s="41">
        <f t="shared" si="219"/>
        <v>47204</v>
      </c>
      <c r="C1733" s="42" t="str">
        <f t="shared" si="217"/>
        <v>第4  火曜日</v>
      </c>
    </row>
    <row r="1734" spans="1:3">
      <c r="A1734" s="53">
        <f t="shared" si="218"/>
        <v>47205</v>
      </c>
      <c r="B1734" s="41">
        <f t="shared" si="219"/>
        <v>47205</v>
      </c>
      <c r="C1734" s="42" t="str">
        <f t="shared" si="217"/>
        <v>第4  水曜日</v>
      </c>
    </row>
    <row r="1735" spans="1:3">
      <c r="A1735" s="53">
        <f t="shared" si="218"/>
        <v>47206</v>
      </c>
      <c r="B1735" s="41">
        <f t="shared" si="219"/>
        <v>47206</v>
      </c>
      <c r="C1735" s="42" t="str">
        <f t="shared" si="217"/>
        <v>第5  木曜日</v>
      </c>
    </row>
    <row r="1736" spans="1:3">
      <c r="A1736" s="53">
        <f t="shared" si="218"/>
        <v>47207</v>
      </c>
      <c r="B1736" s="41">
        <f t="shared" si="219"/>
        <v>47207</v>
      </c>
      <c r="C1736" s="42" t="str">
        <f t="shared" si="217"/>
        <v>第5  金曜日</v>
      </c>
    </row>
    <row r="1737" spans="1:3">
      <c r="A1737" s="53">
        <f t="shared" si="218"/>
        <v>47208</v>
      </c>
      <c r="B1737" s="41">
        <f t="shared" si="219"/>
        <v>47208</v>
      </c>
      <c r="C1737" s="42" t="str">
        <f t="shared" si="217"/>
        <v>第5  土曜日</v>
      </c>
    </row>
    <row r="1738" spans="1:3">
      <c r="A1738" s="53">
        <f t="shared" si="218"/>
        <v>47209</v>
      </c>
      <c r="B1738" s="41">
        <f t="shared" si="219"/>
        <v>47209</v>
      </c>
      <c r="C1738" s="42" t="str">
        <f t="shared" si="217"/>
        <v>第1  日曜日</v>
      </c>
    </row>
    <row r="1739" spans="1:3">
      <c r="A1739" s="53">
        <f t="shared" si="218"/>
        <v>47210</v>
      </c>
      <c r="B1739" s="41">
        <f t="shared" si="219"/>
        <v>47210</v>
      </c>
      <c r="C1739" s="42" t="str">
        <f t="shared" si="217"/>
        <v>第1  月曜日</v>
      </c>
    </row>
    <row r="1740" spans="1:3">
      <c r="A1740" s="53">
        <f t="shared" si="218"/>
        <v>47211</v>
      </c>
      <c r="B1740" s="41">
        <f t="shared" si="219"/>
        <v>47211</v>
      </c>
      <c r="C1740" s="42" t="str">
        <f t="shared" ref="C1740:C1803" si="220">"第"&amp;ROUNDUP(DAY(B1740)/7,0)  &amp;"  "&amp;TEXT(B1740,"aaaa")</f>
        <v>第1  火曜日</v>
      </c>
    </row>
    <row r="1741" spans="1:3">
      <c r="A1741" s="53">
        <f t="shared" si="218"/>
        <v>47212</v>
      </c>
      <c r="B1741" s="41">
        <f t="shared" si="219"/>
        <v>47212</v>
      </c>
      <c r="C1741" s="42" t="str">
        <f t="shared" si="220"/>
        <v>第1  水曜日</v>
      </c>
    </row>
    <row r="1742" spans="1:3">
      <c r="A1742" s="53">
        <f t="shared" si="218"/>
        <v>47213</v>
      </c>
      <c r="B1742" s="41">
        <f t="shared" si="219"/>
        <v>47213</v>
      </c>
      <c r="C1742" s="42" t="str">
        <f t="shared" si="220"/>
        <v>第1  木曜日</v>
      </c>
    </row>
    <row r="1743" spans="1:3">
      <c r="A1743" s="53">
        <f t="shared" si="218"/>
        <v>47214</v>
      </c>
      <c r="B1743" s="41">
        <f t="shared" si="219"/>
        <v>47214</v>
      </c>
      <c r="C1743" s="42" t="str">
        <f t="shared" si="220"/>
        <v>第1  金曜日</v>
      </c>
    </row>
    <row r="1744" spans="1:3">
      <c r="A1744" s="53">
        <f t="shared" si="218"/>
        <v>47215</v>
      </c>
      <c r="B1744" s="41">
        <f t="shared" si="219"/>
        <v>47215</v>
      </c>
      <c r="C1744" s="42" t="str">
        <f t="shared" si="220"/>
        <v>第1  土曜日</v>
      </c>
    </row>
    <row r="1745" spans="1:3">
      <c r="A1745" s="53">
        <f t="shared" si="218"/>
        <v>47216</v>
      </c>
      <c r="B1745" s="41">
        <f t="shared" si="219"/>
        <v>47216</v>
      </c>
      <c r="C1745" s="42" t="str">
        <f t="shared" si="220"/>
        <v>第2  日曜日</v>
      </c>
    </row>
    <row r="1746" spans="1:3">
      <c r="A1746" s="53">
        <f t="shared" si="218"/>
        <v>47217</v>
      </c>
      <c r="B1746" s="41">
        <f t="shared" si="219"/>
        <v>47217</v>
      </c>
      <c r="C1746" s="42" t="str">
        <f t="shared" si="220"/>
        <v>第2  月曜日</v>
      </c>
    </row>
    <row r="1747" spans="1:3">
      <c r="A1747" s="53">
        <f t="shared" si="218"/>
        <v>47218</v>
      </c>
      <c r="B1747" s="41">
        <f t="shared" si="219"/>
        <v>47218</v>
      </c>
      <c r="C1747" s="42" t="str">
        <f t="shared" si="220"/>
        <v>第2  火曜日</v>
      </c>
    </row>
    <row r="1748" spans="1:3">
      <c r="A1748" s="53">
        <f t="shared" si="218"/>
        <v>47219</v>
      </c>
      <c r="B1748" s="41">
        <f t="shared" si="219"/>
        <v>47219</v>
      </c>
      <c r="C1748" s="42" t="str">
        <f t="shared" si="220"/>
        <v>第2  水曜日</v>
      </c>
    </row>
    <row r="1749" spans="1:3">
      <c r="A1749" s="53">
        <f t="shared" si="218"/>
        <v>47220</v>
      </c>
      <c r="B1749" s="41">
        <f t="shared" si="219"/>
        <v>47220</v>
      </c>
      <c r="C1749" s="42" t="str">
        <f t="shared" si="220"/>
        <v>第2  木曜日</v>
      </c>
    </row>
    <row r="1750" spans="1:3">
      <c r="A1750" s="53">
        <f t="shared" si="218"/>
        <v>47221</v>
      </c>
      <c r="B1750" s="41">
        <f t="shared" si="219"/>
        <v>47221</v>
      </c>
      <c r="C1750" s="42" t="str">
        <f t="shared" si="220"/>
        <v>第2  金曜日</v>
      </c>
    </row>
    <row r="1751" spans="1:3">
      <c r="A1751" s="53">
        <f t="shared" si="218"/>
        <v>47222</v>
      </c>
      <c r="B1751" s="41">
        <f t="shared" si="219"/>
        <v>47222</v>
      </c>
      <c r="C1751" s="42" t="str">
        <f t="shared" si="220"/>
        <v>第2  土曜日</v>
      </c>
    </row>
    <row r="1752" spans="1:3">
      <c r="A1752" s="53">
        <f t="shared" si="218"/>
        <v>47223</v>
      </c>
      <c r="B1752" s="41">
        <f t="shared" si="219"/>
        <v>47223</v>
      </c>
      <c r="C1752" s="42" t="str">
        <f t="shared" si="220"/>
        <v>第3  日曜日</v>
      </c>
    </row>
    <row r="1753" spans="1:3">
      <c r="A1753" s="53">
        <f t="shared" si="218"/>
        <v>47224</v>
      </c>
      <c r="B1753" s="41">
        <f t="shared" si="219"/>
        <v>47224</v>
      </c>
      <c r="C1753" s="42" t="str">
        <f t="shared" si="220"/>
        <v>第3  月曜日</v>
      </c>
    </row>
    <row r="1754" spans="1:3">
      <c r="A1754" s="53">
        <f t="shared" si="218"/>
        <v>47225</v>
      </c>
      <c r="B1754" s="41">
        <f t="shared" si="219"/>
        <v>47225</v>
      </c>
      <c r="C1754" s="42" t="str">
        <f t="shared" si="220"/>
        <v>第3  火曜日</v>
      </c>
    </row>
    <row r="1755" spans="1:3">
      <c r="A1755" s="53">
        <f t="shared" si="218"/>
        <v>47226</v>
      </c>
      <c r="B1755" s="41">
        <f t="shared" si="219"/>
        <v>47226</v>
      </c>
      <c r="C1755" s="42" t="str">
        <f t="shared" si="220"/>
        <v>第3  水曜日</v>
      </c>
    </row>
    <row r="1756" spans="1:3">
      <c r="A1756" s="53">
        <f t="shared" si="218"/>
        <v>47227</v>
      </c>
      <c r="B1756" s="41">
        <f t="shared" si="219"/>
        <v>47227</v>
      </c>
      <c r="C1756" s="42" t="str">
        <f t="shared" si="220"/>
        <v>第3  木曜日</v>
      </c>
    </row>
    <row r="1757" spans="1:3">
      <c r="A1757" s="53">
        <f t="shared" si="218"/>
        <v>47228</v>
      </c>
      <c r="B1757" s="41">
        <f t="shared" si="219"/>
        <v>47228</v>
      </c>
      <c r="C1757" s="42" t="str">
        <f t="shared" si="220"/>
        <v>第3  金曜日</v>
      </c>
    </row>
    <row r="1758" spans="1:3">
      <c r="A1758" s="53">
        <f t="shared" si="218"/>
        <v>47229</v>
      </c>
      <c r="B1758" s="41">
        <f t="shared" si="219"/>
        <v>47229</v>
      </c>
      <c r="C1758" s="42" t="str">
        <f t="shared" si="220"/>
        <v>第3  土曜日</v>
      </c>
    </row>
    <row r="1759" spans="1:3">
      <c r="A1759" s="53">
        <f t="shared" si="218"/>
        <v>47230</v>
      </c>
      <c r="B1759" s="41">
        <f t="shared" si="219"/>
        <v>47230</v>
      </c>
      <c r="C1759" s="42" t="str">
        <f t="shared" si="220"/>
        <v>第4  日曜日</v>
      </c>
    </row>
    <row r="1760" spans="1:3">
      <c r="A1760" s="53">
        <f t="shared" ref="A1760:A1823" si="221">B1760</f>
        <v>47231</v>
      </c>
      <c r="B1760" s="41">
        <f t="shared" si="219"/>
        <v>47231</v>
      </c>
      <c r="C1760" s="42" t="str">
        <f t="shared" si="220"/>
        <v>第4  月曜日</v>
      </c>
    </row>
    <row r="1761" spans="1:3">
      <c r="A1761" s="53">
        <f t="shared" si="221"/>
        <v>47232</v>
      </c>
      <c r="B1761" s="41">
        <f t="shared" si="219"/>
        <v>47232</v>
      </c>
      <c r="C1761" s="42" t="str">
        <f t="shared" si="220"/>
        <v>第4  火曜日</v>
      </c>
    </row>
    <row r="1762" spans="1:3">
      <c r="A1762" s="53">
        <f t="shared" si="221"/>
        <v>47233</v>
      </c>
      <c r="B1762" s="41">
        <f t="shared" si="219"/>
        <v>47233</v>
      </c>
      <c r="C1762" s="42" t="str">
        <f t="shared" si="220"/>
        <v>第4  水曜日</v>
      </c>
    </row>
    <row r="1763" spans="1:3">
      <c r="A1763" s="53">
        <f t="shared" si="221"/>
        <v>47234</v>
      </c>
      <c r="B1763" s="41">
        <f t="shared" si="219"/>
        <v>47234</v>
      </c>
      <c r="C1763" s="42" t="str">
        <f t="shared" si="220"/>
        <v>第4  木曜日</v>
      </c>
    </row>
    <row r="1764" spans="1:3">
      <c r="A1764" s="53">
        <f t="shared" si="221"/>
        <v>47235</v>
      </c>
      <c r="B1764" s="41">
        <f t="shared" si="219"/>
        <v>47235</v>
      </c>
      <c r="C1764" s="42" t="str">
        <f t="shared" si="220"/>
        <v>第4  金曜日</v>
      </c>
    </row>
    <row r="1765" spans="1:3">
      <c r="A1765" s="53">
        <f t="shared" si="221"/>
        <v>47236</v>
      </c>
      <c r="B1765" s="41">
        <f t="shared" si="219"/>
        <v>47236</v>
      </c>
      <c r="C1765" s="42" t="str">
        <f t="shared" si="220"/>
        <v>第4  土曜日</v>
      </c>
    </row>
    <row r="1766" spans="1:3">
      <c r="A1766" s="53">
        <f t="shared" si="221"/>
        <v>47237</v>
      </c>
      <c r="B1766" s="41">
        <f t="shared" si="219"/>
        <v>47237</v>
      </c>
      <c r="C1766" s="42" t="str">
        <f t="shared" si="220"/>
        <v>第5  日曜日</v>
      </c>
    </row>
    <row r="1767" spans="1:3">
      <c r="A1767" s="53">
        <f t="shared" si="221"/>
        <v>47238</v>
      </c>
      <c r="B1767" s="41">
        <f t="shared" si="219"/>
        <v>47238</v>
      </c>
      <c r="C1767" s="42" t="str">
        <f t="shared" si="220"/>
        <v>第5  月曜日</v>
      </c>
    </row>
    <row r="1768" spans="1:3">
      <c r="A1768" s="53">
        <f t="shared" si="221"/>
        <v>47239</v>
      </c>
      <c r="B1768" s="41">
        <f t="shared" si="219"/>
        <v>47239</v>
      </c>
      <c r="C1768" s="42" t="str">
        <f t="shared" si="220"/>
        <v>第1  火曜日</v>
      </c>
    </row>
    <row r="1769" spans="1:3">
      <c r="A1769" s="53">
        <f t="shared" si="221"/>
        <v>47240</v>
      </c>
      <c r="B1769" s="41">
        <f t="shared" si="219"/>
        <v>47240</v>
      </c>
      <c r="C1769" s="42" t="str">
        <f t="shared" si="220"/>
        <v>第1  水曜日</v>
      </c>
    </row>
    <row r="1770" spans="1:3">
      <c r="A1770" s="53">
        <f t="shared" si="221"/>
        <v>47241</v>
      </c>
      <c r="B1770" s="41">
        <f t="shared" si="219"/>
        <v>47241</v>
      </c>
      <c r="C1770" s="42" t="str">
        <f t="shared" si="220"/>
        <v>第1  木曜日</v>
      </c>
    </row>
    <row r="1771" spans="1:3">
      <c r="A1771" s="53">
        <f t="shared" si="221"/>
        <v>47242</v>
      </c>
      <c r="B1771" s="41">
        <f t="shared" si="219"/>
        <v>47242</v>
      </c>
      <c r="C1771" s="42" t="str">
        <f t="shared" si="220"/>
        <v>第1  金曜日</v>
      </c>
    </row>
    <row r="1772" spans="1:3">
      <c r="A1772" s="53">
        <f t="shared" si="221"/>
        <v>47243</v>
      </c>
      <c r="B1772" s="41">
        <f t="shared" si="219"/>
        <v>47243</v>
      </c>
      <c r="C1772" s="42" t="str">
        <f t="shared" si="220"/>
        <v>第1  土曜日</v>
      </c>
    </row>
    <row r="1773" spans="1:3">
      <c r="A1773" s="53">
        <f t="shared" si="221"/>
        <v>47244</v>
      </c>
      <c r="B1773" s="41">
        <f t="shared" si="219"/>
        <v>47244</v>
      </c>
      <c r="C1773" s="42" t="str">
        <f t="shared" si="220"/>
        <v>第1  日曜日</v>
      </c>
    </row>
    <row r="1774" spans="1:3">
      <c r="A1774" s="53">
        <f t="shared" si="221"/>
        <v>47245</v>
      </c>
      <c r="B1774" s="41">
        <f t="shared" si="219"/>
        <v>47245</v>
      </c>
      <c r="C1774" s="42" t="str">
        <f t="shared" si="220"/>
        <v>第1  月曜日</v>
      </c>
    </row>
    <row r="1775" spans="1:3">
      <c r="A1775" s="53">
        <f t="shared" si="221"/>
        <v>47246</v>
      </c>
      <c r="B1775" s="41">
        <f t="shared" si="219"/>
        <v>47246</v>
      </c>
      <c r="C1775" s="42" t="str">
        <f t="shared" si="220"/>
        <v>第2  火曜日</v>
      </c>
    </row>
    <row r="1776" spans="1:3">
      <c r="A1776" s="53">
        <f t="shared" si="221"/>
        <v>47247</v>
      </c>
      <c r="B1776" s="41">
        <f t="shared" si="219"/>
        <v>47247</v>
      </c>
      <c r="C1776" s="42" t="str">
        <f t="shared" si="220"/>
        <v>第2  水曜日</v>
      </c>
    </row>
    <row r="1777" spans="1:3">
      <c r="A1777" s="53">
        <f t="shared" si="221"/>
        <v>47248</v>
      </c>
      <c r="B1777" s="41">
        <f t="shared" si="219"/>
        <v>47248</v>
      </c>
      <c r="C1777" s="42" t="str">
        <f t="shared" si="220"/>
        <v>第2  木曜日</v>
      </c>
    </row>
    <row r="1778" spans="1:3">
      <c r="A1778" s="53">
        <f t="shared" si="221"/>
        <v>47249</v>
      </c>
      <c r="B1778" s="41">
        <f t="shared" si="219"/>
        <v>47249</v>
      </c>
      <c r="C1778" s="42" t="str">
        <f t="shared" si="220"/>
        <v>第2  金曜日</v>
      </c>
    </row>
    <row r="1779" spans="1:3">
      <c r="A1779" s="53">
        <f t="shared" si="221"/>
        <v>47250</v>
      </c>
      <c r="B1779" s="41">
        <f t="shared" si="219"/>
        <v>47250</v>
      </c>
      <c r="C1779" s="42" t="str">
        <f t="shared" si="220"/>
        <v>第2  土曜日</v>
      </c>
    </row>
    <row r="1780" spans="1:3">
      <c r="A1780" s="53">
        <f t="shared" si="221"/>
        <v>47251</v>
      </c>
      <c r="B1780" s="41">
        <f t="shared" si="219"/>
        <v>47251</v>
      </c>
      <c r="C1780" s="42" t="str">
        <f t="shared" si="220"/>
        <v>第2  日曜日</v>
      </c>
    </row>
    <row r="1781" spans="1:3">
      <c r="A1781" s="53">
        <f t="shared" si="221"/>
        <v>47252</v>
      </c>
      <c r="B1781" s="41">
        <f t="shared" si="219"/>
        <v>47252</v>
      </c>
      <c r="C1781" s="42" t="str">
        <f t="shared" si="220"/>
        <v>第2  月曜日</v>
      </c>
    </row>
    <row r="1782" spans="1:3">
      <c r="A1782" s="53">
        <f t="shared" si="221"/>
        <v>47253</v>
      </c>
      <c r="B1782" s="41">
        <f t="shared" si="219"/>
        <v>47253</v>
      </c>
      <c r="C1782" s="42" t="str">
        <f t="shared" si="220"/>
        <v>第3  火曜日</v>
      </c>
    </row>
    <row r="1783" spans="1:3">
      <c r="A1783" s="53">
        <f t="shared" si="221"/>
        <v>47254</v>
      </c>
      <c r="B1783" s="41">
        <f t="shared" ref="B1783:B1846" si="222">B1782+1</f>
        <v>47254</v>
      </c>
      <c r="C1783" s="42" t="str">
        <f t="shared" si="220"/>
        <v>第3  水曜日</v>
      </c>
    </row>
    <row r="1784" spans="1:3">
      <c r="A1784" s="53">
        <f t="shared" si="221"/>
        <v>47255</v>
      </c>
      <c r="B1784" s="41">
        <f t="shared" si="222"/>
        <v>47255</v>
      </c>
      <c r="C1784" s="42" t="str">
        <f t="shared" si="220"/>
        <v>第3  木曜日</v>
      </c>
    </row>
    <row r="1785" spans="1:3">
      <c r="A1785" s="53">
        <f t="shared" si="221"/>
        <v>47256</v>
      </c>
      <c r="B1785" s="41">
        <f t="shared" si="222"/>
        <v>47256</v>
      </c>
      <c r="C1785" s="42" t="str">
        <f t="shared" si="220"/>
        <v>第3  金曜日</v>
      </c>
    </row>
    <row r="1786" spans="1:3">
      <c r="A1786" s="53">
        <f t="shared" si="221"/>
        <v>47257</v>
      </c>
      <c r="B1786" s="41">
        <f t="shared" si="222"/>
        <v>47257</v>
      </c>
      <c r="C1786" s="42" t="str">
        <f t="shared" si="220"/>
        <v>第3  土曜日</v>
      </c>
    </row>
    <row r="1787" spans="1:3">
      <c r="A1787" s="53">
        <f t="shared" si="221"/>
        <v>47258</v>
      </c>
      <c r="B1787" s="41">
        <f t="shared" si="222"/>
        <v>47258</v>
      </c>
      <c r="C1787" s="42" t="str">
        <f t="shared" si="220"/>
        <v>第3  日曜日</v>
      </c>
    </row>
    <row r="1788" spans="1:3">
      <c r="A1788" s="53">
        <f t="shared" si="221"/>
        <v>47259</v>
      </c>
      <c r="B1788" s="41">
        <f t="shared" si="222"/>
        <v>47259</v>
      </c>
      <c r="C1788" s="42" t="str">
        <f t="shared" si="220"/>
        <v>第3  月曜日</v>
      </c>
    </row>
    <row r="1789" spans="1:3">
      <c r="A1789" s="53">
        <f t="shared" si="221"/>
        <v>47260</v>
      </c>
      <c r="B1789" s="41">
        <f t="shared" si="222"/>
        <v>47260</v>
      </c>
      <c r="C1789" s="42" t="str">
        <f t="shared" si="220"/>
        <v>第4  火曜日</v>
      </c>
    </row>
    <row r="1790" spans="1:3">
      <c r="A1790" s="53">
        <f t="shared" si="221"/>
        <v>47261</v>
      </c>
      <c r="B1790" s="41">
        <f t="shared" si="222"/>
        <v>47261</v>
      </c>
      <c r="C1790" s="42" t="str">
        <f t="shared" si="220"/>
        <v>第4  水曜日</v>
      </c>
    </row>
    <row r="1791" spans="1:3">
      <c r="A1791" s="53">
        <f t="shared" si="221"/>
        <v>47262</v>
      </c>
      <c r="B1791" s="41">
        <f t="shared" si="222"/>
        <v>47262</v>
      </c>
      <c r="C1791" s="42" t="str">
        <f t="shared" si="220"/>
        <v>第4  木曜日</v>
      </c>
    </row>
    <row r="1792" spans="1:3">
      <c r="A1792" s="53">
        <f t="shared" si="221"/>
        <v>47263</v>
      </c>
      <c r="B1792" s="41">
        <f t="shared" si="222"/>
        <v>47263</v>
      </c>
      <c r="C1792" s="42" t="str">
        <f t="shared" si="220"/>
        <v>第4  金曜日</v>
      </c>
    </row>
    <row r="1793" spans="1:3">
      <c r="A1793" s="53">
        <f t="shared" si="221"/>
        <v>47264</v>
      </c>
      <c r="B1793" s="41">
        <f t="shared" si="222"/>
        <v>47264</v>
      </c>
      <c r="C1793" s="42" t="str">
        <f t="shared" si="220"/>
        <v>第4  土曜日</v>
      </c>
    </row>
    <row r="1794" spans="1:3">
      <c r="A1794" s="53">
        <f t="shared" si="221"/>
        <v>47265</v>
      </c>
      <c r="B1794" s="41">
        <f t="shared" si="222"/>
        <v>47265</v>
      </c>
      <c r="C1794" s="42" t="str">
        <f t="shared" si="220"/>
        <v>第4  日曜日</v>
      </c>
    </row>
    <row r="1795" spans="1:3">
      <c r="A1795" s="53">
        <f t="shared" si="221"/>
        <v>47266</v>
      </c>
      <c r="B1795" s="41">
        <f t="shared" si="222"/>
        <v>47266</v>
      </c>
      <c r="C1795" s="42" t="str">
        <f t="shared" si="220"/>
        <v>第4  月曜日</v>
      </c>
    </row>
    <row r="1796" spans="1:3">
      <c r="A1796" s="53">
        <f t="shared" si="221"/>
        <v>47267</v>
      </c>
      <c r="B1796" s="41">
        <f t="shared" si="222"/>
        <v>47267</v>
      </c>
      <c r="C1796" s="42" t="str">
        <f t="shared" si="220"/>
        <v>第5  火曜日</v>
      </c>
    </row>
    <row r="1797" spans="1:3">
      <c r="A1797" s="53">
        <f t="shared" si="221"/>
        <v>47268</v>
      </c>
      <c r="B1797" s="41">
        <f t="shared" si="222"/>
        <v>47268</v>
      </c>
      <c r="C1797" s="42" t="str">
        <f t="shared" si="220"/>
        <v>第5  水曜日</v>
      </c>
    </row>
    <row r="1798" spans="1:3">
      <c r="A1798" s="53">
        <f t="shared" si="221"/>
        <v>47269</v>
      </c>
      <c r="B1798" s="41">
        <f t="shared" si="222"/>
        <v>47269</v>
      </c>
      <c r="C1798" s="42" t="str">
        <f t="shared" si="220"/>
        <v>第5  木曜日</v>
      </c>
    </row>
    <row r="1799" spans="1:3">
      <c r="A1799" s="53">
        <f t="shared" si="221"/>
        <v>47270</v>
      </c>
      <c r="B1799" s="41">
        <f t="shared" si="222"/>
        <v>47270</v>
      </c>
      <c r="C1799" s="42" t="str">
        <f t="shared" si="220"/>
        <v>第1  金曜日</v>
      </c>
    </row>
    <row r="1800" spans="1:3">
      <c r="A1800" s="53">
        <f t="shared" si="221"/>
        <v>47271</v>
      </c>
      <c r="B1800" s="41">
        <f t="shared" si="222"/>
        <v>47271</v>
      </c>
      <c r="C1800" s="42" t="str">
        <f t="shared" si="220"/>
        <v>第1  土曜日</v>
      </c>
    </row>
    <row r="1801" spans="1:3">
      <c r="A1801" s="53">
        <f t="shared" si="221"/>
        <v>47272</v>
      </c>
      <c r="B1801" s="41">
        <f t="shared" si="222"/>
        <v>47272</v>
      </c>
      <c r="C1801" s="42" t="str">
        <f t="shared" si="220"/>
        <v>第1  日曜日</v>
      </c>
    </row>
    <row r="1802" spans="1:3">
      <c r="A1802" s="53">
        <f t="shared" si="221"/>
        <v>47273</v>
      </c>
      <c r="B1802" s="41">
        <f t="shared" si="222"/>
        <v>47273</v>
      </c>
      <c r="C1802" s="42" t="str">
        <f t="shared" si="220"/>
        <v>第1  月曜日</v>
      </c>
    </row>
    <row r="1803" spans="1:3">
      <c r="A1803" s="53">
        <f t="shared" si="221"/>
        <v>47274</v>
      </c>
      <c r="B1803" s="41">
        <f t="shared" si="222"/>
        <v>47274</v>
      </c>
      <c r="C1803" s="42" t="str">
        <f t="shared" si="220"/>
        <v>第1  火曜日</v>
      </c>
    </row>
    <row r="1804" spans="1:3">
      <c r="A1804" s="53">
        <f t="shared" si="221"/>
        <v>47275</v>
      </c>
      <c r="B1804" s="41">
        <f t="shared" si="222"/>
        <v>47275</v>
      </c>
      <c r="C1804" s="42" t="str">
        <f t="shared" ref="C1804:C1850" si="223">"第"&amp;ROUNDUP(DAY(B1804)/7,0)  &amp;"  "&amp;TEXT(B1804,"aaaa")</f>
        <v>第1  水曜日</v>
      </c>
    </row>
    <row r="1805" spans="1:3">
      <c r="A1805" s="53">
        <f t="shared" si="221"/>
        <v>47276</v>
      </c>
      <c r="B1805" s="41">
        <f t="shared" si="222"/>
        <v>47276</v>
      </c>
      <c r="C1805" s="42" t="str">
        <f t="shared" si="223"/>
        <v>第1  木曜日</v>
      </c>
    </row>
    <row r="1806" spans="1:3">
      <c r="A1806" s="53">
        <f t="shared" si="221"/>
        <v>47277</v>
      </c>
      <c r="B1806" s="41">
        <f t="shared" si="222"/>
        <v>47277</v>
      </c>
      <c r="C1806" s="42" t="str">
        <f t="shared" si="223"/>
        <v>第2  金曜日</v>
      </c>
    </row>
    <row r="1807" spans="1:3">
      <c r="A1807" s="53">
        <f t="shared" si="221"/>
        <v>47278</v>
      </c>
      <c r="B1807" s="41">
        <f t="shared" si="222"/>
        <v>47278</v>
      </c>
      <c r="C1807" s="42" t="str">
        <f t="shared" si="223"/>
        <v>第2  土曜日</v>
      </c>
    </row>
    <row r="1808" spans="1:3">
      <c r="A1808" s="53">
        <f t="shared" si="221"/>
        <v>47279</v>
      </c>
      <c r="B1808" s="41">
        <f t="shared" si="222"/>
        <v>47279</v>
      </c>
      <c r="C1808" s="42" t="str">
        <f t="shared" si="223"/>
        <v>第2  日曜日</v>
      </c>
    </row>
    <row r="1809" spans="1:3">
      <c r="A1809" s="53">
        <f t="shared" si="221"/>
        <v>47280</v>
      </c>
      <c r="B1809" s="41">
        <f t="shared" si="222"/>
        <v>47280</v>
      </c>
      <c r="C1809" s="42" t="str">
        <f t="shared" si="223"/>
        <v>第2  月曜日</v>
      </c>
    </row>
    <row r="1810" spans="1:3">
      <c r="A1810" s="53">
        <f t="shared" si="221"/>
        <v>47281</v>
      </c>
      <c r="B1810" s="41">
        <f t="shared" si="222"/>
        <v>47281</v>
      </c>
      <c r="C1810" s="42" t="str">
        <f t="shared" si="223"/>
        <v>第2  火曜日</v>
      </c>
    </row>
    <row r="1811" spans="1:3">
      <c r="A1811" s="53">
        <f t="shared" si="221"/>
        <v>47282</v>
      </c>
      <c r="B1811" s="41">
        <f t="shared" si="222"/>
        <v>47282</v>
      </c>
      <c r="C1811" s="42" t="str">
        <f t="shared" si="223"/>
        <v>第2  水曜日</v>
      </c>
    </row>
    <row r="1812" spans="1:3">
      <c r="A1812" s="53">
        <f t="shared" si="221"/>
        <v>47283</v>
      </c>
      <c r="B1812" s="41">
        <f t="shared" si="222"/>
        <v>47283</v>
      </c>
      <c r="C1812" s="42" t="str">
        <f t="shared" si="223"/>
        <v>第2  木曜日</v>
      </c>
    </row>
    <row r="1813" spans="1:3">
      <c r="A1813" s="53">
        <f t="shared" si="221"/>
        <v>47284</v>
      </c>
      <c r="B1813" s="41">
        <f t="shared" si="222"/>
        <v>47284</v>
      </c>
      <c r="C1813" s="42" t="str">
        <f t="shared" si="223"/>
        <v>第3  金曜日</v>
      </c>
    </row>
    <row r="1814" spans="1:3">
      <c r="A1814" s="53">
        <f t="shared" si="221"/>
        <v>47285</v>
      </c>
      <c r="B1814" s="41">
        <f t="shared" si="222"/>
        <v>47285</v>
      </c>
      <c r="C1814" s="42" t="str">
        <f t="shared" si="223"/>
        <v>第3  土曜日</v>
      </c>
    </row>
    <row r="1815" spans="1:3">
      <c r="A1815" s="53">
        <f t="shared" si="221"/>
        <v>47286</v>
      </c>
      <c r="B1815" s="41">
        <f t="shared" si="222"/>
        <v>47286</v>
      </c>
      <c r="C1815" s="42" t="str">
        <f t="shared" si="223"/>
        <v>第3  日曜日</v>
      </c>
    </row>
    <row r="1816" spans="1:3">
      <c r="A1816" s="53">
        <f t="shared" si="221"/>
        <v>47287</v>
      </c>
      <c r="B1816" s="41">
        <f t="shared" si="222"/>
        <v>47287</v>
      </c>
      <c r="C1816" s="42" t="str">
        <f t="shared" si="223"/>
        <v>第3  月曜日</v>
      </c>
    </row>
    <row r="1817" spans="1:3">
      <c r="A1817" s="53">
        <f t="shared" si="221"/>
        <v>47288</v>
      </c>
      <c r="B1817" s="41">
        <f t="shared" si="222"/>
        <v>47288</v>
      </c>
      <c r="C1817" s="42" t="str">
        <f t="shared" si="223"/>
        <v>第3  火曜日</v>
      </c>
    </row>
    <row r="1818" spans="1:3">
      <c r="A1818" s="53">
        <f t="shared" si="221"/>
        <v>47289</v>
      </c>
      <c r="B1818" s="41">
        <f t="shared" si="222"/>
        <v>47289</v>
      </c>
      <c r="C1818" s="42" t="str">
        <f t="shared" si="223"/>
        <v>第3  水曜日</v>
      </c>
    </row>
    <row r="1819" spans="1:3">
      <c r="A1819" s="53">
        <f t="shared" si="221"/>
        <v>47290</v>
      </c>
      <c r="B1819" s="41">
        <f t="shared" si="222"/>
        <v>47290</v>
      </c>
      <c r="C1819" s="42" t="str">
        <f t="shared" si="223"/>
        <v>第3  木曜日</v>
      </c>
    </row>
    <row r="1820" spans="1:3">
      <c r="A1820" s="53">
        <f t="shared" si="221"/>
        <v>47291</v>
      </c>
      <c r="B1820" s="41">
        <f t="shared" si="222"/>
        <v>47291</v>
      </c>
      <c r="C1820" s="42" t="str">
        <f t="shared" si="223"/>
        <v>第4  金曜日</v>
      </c>
    </row>
    <row r="1821" spans="1:3">
      <c r="A1821" s="53">
        <f t="shared" si="221"/>
        <v>47292</v>
      </c>
      <c r="B1821" s="41">
        <f t="shared" si="222"/>
        <v>47292</v>
      </c>
      <c r="C1821" s="42" t="str">
        <f t="shared" si="223"/>
        <v>第4  土曜日</v>
      </c>
    </row>
    <row r="1822" spans="1:3">
      <c r="A1822" s="53">
        <f t="shared" si="221"/>
        <v>47293</v>
      </c>
      <c r="B1822" s="41">
        <f t="shared" si="222"/>
        <v>47293</v>
      </c>
      <c r="C1822" s="42" t="str">
        <f t="shared" si="223"/>
        <v>第4  日曜日</v>
      </c>
    </row>
    <row r="1823" spans="1:3">
      <c r="A1823" s="53">
        <f t="shared" si="221"/>
        <v>47294</v>
      </c>
      <c r="B1823" s="41">
        <f t="shared" si="222"/>
        <v>47294</v>
      </c>
      <c r="C1823" s="42" t="str">
        <f t="shared" si="223"/>
        <v>第4  月曜日</v>
      </c>
    </row>
    <row r="1824" spans="1:3">
      <c r="A1824" s="53">
        <f t="shared" ref="A1824:A1850" si="224">B1824</f>
        <v>47295</v>
      </c>
      <c r="B1824" s="41">
        <f t="shared" si="222"/>
        <v>47295</v>
      </c>
      <c r="C1824" s="42" t="str">
        <f t="shared" si="223"/>
        <v>第4  火曜日</v>
      </c>
    </row>
    <row r="1825" spans="1:3">
      <c r="A1825" s="53">
        <f t="shared" si="224"/>
        <v>47296</v>
      </c>
      <c r="B1825" s="41">
        <f t="shared" si="222"/>
        <v>47296</v>
      </c>
      <c r="C1825" s="42" t="str">
        <f t="shared" si="223"/>
        <v>第4  水曜日</v>
      </c>
    </row>
    <row r="1826" spans="1:3">
      <c r="A1826" s="53">
        <f t="shared" si="224"/>
        <v>47297</v>
      </c>
      <c r="B1826" s="41">
        <f t="shared" si="222"/>
        <v>47297</v>
      </c>
      <c r="C1826" s="42" t="str">
        <f t="shared" si="223"/>
        <v>第4  木曜日</v>
      </c>
    </row>
    <row r="1827" spans="1:3">
      <c r="A1827" s="53">
        <f t="shared" si="224"/>
        <v>47298</v>
      </c>
      <c r="B1827" s="41">
        <f t="shared" si="222"/>
        <v>47298</v>
      </c>
      <c r="C1827" s="42" t="str">
        <f t="shared" si="223"/>
        <v>第5  金曜日</v>
      </c>
    </row>
    <row r="1828" spans="1:3">
      <c r="A1828" s="53">
        <f t="shared" si="224"/>
        <v>47299</v>
      </c>
      <c r="B1828" s="41">
        <f t="shared" si="222"/>
        <v>47299</v>
      </c>
      <c r="C1828" s="42" t="str">
        <f t="shared" si="223"/>
        <v>第5  土曜日</v>
      </c>
    </row>
    <row r="1829" spans="1:3">
      <c r="A1829" s="53">
        <f t="shared" si="224"/>
        <v>47300</v>
      </c>
      <c r="B1829" s="41">
        <f t="shared" si="222"/>
        <v>47300</v>
      </c>
      <c r="C1829" s="42" t="str">
        <f t="shared" si="223"/>
        <v>第1  日曜日</v>
      </c>
    </row>
    <row r="1830" spans="1:3">
      <c r="A1830" s="53">
        <f t="shared" si="224"/>
        <v>47301</v>
      </c>
      <c r="B1830" s="41">
        <f t="shared" si="222"/>
        <v>47301</v>
      </c>
      <c r="C1830" s="42" t="str">
        <f t="shared" si="223"/>
        <v>第1  月曜日</v>
      </c>
    </row>
    <row r="1831" spans="1:3">
      <c r="A1831" s="53">
        <f t="shared" si="224"/>
        <v>47302</v>
      </c>
      <c r="B1831" s="41">
        <f t="shared" si="222"/>
        <v>47302</v>
      </c>
      <c r="C1831" s="42" t="str">
        <f t="shared" si="223"/>
        <v>第1  火曜日</v>
      </c>
    </row>
    <row r="1832" spans="1:3">
      <c r="A1832" s="53">
        <f t="shared" si="224"/>
        <v>47303</v>
      </c>
      <c r="B1832" s="41">
        <f t="shared" si="222"/>
        <v>47303</v>
      </c>
      <c r="C1832" s="42" t="str">
        <f t="shared" si="223"/>
        <v>第1  水曜日</v>
      </c>
    </row>
    <row r="1833" spans="1:3">
      <c r="A1833" s="53">
        <f t="shared" si="224"/>
        <v>47304</v>
      </c>
      <c r="B1833" s="41">
        <f t="shared" si="222"/>
        <v>47304</v>
      </c>
      <c r="C1833" s="42" t="str">
        <f t="shared" si="223"/>
        <v>第1  木曜日</v>
      </c>
    </row>
    <row r="1834" spans="1:3">
      <c r="A1834" s="53">
        <f t="shared" si="224"/>
        <v>47305</v>
      </c>
      <c r="B1834" s="41">
        <f t="shared" si="222"/>
        <v>47305</v>
      </c>
      <c r="C1834" s="42" t="str">
        <f t="shared" si="223"/>
        <v>第1  金曜日</v>
      </c>
    </row>
    <row r="1835" spans="1:3">
      <c r="A1835" s="53">
        <f t="shared" si="224"/>
        <v>47306</v>
      </c>
      <c r="B1835" s="41">
        <f t="shared" si="222"/>
        <v>47306</v>
      </c>
      <c r="C1835" s="42" t="str">
        <f t="shared" si="223"/>
        <v>第1  土曜日</v>
      </c>
    </row>
    <row r="1836" spans="1:3">
      <c r="A1836" s="53">
        <f t="shared" si="224"/>
        <v>47307</v>
      </c>
      <c r="B1836" s="41">
        <f t="shared" si="222"/>
        <v>47307</v>
      </c>
      <c r="C1836" s="42" t="str">
        <f t="shared" si="223"/>
        <v>第2  日曜日</v>
      </c>
    </row>
    <row r="1837" spans="1:3">
      <c r="A1837" s="53">
        <f t="shared" si="224"/>
        <v>47308</v>
      </c>
      <c r="B1837" s="41">
        <f t="shared" si="222"/>
        <v>47308</v>
      </c>
      <c r="C1837" s="42" t="str">
        <f t="shared" si="223"/>
        <v>第2  月曜日</v>
      </c>
    </row>
    <row r="1838" spans="1:3">
      <c r="A1838" s="53">
        <f t="shared" si="224"/>
        <v>47309</v>
      </c>
      <c r="B1838" s="41">
        <f t="shared" si="222"/>
        <v>47309</v>
      </c>
      <c r="C1838" s="42" t="str">
        <f t="shared" si="223"/>
        <v>第2  火曜日</v>
      </c>
    </row>
    <row r="1839" spans="1:3">
      <c r="A1839" s="53">
        <f t="shared" si="224"/>
        <v>47310</v>
      </c>
      <c r="B1839" s="41">
        <f t="shared" si="222"/>
        <v>47310</v>
      </c>
      <c r="C1839" s="42" t="str">
        <f t="shared" si="223"/>
        <v>第2  水曜日</v>
      </c>
    </row>
    <row r="1840" spans="1:3">
      <c r="A1840" s="53">
        <f t="shared" si="224"/>
        <v>47311</v>
      </c>
      <c r="B1840" s="41">
        <f t="shared" si="222"/>
        <v>47311</v>
      </c>
      <c r="C1840" s="42" t="str">
        <f t="shared" si="223"/>
        <v>第2  木曜日</v>
      </c>
    </row>
    <row r="1841" spans="1:3">
      <c r="A1841" s="53">
        <f t="shared" si="224"/>
        <v>47312</v>
      </c>
      <c r="B1841" s="41">
        <f t="shared" si="222"/>
        <v>47312</v>
      </c>
      <c r="C1841" s="42" t="str">
        <f t="shared" si="223"/>
        <v>第2  金曜日</v>
      </c>
    </row>
    <row r="1842" spans="1:3">
      <c r="A1842" s="53">
        <f t="shared" si="224"/>
        <v>47313</v>
      </c>
      <c r="B1842" s="41">
        <f t="shared" si="222"/>
        <v>47313</v>
      </c>
      <c r="C1842" s="42" t="str">
        <f t="shared" si="223"/>
        <v>第2  土曜日</v>
      </c>
    </row>
    <row r="1843" spans="1:3">
      <c r="A1843" s="53">
        <f t="shared" si="224"/>
        <v>47314</v>
      </c>
      <c r="B1843" s="41">
        <f t="shared" si="222"/>
        <v>47314</v>
      </c>
      <c r="C1843" s="42" t="str">
        <f t="shared" si="223"/>
        <v>第3  日曜日</v>
      </c>
    </row>
    <row r="1844" spans="1:3">
      <c r="A1844" s="53">
        <f t="shared" si="224"/>
        <v>47315</v>
      </c>
      <c r="B1844" s="41">
        <f t="shared" si="222"/>
        <v>47315</v>
      </c>
      <c r="C1844" s="42" t="str">
        <f t="shared" si="223"/>
        <v>第3  月曜日</v>
      </c>
    </row>
    <row r="1845" spans="1:3">
      <c r="A1845" s="53">
        <f t="shared" si="224"/>
        <v>47316</v>
      </c>
      <c r="B1845" s="41">
        <f t="shared" si="222"/>
        <v>47316</v>
      </c>
      <c r="C1845" s="42" t="str">
        <f t="shared" si="223"/>
        <v>第3  火曜日</v>
      </c>
    </row>
    <row r="1846" spans="1:3">
      <c r="A1846" s="53">
        <f t="shared" si="224"/>
        <v>47317</v>
      </c>
      <c r="B1846" s="41">
        <f t="shared" si="222"/>
        <v>47317</v>
      </c>
      <c r="C1846" s="42" t="str">
        <f t="shared" si="223"/>
        <v>第3  水曜日</v>
      </c>
    </row>
    <row r="1847" spans="1:3">
      <c r="A1847" s="53">
        <f t="shared" si="224"/>
        <v>47318</v>
      </c>
      <c r="B1847" s="41">
        <f t="shared" ref="B1847:B1850" si="225">B1846+1</f>
        <v>47318</v>
      </c>
      <c r="C1847" s="42" t="str">
        <f t="shared" si="223"/>
        <v>第3  木曜日</v>
      </c>
    </row>
    <row r="1848" spans="1:3">
      <c r="A1848" s="53">
        <f t="shared" si="224"/>
        <v>47319</v>
      </c>
      <c r="B1848" s="41">
        <f t="shared" si="225"/>
        <v>47319</v>
      </c>
      <c r="C1848" s="42" t="str">
        <f t="shared" si="223"/>
        <v>第3  金曜日</v>
      </c>
    </row>
    <row r="1849" spans="1:3">
      <c r="A1849" s="53">
        <f t="shared" si="224"/>
        <v>47320</v>
      </c>
      <c r="B1849" s="41">
        <f t="shared" si="225"/>
        <v>47320</v>
      </c>
      <c r="C1849" s="42" t="str">
        <f t="shared" si="223"/>
        <v>第3  土曜日</v>
      </c>
    </row>
    <row r="1850" spans="1:3">
      <c r="A1850" s="53">
        <f t="shared" si="224"/>
        <v>47321</v>
      </c>
      <c r="B1850" s="41">
        <f t="shared" si="225"/>
        <v>47321</v>
      </c>
      <c r="C1850" s="42" t="str">
        <f t="shared" si="223"/>
        <v>第4  日曜日</v>
      </c>
    </row>
  </sheetData>
  <phoneticPr fontId="32"/>
  <conditionalFormatting sqref="B3:L3 M11:R16 M18:R23 M25:R30 M32:R35 E36:R37 M39:R44 M46:R51 M60:N65 M67:N72 M74:N79 M81:N86 M88:N93 M95:N100 M102:N107 M109:N114 M116:N121 M123:N128 M130:N135 M137:N142 M144:N149 M151:N156 M158:N163 M165:N170 M172:N177 M179:N184 M186:N191 M53:N58 P53:R58 P193:R198 P186:R191 P179:R184 P172:R177 P165:R170 P158:R163 P151:R156 P144:R149 P137:R142 P130:R135 P123:R128 P116:R121 P109:R114 P102:R107 P95:R100 P88:R93 P81:R86 P74:R79 P67:R72 P60:R65 O52:O198 E10:L33 E4:R9 I50:L246 F130:F246 E193:N198 E38:L192 E199:R640 F641:R641 B1851:R1047724 B4:D202 D1436:R1850 B203:C1850 D203:D1435 E642:R1435">
    <cfRule type="expression" dxfId="2663" priority="89">
      <formula>WEEKDAY($B5)=3</formula>
    </cfRule>
    <cfRule type="expression" dxfId="2662" priority="96">
      <formula>$D3&lt;&gt;""</formula>
    </cfRule>
    <cfRule type="expression" dxfId="2661" priority="97">
      <formula>WEEKDAY($B5)=2</formula>
    </cfRule>
  </conditionalFormatting>
  <conditionalFormatting sqref="E3:L191 F192:L192 E190:E192 E193:L640 F641:L641 E642:L723 E1227:L1048576 F724:F1226 G725:L1226 E725:E1226">
    <cfRule type="expression" dxfId="2660" priority="95">
      <formula>$E3&lt;&gt;""</formula>
    </cfRule>
  </conditionalFormatting>
  <conditionalFormatting sqref="G35:G36 E34:L35">
    <cfRule type="expression" dxfId="2659" priority="104332">
      <formula>WEEKDAY(#REF!)=3</formula>
    </cfRule>
    <cfRule type="expression" dxfId="2658" priority="104333">
      <formula>$D34&lt;&gt;""</formula>
    </cfRule>
    <cfRule type="expression" dxfId="2657" priority="104334">
      <formula>WEEKDAY(#REF!)=2</formula>
    </cfRule>
  </conditionalFormatting>
  <conditionalFormatting sqref="B1047725:R1048576">
    <cfRule type="expression" dxfId="2656" priority="104353">
      <formula>WEEKDAY($B1)=3</formula>
    </cfRule>
    <cfRule type="expression" dxfId="2655" priority="104354">
      <formula>$D1047725&lt;&gt;""</formula>
    </cfRule>
    <cfRule type="expression" dxfId="2654" priority="104355">
      <formula>WEEKDAY($B1)=2</formula>
    </cfRule>
  </conditionalFormatting>
  <conditionalFormatting sqref="M3:R3 M10:R10 M17:R17 M24:R24 M31:R31 M38:R38 M45:R45 M59:N59 M66:N66 M73:N73 M80:N80 M87:N87 M94:N94 M101:N101 M108:N108 M115:N115 M122:N122 M129:N129 M136:N136 M143:N143 M150:N150 M157:N157 M164:N164 M171:N171 M178:N178 M185:N185 M192:N192 M52:N52 P52:R52 P192:R192 P185:R185 P178:R178 P171:R171 P164:R164 P157:R157 P150:R150 P143:R143 P136:R136 P129:R129 P122:R122 P115:R115 P108:R108 P101:R101 P94:R94 P87:R87 P80:R80 P73:R73 P66:R66 P59:R59">
    <cfRule type="expression" dxfId="2653" priority="32">
      <formula>WEEKDAY($B5)=3</formula>
    </cfRule>
    <cfRule type="expression" dxfId="2652" priority="33">
      <formula>$D3&lt;&gt;""</formula>
    </cfRule>
    <cfRule type="expression" dxfId="2651" priority="34">
      <formula>WEEKDAY($B5)=2</formula>
    </cfRule>
  </conditionalFormatting>
  <conditionalFormatting sqref="T34:AC94">
    <cfRule type="cellIs" dxfId="2650" priority="18" operator="equal">
      <formula>"+1休日"</formula>
    </cfRule>
    <cfRule type="cellIs" dxfId="2649" priority="19" operator="equal">
      <formula>"早出"</formula>
    </cfRule>
    <cfRule type="cellIs" dxfId="2648" priority="20" operator="equal">
      <formula>"早出D"</formula>
    </cfRule>
    <cfRule type="cellIs" dxfId="2647" priority="21" operator="equal">
      <formula>"D"</formula>
    </cfRule>
    <cfRule type="cellIs" dxfId="2646" priority="22" operator="equal">
      <formula>"早朝ESPOT"</formula>
    </cfRule>
    <cfRule type="cellIs" dxfId="2645" priority="23" operator="equal">
      <formula>"自衛隊"</formula>
    </cfRule>
    <cfRule type="cellIs" dxfId="2644" priority="24" operator="equal">
      <formula>"富士電線"</formula>
    </cfRule>
    <cfRule type="cellIs" dxfId="2643" priority="25" operator="equal">
      <formula>"休み"</formula>
    </cfRule>
  </conditionalFormatting>
  <conditionalFormatting sqref="E83">
    <cfRule type="expression" dxfId="2642" priority="6">
      <formula>WEEKDAY(#REF!)=3</formula>
    </cfRule>
    <cfRule type="expression" dxfId="2641" priority="7">
      <formula>$D83&lt;&gt;""</formula>
    </cfRule>
    <cfRule type="expression" dxfId="2640" priority="8">
      <formula>WEEKDAY(#REF!)=2</formula>
    </cfRule>
  </conditionalFormatting>
  <conditionalFormatting sqref="E179">
    <cfRule type="expression" dxfId="2639" priority="3">
      <formula>WEEKDAY(#REF!)=3</formula>
    </cfRule>
    <cfRule type="expression" dxfId="2638" priority="4">
      <formula>$D179&lt;&gt;""</formula>
    </cfRule>
    <cfRule type="expression" dxfId="2637" priority="5">
      <formula>WEEKDAY(#REF!)=2</formula>
    </cfRule>
  </conditionalFormatting>
  <conditionalFormatting sqref="E724 G724:L724">
    <cfRule type="expression" dxfId="2636" priority="146838">
      <formula>#REF!&lt;&gt;""</formula>
    </cfRule>
  </conditionalFormatting>
  <dataValidations count="1">
    <dataValidation type="list" errorStyle="information" allowBlank="1" showDropDown="1" showInputMessage="1" showErrorMessage="1" sqref="T34:AC94" xr:uid="{138F6DCC-4D1B-424C-9D53-E288DCA7B38C}">
      <formula1>$X$3:$X$19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カレンダーから入力_Click2">
                <anchor moveWithCells="1">
                  <from>
                    <xdr:col>1</xdr:col>
                    <xdr:colOff>57150</xdr:colOff>
                    <xdr:row>0</xdr:row>
                    <xdr:rowOff>0</xdr:rowOff>
                  </from>
                  <to>
                    <xdr:col>1</xdr:col>
                    <xdr:colOff>838200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4F70-DEF4-4361-88AA-6EB2E10FC9C6}">
  <sheetPr codeName="Sheet5"/>
  <dimension ref="A1:P130"/>
  <sheetViews>
    <sheetView zoomScale="85" zoomScaleNormal="85" workbookViewId="0">
      <pane ySplit="1" topLeftCell="A110" activePane="bottomLeft" state="frozen"/>
      <selection pane="bottomLeft" activeCell="C34" sqref="C34"/>
    </sheetView>
  </sheetViews>
  <sheetFormatPr defaultRowHeight="15"/>
  <cols>
    <col min="1" max="1" width="8.42578125" style="44" bestFit="1" customWidth="1"/>
    <col min="2" max="2" width="24.140625" bestFit="1" customWidth="1"/>
    <col min="3" max="3" width="25.28515625" bestFit="1" customWidth="1"/>
    <col min="4" max="14" width="6.7109375" bestFit="1" customWidth="1"/>
    <col min="15" max="15" width="17.28515625" bestFit="1" customWidth="1"/>
  </cols>
  <sheetData>
    <row r="1" spans="1:16">
      <c r="A1" s="44" t="s">
        <v>491</v>
      </c>
      <c r="B1" t="s">
        <v>492</v>
      </c>
      <c r="C1" t="s">
        <v>493</v>
      </c>
      <c r="D1" t="s">
        <v>494</v>
      </c>
      <c r="E1" t="s">
        <v>495</v>
      </c>
      <c r="F1" t="s">
        <v>496</v>
      </c>
      <c r="G1" t="s">
        <v>497</v>
      </c>
      <c r="H1" t="s">
        <v>498</v>
      </c>
      <c r="I1" t="s">
        <v>499</v>
      </c>
      <c r="J1" t="s">
        <v>500</v>
      </c>
      <c r="K1" t="s">
        <v>501</v>
      </c>
      <c r="L1" t="s">
        <v>502</v>
      </c>
      <c r="M1" t="s">
        <v>503</v>
      </c>
      <c r="N1" t="s">
        <v>504</v>
      </c>
      <c r="O1" t="s">
        <v>505</v>
      </c>
      <c r="P1" t="s">
        <v>506</v>
      </c>
    </row>
    <row r="2" spans="1:16">
      <c r="A2" s="44">
        <v>1</v>
      </c>
      <c r="B2" t="s">
        <v>22</v>
      </c>
      <c r="C2" t="s">
        <v>616</v>
      </c>
      <c r="D2" s="115" t="b">
        <v>0</v>
      </c>
      <c r="E2" s="115" t="b">
        <v>0</v>
      </c>
      <c r="F2" s="115" t="b">
        <v>1</v>
      </c>
      <c r="G2" s="115" t="b">
        <v>1</v>
      </c>
      <c r="H2" s="115" t="b">
        <v>1</v>
      </c>
      <c r="I2" s="115" t="b">
        <v>1</v>
      </c>
      <c r="J2" s="115" t="b">
        <v>1</v>
      </c>
      <c r="K2" s="115" t="b">
        <v>0</v>
      </c>
      <c r="L2" s="115" t="b">
        <v>1</v>
      </c>
      <c r="M2" s="115" t="b">
        <v>0</v>
      </c>
      <c r="N2" s="115" t="b">
        <v>1</v>
      </c>
    </row>
    <row r="3" spans="1:16">
      <c r="A3" s="44">
        <v>2</v>
      </c>
      <c r="B3" t="s">
        <v>507</v>
      </c>
      <c r="C3" t="s">
        <v>508</v>
      </c>
      <c r="D3" s="115" t="b">
        <v>0</v>
      </c>
      <c r="E3" s="115" t="b">
        <v>1</v>
      </c>
      <c r="F3" s="115" t="b">
        <v>0</v>
      </c>
      <c r="G3" s="115" t="b">
        <v>0</v>
      </c>
      <c r="H3" s="115" t="b">
        <v>0</v>
      </c>
      <c r="I3" s="115" t="b">
        <v>0</v>
      </c>
      <c r="J3" s="115" t="b">
        <v>0</v>
      </c>
      <c r="K3" s="115" t="b">
        <v>0</v>
      </c>
      <c r="L3" s="115" t="b">
        <v>0</v>
      </c>
      <c r="M3" s="115" t="b">
        <v>1</v>
      </c>
      <c r="N3" s="115" t="b">
        <v>1</v>
      </c>
      <c r="O3" t="s">
        <v>690</v>
      </c>
    </row>
    <row r="4" spans="1:16">
      <c r="A4" s="44">
        <v>3</v>
      </c>
      <c r="B4" t="s">
        <v>33</v>
      </c>
      <c r="C4" t="s">
        <v>236</v>
      </c>
      <c r="D4" s="115" t="b">
        <v>0</v>
      </c>
      <c r="E4" s="115" t="b">
        <v>0</v>
      </c>
      <c r="F4" s="115" t="b">
        <v>0</v>
      </c>
      <c r="G4" s="115" t="b">
        <v>0</v>
      </c>
      <c r="H4" s="115" t="b">
        <v>1</v>
      </c>
      <c r="I4" s="115" t="b">
        <v>0</v>
      </c>
      <c r="J4" s="115" t="b">
        <v>0</v>
      </c>
      <c r="K4" s="115" t="b">
        <v>0</v>
      </c>
      <c r="L4" s="115" t="b">
        <v>0</v>
      </c>
      <c r="M4" s="115" t="b">
        <v>0</v>
      </c>
      <c r="N4" s="115" t="b">
        <v>1</v>
      </c>
    </row>
    <row r="5" spans="1:16">
      <c r="A5" s="44">
        <v>4</v>
      </c>
      <c r="B5" t="s">
        <v>509</v>
      </c>
      <c r="C5" t="s">
        <v>510</v>
      </c>
      <c r="D5" s="115" t="b">
        <v>1</v>
      </c>
      <c r="E5" s="115" t="b">
        <v>0</v>
      </c>
      <c r="F5" s="115" t="b">
        <v>0</v>
      </c>
      <c r="G5" s="115" t="b">
        <v>0</v>
      </c>
      <c r="H5" s="115" t="b">
        <v>0</v>
      </c>
      <c r="I5" s="115" t="b">
        <v>0</v>
      </c>
      <c r="J5" s="115" t="b">
        <v>0</v>
      </c>
      <c r="K5" s="115" t="b">
        <v>0</v>
      </c>
      <c r="L5" s="115" t="b">
        <v>0</v>
      </c>
      <c r="M5" s="115" t="b">
        <v>0</v>
      </c>
      <c r="N5" s="115" t="b">
        <v>1</v>
      </c>
    </row>
    <row r="6" spans="1:16">
      <c r="A6" s="44">
        <v>5</v>
      </c>
      <c r="B6" t="s">
        <v>365</v>
      </c>
      <c r="C6" t="s">
        <v>366</v>
      </c>
      <c r="D6" s="115" t="b">
        <v>0</v>
      </c>
      <c r="E6" s="115" t="b">
        <v>0</v>
      </c>
      <c r="F6" s="115" t="b">
        <v>0</v>
      </c>
      <c r="G6" s="115" t="b">
        <v>1</v>
      </c>
      <c r="H6" s="115" t="b">
        <v>0</v>
      </c>
      <c r="I6" s="115" t="b">
        <v>0</v>
      </c>
      <c r="J6" s="115" t="b">
        <v>0</v>
      </c>
      <c r="K6" s="115" t="b">
        <v>0</v>
      </c>
      <c r="L6" s="115" t="b">
        <v>0</v>
      </c>
      <c r="M6" s="115" t="b">
        <v>1</v>
      </c>
      <c r="N6" s="115" t="b">
        <v>1</v>
      </c>
      <c r="O6" t="s">
        <v>711</v>
      </c>
    </row>
    <row r="7" spans="1:16">
      <c r="A7" s="44">
        <v>6</v>
      </c>
      <c r="B7" t="s">
        <v>39</v>
      </c>
      <c r="C7" t="s">
        <v>362</v>
      </c>
      <c r="D7" s="115" t="b">
        <v>1</v>
      </c>
      <c r="E7" s="115" t="b">
        <v>0</v>
      </c>
      <c r="F7" s="115" t="b">
        <v>0</v>
      </c>
      <c r="G7" s="115" t="b">
        <v>0</v>
      </c>
      <c r="H7" s="115" t="b">
        <v>1</v>
      </c>
      <c r="I7" s="115" t="b">
        <v>0</v>
      </c>
      <c r="J7" s="115" t="b">
        <v>0</v>
      </c>
      <c r="K7" s="115" t="b">
        <v>0</v>
      </c>
      <c r="L7" s="115" t="b">
        <v>0</v>
      </c>
      <c r="M7" s="115" t="b">
        <v>0</v>
      </c>
      <c r="N7" s="115" t="b">
        <v>1</v>
      </c>
    </row>
    <row r="8" spans="1:16">
      <c r="A8" s="44">
        <v>7</v>
      </c>
      <c r="B8" t="s">
        <v>514</v>
      </c>
      <c r="C8" t="s">
        <v>515</v>
      </c>
      <c r="D8" s="115" t="b">
        <v>0</v>
      </c>
      <c r="E8" s="115" t="b">
        <v>1</v>
      </c>
      <c r="F8" s="115" t="b">
        <v>1</v>
      </c>
      <c r="G8" s="115" t="b">
        <v>1</v>
      </c>
      <c r="H8" s="115" t="b">
        <v>1</v>
      </c>
      <c r="I8" s="115" t="b">
        <v>0</v>
      </c>
      <c r="J8" s="115" t="b">
        <v>0</v>
      </c>
      <c r="K8" s="115" t="b">
        <v>0</v>
      </c>
      <c r="L8" s="115" t="b">
        <v>0</v>
      </c>
      <c r="M8" s="115" t="b">
        <v>0</v>
      </c>
      <c r="N8" s="115" t="b">
        <v>1</v>
      </c>
    </row>
    <row r="9" spans="1:16">
      <c r="A9" s="44">
        <v>8</v>
      </c>
      <c r="B9" t="s">
        <v>516</v>
      </c>
      <c r="C9" t="s">
        <v>516</v>
      </c>
      <c r="D9" s="115" t="b">
        <v>0</v>
      </c>
      <c r="E9" s="115" t="b">
        <v>0</v>
      </c>
      <c r="F9" s="115" t="b">
        <v>0</v>
      </c>
      <c r="G9" s="115" t="b">
        <v>0</v>
      </c>
      <c r="H9" s="115" t="b">
        <v>0</v>
      </c>
      <c r="I9" s="115" t="b">
        <v>1</v>
      </c>
      <c r="J9" s="115" t="b">
        <v>0</v>
      </c>
      <c r="K9" s="115" t="b">
        <v>0</v>
      </c>
      <c r="L9" s="115" t="b">
        <v>0</v>
      </c>
      <c r="M9" s="115" t="b">
        <v>0</v>
      </c>
      <c r="N9" s="115" t="b">
        <v>0</v>
      </c>
    </row>
    <row r="10" spans="1:16">
      <c r="A10" s="44">
        <v>9</v>
      </c>
      <c r="B10" t="s">
        <v>367</v>
      </c>
      <c r="C10" t="s">
        <v>265</v>
      </c>
      <c r="D10" s="115" t="b">
        <v>0</v>
      </c>
      <c r="E10" s="115" t="b">
        <v>0</v>
      </c>
      <c r="F10" s="115" t="b">
        <v>1</v>
      </c>
      <c r="G10" s="115" t="b">
        <v>0</v>
      </c>
      <c r="H10" s="115" t="b">
        <v>1</v>
      </c>
      <c r="I10" s="115" t="b">
        <v>0</v>
      </c>
      <c r="J10" s="115" t="b">
        <v>1</v>
      </c>
      <c r="K10" s="115" t="b">
        <v>0</v>
      </c>
      <c r="L10" s="115" t="b">
        <v>1</v>
      </c>
      <c r="M10" s="115" t="b">
        <v>0</v>
      </c>
      <c r="N10" s="115" t="b">
        <v>1</v>
      </c>
    </row>
    <row r="11" spans="1:16">
      <c r="A11" s="44">
        <v>10</v>
      </c>
      <c r="B11" t="s">
        <v>517</v>
      </c>
      <c r="C11" t="s">
        <v>446</v>
      </c>
      <c r="D11" s="115" t="b">
        <v>0</v>
      </c>
      <c r="E11" s="115" t="b">
        <v>1</v>
      </c>
      <c r="F11" s="115" t="b">
        <v>0</v>
      </c>
      <c r="G11" s="115" t="b">
        <v>1</v>
      </c>
      <c r="H11" s="115" t="b">
        <v>0</v>
      </c>
      <c r="I11" s="115" t="b">
        <v>1</v>
      </c>
      <c r="J11" s="115" t="b">
        <v>0</v>
      </c>
      <c r="K11" s="115" t="b">
        <v>0</v>
      </c>
      <c r="L11" s="115" t="b">
        <v>1</v>
      </c>
      <c r="M11" s="115" t="b">
        <v>0</v>
      </c>
      <c r="N11" s="115" t="b">
        <v>1</v>
      </c>
    </row>
    <row r="12" spans="1:16">
      <c r="A12" s="44">
        <v>11</v>
      </c>
      <c r="B12" t="s">
        <v>47</v>
      </c>
      <c r="C12" t="s">
        <v>518</v>
      </c>
      <c r="D12" s="115" t="b">
        <v>0</v>
      </c>
      <c r="E12" s="115" t="b">
        <v>0</v>
      </c>
      <c r="F12" s="115" t="b">
        <v>0</v>
      </c>
      <c r="G12" s="115" t="b">
        <v>0</v>
      </c>
      <c r="H12" s="115" t="b">
        <v>1</v>
      </c>
      <c r="I12" s="115" t="b">
        <v>0</v>
      </c>
      <c r="J12" s="115" t="b">
        <v>0</v>
      </c>
      <c r="K12" s="115" t="b">
        <v>0</v>
      </c>
      <c r="L12" s="115" t="b">
        <v>0</v>
      </c>
      <c r="M12" s="115" t="b">
        <v>1</v>
      </c>
      <c r="N12" s="115" t="b">
        <v>1</v>
      </c>
      <c r="O12" t="s">
        <v>626</v>
      </c>
    </row>
    <row r="13" spans="1:16">
      <c r="A13" s="44">
        <v>12</v>
      </c>
      <c r="B13" t="s">
        <v>368</v>
      </c>
      <c r="C13" t="s">
        <v>615</v>
      </c>
      <c r="D13" s="115" t="b">
        <v>0</v>
      </c>
      <c r="E13" s="115" t="b">
        <v>1</v>
      </c>
      <c r="F13" s="115" t="b">
        <v>1</v>
      </c>
      <c r="G13" s="115" t="b">
        <v>1</v>
      </c>
      <c r="H13" s="115" t="b">
        <v>0</v>
      </c>
      <c r="I13" s="115" t="b">
        <v>1</v>
      </c>
      <c r="J13" s="115" t="b">
        <v>0</v>
      </c>
      <c r="K13" s="115" t="b">
        <v>0</v>
      </c>
      <c r="L13" s="115" t="b">
        <v>1</v>
      </c>
      <c r="M13" s="115" t="b">
        <v>0</v>
      </c>
      <c r="N13" s="115" t="b">
        <v>1</v>
      </c>
    </row>
    <row r="14" spans="1:16">
      <c r="A14" s="44">
        <v>13</v>
      </c>
      <c r="B14" t="s">
        <v>55</v>
      </c>
      <c r="C14" t="s">
        <v>56</v>
      </c>
      <c r="D14" s="115" t="b">
        <v>0</v>
      </c>
      <c r="E14" s="115" t="b">
        <v>1</v>
      </c>
      <c r="F14" s="115" t="b">
        <v>0</v>
      </c>
      <c r="G14" s="115" t="b">
        <v>1</v>
      </c>
      <c r="H14" s="115" t="b">
        <v>1</v>
      </c>
      <c r="I14" s="115" t="b">
        <v>1</v>
      </c>
      <c r="J14" s="115" t="b">
        <v>0</v>
      </c>
      <c r="K14" s="115" t="b">
        <v>1</v>
      </c>
      <c r="L14" s="115" t="b">
        <v>1</v>
      </c>
      <c r="M14" s="115" t="b">
        <v>0</v>
      </c>
      <c r="N14" s="115" t="b">
        <v>1</v>
      </c>
    </row>
    <row r="15" spans="1:16">
      <c r="A15" s="44">
        <v>14</v>
      </c>
      <c r="B15" t="s">
        <v>59</v>
      </c>
      <c r="C15" t="s">
        <v>51</v>
      </c>
      <c r="D15" s="115" t="b">
        <v>0</v>
      </c>
      <c r="E15" s="115" t="b">
        <v>1</v>
      </c>
      <c r="F15" s="115" t="b">
        <v>1</v>
      </c>
      <c r="G15" s="115" t="b">
        <v>1</v>
      </c>
      <c r="H15" s="115" t="b">
        <v>1</v>
      </c>
      <c r="I15" s="115" t="b">
        <v>1</v>
      </c>
      <c r="J15" s="115" t="b">
        <v>0</v>
      </c>
      <c r="K15" s="115" t="b">
        <v>0</v>
      </c>
      <c r="L15" s="115" t="b">
        <v>1</v>
      </c>
      <c r="M15" s="115" t="b">
        <v>0</v>
      </c>
      <c r="N15" s="115" t="b">
        <v>1</v>
      </c>
    </row>
    <row r="16" spans="1:16">
      <c r="A16" s="44">
        <v>15</v>
      </c>
      <c r="B16" t="s">
        <v>59</v>
      </c>
      <c r="C16" t="s">
        <v>60</v>
      </c>
      <c r="D16" s="115" t="b">
        <v>0</v>
      </c>
      <c r="E16" s="115" t="b">
        <v>0</v>
      </c>
      <c r="F16" s="115" t="b">
        <v>1</v>
      </c>
      <c r="G16" s="115" t="b">
        <v>1</v>
      </c>
      <c r="H16" s="115" t="b">
        <v>1</v>
      </c>
      <c r="I16" s="115" t="b">
        <v>1</v>
      </c>
      <c r="J16" s="115" t="b">
        <v>0</v>
      </c>
      <c r="K16" s="115" t="b">
        <v>0</v>
      </c>
      <c r="L16" s="115" t="b">
        <v>1</v>
      </c>
      <c r="M16" s="115" t="b">
        <v>0</v>
      </c>
      <c r="N16" s="115" t="b">
        <v>1</v>
      </c>
    </row>
    <row r="17" spans="1:15">
      <c r="A17" s="44">
        <v>16</v>
      </c>
      <c r="B17" t="s">
        <v>63</v>
      </c>
      <c r="C17" t="s">
        <v>64</v>
      </c>
      <c r="D17" s="115" t="b">
        <v>0</v>
      </c>
      <c r="E17" s="115" t="b">
        <v>1</v>
      </c>
      <c r="F17" s="115" t="b">
        <v>1</v>
      </c>
      <c r="G17" s="115" t="b">
        <v>1</v>
      </c>
      <c r="H17" s="115" t="b">
        <v>1</v>
      </c>
      <c r="I17" s="115" t="b">
        <v>1</v>
      </c>
      <c r="J17" s="115" t="b">
        <v>0</v>
      </c>
      <c r="K17" s="115" t="b">
        <v>0</v>
      </c>
      <c r="L17" s="115" t="b">
        <v>1</v>
      </c>
      <c r="M17" s="115" t="b">
        <v>0</v>
      </c>
      <c r="N17" s="115" t="b">
        <v>1</v>
      </c>
    </row>
    <row r="18" spans="1:15">
      <c r="A18" s="44">
        <v>17</v>
      </c>
      <c r="B18" t="s">
        <v>369</v>
      </c>
      <c r="C18" t="s">
        <v>278</v>
      </c>
      <c r="D18" s="115" t="b">
        <v>0</v>
      </c>
      <c r="E18" s="115" t="b">
        <v>1</v>
      </c>
      <c r="F18" s="115" t="b">
        <v>0</v>
      </c>
      <c r="G18" s="115" t="b">
        <v>0</v>
      </c>
      <c r="H18" s="115" t="b">
        <v>1</v>
      </c>
      <c r="I18" s="115" t="b">
        <v>0</v>
      </c>
      <c r="J18" s="115" t="b">
        <v>0</v>
      </c>
      <c r="K18" s="115" t="b">
        <v>0</v>
      </c>
      <c r="L18" s="115" t="b">
        <v>0</v>
      </c>
      <c r="M18" s="115" t="b">
        <v>0</v>
      </c>
      <c r="N18" s="115" t="b">
        <v>1</v>
      </c>
    </row>
    <row r="19" spans="1:15">
      <c r="A19" s="44">
        <v>18</v>
      </c>
      <c r="B19" t="s">
        <v>70</v>
      </c>
      <c r="C19" t="s">
        <v>70</v>
      </c>
      <c r="D19" s="115" t="b">
        <v>1</v>
      </c>
      <c r="E19" s="115" t="b">
        <v>0</v>
      </c>
      <c r="F19" s="115" t="b">
        <v>0</v>
      </c>
      <c r="G19" s="115" t="b">
        <v>0</v>
      </c>
      <c r="H19" s="115" t="b">
        <v>0</v>
      </c>
      <c r="I19" s="115" t="b">
        <v>0</v>
      </c>
      <c r="J19" s="115" t="b">
        <v>0</v>
      </c>
      <c r="K19" s="115" t="b">
        <v>0</v>
      </c>
      <c r="L19" s="115" t="b">
        <v>0</v>
      </c>
      <c r="M19" s="115" t="b">
        <v>0</v>
      </c>
      <c r="N19" s="115" t="b">
        <v>1</v>
      </c>
    </row>
    <row r="20" spans="1:15">
      <c r="A20" s="44">
        <v>19</v>
      </c>
      <c r="B20" t="s">
        <v>520</v>
      </c>
      <c r="C20" t="s">
        <v>371</v>
      </c>
      <c r="D20" s="115" t="b">
        <v>0</v>
      </c>
      <c r="E20" s="115" t="b">
        <v>0</v>
      </c>
      <c r="F20" s="115" t="b">
        <v>0</v>
      </c>
      <c r="G20" s="115" t="b">
        <v>0</v>
      </c>
      <c r="H20" s="115" t="b">
        <v>0</v>
      </c>
      <c r="I20" s="115" t="b">
        <v>0</v>
      </c>
      <c r="J20" s="115" t="b">
        <v>0</v>
      </c>
      <c r="K20" s="115" t="b">
        <v>0</v>
      </c>
      <c r="L20" s="115" t="b">
        <v>0</v>
      </c>
      <c r="M20" s="115" t="b">
        <v>1</v>
      </c>
      <c r="N20" s="115" t="b">
        <v>1</v>
      </c>
      <c r="O20" t="s">
        <v>521</v>
      </c>
    </row>
    <row r="21" spans="1:15">
      <c r="A21" s="44">
        <v>20</v>
      </c>
      <c r="B21" t="s">
        <v>372</v>
      </c>
      <c r="C21" t="s">
        <v>244</v>
      </c>
      <c r="D21" s="115" t="b">
        <v>0</v>
      </c>
      <c r="E21" s="115" t="b">
        <v>0</v>
      </c>
      <c r="F21" s="115" t="b">
        <v>0</v>
      </c>
      <c r="G21" s="115" t="b">
        <v>0</v>
      </c>
      <c r="H21" s="115" t="b">
        <v>0</v>
      </c>
      <c r="I21" s="115" t="b">
        <v>0</v>
      </c>
      <c r="J21" s="115" t="b">
        <v>1</v>
      </c>
      <c r="K21" s="115" t="b">
        <v>0</v>
      </c>
      <c r="L21" s="115" t="b">
        <v>1</v>
      </c>
      <c r="M21" s="115" t="b">
        <v>0</v>
      </c>
      <c r="N21" s="115" t="b">
        <v>1</v>
      </c>
    </row>
    <row r="22" spans="1:15">
      <c r="A22" s="44">
        <v>21</v>
      </c>
      <c r="B22" t="s">
        <v>522</v>
      </c>
      <c r="C22" t="s">
        <v>523</v>
      </c>
      <c r="D22" s="115" t="b">
        <v>0</v>
      </c>
      <c r="E22" s="115" t="b">
        <v>0</v>
      </c>
      <c r="F22" s="115" t="b">
        <v>0</v>
      </c>
      <c r="G22" s="115" t="b">
        <v>1</v>
      </c>
      <c r="H22" s="115" t="b">
        <v>0</v>
      </c>
      <c r="I22" s="115" t="b">
        <v>0</v>
      </c>
      <c r="J22" s="115" t="b">
        <v>0</v>
      </c>
      <c r="K22" s="115" t="b">
        <v>0</v>
      </c>
      <c r="L22" s="115" t="b">
        <v>1</v>
      </c>
      <c r="M22" s="115" t="b">
        <v>0</v>
      </c>
      <c r="N22" s="115" t="b">
        <v>1</v>
      </c>
    </row>
    <row r="23" spans="1:15">
      <c r="A23" s="44">
        <v>22</v>
      </c>
      <c r="B23" t="s">
        <v>524</v>
      </c>
      <c r="C23" t="s">
        <v>525</v>
      </c>
      <c r="D23" s="115" t="b">
        <v>0</v>
      </c>
      <c r="E23" s="115" t="b">
        <v>0</v>
      </c>
      <c r="F23" s="115" t="b">
        <v>0</v>
      </c>
      <c r="G23" s="115" t="b">
        <v>0</v>
      </c>
      <c r="H23" s="115" t="b">
        <v>0</v>
      </c>
      <c r="I23" s="115" t="b">
        <v>0</v>
      </c>
      <c r="J23" s="115" t="b">
        <v>0</v>
      </c>
      <c r="K23" s="115" t="b">
        <v>0</v>
      </c>
      <c r="L23" s="115" t="b">
        <v>0</v>
      </c>
      <c r="M23" s="115" t="b">
        <v>0</v>
      </c>
      <c r="N23" s="115" t="b">
        <v>0</v>
      </c>
    </row>
    <row r="24" spans="1:15">
      <c r="A24" s="44">
        <v>23</v>
      </c>
      <c r="B24" t="s">
        <v>526</v>
      </c>
      <c r="C24" t="s">
        <v>527</v>
      </c>
      <c r="D24" s="115" t="b">
        <v>0</v>
      </c>
      <c r="E24" s="115" t="b">
        <v>0</v>
      </c>
      <c r="F24" s="115" t="b">
        <v>0</v>
      </c>
      <c r="G24" s="115" t="b">
        <v>0</v>
      </c>
      <c r="H24" s="115" t="b">
        <v>0</v>
      </c>
      <c r="I24" s="115" t="b">
        <v>0</v>
      </c>
      <c r="J24" s="115" t="b">
        <v>0</v>
      </c>
      <c r="K24" s="115" t="b">
        <v>0</v>
      </c>
      <c r="L24" s="115" t="b">
        <v>0</v>
      </c>
      <c r="M24" s="115" t="b">
        <v>0</v>
      </c>
      <c r="N24" s="115" t="b">
        <v>0</v>
      </c>
    </row>
    <row r="25" spans="1:15">
      <c r="A25" s="44">
        <v>24</v>
      </c>
      <c r="B25" t="s">
        <v>528</v>
      </c>
      <c r="C25" t="s">
        <v>529</v>
      </c>
      <c r="D25" s="115" t="b">
        <v>0</v>
      </c>
      <c r="E25" s="115" t="b">
        <v>0</v>
      </c>
      <c r="F25" s="115" t="b">
        <v>0</v>
      </c>
      <c r="G25" s="115" t="b">
        <v>0</v>
      </c>
      <c r="H25" s="115" t="b">
        <v>0</v>
      </c>
      <c r="I25" s="115" t="b">
        <v>0</v>
      </c>
      <c r="J25" s="115" t="b">
        <v>0</v>
      </c>
      <c r="K25" s="115" t="b">
        <v>0</v>
      </c>
      <c r="L25" s="115" t="b">
        <v>0</v>
      </c>
      <c r="M25" s="115" t="b">
        <v>0</v>
      </c>
      <c r="N25" s="115" t="b">
        <v>0</v>
      </c>
    </row>
    <row r="26" spans="1:15">
      <c r="A26" s="44">
        <v>25</v>
      </c>
      <c r="B26" t="s">
        <v>78</v>
      </c>
      <c r="C26" t="s">
        <v>78</v>
      </c>
      <c r="D26" s="115" t="b">
        <v>0</v>
      </c>
      <c r="E26" s="115" t="b">
        <v>1</v>
      </c>
      <c r="F26" s="115" t="b">
        <v>0</v>
      </c>
      <c r="G26" s="115" t="b">
        <v>0</v>
      </c>
      <c r="H26" s="115" t="b">
        <v>0</v>
      </c>
      <c r="I26" s="115" t="b">
        <v>0</v>
      </c>
      <c r="J26" s="115" t="b">
        <v>0</v>
      </c>
      <c r="K26" s="115" t="b">
        <v>0</v>
      </c>
      <c r="L26" s="115" t="b">
        <v>0</v>
      </c>
      <c r="M26" s="115" t="b">
        <v>0</v>
      </c>
      <c r="N26" s="115" t="b">
        <v>1</v>
      </c>
    </row>
    <row r="27" spans="1:15">
      <c r="A27" s="44">
        <v>26</v>
      </c>
      <c r="B27" t="s">
        <v>80</v>
      </c>
      <c r="C27" t="s">
        <v>256</v>
      </c>
      <c r="D27" s="115" t="b">
        <v>1</v>
      </c>
      <c r="E27" s="115" t="b">
        <v>0</v>
      </c>
      <c r="F27" s="115" t="b">
        <v>0</v>
      </c>
      <c r="G27" s="115" t="b">
        <v>0</v>
      </c>
      <c r="H27" s="115" t="b">
        <v>0</v>
      </c>
      <c r="I27" s="115" t="b">
        <v>0</v>
      </c>
      <c r="J27" s="115" t="b">
        <v>0</v>
      </c>
      <c r="K27" s="115" t="b">
        <v>0</v>
      </c>
      <c r="L27" s="115" t="b">
        <v>0</v>
      </c>
      <c r="M27" s="115" t="b">
        <v>0</v>
      </c>
      <c r="N27" s="115" t="b">
        <v>1</v>
      </c>
    </row>
    <row r="28" spans="1:15">
      <c r="A28" s="44">
        <v>27</v>
      </c>
      <c r="B28" t="s">
        <v>530</v>
      </c>
      <c r="C28" t="s">
        <v>531</v>
      </c>
      <c r="D28" s="115" t="b">
        <v>0</v>
      </c>
      <c r="E28" s="115" t="b">
        <v>0</v>
      </c>
      <c r="F28" s="115" t="b">
        <v>0</v>
      </c>
      <c r="G28" s="115" t="b">
        <v>0</v>
      </c>
      <c r="H28" s="115" t="b">
        <v>0</v>
      </c>
      <c r="I28" s="115" t="b">
        <v>0</v>
      </c>
      <c r="J28" s="115" t="b">
        <v>0</v>
      </c>
      <c r="K28" s="115" t="b">
        <v>0</v>
      </c>
      <c r="L28" s="115" t="b">
        <v>0</v>
      </c>
      <c r="M28" s="115" t="b">
        <v>0</v>
      </c>
      <c r="N28" s="115" t="b">
        <v>0</v>
      </c>
    </row>
    <row r="29" spans="1:15">
      <c r="A29" s="44">
        <v>28</v>
      </c>
      <c r="B29" t="s">
        <v>373</v>
      </c>
      <c r="C29" t="s">
        <v>273</v>
      </c>
      <c r="D29" s="115" t="b">
        <v>0</v>
      </c>
      <c r="E29" s="115" t="b">
        <v>1</v>
      </c>
      <c r="F29" s="115" t="b">
        <v>1</v>
      </c>
      <c r="G29" s="115" t="b">
        <v>1</v>
      </c>
      <c r="H29" s="115" t="b">
        <v>1</v>
      </c>
      <c r="I29" s="115" t="b">
        <v>1</v>
      </c>
      <c r="J29" s="115" t="b">
        <v>1</v>
      </c>
      <c r="K29" s="115" t="b">
        <v>0</v>
      </c>
      <c r="L29" s="115" t="b">
        <v>1</v>
      </c>
      <c r="M29" s="115" t="b">
        <v>0</v>
      </c>
      <c r="N29" s="115" t="b">
        <v>1</v>
      </c>
    </row>
    <row r="30" spans="1:15">
      <c r="A30" s="44">
        <v>29</v>
      </c>
      <c r="B30" t="s">
        <v>532</v>
      </c>
      <c r="C30" t="s">
        <v>271</v>
      </c>
      <c r="D30" s="115" t="b">
        <v>0</v>
      </c>
      <c r="E30" s="115" t="b">
        <v>1</v>
      </c>
      <c r="F30" s="115" t="b">
        <v>1</v>
      </c>
      <c r="G30" s="115" t="b">
        <v>1</v>
      </c>
      <c r="H30" s="115" t="b">
        <v>1</v>
      </c>
      <c r="I30" s="115" t="b">
        <v>1</v>
      </c>
      <c r="J30" s="115" t="b">
        <v>1</v>
      </c>
      <c r="K30" s="115" t="b">
        <v>0</v>
      </c>
      <c r="L30" s="115" t="b">
        <v>1</v>
      </c>
      <c r="M30" s="115" t="b">
        <v>0</v>
      </c>
      <c r="N30" s="115" t="b">
        <v>1</v>
      </c>
    </row>
    <row r="31" spans="1:15">
      <c r="A31" s="44">
        <v>30</v>
      </c>
      <c r="B31" t="s">
        <v>533</v>
      </c>
      <c r="C31" t="s">
        <v>272</v>
      </c>
      <c r="D31" s="115" t="b">
        <v>0</v>
      </c>
      <c r="E31" s="115" t="b">
        <v>1</v>
      </c>
      <c r="F31" s="115" t="b">
        <v>1</v>
      </c>
      <c r="G31" s="115" t="b">
        <v>1</v>
      </c>
      <c r="H31" s="115" t="b">
        <v>1</v>
      </c>
      <c r="I31" s="115" t="b">
        <v>1</v>
      </c>
      <c r="J31" s="115" t="b">
        <v>1</v>
      </c>
      <c r="K31" s="115" t="b">
        <v>0</v>
      </c>
      <c r="L31" s="115" t="b">
        <v>1</v>
      </c>
      <c r="M31" s="115" t="b">
        <v>0</v>
      </c>
      <c r="N31" s="115" t="b">
        <v>1</v>
      </c>
    </row>
    <row r="32" spans="1:15">
      <c r="A32" s="44">
        <v>31</v>
      </c>
      <c r="B32" t="s">
        <v>88</v>
      </c>
      <c r="C32" t="s">
        <v>88</v>
      </c>
      <c r="D32" s="115" t="b">
        <v>0</v>
      </c>
      <c r="E32" s="115" t="b">
        <v>0</v>
      </c>
      <c r="F32" s="115" t="b">
        <v>1</v>
      </c>
      <c r="G32" s="115" t="b">
        <v>0</v>
      </c>
      <c r="H32" s="115" t="b">
        <v>0</v>
      </c>
      <c r="I32" s="115" t="b">
        <v>1</v>
      </c>
      <c r="J32" s="115" t="b">
        <v>0</v>
      </c>
      <c r="K32" s="115" t="b">
        <v>0</v>
      </c>
      <c r="L32" s="115" t="b">
        <v>1</v>
      </c>
      <c r="M32" s="115" t="b">
        <v>0</v>
      </c>
      <c r="N32" s="115" t="b">
        <v>1</v>
      </c>
    </row>
    <row r="33" spans="1:15">
      <c r="A33" s="44">
        <v>32</v>
      </c>
      <c r="B33" t="s">
        <v>534</v>
      </c>
      <c r="C33" t="s">
        <v>535</v>
      </c>
      <c r="D33" s="115" t="b">
        <v>0</v>
      </c>
      <c r="E33" s="115" t="b">
        <v>0</v>
      </c>
      <c r="F33" s="115" t="b">
        <v>0</v>
      </c>
      <c r="G33" s="115" t="b">
        <v>0</v>
      </c>
      <c r="H33" s="115" t="b">
        <v>0</v>
      </c>
      <c r="I33" s="115" t="b">
        <v>0</v>
      </c>
      <c r="J33" s="115" t="b">
        <v>0</v>
      </c>
      <c r="K33" s="115" t="b">
        <v>0</v>
      </c>
      <c r="L33" s="115" t="b">
        <v>0</v>
      </c>
      <c r="M33" s="115" t="b">
        <v>0</v>
      </c>
      <c r="N33" s="115" t="b">
        <v>0</v>
      </c>
    </row>
    <row r="34" spans="1:15">
      <c r="A34" s="44">
        <v>33</v>
      </c>
      <c r="B34" t="s">
        <v>536</v>
      </c>
      <c r="C34" t="s">
        <v>423</v>
      </c>
      <c r="D34" s="115" t="b">
        <v>0</v>
      </c>
      <c r="E34" s="115" t="b">
        <v>0</v>
      </c>
      <c r="F34" s="115" t="b">
        <v>0</v>
      </c>
      <c r="G34" s="115" t="b">
        <v>0</v>
      </c>
      <c r="H34" s="115" t="b">
        <v>0</v>
      </c>
      <c r="I34" s="115" t="b">
        <v>1</v>
      </c>
      <c r="J34" s="115" t="b">
        <v>0</v>
      </c>
      <c r="K34" s="115" t="b">
        <v>0</v>
      </c>
      <c r="L34" s="115" t="b">
        <v>0</v>
      </c>
      <c r="M34" s="115" t="b">
        <v>0</v>
      </c>
      <c r="N34" s="115" t="b">
        <v>1</v>
      </c>
    </row>
    <row r="35" spans="1:15">
      <c r="A35" s="44">
        <v>34</v>
      </c>
      <c r="B35" t="s">
        <v>537</v>
      </c>
      <c r="C35" t="s">
        <v>538</v>
      </c>
      <c r="D35" s="115" t="b">
        <v>0</v>
      </c>
      <c r="E35" s="115" t="b">
        <v>0</v>
      </c>
      <c r="F35" s="115" t="b">
        <v>0</v>
      </c>
      <c r="G35" s="115" t="b">
        <v>0</v>
      </c>
      <c r="H35" s="115" t="b">
        <v>1</v>
      </c>
      <c r="I35" s="115" t="b">
        <v>0</v>
      </c>
      <c r="J35" s="115" t="b">
        <v>0</v>
      </c>
      <c r="K35" s="115" t="b">
        <v>0</v>
      </c>
      <c r="L35" s="115" t="b">
        <v>0</v>
      </c>
      <c r="M35" s="115" t="b">
        <v>0</v>
      </c>
      <c r="N35" s="115" t="b">
        <v>1</v>
      </c>
    </row>
    <row r="36" spans="1:15">
      <c r="A36" s="44">
        <v>35</v>
      </c>
      <c r="B36" t="s">
        <v>539</v>
      </c>
      <c r="C36" t="s">
        <v>540</v>
      </c>
      <c r="D36" s="115" t="b">
        <v>0</v>
      </c>
      <c r="E36" s="115" t="b">
        <v>1</v>
      </c>
      <c r="F36" s="115" t="b">
        <v>0</v>
      </c>
      <c r="G36" s="115" t="b">
        <v>0</v>
      </c>
      <c r="H36" s="115" t="b">
        <v>0</v>
      </c>
      <c r="I36" s="115" t="b">
        <v>0</v>
      </c>
      <c r="J36" s="115" t="b">
        <v>0</v>
      </c>
      <c r="K36" s="115" t="b">
        <v>0</v>
      </c>
      <c r="L36" s="115" t="b">
        <v>0</v>
      </c>
      <c r="M36" s="115" t="b">
        <v>1</v>
      </c>
      <c r="N36" s="115" t="b">
        <v>1</v>
      </c>
      <c r="O36" t="s">
        <v>541</v>
      </c>
    </row>
    <row r="37" spans="1:15">
      <c r="A37" s="44">
        <v>36</v>
      </c>
      <c r="B37" t="s">
        <v>542</v>
      </c>
      <c r="C37" t="s">
        <v>543</v>
      </c>
      <c r="D37" s="115" t="b">
        <v>1</v>
      </c>
      <c r="E37" s="115" t="b">
        <v>0</v>
      </c>
      <c r="F37" s="115" t="b">
        <v>0</v>
      </c>
      <c r="G37" s="115" t="b">
        <v>0</v>
      </c>
      <c r="H37" s="115" t="b">
        <v>0</v>
      </c>
      <c r="I37" s="115" t="b">
        <v>0</v>
      </c>
      <c r="J37" s="115" t="b">
        <v>0</v>
      </c>
      <c r="K37" s="115" t="b">
        <v>0</v>
      </c>
      <c r="L37" s="115" t="b">
        <v>0</v>
      </c>
      <c r="M37" s="115" t="b">
        <v>0</v>
      </c>
      <c r="N37" s="115" t="b">
        <v>1</v>
      </c>
    </row>
    <row r="38" spans="1:15">
      <c r="A38" s="44">
        <v>37</v>
      </c>
      <c r="B38" t="s">
        <v>377</v>
      </c>
      <c r="C38" t="s">
        <v>280</v>
      </c>
      <c r="D38" s="115" t="b">
        <v>0</v>
      </c>
      <c r="E38" s="115" t="b">
        <v>1</v>
      </c>
      <c r="F38" s="115" t="b">
        <v>0</v>
      </c>
      <c r="G38" s="115" t="b">
        <v>1</v>
      </c>
      <c r="H38" s="115" t="b">
        <v>0</v>
      </c>
      <c r="I38" s="115" t="b">
        <v>1</v>
      </c>
      <c r="J38" s="115" t="b">
        <v>0</v>
      </c>
      <c r="K38" s="115" t="b">
        <v>0</v>
      </c>
      <c r="L38" s="115" t="b">
        <v>0</v>
      </c>
      <c r="M38" s="115" t="b">
        <v>0</v>
      </c>
      <c r="N38" s="115" t="b">
        <v>1</v>
      </c>
    </row>
    <row r="39" spans="1:15">
      <c r="A39" s="44">
        <v>38</v>
      </c>
      <c r="B39" t="s">
        <v>544</v>
      </c>
      <c r="C39" t="s">
        <v>279</v>
      </c>
      <c r="D39" s="115" t="b">
        <v>0</v>
      </c>
      <c r="E39" s="115" t="b">
        <v>0</v>
      </c>
      <c r="F39" s="115" t="b">
        <v>1</v>
      </c>
      <c r="G39" s="115" t="b">
        <v>0</v>
      </c>
      <c r="H39" s="115" t="b">
        <v>0</v>
      </c>
      <c r="I39" s="115" t="b">
        <v>0</v>
      </c>
      <c r="J39" s="115" t="b">
        <v>0</v>
      </c>
      <c r="K39" s="115" t="b">
        <v>0</v>
      </c>
      <c r="L39" s="115" t="b">
        <v>0</v>
      </c>
      <c r="M39" s="115" t="b">
        <v>0</v>
      </c>
      <c r="N39" s="115" t="b">
        <v>1</v>
      </c>
    </row>
    <row r="40" spans="1:15">
      <c r="A40" s="44">
        <v>39</v>
      </c>
      <c r="B40" t="s">
        <v>379</v>
      </c>
      <c r="C40" t="s">
        <v>281</v>
      </c>
      <c r="D40" s="115" t="b">
        <v>0</v>
      </c>
      <c r="E40" s="115" t="b">
        <v>1</v>
      </c>
      <c r="F40" s="115" t="b">
        <v>1</v>
      </c>
      <c r="G40" s="115" t="b">
        <v>1</v>
      </c>
      <c r="H40" s="115" t="b">
        <v>1</v>
      </c>
      <c r="I40" s="115" t="b">
        <v>1</v>
      </c>
      <c r="J40" s="115" t="b">
        <v>1</v>
      </c>
      <c r="K40" s="115" t="b">
        <v>0</v>
      </c>
      <c r="L40" s="115" t="b">
        <v>0</v>
      </c>
      <c r="M40" s="115" t="b">
        <v>0</v>
      </c>
      <c r="N40" s="115" t="b">
        <v>1</v>
      </c>
    </row>
    <row r="41" spans="1:15">
      <c r="A41" s="44">
        <v>40</v>
      </c>
      <c r="B41" t="s">
        <v>545</v>
      </c>
      <c r="C41" t="s">
        <v>546</v>
      </c>
      <c r="D41" s="115" t="b">
        <v>1</v>
      </c>
      <c r="E41" s="115" t="b">
        <v>0</v>
      </c>
      <c r="F41" s="115" t="b">
        <v>0</v>
      </c>
      <c r="G41" s="115" t="b">
        <v>0</v>
      </c>
      <c r="H41" s="115" t="b">
        <v>0</v>
      </c>
      <c r="I41" s="115" t="b">
        <v>0</v>
      </c>
      <c r="J41" s="115" t="b">
        <v>0</v>
      </c>
      <c r="K41" s="115" t="b">
        <v>0</v>
      </c>
      <c r="L41" s="115" t="b">
        <v>0</v>
      </c>
      <c r="M41" s="115" t="b">
        <v>0</v>
      </c>
      <c r="N41" s="115" t="b">
        <v>1</v>
      </c>
    </row>
    <row r="42" spans="1:15">
      <c r="A42" s="44">
        <v>41</v>
      </c>
      <c r="B42" t="s">
        <v>547</v>
      </c>
      <c r="C42" t="s">
        <v>548</v>
      </c>
      <c r="D42" s="115" t="b">
        <v>0</v>
      </c>
      <c r="E42" s="115" t="b">
        <v>0</v>
      </c>
      <c r="F42" s="115" t="b">
        <v>0</v>
      </c>
      <c r="G42" s="115" t="b">
        <v>0</v>
      </c>
      <c r="H42" s="115" t="b">
        <v>0</v>
      </c>
      <c r="I42" s="115" t="b">
        <v>0</v>
      </c>
      <c r="J42" s="115" t="b">
        <v>0</v>
      </c>
      <c r="K42" s="115" t="b">
        <v>0</v>
      </c>
      <c r="L42" s="115" t="b">
        <v>0</v>
      </c>
      <c r="M42" s="115" t="b">
        <v>0</v>
      </c>
      <c r="N42" s="115" t="b">
        <v>0</v>
      </c>
    </row>
    <row r="43" spans="1:15">
      <c r="A43" s="44">
        <v>42</v>
      </c>
      <c r="B43" t="s">
        <v>380</v>
      </c>
      <c r="C43" t="s">
        <v>106</v>
      </c>
      <c r="D43" s="115" t="b">
        <v>0</v>
      </c>
      <c r="E43" s="115" t="b">
        <v>0</v>
      </c>
      <c r="F43" s="115" t="b">
        <v>0</v>
      </c>
      <c r="G43" s="115" t="b">
        <v>1</v>
      </c>
      <c r="H43" s="115" t="b">
        <v>0</v>
      </c>
      <c r="I43" s="115" t="b">
        <v>0</v>
      </c>
      <c r="J43" s="115" t="b">
        <v>0</v>
      </c>
      <c r="K43" s="115" t="b">
        <v>0</v>
      </c>
      <c r="L43" s="115" t="b">
        <v>0</v>
      </c>
      <c r="M43" s="115" t="b">
        <v>1</v>
      </c>
      <c r="N43" s="115" t="b">
        <v>1</v>
      </c>
      <c r="O43" t="s">
        <v>712</v>
      </c>
    </row>
    <row r="44" spans="1:15">
      <c r="A44" s="44">
        <v>43</v>
      </c>
      <c r="B44" t="s">
        <v>549</v>
      </c>
      <c r="C44" t="s">
        <v>242</v>
      </c>
      <c r="D44" s="115" t="b">
        <v>0</v>
      </c>
      <c r="E44" s="115" t="b">
        <v>0</v>
      </c>
      <c r="F44" s="115" t="b">
        <v>0</v>
      </c>
      <c r="G44" s="115" t="b">
        <v>0</v>
      </c>
      <c r="H44" s="115" t="b">
        <v>0</v>
      </c>
      <c r="I44" s="115" t="b">
        <v>0</v>
      </c>
      <c r="J44" s="115" t="b">
        <v>1</v>
      </c>
      <c r="K44" s="115" t="b">
        <v>0</v>
      </c>
      <c r="L44" s="115" t="b">
        <v>0</v>
      </c>
      <c r="M44" s="115" t="b">
        <v>0</v>
      </c>
      <c r="N44" s="115" t="b">
        <v>1</v>
      </c>
    </row>
    <row r="45" spans="1:15">
      <c r="A45" s="44">
        <v>44</v>
      </c>
      <c r="B45" t="s">
        <v>550</v>
      </c>
      <c r="C45" t="s">
        <v>551</v>
      </c>
      <c r="D45" s="115" t="b">
        <v>0</v>
      </c>
      <c r="E45" s="115" t="b">
        <v>0</v>
      </c>
      <c r="F45" s="115" t="b">
        <v>0</v>
      </c>
      <c r="G45" s="115" t="b">
        <v>0</v>
      </c>
      <c r="H45" s="115" t="b">
        <v>0</v>
      </c>
      <c r="I45" s="115" t="b">
        <v>0</v>
      </c>
      <c r="J45" s="115" t="b">
        <v>0</v>
      </c>
      <c r="K45" s="115" t="b">
        <v>0</v>
      </c>
      <c r="L45" s="115" t="b">
        <v>0</v>
      </c>
      <c r="M45" s="115" t="b">
        <v>0</v>
      </c>
      <c r="N45" s="115" t="b">
        <v>0</v>
      </c>
    </row>
    <row r="46" spans="1:15">
      <c r="A46" s="44">
        <v>45</v>
      </c>
      <c r="B46" t="s">
        <v>111</v>
      </c>
      <c r="C46" t="s">
        <v>111</v>
      </c>
      <c r="D46" s="115" t="b">
        <v>1</v>
      </c>
      <c r="E46" s="115" t="b">
        <v>0</v>
      </c>
      <c r="F46" s="115" t="b">
        <v>0</v>
      </c>
      <c r="G46" s="115" t="b">
        <v>0</v>
      </c>
      <c r="H46" s="115" t="b">
        <v>0</v>
      </c>
      <c r="I46" s="115" t="b">
        <v>1</v>
      </c>
      <c r="J46" s="115" t="b">
        <v>0</v>
      </c>
      <c r="K46" s="115" t="b">
        <v>0</v>
      </c>
      <c r="L46" s="115" t="b">
        <v>0</v>
      </c>
      <c r="M46" s="115" t="b">
        <v>0</v>
      </c>
      <c r="N46" s="115" t="b">
        <v>1</v>
      </c>
    </row>
    <row r="47" spans="1:15">
      <c r="A47" s="44">
        <v>46</v>
      </c>
      <c r="B47" t="s">
        <v>381</v>
      </c>
      <c r="C47" t="s">
        <v>425</v>
      </c>
      <c r="D47" s="115" t="b">
        <v>1</v>
      </c>
      <c r="E47" s="115" t="b">
        <v>0</v>
      </c>
      <c r="F47" s="115" t="b">
        <v>0</v>
      </c>
      <c r="G47" s="115" t="b">
        <v>0</v>
      </c>
      <c r="H47" s="115" t="b">
        <v>0</v>
      </c>
      <c r="I47" s="115" t="b">
        <v>1</v>
      </c>
      <c r="J47" s="115" t="b">
        <v>0</v>
      </c>
      <c r="K47" s="115" t="b">
        <v>0</v>
      </c>
      <c r="L47" s="115" t="b">
        <v>0</v>
      </c>
      <c r="M47" s="115" t="b">
        <v>0</v>
      </c>
      <c r="N47" s="115" t="b">
        <v>1</v>
      </c>
    </row>
    <row r="48" spans="1:15">
      <c r="A48" s="44">
        <v>47</v>
      </c>
      <c r="B48" t="s">
        <v>552</v>
      </c>
      <c r="C48" t="s">
        <v>553</v>
      </c>
      <c r="D48" s="115" t="b">
        <v>0</v>
      </c>
      <c r="E48" s="115" t="b">
        <v>0</v>
      </c>
      <c r="F48" s="115" t="b">
        <v>0</v>
      </c>
      <c r="G48" s="115" t="b">
        <v>0</v>
      </c>
      <c r="H48" s="115" t="b">
        <v>0</v>
      </c>
      <c r="I48" s="115" t="b">
        <v>0</v>
      </c>
      <c r="J48" s="115" t="b">
        <v>0</v>
      </c>
      <c r="K48" s="115" t="b">
        <v>0</v>
      </c>
      <c r="L48" s="115" t="b">
        <v>0</v>
      </c>
      <c r="M48" s="115" t="b">
        <v>0</v>
      </c>
      <c r="N48" s="115" t="b">
        <v>0</v>
      </c>
    </row>
    <row r="49" spans="1:14">
      <c r="A49" s="44">
        <v>48</v>
      </c>
      <c r="B49" t="s">
        <v>554</v>
      </c>
      <c r="C49" t="s">
        <v>114</v>
      </c>
      <c r="D49" s="115" t="b">
        <v>0</v>
      </c>
      <c r="E49" s="115" t="b">
        <v>1</v>
      </c>
      <c r="F49" s="115" t="b">
        <v>1</v>
      </c>
      <c r="G49" s="115" t="b">
        <v>1</v>
      </c>
      <c r="H49" s="115" t="b">
        <v>1</v>
      </c>
      <c r="I49" s="115" t="b">
        <v>1</v>
      </c>
      <c r="J49" s="115" t="b">
        <v>1</v>
      </c>
      <c r="K49" s="115" t="b">
        <v>0</v>
      </c>
      <c r="L49" s="115" t="b">
        <v>1</v>
      </c>
      <c r="M49" s="115" t="b">
        <v>0</v>
      </c>
      <c r="N49" s="115" t="b">
        <v>1</v>
      </c>
    </row>
    <row r="50" spans="1:14">
      <c r="A50" s="44">
        <v>49</v>
      </c>
      <c r="B50" t="s">
        <v>555</v>
      </c>
      <c r="C50" t="s">
        <v>383</v>
      </c>
      <c r="D50" s="115" t="b">
        <v>1</v>
      </c>
      <c r="E50" s="115" t="b">
        <v>0</v>
      </c>
      <c r="F50" s="115" t="b">
        <v>0</v>
      </c>
      <c r="G50" s="115" t="b">
        <v>0</v>
      </c>
      <c r="H50" s="115" t="b">
        <v>0</v>
      </c>
      <c r="I50" s="115" t="b">
        <v>0</v>
      </c>
      <c r="J50" s="115" t="b">
        <v>0</v>
      </c>
      <c r="K50" s="115" t="b">
        <v>0</v>
      </c>
      <c r="L50" s="115" t="b">
        <v>0</v>
      </c>
      <c r="M50" s="115" t="b">
        <v>0</v>
      </c>
      <c r="N50" s="115" t="b">
        <v>1</v>
      </c>
    </row>
    <row r="51" spans="1:14">
      <c r="A51" s="44">
        <v>50</v>
      </c>
      <c r="B51" t="s">
        <v>556</v>
      </c>
      <c r="C51" t="s">
        <v>553</v>
      </c>
      <c r="D51" s="115" t="b">
        <v>0</v>
      </c>
      <c r="E51" s="115" t="b">
        <v>0</v>
      </c>
      <c r="F51" s="115" t="b">
        <v>0</v>
      </c>
      <c r="G51" s="115" t="b">
        <v>0</v>
      </c>
      <c r="H51" s="115" t="b">
        <v>0</v>
      </c>
      <c r="I51" s="115" t="b">
        <v>0</v>
      </c>
      <c r="J51" s="115" t="b">
        <v>0</v>
      </c>
      <c r="K51" s="115" t="b">
        <v>0</v>
      </c>
      <c r="L51" s="115" t="b">
        <v>0</v>
      </c>
      <c r="M51" s="115" t="b">
        <v>0</v>
      </c>
      <c r="N51" s="115" t="b">
        <v>0</v>
      </c>
    </row>
    <row r="52" spans="1:14">
      <c r="A52" s="44">
        <v>51</v>
      </c>
      <c r="B52" t="s">
        <v>119</v>
      </c>
      <c r="C52" t="s">
        <v>119</v>
      </c>
      <c r="D52" s="115" t="b">
        <v>0</v>
      </c>
      <c r="E52" s="115" t="b">
        <v>1</v>
      </c>
      <c r="F52" s="115" t="b">
        <v>0</v>
      </c>
      <c r="G52" s="115" t="b">
        <v>0</v>
      </c>
      <c r="H52" s="115" t="b">
        <v>0</v>
      </c>
      <c r="I52" s="115" t="b">
        <v>0</v>
      </c>
      <c r="J52" s="115" t="b">
        <v>0</v>
      </c>
      <c r="K52" s="115" t="b">
        <v>0</v>
      </c>
      <c r="L52" s="115" t="b">
        <v>0</v>
      </c>
      <c r="M52" s="115" t="b">
        <v>0</v>
      </c>
      <c r="N52" s="115" t="b">
        <v>1</v>
      </c>
    </row>
    <row r="53" spans="1:14">
      <c r="A53" s="44">
        <v>52</v>
      </c>
      <c r="B53" t="s">
        <v>557</v>
      </c>
      <c r="C53" t="s">
        <v>558</v>
      </c>
      <c r="D53" s="115" t="b">
        <v>0</v>
      </c>
      <c r="E53" s="115" t="b">
        <v>0</v>
      </c>
      <c r="F53" s="115" t="b">
        <v>0</v>
      </c>
      <c r="G53" s="115" t="b">
        <v>0</v>
      </c>
      <c r="H53" s="115" t="b">
        <v>0</v>
      </c>
      <c r="I53" s="115" t="b">
        <v>0</v>
      </c>
      <c r="J53" s="115" t="b">
        <v>0</v>
      </c>
      <c r="K53" s="115" t="b">
        <v>0</v>
      </c>
      <c r="L53" s="115" t="b">
        <v>0</v>
      </c>
      <c r="M53" s="115" t="b">
        <v>0</v>
      </c>
      <c r="N53" s="115" t="b">
        <v>0</v>
      </c>
    </row>
    <row r="54" spans="1:14">
      <c r="A54" s="44">
        <v>53</v>
      </c>
      <c r="B54" t="s">
        <v>384</v>
      </c>
      <c r="C54" t="s">
        <v>361</v>
      </c>
      <c r="D54" s="115" t="b">
        <v>0</v>
      </c>
      <c r="E54" s="115" t="b">
        <v>0</v>
      </c>
      <c r="F54" s="115" t="b">
        <v>1</v>
      </c>
      <c r="G54" s="115" t="b">
        <v>0</v>
      </c>
      <c r="H54" s="115" t="b">
        <v>0</v>
      </c>
      <c r="I54" s="115" t="b">
        <v>0</v>
      </c>
      <c r="J54" s="115" t="b">
        <v>0</v>
      </c>
      <c r="K54" s="115" t="b">
        <v>0</v>
      </c>
      <c r="L54" s="115" t="b">
        <v>0</v>
      </c>
      <c r="M54" s="115" t="b">
        <v>0</v>
      </c>
      <c r="N54" s="115" t="b">
        <v>1</v>
      </c>
    </row>
    <row r="55" spans="1:14">
      <c r="A55" s="44">
        <v>54</v>
      </c>
      <c r="B55" t="s">
        <v>385</v>
      </c>
      <c r="C55" t="s">
        <v>422</v>
      </c>
      <c r="D55" s="115" t="b">
        <v>1</v>
      </c>
      <c r="E55" s="115" t="b">
        <v>0</v>
      </c>
      <c r="F55" s="115" t="b">
        <v>0</v>
      </c>
      <c r="G55" s="115" t="b">
        <v>0</v>
      </c>
      <c r="H55" s="115" t="b">
        <v>0</v>
      </c>
      <c r="I55" s="115" t="b">
        <v>0</v>
      </c>
      <c r="J55" s="115" t="b">
        <v>0</v>
      </c>
      <c r="K55" s="115" t="b">
        <v>0</v>
      </c>
      <c r="L55" s="115" t="b">
        <v>0</v>
      </c>
      <c r="M55" s="115" t="b">
        <v>0</v>
      </c>
      <c r="N55" s="115" t="b">
        <v>1</v>
      </c>
    </row>
    <row r="56" spans="1:14">
      <c r="A56" s="44">
        <v>55</v>
      </c>
      <c r="B56" t="s">
        <v>559</v>
      </c>
      <c r="C56" t="s">
        <v>268</v>
      </c>
      <c r="D56" s="115" t="b">
        <v>0</v>
      </c>
      <c r="E56" s="115" t="b">
        <v>1</v>
      </c>
      <c r="F56" s="115" t="b">
        <v>1</v>
      </c>
      <c r="G56" s="115" t="b">
        <v>1</v>
      </c>
      <c r="H56" s="115" t="b">
        <v>1</v>
      </c>
      <c r="I56" s="115" t="b">
        <v>1</v>
      </c>
      <c r="J56" s="115" t="b">
        <v>1</v>
      </c>
      <c r="K56" s="115" t="b">
        <v>0</v>
      </c>
      <c r="L56" s="115" t="b">
        <v>0</v>
      </c>
      <c r="M56" s="115" t="b">
        <v>0</v>
      </c>
      <c r="N56" s="115" t="b">
        <v>1</v>
      </c>
    </row>
    <row r="57" spans="1:14">
      <c r="A57" s="44">
        <v>56</v>
      </c>
      <c r="B57" t="s">
        <v>559</v>
      </c>
      <c r="C57" t="s">
        <v>270</v>
      </c>
      <c r="D57" s="115" t="b">
        <v>0</v>
      </c>
      <c r="E57" s="115" t="b">
        <v>1</v>
      </c>
      <c r="F57" s="115" t="b">
        <v>1</v>
      </c>
      <c r="G57" s="115" t="b">
        <v>1</v>
      </c>
      <c r="H57" s="115" t="b">
        <v>1</v>
      </c>
      <c r="I57" s="115" t="b">
        <v>1</v>
      </c>
      <c r="J57" s="115" t="b">
        <v>1</v>
      </c>
      <c r="K57" s="115" t="b">
        <v>0</v>
      </c>
      <c r="L57" s="115" t="b">
        <v>0</v>
      </c>
      <c r="M57" s="115" t="b">
        <v>0</v>
      </c>
      <c r="N57" s="115" t="b">
        <v>1</v>
      </c>
    </row>
    <row r="58" spans="1:14">
      <c r="A58" s="44">
        <v>57</v>
      </c>
      <c r="B58" t="s">
        <v>560</v>
      </c>
      <c r="C58" t="s">
        <v>127</v>
      </c>
      <c r="D58" s="115" t="b">
        <v>0</v>
      </c>
      <c r="E58" s="115" t="b">
        <v>1</v>
      </c>
      <c r="F58" s="115" t="b">
        <v>0</v>
      </c>
      <c r="G58" s="115" t="b">
        <v>1</v>
      </c>
      <c r="H58" s="115" t="b">
        <v>0</v>
      </c>
      <c r="I58" s="115" t="b">
        <v>1</v>
      </c>
      <c r="J58" s="115" t="b">
        <v>0</v>
      </c>
      <c r="K58" s="115" t="b">
        <v>0</v>
      </c>
      <c r="L58" s="115" t="b">
        <v>0</v>
      </c>
      <c r="M58" s="115" t="b">
        <v>0</v>
      </c>
      <c r="N58" s="115" t="b">
        <v>1</v>
      </c>
    </row>
    <row r="59" spans="1:14">
      <c r="A59" s="44">
        <v>58</v>
      </c>
      <c r="B59" t="s">
        <v>129</v>
      </c>
      <c r="C59" t="s">
        <v>129</v>
      </c>
      <c r="D59" s="115" t="b">
        <v>0</v>
      </c>
      <c r="E59" s="115" t="b">
        <v>0</v>
      </c>
      <c r="F59" s="115" t="b">
        <v>1</v>
      </c>
      <c r="G59" s="115" t="b">
        <v>0</v>
      </c>
      <c r="H59" s="115" t="b">
        <v>1</v>
      </c>
      <c r="I59" s="115" t="b">
        <v>0</v>
      </c>
      <c r="J59" s="115" t="b">
        <v>0</v>
      </c>
      <c r="K59" s="115" t="b">
        <v>0</v>
      </c>
      <c r="L59" s="115" t="b">
        <v>0</v>
      </c>
      <c r="M59" s="115" t="b">
        <v>0</v>
      </c>
      <c r="N59" s="115" t="b">
        <v>1</v>
      </c>
    </row>
    <row r="60" spans="1:14">
      <c r="A60" s="44">
        <v>59</v>
      </c>
      <c r="B60" t="s">
        <v>561</v>
      </c>
      <c r="C60" t="s">
        <v>353</v>
      </c>
      <c r="D60" s="115" t="b">
        <v>0</v>
      </c>
      <c r="E60" s="115" t="b">
        <v>0</v>
      </c>
      <c r="F60" s="115" t="b">
        <v>1</v>
      </c>
      <c r="G60" s="115" t="b">
        <v>0</v>
      </c>
      <c r="H60" s="115" t="b">
        <v>0</v>
      </c>
      <c r="I60" s="115" t="b">
        <v>1</v>
      </c>
      <c r="J60" s="115" t="b">
        <v>0</v>
      </c>
      <c r="K60" s="115" t="b">
        <v>0</v>
      </c>
      <c r="L60" s="115" t="b">
        <v>0</v>
      </c>
      <c r="M60" s="115" t="b">
        <v>0</v>
      </c>
      <c r="N60" s="115" t="b">
        <v>1</v>
      </c>
    </row>
    <row r="61" spans="1:14">
      <c r="A61" s="44">
        <v>60</v>
      </c>
      <c r="B61" t="s">
        <v>389</v>
      </c>
      <c r="C61" t="s">
        <v>390</v>
      </c>
      <c r="D61" s="115" t="b">
        <v>0</v>
      </c>
      <c r="E61" s="115" t="b">
        <v>0</v>
      </c>
      <c r="F61" s="115" t="b">
        <v>1</v>
      </c>
      <c r="G61" s="115" t="b">
        <v>0</v>
      </c>
      <c r="H61" s="115" t="b">
        <v>0</v>
      </c>
      <c r="I61" s="115" t="b">
        <v>0</v>
      </c>
      <c r="J61" s="115" t="b">
        <v>0</v>
      </c>
      <c r="K61" s="115" t="b">
        <v>0</v>
      </c>
      <c r="L61" s="115" t="b">
        <v>0</v>
      </c>
      <c r="M61" s="115" t="b">
        <v>0</v>
      </c>
      <c r="N61" s="115" t="b">
        <v>1</v>
      </c>
    </row>
    <row r="62" spans="1:14">
      <c r="A62" s="44">
        <v>61</v>
      </c>
      <c r="B62" t="s">
        <v>391</v>
      </c>
      <c r="C62" t="s">
        <v>421</v>
      </c>
      <c r="D62" s="115" t="b">
        <v>0</v>
      </c>
      <c r="E62" s="115" t="b">
        <v>0</v>
      </c>
      <c r="F62" s="115" t="b">
        <v>0</v>
      </c>
      <c r="G62" s="115" t="b">
        <v>0</v>
      </c>
      <c r="H62" s="115" t="b">
        <v>1</v>
      </c>
      <c r="I62" s="115" t="b">
        <v>0</v>
      </c>
      <c r="J62" s="115" t="b">
        <v>0</v>
      </c>
      <c r="K62" s="115" t="b">
        <v>0</v>
      </c>
      <c r="L62" s="115" t="b">
        <v>0</v>
      </c>
      <c r="M62" s="115" t="b">
        <v>0</v>
      </c>
      <c r="N62" s="115" t="b">
        <v>1</v>
      </c>
    </row>
    <row r="63" spans="1:14">
      <c r="A63" s="44">
        <v>62</v>
      </c>
      <c r="B63" t="s">
        <v>131</v>
      </c>
      <c r="C63" t="s">
        <v>394</v>
      </c>
      <c r="D63" s="115" t="b">
        <v>1</v>
      </c>
      <c r="E63" s="115" t="b">
        <v>0</v>
      </c>
      <c r="F63" s="115" t="b">
        <v>0</v>
      </c>
      <c r="G63" s="115" t="b">
        <v>0</v>
      </c>
      <c r="H63" s="115" t="b">
        <v>0</v>
      </c>
      <c r="I63" s="115" t="b">
        <v>0</v>
      </c>
      <c r="J63" s="115" t="b">
        <v>0</v>
      </c>
      <c r="K63" s="115" t="b">
        <v>0</v>
      </c>
      <c r="L63" s="115" t="b">
        <v>0</v>
      </c>
      <c r="M63" s="115" t="b">
        <v>0</v>
      </c>
      <c r="N63" s="115" t="b">
        <v>1</v>
      </c>
    </row>
    <row r="64" spans="1:14">
      <c r="A64" s="44">
        <v>63</v>
      </c>
      <c r="B64" t="s">
        <v>562</v>
      </c>
      <c r="C64" t="s">
        <v>233</v>
      </c>
      <c r="D64" s="115" t="b">
        <v>0</v>
      </c>
      <c r="E64" s="115" t="b">
        <v>0</v>
      </c>
      <c r="F64" s="115" t="b">
        <v>1</v>
      </c>
      <c r="G64" s="115" t="b">
        <v>0</v>
      </c>
      <c r="H64" s="115" t="b">
        <v>0</v>
      </c>
      <c r="I64" s="115" t="b">
        <v>0</v>
      </c>
      <c r="J64" s="115" t="b">
        <v>0</v>
      </c>
      <c r="K64" s="115" t="b">
        <v>0</v>
      </c>
      <c r="L64" s="115" t="b">
        <v>0</v>
      </c>
      <c r="M64" s="115" t="b">
        <v>0</v>
      </c>
      <c r="N64" s="115" t="b">
        <v>1</v>
      </c>
    </row>
    <row r="65" spans="1:15">
      <c r="A65" s="44">
        <v>64</v>
      </c>
      <c r="B65" t="s">
        <v>563</v>
      </c>
      <c r="C65" t="s">
        <v>252</v>
      </c>
      <c r="D65" s="115" t="b">
        <v>0</v>
      </c>
      <c r="E65" s="115" t="b">
        <v>1</v>
      </c>
      <c r="F65" s="115" t="b">
        <v>1</v>
      </c>
      <c r="G65" s="115" t="b">
        <v>1</v>
      </c>
      <c r="H65" s="115" t="b">
        <v>1</v>
      </c>
      <c r="I65" s="115" t="b">
        <v>1</v>
      </c>
      <c r="J65" s="115" t="b">
        <v>0</v>
      </c>
      <c r="K65" s="115" t="b">
        <v>0</v>
      </c>
      <c r="L65" s="115" t="b">
        <v>0</v>
      </c>
      <c r="M65" s="115" t="b">
        <v>0</v>
      </c>
      <c r="N65" s="115" t="b">
        <v>1</v>
      </c>
    </row>
    <row r="66" spans="1:15">
      <c r="A66" s="44">
        <v>65</v>
      </c>
      <c r="B66" t="s">
        <v>133</v>
      </c>
      <c r="C66" t="s">
        <v>395</v>
      </c>
      <c r="D66" s="115" t="b">
        <v>1</v>
      </c>
      <c r="E66" s="115" t="b">
        <v>0</v>
      </c>
      <c r="F66" s="115" t="b">
        <v>0</v>
      </c>
      <c r="G66" s="115" t="b">
        <v>0</v>
      </c>
      <c r="H66" s="115" t="b">
        <v>0</v>
      </c>
      <c r="I66" s="115" t="b">
        <v>0</v>
      </c>
      <c r="J66" s="115" t="b">
        <v>0</v>
      </c>
      <c r="K66" s="115" t="b">
        <v>0</v>
      </c>
      <c r="L66" s="115" t="b">
        <v>0</v>
      </c>
      <c r="M66" s="115" t="b">
        <v>0</v>
      </c>
      <c r="N66" s="115" t="b">
        <v>1</v>
      </c>
    </row>
    <row r="67" spans="1:15">
      <c r="A67" s="44">
        <v>66</v>
      </c>
      <c r="B67" t="s">
        <v>136</v>
      </c>
      <c r="C67" t="s">
        <v>564</v>
      </c>
      <c r="D67" s="115" t="b">
        <v>1</v>
      </c>
      <c r="E67" s="115" t="b">
        <v>0</v>
      </c>
      <c r="F67" s="115" t="b">
        <v>0</v>
      </c>
      <c r="G67" s="115" t="b">
        <v>0</v>
      </c>
      <c r="H67" s="115" t="b">
        <v>0</v>
      </c>
      <c r="I67" s="115" t="b">
        <v>0</v>
      </c>
      <c r="J67" s="115" t="b">
        <v>0</v>
      </c>
      <c r="K67" s="115" t="b">
        <v>0</v>
      </c>
      <c r="L67" s="115" t="b">
        <v>0</v>
      </c>
      <c r="M67" s="115" t="b">
        <v>0</v>
      </c>
      <c r="N67" s="115" t="b">
        <v>1</v>
      </c>
    </row>
    <row r="68" spans="1:15">
      <c r="A68" s="44">
        <v>67</v>
      </c>
      <c r="B68" t="s">
        <v>396</v>
      </c>
      <c r="C68" t="s">
        <v>397</v>
      </c>
      <c r="D68" s="115" t="b">
        <v>0</v>
      </c>
      <c r="E68" s="115" t="b">
        <v>0</v>
      </c>
      <c r="F68" s="115" t="b">
        <v>0</v>
      </c>
      <c r="G68" s="115" t="b">
        <v>1</v>
      </c>
      <c r="H68" s="115" t="b">
        <v>0</v>
      </c>
      <c r="I68" s="115" t="b">
        <v>0</v>
      </c>
      <c r="J68" s="115" t="b">
        <v>0</v>
      </c>
      <c r="K68" s="115" t="b">
        <v>0</v>
      </c>
      <c r="L68" s="115" t="b">
        <v>0</v>
      </c>
      <c r="M68" s="115" t="b">
        <v>0</v>
      </c>
      <c r="N68" s="115" t="b">
        <v>1</v>
      </c>
    </row>
    <row r="69" spans="1:15">
      <c r="A69" s="44">
        <v>68</v>
      </c>
      <c r="B69" t="s">
        <v>473</v>
      </c>
      <c r="C69" t="s">
        <v>473</v>
      </c>
      <c r="D69" s="115" t="b">
        <v>0</v>
      </c>
      <c r="E69" s="115" t="b">
        <v>1</v>
      </c>
      <c r="F69" s="115" t="b">
        <v>0</v>
      </c>
      <c r="G69" s="115" t="b">
        <v>0</v>
      </c>
      <c r="H69" s="115" t="b">
        <v>0</v>
      </c>
      <c r="I69" s="115" t="b">
        <v>0</v>
      </c>
      <c r="J69" s="115" t="b">
        <v>0</v>
      </c>
      <c r="K69" s="115" t="b">
        <v>0</v>
      </c>
      <c r="L69" s="115" t="b">
        <v>0</v>
      </c>
      <c r="M69" s="115" t="b">
        <v>1</v>
      </c>
      <c r="N69" s="115" t="b">
        <v>1</v>
      </c>
      <c r="O69" t="s">
        <v>565</v>
      </c>
    </row>
    <row r="70" spans="1:15">
      <c r="A70" s="44">
        <v>69</v>
      </c>
      <c r="B70" t="s">
        <v>566</v>
      </c>
      <c r="C70" t="s">
        <v>567</v>
      </c>
      <c r="D70" s="115" t="b">
        <v>1</v>
      </c>
      <c r="E70" s="115" t="b">
        <v>0</v>
      </c>
      <c r="F70" s="115" t="b">
        <v>0</v>
      </c>
      <c r="G70" s="115" t="b">
        <v>0</v>
      </c>
      <c r="H70" s="115" t="b">
        <v>0</v>
      </c>
      <c r="I70" s="115" t="b">
        <v>0</v>
      </c>
      <c r="J70" s="115" t="b">
        <v>0</v>
      </c>
      <c r="K70" s="115" t="b">
        <v>0</v>
      </c>
      <c r="L70" s="115" t="b">
        <v>0</v>
      </c>
      <c r="M70" s="115" t="b">
        <v>0</v>
      </c>
      <c r="N70" s="115" t="b">
        <v>0</v>
      </c>
    </row>
    <row r="71" spans="1:15">
      <c r="A71" s="44">
        <v>70</v>
      </c>
      <c r="B71" t="s">
        <v>139</v>
      </c>
      <c r="C71" t="s">
        <v>568</v>
      </c>
      <c r="D71" s="115" t="b">
        <v>1</v>
      </c>
      <c r="E71" s="115" t="b">
        <v>0</v>
      </c>
      <c r="F71" s="115" t="b">
        <v>0</v>
      </c>
      <c r="G71" s="115" t="b">
        <v>0</v>
      </c>
      <c r="H71" s="115" t="b">
        <v>0</v>
      </c>
      <c r="I71" s="115" t="b">
        <v>0</v>
      </c>
      <c r="J71" s="115" t="b">
        <v>0</v>
      </c>
      <c r="K71" s="115" t="b">
        <v>0</v>
      </c>
      <c r="L71" s="115" t="b">
        <v>0</v>
      </c>
      <c r="M71" s="115" t="b">
        <v>0</v>
      </c>
      <c r="N71" s="115" t="b">
        <v>1</v>
      </c>
    </row>
    <row r="72" spans="1:15">
      <c r="A72" s="44">
        <v>71</v>
      </c>
      <c r="B72" t="s">
        <v>139</v>
      </c>
      <c r="C72" t="s">
        <v>569</v>
      </c>
      <c r="D72" s="115" t="b">
        <v>1</v>
      </c>
      <c r="E72" s="115" t="b">
        <v>0</v>
      </c>
      <c r="F72" s="115" t="b">
        <v>0</v>
      </c>
      <c r="G72" s="115" t="b">
        <v>0</v>
      </c>
      <c r="H72" s="115" t="b">
        <v>0</v>
      </c>
      <c r="I72" s="115" t="b">
        <v>0</v>
      </c>
      <c r="J72" s="115" t="b">
        <v>0</v>
      </c>
      <c r="K72" s="115" t="b">
        <v>0</v>
      </c>
      <c r="L72" s="115" t="b">
        <v>0</v>
      </c>
      <c r="M72" s="115" t="b">
        <v>0</v>
      </c>
      <c r="N72" s="115" t="b">
        <v>1</v>
      </c>
    </row>
    <row r="73" spans="1:15">
      <c r="A73" s="44">
        <v>72</v>
      </c>
      <c r="B73" t="s">
        <v>139</v>
      </c>
      <c r="C73" t="s">
        <v>570</v>
      </c>
      <c r="D73" s="115" t="b">
        <v>1</v>
      </c>
      <c r="E73" s="115" t="b">
        <v>0</v>
      </c>
      <c r="F73" s="115" t="b">
        <v>0</v>
      </c>
      <c r="G73" s="115" t="b">
        <v>0</v>
      </c>
      <c r="H73" s="115" t="b">
        <v>0</v>
      </c>
      <c r="I73" s="115" t="b">
        <v>0</v>
      </c>
      <c r="J73" s="115" t="b">
        <v>0</v>
      </c>
      <c r="K73" s="115" t="b">
        <v>0</v>
      </c>
      <c r="L73" s="115" t="b">
        <v>0</v>
      </c>
      <c r="M73" s="115" t="b">
        <v>0</v>
      </c>
      <c r="N73" s="115" t="b">
        <v>0</v>
      </c>
    </row>
    <row r="74" spans="1:15">
      <c r="A74" s="44">
        <v>73</v>
      </c>
      <c r="B74" t="s">
        <v>140</v>
      </c>
      <c r="C74" t="s">
        <v>399</v>
      </c>
      <c r="D74" s="115" t="b">
        <v>1</v>
      </c>
      <c r="E74" s="115" t="b">
        <v>0</v>
      </c>
      <c r="F74" s="115" t="b">
        <v>0</v>
      </c>
      <c r="G74" s="115" t="b">
        <v>0</v>
      </c>
      <c r="H74" s="115" t="b">
        <v>0</v>
      </c>
      <c r="I74" s="115" t="b">
        <v>0</v>
      </c>
      <c r="J74" s="115" t="b">
        <v>0</v>
      </c>
      <c r="K74" s="115" t="b">
        <v>0</v>
      </c>
      <c r="L74" s="115" t="b">
        <v>0</v>
      </c>
      <c r="M74" s="115" t="b">
        <v>0</v>
      </c>
      <c r="N74" s="115" t="b">
        <v>1</v>
      </c>
    </row>
    <row r="75" spans="1:15">
      <c r="A75" s="44">
        <v>74</v>
      </c>
      <c r="B75" t="s">
        <v>147</v>
      </c>
      <c r="C75" t="s">
        <v>263</v>
      </c>
      <c r="D75" s="115" t="b">
        <v>0</v>
      </c>
      <c r="E75" s="115" t="b">
        <v>0</v>
      </c>
      <c r="F75" s="115" t="b">
        <v>1</v>
      </c>
      <c r="G75" s="115" t="b">
        <v>0</v>
      </c>
      <c r="H75" s="115" t="b">
        <v>1</v>
      </c>
      <c r="I75" s="115" t="b">
        <v>0</v>
      </c>
      <c r="J75" s="115" t="b">
        <v>1</v>
      </c>
      <c r="K75" s="115" t="b">
        <v>0</v>
      </c>
      <c r="L75" s="115" t="b">
        <v>0</v>
      </c>
      <c r="M75" s="115" t="b">
        <v>0</v>
      </c>
      <c r="N75" s="115" t="b">
        <v>1</v>
      </c>
    </row>
    <row r="76" spans="1:15">
      <c r="A76" s="44">
        <v>75</v>
      </c>
      <c r="B76" t="s">
        <v>573</v>
      </c>
      <c r="C76" t="s">
        <v>574</v>
      </c>
      <c r="D76" s="115" t="b">
        <v>0</v>
      </c>
      <c r="E76" s="115" t="b">
        <v>0</v>
      </c>
      <c r="F76" s="115" t="b">
        <v>0</v>
      </c>
      <c r="G76" s="115" t="b">
        <v>0</v>
      </c>
      <c r="H76" s="115" t="b">
        <v>0</v>
      </c>
      <c r="I76" s="115" t="b">
        <v>0</v>
      </c>
      <c r="J76" s="115" t="b">
        <v>0</v>
      </c>
      <c r="K76" s="115" t="b">
        <v>0</v>
      </c>
      <c r="L76" s="115" t="b">
        <v>0</v>
      </c>
      <c r="M76" s="115" t="b">
        <v>0</v>
      </c>
      <c r="N76" s="115" t="b">
        <v>0</v>
      </c>
    </row>
    <row r="77" spans="1:15">
      <c r="A77" s="44">
        <v>76</v>
      </c>
      <c r="B77" t="s">
        <v>575</v>
      </c>
      <c r="C77" t="s">
        <v>576</v>
      </c>
      <c r="D77" s="115" t="b">
        <v>0</v>
      </c>
      <c r="E77" s="115" t="b">
        <v>1</v>
      </c>
      <c r="F77" s="115" t="b">
        <v>0</v>
      </c>
      <c r="G77" s="115" t="b">
        <v>0</v>
      </c>
      <c r="H77" s="115" t="b">
        <v>0</v>
      </c>
      <c r="I77" s="115" t="b">
        <v>0</v>
      </c>
      <c r="J77" s="115" t="b">
        <v>0</v>
      </c>
      <c r="K77" s="115" t="b">
        <v>0</v>
      </c>
      <c r="L77" s="115" t="b">
        <v>0</v>
      </c>
      <c r="M77" s="115" t="b">
        <v>0</v>
      </c>
      <c r="N77" s="115" t="b">
        <v>1</v>
      </c>
    </row>
    <row r="78" spans="1:15">
      <c r="A78" s="44">
        <v>77</v>
      </c>
      <c r="B78" t="s">
        <v>577</v>
      </c>
      <c r="C78" t="s">
        <v>578</v>
      </c>
      <c r="D78" s="115" t="b">
        <v>0</v>
      </c>
      <c r="E78" s="115" t="b">
        <v>1</v>
      </c>
      <c r="F78" s="115" t="b">
        <v>0</v>
      </c>
      <c r="G78" s="115" t="b">
        <v>0</v>
      </c>
      <c r="H78" s="115" t="b">
        <v>0</v>
      </c>
      <c r="I78" s="115" t="b">
        <v>0</v>
      </c>
      <c r="J78" s="115" t="b">
        <v>0</v>
      </c>
      <c r="K78" s="115" t="b">
        <v>0</v>
      </c>
      <c r="L78" s="115" t="b">
        <v>0</v>
      </c>
      <c r="M78" s="115" t="b">
        <v>0</v>
      </c>
      <c r="N78" s="115" t="b">
        <v>1</v>
      </c>
    </row>
    <row r="79" spans="1:15">
      <c r="A79" s="44">
        <v>78</v>
      </c>
      <c r="B79" t="s">
        <v>571</v>
      </c>
      <c r="C79" t="s">
        <v>426</v>
      </c>
      <c r="D79" s="115" t="b">
        <v>0</v>
      </c>
      <c r="E79" s="115" t="b">
        <v>0</v>
      </c>
      <c r="F79" s="115" t="b">
        <v>1</v>
      </c>
      <c r="G79" s="115" t="b">
        <v>0</v>
      </c>
      <c r="H79" s="115" t="b">
        <v>0</v>
      </c>
      <c r="I79" s="115" t="b">
        <v>0</v>
      </c>
      <c r="J79" s="115" t="b">
        <v>0</v>
      </c>
      <c r="K79" s="115" t="b">
        <v>0</v>
      </c>
      <c r="L79" s="115" t="b">
        <v>0</v>
      </c>
      <c r="M79" s="115" t="b">
        <v>1</v>
      </c>
      <c r="N79" s="115" t="b">
        <v>1</v>
      </c>
      <c r="O79" t="s">
        <v>572</v>
      </c>
    </row>
    <row r="80" spans="1:15">
      <c r="A80" s="44">
        <v>79</v>
      </c>
      <c r="B80" t="s">
        <v>579</v>
      </c>
      <c r="C80" t="s">
        <v>241</v>
      </c>
      <c r="D80" s="115" t="b">
        <v>0</v>
      </c>
      <c r="E80" s="115" t="b">
        <v>0</v>
      </c>
      <c r="F80" s="115" t="b">
        <v>0</v>
      </c>
      <c r="G80" s="115" t="b">
        <v>0</v>
      </c>
      <c r="H80" s="115" t="b">
        <v>0</v>
      </c>
      <c r="I80" s="115" t="b">
        <v>0</v>
      </c>
      <c r="J80" s="115" t="b">
        <v>1</v>
      </c>
      <c r="K80" s="115" t="b">
        <v>0</v>
      </c>
      <c r="L80" s="115" t="b">
        <v>0</v>
      </c>
      <c r="M80" s="115" t="b">
        <v>0</v>
      </c>
      <c r="N80" s="115" t="b">
        <v>1</v>
      </c>
    </row>
    <row r="81" spans="1:14">
      <c r="A81" s="44">
        <v>80</v>
      </c>
      <c r="B81" t="s">
        <v>580</v>
      </c>
      <c r="C81" t="s">
        <v>401</v>
      </c>
      <c r="D81" s="115" t="b">
        <v>1</v>
      </c>
      <c r="E81" s="115" t="b">
        <v>0</v>
      </c>
      <c r="F81" s="115" t="b">
        <v>0</v>
      </c>
      <c r="G81" s="115" t="b">
        <v>0</v>
      </c>
      <c r="H81" s="115" t="b">
        <v>0</v>
      </c>
      <c r="I81" s="115" t="b">
        <v>0</v>
      </c>
      <c r="J81" s="115" t="b">
        <v>0</v>
      </c>
      <c r="K81" s="115" t="b">
        <v>0</v>
      </c>
      <c r="L81" s="115" t="b">
        <v>0</v>
      </c>
      <c r="M81" s="115" t="b">
        <v>0</v>
      </c>
      <c r="N81" s="115" t="b">
        <v>1</v>
      </c>
    </row>
    <row r="82" spans="1:14">
      <c r="A82" s="44">
        <v>81</v>
      </c>
      <c r="B82" t="s">
        <v>402</v>
      </c>
      <c r="C82" t="s">
        <v>420</v>
      </c>
      <c r="D82" s="115" t="b">
        <v>0</v>
      </c>
      <c r="E82" s="115" t="b">
        <v>0</v>
      </c>
      <c r="F82" s="115" t="b">
        <v>1</v>
      </c>
      <c r="G82" s="115" t="b">
        <v>0</v>
      </c>
      <c r="H82" s="115" t="b">
        <v>0</v>
      </c>
      <c r="I82" s="115" t="b">
        <v>1</v>
      </c>
      <c r="J82" s="115" t="b">
        <v>0</v>
      </c>
      <c r="K82" s="115" t="b">
        <v>0</v>
      </c>
      <c r="L82" s="115" t="b">
        <v>0</v>
      </c>
      <c r="M82" s="115" t="b">
        <v>0</v>
      </c>
      <c r="N82" s="115" t="b">
        <v>1</v>
      </c>
    </row>
    <row r="83" spans="1:14">
      <c r="A83" s="44">
        <v>82</v>
      </c>
      <c r="B83" t="s">
        <v>581</v>
      </c>
      <c r="C83" t="s">
        <v>243</v>
      </c>
      <c r="D83" s="115" t="b">
        <v>0</v>
      </c>
      <c r="E83" s="115" t="b">
        <v>0</v>
      </c>
      <c r="F83" s="115" t="b">
        <v>0</v>
      </c>
      <c r="G83" s="115" t="b">
        <v>0</v>
      </c>
      <c r="H83" s="115" t="b">
        <v>0</v>
      </c>
      <c r="I83" s="115" t="b">
        <v>0</v>
      </c>
      <c r="J83" s="115" t="b">
        <v>0</v>
      </c>
      <c r="K83" s="115" t="b">
        <v>0</v>
      </c>
      <c r="L83" s="115" t="b">
        <v>0</v>
      </c>
      <c r="M83" s="115" t="b">
        <v>0</v>
      </c>
      <c r="N83" s="115" t="b">
        <v>0</v>
      </c>
    </row>
    <row r="84" spans="1:14">
      <c r="A84" s="44">
        <v>83</v>
      </c>
      <c r="B84" t="s">
        <v>404</v>
      </c>
      <c r="C84" t="s">
        <v>266</v>
      </c>
      <c r="D84" s="115" t="b">
        <v>0</v>
      </c>
      <c r="E84" s="115" t="b">
        <v>0</v>
      </c>
      <c r="F84" s="115" t="b">
        <v>0</v>
      </c>
      <c r="G84" s="115" t="b">
        <v>0</v>
      </c>
      <c r="H84" s="115" t="b">
        <v>0</v>
      </c>
      <c r="I84" s="115" t="b">
        <v>1</v>
      </c>
      <c r="J84" s="115" t="b">
        <v>0</v>
      </c>
      <c r="K84" s="115" t="b">
        <v>0</v>
      </c>
      <c r="L84" s="115" t="b">
        <v>0</v>
      </c>
      <c r="M84" s="115" t="b">
        <v>0</v>
      </c>
      <c r="N84" s="115" t="b">
        <v>1</v>
      </c>
    </row>
    <row r="85" spans="1:14">
      <c r="A85" s="44">
        <v>84</v>
      </c>
      <c r="B85" t="s">
        <v>405</v>
      </c>
      <c r="C85" t="s">
        <v>405</v>
      </c>
      <c r="D85" s="115" t="b">
        <v>1</v>
      </c>
      <c r="E85" s="115" t="b">
        <v>0</v>
      </c>
      <c r="F85" s="115" t="b">
        <v>0</v>
      </c>
      <c r="G85" s="115" t="b">
        <v>0</v>
      </c>
      <c r="H85" s="115" t="b">
        <v>0</v>
      </c>
      <c r="I85" s="115" t="b">
        <v>0</v>
      </c>
      <c r="J85" s="115" t="b">
        <v>0</v>
      </c>
      <c r="K85" s="115" t="b">
        <v>0</v>
      </c>
      <c r="L85" s="115" t="b">
        <v>0</v>
      </c>
      <c r="M85" s="115" t="b">
        <v>0</v>
      </c>
      <c r="N85" s="115" t="b">
        <v>1</v>
      </c>
    </row>
    <row r="86" spans="1:14">
      <c r="A86" s="44">
        <v>85</v>
      </c>
      <c r="B86" t="s">
        <v>582</v>
      </c>
      <c r="C86" t="s">
        <v>152</v>
      </c>
      <c r="D86" s="115" t="b">
        <v>0</v>
      </c>
      <c r="E86" s="115" t="b">
        <v>0</v>
      </c>
      <c r="F86" s="115" t="b">
        <v>0</v>
      </c>
      <c r="G86" s="115" t="b">
        <v>0</v>
      </c>
      <c r="H86" s="115" t="b">
        <v>1</v>
      </c>
      <c r="I86" s="115" t="b">
        <v>0</v>
      </c>
      <c r="J86" s="115" t="b">
        <v>0</v>
      </c>
      <c r="K86" s="115" t="b">
        <v>0</v>
      </c>
      <c r="L86" s="115" t="b">
        <v>0</v>
      </c>
      <c r="M86" s="115" t="b">
        <v>0</v>
      </c>
      <c r="N86" s="115" t="b">
        <v>1</v>
      </c>
    </row>
    <row r="87" spans="1:14">
      <c r="A87" s="44">
        <v>86</v>
      </c>
      <c r="B87" t="s">
        <v>153</v>
      </c>
      <c r="C87" t="s">
        <v>153</v>
      </c>
      <c r="D87" s="115" t="b">
        <v>1</v>
      </c>
      <c r="E87" s="115" t="b">
        <v>0</v>
      </c>
      <c r="F87" s="115" t="b">
        <v>0</v>
      </c>
      <c r="G87" s="115" t="b">
        <v>0</v>
      </c>
      <c r="H87" s="115" t="b">
        <v>0</v>
      </c>
      <c r="I87" s="115" t="b">
        <v>0</v>
      </c>
      <c r="J87" s="115" t="b">
        <v>0</v>
      </c>
      <c r="K87" s="115" t="b">
        <v>0</v>
      </c>
      <c r="L87" s="115" t="b">
        <v>0</v>
      </c>
      <c r="M87" s="115" t="b">
        <v>0</v>
      </c>
      <c r="N87" s="115" t="b">
        <v>1</v>
      </c>
    </row>
    <row r="88" spans="1:14">
      <c r="A88" s="44">
        <v>87</v>
      </c>
      <c r="B88" t="s">
        <v>583</v>
      </c>
      <c r="C88" t="s">
        <v>221</v>
      </c>
      <c r="D88" s="115" t="b">
        <v>1</v>
      </c>
      <c r="E88" s="115" t="b">
        <v>0</v>
      </c>
      <c r="F88" s="115" t="b">
        <v>0</v>
      </c>
      <c r="G88" s="115" t="b">
        <v>0</v>
      </c>
      <c r="H88" s="115" t="b">
        <v>0</v>
      </c>
      <c r="I88" s="115" t="b">
        <v>0</v>
      </c>
      <c r="J88" s="115" t="b">
        <v>0</v>
      </c>
      <c r="K88" s="115" t="b">
        <v>0</v>
      </c>
      <c r="L88" s="115" t="b">
        <v>0</v>
      </c>
      <c r="M88" s="115" t="b">
        <v>0</v>
      </c>
      <c r="N88" s="115" t="b">
        <v>1</v>
      </c>
    </row>
    <row r="89" spans="1:14">
      <c r="A89" s="44">
        <v>88</v>
      </c>
      <c r="B89" t="s">
        <v>584</v>
      </c>
      <c r="C89" t="s">
        <v>230</v>
      </c>
      <c r="D89" s="115" t="b">
        <v>0</v>
      </c>
      <c r="E89" s="115" t="b">
        <v>0</v>
      </c>
      <c r="F89" s="115" t="b">
        <v>1</v>
      </c>
      <c r="G89" s="115" t="b">
        <v>0</v>
      </c>
      <c r="H89" s="115" t="b">
        <v>1</v>
      </c>
      <c r="I89" s="115" t="b">
        <v>0</v>
      </c>
      <c r="J89" s="115" t="b">
        <v>0</v>
      </c>
      <c r="K89" s="115" t="b">
        <v>0</v>
      </c>
      <c r="L89" s="115" t="b">
        <v>0</v>
      </c>
      <c r="M89" s="115" t="b">
        <v>0</v>
      </c>
      <c r="N89" s="115" t="b">
        <v>1</v>
      </c>
    </row>
    <row r="90" spans="1:14">
      <c r="A90" s="44">
        <v>89</v>
      </c>
      <c r="B90" t="s">
        <v>585</v>
      </c>
      <c r="C90" t="s">
        <v>229</v>
      </c>
      <c r="D90" s="115" t="b">
        <v>0</v>
      </c>
      <c r="E90" s="115" t="b">
        <v>0</v>
      </c>
      <c r="F90" s="115" t="b">
        <v>1</v>
      </c>
      <c r="G90" s="115" t="b">
        <v>0</v>
      </c>
      <c r="H90" s="115" t="b">
        <v>1</v>
      </c>
      <c r="I90" s="115" t="b">
        <v>0</v>
      </c>
      <c r="J90" s="115" t="b">
        <v>0</v>
      </c>
      <c r="K90" s="115" t="b">
        <v>0</v>
      </c>
      <c r="L90" s="115" t="b">
        <v>0</v>
      </c>
      <c r="M90" s="115" t="b">
        <v>0</v>
      </c>
      <c r="N90" s="115" t="b">
        <v>1</v>
      </c>
    </row>
    <row r="91" spans="1:14">
      <c r="A91" s="44">
        <v>90</v>
      </c>
      <c r="B91" t="s">
        <v>586</v>
      </c>
      <c r="C91" t="s">
        <v>239</v>
      </c>
      <c r="D91" s="115" t="b">
        <v>0</v>
      </c>
      <c r="E91" s="115" t="b">
        <v>0</v>
      </c>
      <c r="F91" s="115" t="b">
        <v>0</v>
      </c>
      <c r="G91" s="115" t="b">
        <v>0</v>
      </c>
      <c r="H91" s="115" t="b">
        <v>0</v>
      </c>
      <c r="I91" s="115" t="b">
        <v>1</v>
      </c>
      <c r="J91" s="115" t="b">
        <v>0</v>
      </c>
      <c r="K91" s="115" t="b">
        <v>0</v>
      </c>
      <c r="L91" s="115" t="b">
        <v>0</v>
      </c>
      <c r="M91" s="115" t="b">
        <v>0</v>
      </c>
      <c r="N91" s="115" t="b">
        <v>1</v>
      </c>
    </row>
    <row r="92" spans="1:14">
      <c r="A92" s="44">
        <v>91</v>
      </c>
      <c r="B92" t="s">
        <v>587</v>
      </c>
      <c r="C92" t="s">
        <v>588</v>
      </c>
      <c r="D92" s="115" t="b">
        <v>0</v>
      </c>
      <c r="E92" s="115" t="b">
        <v>0</v>
      </c>
      <c r="F92" s="115" t="b">
        <v>0</v>
      </c>
      <c r="G92" s="115" t="b">
        <v>0</v>
      </c>
      <c r="H92" s="115" t="b">
        <v>0</v>
      </c>
      <c r="I92" s="115" t="b">
        <v>1</v>
      </c>
      <c r="J92" s="115" t="b">
        <v>0</v>
      </c>
      <c r="K92" s="115" t="b">
        <v>0</v>
      </c>
      <c r="L92" s="115" t="b">
        <v>0</v>
      </c>
      <c r="M92" s="115" t="b">
        <v>0</v>
      </c>
      <c r="N92" s="115" t="b">
        <v>1</v>
      </c>
    </row>
    <row r="93" spans="1:14">
      <c r="A93" s="44">
        <v>92</v>
      </c>
      <c r="B93" t="s">
        <v>160</v>
      </c>
      <c r="C93" t="s">
        <v>160</v>
      </c>
      <c r="D93" s="115" t="b">
        <v>0</v>
      </c>
      <c r="E93" s="115" t="b">
        <v>1</v>
      </c>
      <c r="F93" s="115" t="b">
        <v>1</v>
      </c>
      <c r="G93" s="115" t="b">
        <v>1</v>
      </c>
      <c r="H93" s="115" t="b">
        <v>1</v>
      </c>
      <c r="I93" s="115" t="b">
        <v>1</v>
      </c>
      <c r="J93" s="115" t="b">
        <v>0</v>
      </c>
      <c r="K93" s="115" t="b">
        <v>0</v>
      </c>
      <c r="L93" s="115" t="b">
        <v>0</v>
      </c>
      <c r="M93" s="115" t="b">
        <v>0</v>
      </c>
      <c r="N93" s="115" t="b">
        <v>1</v>
      </c>
    </row>
    <row r="94" spans="1:14">
      <c r="A94" s="44">
        <v>93</v>
      </c>
      <c r="B94" t="s">
        <v>591</v>
      </c>
      <c r="C94" t="s">
        <v>592</v>
      </c>
      <c r="D94" s="115" t="b">
        <v>1</v>
      </c>
      <c r="E94" s="115" t="b">
        <v>0</v>
      </c>
      <c r="F94" s="115" t="b">
        <v>0</v>
      </c>
      <c r="G94" s="115" t="b">
        <v>0</v>
      </c>
      <c r="H94" s="115" t="b">
        <v>0</v>
      </c>
      <c r="I94" s="115" t="b">
        <v>0</v>
      </c>
      <c r="J94" s="115" t="b">
        <v>0</v>
      </c>
      <c r="K94" s="115" t="b">
        <v>0</v>
      </c>
      <c r="L94" s="115" t="b">
        <v>0</v>
      </c>
      <c r="M94" s="115" t="b">
        <v>0</v>
      </c>
      <c r="N94" s="115" t="b">
        <v>1</v>
      </c>
    </row>
    <row r="95" spans="1:14">
      <c r="A95" s="44">
        <v>94</v>
      </c>
      <c r="B95" t="s">
        <v>589</v>
      </c>
      <c r="C95" t="s">
        <v>590</v>
      </c>
      <c r="D95" s="115" t="b">
        <v>1</v>
      </c>
      <c r="E95" s="115" t="b">
        <v>0</v>
      </c>
      <c r="F95" s="115" t="b">
        <v>0</v>
      </c>
      <c r="G95" s="115" t="b">
        <v>0</v>
      </c>
      <c r="H95" s="115" t="b">
        <v>0</v>
      </c>
      <c r="I95" s="115" t="b">
        <v>0</v>
      </c>
      <c r="J95" s="115" t="b">
        <v>0</v>
      </c>
      <c r="K95" s="115" t="b">
        <v>0</v>
      </c>
      <c r="L95" s="115" t="b">
        <v>0</v>
      </c>
      <c r="M95" s="115" t="b">
        <v>0</v>
      </c>
      <c r="N95" s="115" t="b">
        <v>0</v>
      </c>
    </row>
    <row r="96" spans="1:14">
      <c r="A96" s="44">
        <v>95</v>
      </c>
      <c r="B96" t="s">
        <v>593</v>
      </c>
      <c r="C96" t="s">
        <v>594</v>
      </c>
      <c r="D96" s="115" t="b">
        <v>0</v>
      </c>
      <c r="E96" s="115" t="b">
        <v>0</v>
      </c>
      <c r="F96" s="115" t="b">
        <v>0</v>
      </c>
      <c r="G96" s="115" t="b">
        <v>0</v>
      </c>
      <c r="H96" s="115" t="b">
        <v>0</v>
      </c>
      <c r="I96" s="115" t="b">
        <v>0</v>
      </c>
      <c r="J96" s="115" t="b">
        <v>0</v>
      </c>
      <c r="K96" s="115" t="b">
        <v>0</v>
      </c>
      <c r="L96" s="115" t="b">
        <v>0</v>
      </c>
      <c r="M96" s="115" t="b">
        <v>0</v>
      </c>
      <c r="N96" s="115" t="b">
        <v>0</v>
      </c>
    </row>
    <row r="97" spans="1:15">
      <c r="A97" s="44">
        <v>96</v>
      </c>
      <c r="B97" t="s">
        <v>161</v>
      </c>
      <c r="C97" t="s">
        <v>238</v>
      </c>
      <c r="D97" s="115" t="b">
        <v>0</v>
      </c>
      <c r="E97" s="115" t="b">
        <v>0</v>
      </c>
      <c r="F97" s="115" t="b">
        <v>0</v>
      </c>
      <c r="G97" s="115" t="b">
        <v>0</v>
      </c>
      <c r="H97" s="115" t="b">
        <v>0</v>
      </c>
      <c r="I97" s="115" t="b">
        <v>1</v>
      </c>
      <c r="J97" s="115" t="b">
        <v>0</v>
      </c>
      <c r="K97" s="115" t="b">
        <v>0</v>
      </c>
      <c r="L97" s="115" t="b">
        <v>0</v>
      </c>
      <c r="M97" s="115" t="b">
        <v>0</v>
      </c>
      <c r="N97" s="115" t="b">
        <v>1</v>
      </c>
    </row>
    <row r="98" spans="1:15">
      <c r="A98" s="44">
        <v>97</v>
      </c>
      <c r="B98" t="s">
        <v>408</v>
      </c>
      <c r="C98" t="s">
        <v>269</v>
      </c>
      <c r="D98" s="115" t="b">
        <v>0</v>
      </c>
      <c r="E98" s="115" t="b">
        <v>1</v>
      </c>
      <c r="F98" s="115" t="b">
        <v>1</v>
      </c>
      <c r="G98" s="115" t="b">
        <v>1</v>
      </c>
      <c r="H98" s="115" t="b">
        <v>1</v>
      </c>
      <c r="I98" s="115" t="b">
        <v>1</v>
      </c>
      <c r="J98" s="115" t="b">
        <v>1</v>
      </c>
      <c r="K98" s="115" t="b">
        <v>0</v>
      </c>
      <c r="L98" s="115" t="b">
        <v>1</v>
      </c>
      <c r="M98" s="115" t="b">
        <v>1</v>
      </c>
      <c r="N98" s="115" t="b">
        <v>1</v>
      </c>
      <c r="O98" t="s">
        <v>595</v>
      </c>
    </row>
    <row r="99" spans="1:15">
      <c r="A99" s="44">
        <v>98</v>
      </c>
      <c r="B99" t="s">
        <v>596</v>
      </c>
      <c r="C99" t="s">
        <v>214</v>
      </c>
      <c r="D99" s="115" t="b">
        <v>0</v>
      </c>
      <c r="E99" s="115" t="b">
        <v>1</v>
      </c>
      <c r="F99" s="115" t="b">
        <v>1</v>
      </c>
      <c r="G99" s="115" t="b">
        <v>1</v>
      </c>
      <c r="H99" s="115" t="b">
        <v>1</v>
      </c>
      <c r="I99" s="115" t="b">
        <v>1</v>
      </c>
      <c r="J99" s="115" t="b">
        <v>0</v>
      </c>
      <c r="K99" s="115" t="b">
        <v>0</v>
      </c>
      <c r="L99" s="115" t="b">
        <v>0</v>
      </c>
      <c r="M99" s="115" t="b">
        <v>0</v>
      </c>
      <c r="N99" s="115" t="b">
        <v>1</v>
      </c>
    </row>
    <row r="100" spans="1:15">
      <c r="A100" s="44">
        <v>99</v>
      </c>
      <c r="B100" t="s">
        <v>165</v>
      </c>
      <c r="C100" t="s">
        <v>224</v>
      </c>
      <c r="D100" s="115" t="b">
        <v>0</v>
      </c>
      <c r="E100" s="115" t="b">
        <v>1</v>
      </c>
      <c r="F100" s="115" t="b">
        <v>0</v>
      </c>
      <c r="G100" s="115" t="b">
        <v>1</v>
      </c>
      <c r="H100" s="115" t="b">
        <v>0</v>
      </c>
      <c r="I100" s="115" t="b">
        <v>1</v>
      </c>
      <c r="J100" s="115" t="b">
        <v>0</v>
      </c>
      <c r="K100" s="115" t="b">
        <v>0</v>
      </c>
      <c r="L100" s="115" t="b">
        <v>0</v>
      </c>
      <c r="M100" s="115" t="b">
        <v>0</v>
      </c>
      <c r="N100" s="115" t="b">
        <v>1</v>
      </c>
    </row>
    <row r="101" spans="1:15">
      <c r="A101" s="44">
        <v>100</v>
      </c>
      <c r="B101" t="s">
        <v>597</v>
      </c>
      <c r="C101" t="s">
        <v>264</v>
      </c>
      <c r="D101" s="115" t="b">
        <v>0</v>
      </c>
      <c r="E101" s="115" t="b">
        <v>1</v>
      </c>
      <c r="F101" s="115" t="b">
        <v>0</v>
      </c>
      <c r="G101" s="115" t="b">
        <v>1</v>
      </c>
      <c r="H101" s="115" t="b">
        <v>0</v>
      </c>
      <c r="I101" s="115" t="b">
        <v>1</v>
      </c>
      <c r="J101" s="115" t="b">
        <v>0</v>
      </c>
      <c r="K101" s="115" t="b">
        <v>0</v>
      </c>
      <c r="L101" s="115" t="b">
        <v>0</v>
      </c>
      <c r="M101" s="115" t="b">
        <v>0</v>
      </c>
      <c r="N101" s="115" t="b">
        <v>1</v>
      </c>
    </row>
    <row r="102" spans="1:15">
      <c r="A102" s="44">
        <v>101</v>
      </c>
      <c r="B102" t="s">
        <v>598</v>
      </c>
      <c r="C102" t="s">
        <v>211</v>
      </c>
      <c r="D102" s="115" t="b">
        <v>0</v>
      </c>
      <c r="E102" s="115" t="b">
        <v>0</v>
      </c>
      <c r="F102" s="115" t="b">
        <v>1</v>
      </c>
      <c r="G102" s="115" t="b">
        <v>0</v>
      </c>
      <c r="H102" s="115" t="b">
        <v>0</v>
      </c>
      <c r="I102" s="115" t="b">
        <v>1</v>
      </c>
      <c r="J102" s="115" t="b">
        <v>0</v>
      </c>
      <c r="K102" s="115" t="b">
        <v>0</v>
      </c>
      <c r="L102" s="115" t="b">
        <v>0</v>
      </c>
      <c r="M102" s="115" t="b">
        <v>0</v>
      </c>
      <c r="N102" s="115" t="b">
        <v>1</v>
      </c>
    </row>
    <row r="103" spans="1:15">
      <c r="A103" s="44">
        <v>102</v>
      </c>
      <c r="B103" t="s">
        <v>167</v>
      </c>
      <c r="C103" t="s">
        <v>216</v>
      </c>
      <c r="D103" s="115" t="b">
        <v>0</v>
      </c>
      <c r="E103" s="115" t="b">
        <v>1</v>
      </c>
      <c r="F103" s="115" t="b">
        <v>0</v>
      </c>
      <c r="G103" s="115" t="b">
        <v>1</v>
      </c>
      <c r="H103" s="115" t="b">
        <v>0</v>
      </c>
      <c r="I103" s="115" t="b">
        <v>1</v>
      </c>
      <c r="J103" s="115" t="b">
        <v>0</v>
      </c>
      <c r="K103" s="115" t="b">
        <v>0</v>
      </c>
      <c r="L103" s="115" t="b">
        <v>0</v>
      </c>
      <c r="M103" s="115" t="b">
        <v>0</v>
      </c>
      <c r="N103" s="115" t="b">
        <v>1</v>
      </c>
    </row>
    <row r="104" spans="1:15">
      <c r="A104" s="44">
        <v>103</v>
      </c>
      <c r="B104" t="s">
        <v>409</v>
      </c>
      <c r="C104" t="s">
        <v>599</v>
      </c>
      <c r="D104" s="115" t="b">
        <v>1</v>
      </c>
      <c r="E104" s="115" t="b">
        <v>0</v>
      </c>
      <c r="F104" s="115" t="b">
        <v>0</v>
      </c>
      <c r="G104" s="115" t="b">
        <v>0</v>
      </c>
      <c r="H104" s="115" t="b">
        <v>0</v>
      </c>
      <c r="I104" s="115" t="b">
        <v>0</v>
      </c>
      <c r="J104" s="115" t="b">
        <v>0</v>
      </c>
      <c r="K104" s="115" t="b">
        <v>0</v>
      </c>
      <c r="L104" s="115" t="b">
        <v>0</v>
      </c>
      <c r="M104" s="115" t="b">
        <v>0</v>
      </c>
      <c r="N104" s="115" t="b">
        <v>0</v>
      </c>
    </row>
    <row r="105" spans="1:15">
      <c r="A105" s="44">
        <v>104</v>
      </c>
      <c r="B105" t="s">
        <v>600</v>
      </c>
      <c r="C105" t="s">
        <v>601</v>
      </c>
      <c r="D105" s="115" t="b">
        <v>0</v>
      </c>
      <c r="E105" s="115" t="b">
        <v>0</v>
      </c>
      <c r="F105" s="115" t="b">
        <v>1</v>
      </c>
      <c r="G105" s="115" t="b">
        <v>0</v>
      </c>
      <c r="H105" s="115" t="b">
        <v>1</v>
      </c>
      <c r="I105" s="115" t="b">
        <v>0</v>
      </c>
      <c r="J105" s="115" t="b">
        <v>0</v>
      </c>
      <c r="K105" s="115" t="b">
        <v>0</v>
      </c>
      <c r="L105" s="115" t="b">
        <v>0</v>
      </c>
      <c r="M105" s="115" t="b">
        <v>0</v>
      </c>
      <c r="N105" s="115" t="b">
        <v>1</v>
      </c>
    </row>
    <row r="106" spans="1:15">
      <c r="A106" s="44">
        <v>105</v>
      </c>
      <c r="B106" t="s">
        <v>602</v>
      </c>
      <c r="C106" t="s">
        <v>467</v>
      </c>
      <c r="D106" s="115" t="b">
        <v>1</v>
      </c>
      <c r="E106" s="115" t="b">
        <v>0</v>
      </c>
      <c r="F106" s="115" t="b">
        <v>0</v>
      </c>
      <c r="G106" s="115" t="b">
        <v>0</v>
      </c>
      <c r="H106" s="115" t="b">
        <v>0</v>
      </c>
      <c r="I106" s="115" t="b">
        <v>0</v>
      </c>
      <c r="J106" s="115" t="b">
        <v>0</v>
      </c>
      <c r="K106" s="115" t="b">
        <v>0</v>
      </c>
      <c r="L106" s="115" t="b">
        <v>0</v>
      </c>
      <c r="M106" s="115" t="b">
        <v>0</v>
      </c>
      <c r="N106" s="115" t="b">
        <v>1</v>
      </c>
    </row>
    <row r="107" spans="1:15">
      <c r="A107" s="44">
        <v>106</v>
      </c>
      <c r="B107" t="s">
        <v>172</v>
      </c>
      <c r="C107" t="s">
        <v>213</v>
      </c>
      <c r="D107" s="115" t="b">
        <v>0</v>
      </c>
      <c r="E107" s="115" t="b">
        <v>1</v>
      </c>
      <c r="F107" s="115" t="b">
        <v>0</v>
      </c>
      <c r="G107" s="115" t="b">
        <v>0</v>
      </c>
      <c r="H107" s="115" t="b">
        <v>0</v>
      </c>
      <c r="I107" s="115" t="b">
        <v>0</v>
      </c>
      <c r="J107" s="115" t="b">
        <v>0</v>
      </c>
      <c r="K107" s="115" t="b">
        <v>0</v>
      </c>
      <c r="L107" s="115" t="b">
        <v>0</v>
      </c>
      <c r="M107" s="115" t="b">
        <v>0</v>
      </c>
      <c r="N107" s="115" t="b">
        <v>1</v>
      </c>
    </row>
    <row r="108" spans="1:15">
      <c r="A108" s="44">
        <v>107</v>
      </c>
      <c r="B108" t="s">
        <v>410</v>
      </c>
      <c r="C108" t="s">
        <v>603</v>
      </c>
      <c r="D108" s="115" t="b">
        <v>0</v>
      </c>
      <c r="E108" s="115" t="b">
        <v>0</v>
      </c>
      <c r="F108" s="115" t="b">
        <v>0</v>
      </c>
      <c r="G108" s="115" t="b">
        <v>0</v>
      </c>
      <c r="H108" s="115" t="b">
        <v>0</v>
      </c>
      <c r="I108" s="115" t="b">
        <v>0</v>
      </c>
      <c r="J108" s="115" t="b">
        <v>0</v>
      </c>
      <c r="K108" s="115" t="b">
        <v>0</v>
      </c>
      <c r="L108" s="115" t="b">
        <v>0</v>
      </c>
      <c r="M108" s="115" t="b">
        <v>1</v>
      </c>
      <c r="N108" s="115" t="b">
        <v>0</v>
      </c>
    </row>
    <row r="109" spans="1:15">
      <c r="A109" s="44">
        <v>108</v>
      </c>
      <c r="B109" t="s">
        <v>174</v>
      </c>
      <c r="C109" t="s">
        <v>419</v>
      </c>
      <c r="D109" s="115" t="b">
        <v>0</v>
      </c>
      <c r="E109" s="115" t="b">
        <v>0</v>
      </c>
      <c r="F109" s="115" t="b">
        <v>0</v>
      </c>
      <c r="G109" s="115" t="b">
        <v>0</v>
      </c>
      <c r="H109" s="115" t="b">
        <v>0</v>
      </c>
      <c r="I109" s="115" t="b">
        <v>0</v>
      </c>
      <c r="J109" s="115" t="b">
        <v>0</v>
      </c>
      <c r="K109" s="115" t="b">
        <v>0</v>
      </c>
      <c r="L109" s="115" t="b">
        <v>0</v>
      </c>
      <c r="M109" s="115" t="b">
        <v>1</v>
      </c>
      <c r="N109" s="115" t="b">
        <v>0</v>
      </c>
    </row>
    <row r="110" spans="1:15">
      <c r="A110" s="44">
        <v>109</v>
      </c>
      <c r="B110" t="s">
        <v>176</v>
      </c>
      <c r="C110" t="s">
        <v>177</v>
      </c>
      <c r="D110" s="115" t="b">
        <v>0</v>
      </c>
      <c r="E110" s="115" t="b">
        <v>0</v>
      </c>
      <c r="F110" s="115" t="b">
        <v>0</v>
      </c>
      <c r="G110" s="115" t="b">
        <v>1</v>
      </c>
      <c r="H110" s="115" t="b">
        <v>0</v>
      </c>
      <c r="I110" s="115" t="b">
        <v>0</v>
      </c>
      <c r="J110" s="115" t="b">
        <v>0</v>
      </c>
      <c r="K110" s="115" t="b">
        <v>0</v>
      </c>
      <c r="L110" s="115" t="b">
        <v>0</v>
      </c>
      <c r="M110" s="115" t="b">
        <v>1</v>
      </c>
      <c r="N110" s="115" t="b">
        <v>0</v>
      </c>
    </row>
    <row r="111" spans="1:15">
      <c r="A111" s="44">
        <v>110</v>
      </c>
      <c r="B111" t="s">
        <v>178</v>
      </c>
      <c r="C111" t="s">
        <v>411</v>
      </c>
      <c r="D111" s="115" t="b">
        <v>1</v>
      </c>
      <c r="E111" s="115" t="b">
        <v>0</v>
      </c>
      <c r="F111" s="115" t="b">
        <v>0</v>
      </c>
      <c r="G111" s="115" t="b">
        <v>0</v>
      </c>
      <c r="H111" s="115" t="b">
        <v>0</v>
      </c>
      <c r="I111" s="115" t="b">
        <v>0</v>
      </c>
      <c r="J111" s="115" t="b">
        <v>0</v>
      </c>
      <c r="K111" s="115" t="b">
        <v>0</v>
      </c>
      <c r="L111" s="115" t="b">
        <v>0</v>
      </c>
      <c r="M111" s="115" t="b">
        <v>0</v>
      </c>
      <c r="N111" s="115" t="b">
        <v>1</v>
      </c>
    </row>
    <row r="112" spans="1:15">
      <c r="A112" s="44">
        <v>111</v>
      </c>
      <c r="B112" t="s">
        <v>179</v>
      </c>
      <c r="C112" t="s">
        <v>237</v>
      </c>
      <c r="D112" s="115" t="b">
        <v>0</v>
      </c>
      <c r="E112" s="115" t="b">
        <v>0</v>
      </c>
      <c r="F112" s="115" t="b">
        <v>0</v>
      </c>
      <c r="G112" s="115" t="b">
        <v>0</v>
      </c>
      <c r="H112" s="115" t="b">
        <v>1</v>
      </c>
      <c r="I112" s="115" t="b">
        <v>0</v>
      </c>
      <c r="J112" s="115" t="b">
        <v>0</v>
      </c>
      <c r="K112" s="115" t="b">
        <v>0</v>
      </c>
      <c r="L112" s="115" t="b">
        <v>0</v>
      </c>
      <c r="M112" s="115" t="b">
        <v>0</v>
      </c>
      <c r="N112" s="115" t="b">
        <v>1</v>
      </c>
    </row>
    <row r="113" spans="1:15">
      <c r="A113" s="44">
        <v>112</v>
      </c>
      <c r="B113" t="s">
        <v>475</v>
      </c>
      <c r="C113" t="s">
        <v>475</v>
      </c>
      <c r="D113" s="115" t="b">
        <v>0</v>
      </c>
      <c r="E113" s="115" t="b">
        <v>0</v>
      </c>
      <c r="F113" s="115" t="b">
        <v>1</v>
      </c>
      <c r="G113" s="115" t="b">
        <v>0</v>
      </c>
      <c r="H113" s="115" t="b">
        <v>0</v>
      </c>
      <c r="I113" s="115" t="b">
        <v>0</v>
      </c>
      <c r="J113" s="115" t="b">
        <v>0</v>
      </c>
      <c r="K113" s="115" t="b">
        <v>0</v>
      </c>
      <c r="L113" s="115" t="b">
        <v>0</v>
      </c>
      <c r="M113" s="115" t="b">
        <v>1</v>
      </c>
      <c r="N113" s="115" t="b">
        <v>1</v>
      </c>
      <c r="O113" t="s">
        <v>633</v>
      </c>
    </row>
    <row r="114" spans="1:15">
      <c r="A114" s="44">
        <v>113</v>
      </c>
      <c r="B114" t="s">
        <v>180</v>
      </c>
      <c r="C114" t="s">
        <v>228</v>
      </c>
      <c r="D114" s="115" t="b">
        <v>0</v>
      </c>
      <c r="E114" s="115" t="b">
        <v>0</v>
      </c>
      <c r="F114" s="115" t="b">
        <v>1</v>
      </c>
      <c r="G114" s="115" t="b">
        <v>0</v>
      </c>
      <c r="H114" s="115" t="b">
        <v>1</v>
      </c>
      <c r="I114" s="115" t="b">
        <v>0</v>
      </c>
      <c r="J114" s="115" t="b">
        <v>1</v>
      </c>
      <c r="K114" s="115" t="b">
        <v>0</v>
      </c>
      <c r="L114" s="115" t="b">
        <v>0</v>
      </c>
      <c r="M114" s="115" t="b">
        <v>0</v>
      </c>
      <c r="N114" s="115" t="b">
        <v>1</v>
      </c>
    </row>
    <row r="115" spans="1:15">
      <c r="A115" s="44">
        <v>114</v>
      </c>
      <c r="B115" t="s">
        <v>604</v>
      </c>
      <c r="C115" t="s">
        <v>605</v>
      </c>
      <c r="D115" s="115" t="b">
        <v>1</v>
      </c>
      <c r="E115" s="115" t="b">
        <v>0</v>
      </c>
      <c r="F115" s="115" t="b">
        <v>0</v>
      </c>
      <c r="G115" s="115" t="b">
        <v>0</v>
      </c>
      <c r="H115" s="115" t="b">
        <v>0</v>
      </c>
      <c r="I115" s="115" t="b">
        <v>0</v>
      </c>
      <c r="J115" s="115" t="b">
        <v>0</v>
      </c>
      <c r="K115" s="115" t="b">
        <v>0</v>
      </c>
      <c r="L115" s="115" t="b">
        <v>0</v>
      </c>
      <c r="M115" s="115" t="b">
        <v>0</v>
      </c>
      <c r="N115" s="115" t="b">
        <v>1</v>
      </c>
    </row>
    <row r="116" spans="1:15">
      <c r="A116" s="44">
        <v>115</v>
      </c>
      <c r="B116" t="s">
        <v>606</v>
      </c>
      <c r="C116" t="s">
        <v>477</v>
      </c>
      <c r="D116" s="115" t="b">
        <v>1</v>
      </c>
      <c r="E116" s="115" t="b">
        <v>0</v>
      </c>
      <c r="F116" s="115" t="b">
        <v>0</v>
      </c>
      <c r="G116" s="115" t="b">
        <v>0</v>
      </c>
      <c r="H116" s="115" t="b">
        <v>0</v>
      </c>
      <c r="I116" s="115" t="b">
        <v>0</v>
      </c>
      <c r="J116" s="115" t="b">
        <v>0</v>
      </c>
      <c r="K116" s="115" t="b">
        <v>0</v>
      </c>
      <c r="L116" s="115" t="b">
        <v>0</v>
      </c>
      <c r="M116" s="115" t="b">
        <v>0</v>
      </c>
      <c r="N116" s="115" t="b">
        <v>1</v>
      </c>
    </row>
    <row r="117" spans="1:15">
      <c r="A117" s="44">
        <v>116</v>
      </c>
      <c r="B117" t="s">
        <v>607</v>
      </c>
      <c r="C117" t="s">
        <v>210</v>
      </c>
      <c r="D117" s="115" t="b">
        <v>0</v>
      </c>
      <c r="E117" s="115" t="b">
        <v>1</v>
      </c>
      <c r="F117" s="115" t="b">
        <v>1</v>
      </c>
      <c r="G117" s="115" t="b">
        <v>1</v>
      </c>
      <c r="H117" s="115" t="b">
        <v>1</v>
      </c>
      <c r="I117" s="115" t="b">
        <v>1</v>
      </c>
      <c r="J117" s="115" t="b">
        <v>0</v>
      </c>
      <c r="K117" s="115" t="b">
        <v>0</v>
      </c>
      <c r="L117" s="115" t="b">
        <v>0</v>
      </c>
      <c r="M117" s="115" t="b">
        <v>0</v>
      </c>
      <c r="N117" s="115" t="b">
        <v>1</v>
      </c>
    </row>
    <row r="118" spans="1:15">
      <c r="A118" s="44">
        <v>117</v>
      </c>
      <c r="B118" t="s">
        <v>185</v>
      </c>
      <c r="C118" t="s">
        <v>186</v>
      </c>
      <c r="D118" s="115" t="b">
        <v>0</v>
      </c>
      <c r="E118" s="115" t="b">
        <v>0</v>
      </c>
      <c r="F118" s="115" t="b">
        <v>0</v>
      </c>
      <c r="G118" s="115" t="b">
        <v>1</v>
      </c>
      <c r="H118" s="115" t="b">
        <v>0</v>
      </c>
      <c r="I118" s="115" t="b">
        <v>0</v>
      </c>
      <c r="J118" s="115" t="b">
        <v>0</v>
      </c>
      <c r="K118" s="115" t="b">
        <v>0</v>
      </c>
      <c r="L118" s="115" t="b">
        <v>0</v>
      </c>
      <c r="M118" s="115" t="b">
        <v>0</v>
      </c>
      <c r="N118" s="115" t="b">
        <v>1</v>
      </c>
    </row>
    <row r="119" spans="1:15">
      <c r="A119" s="44">
        <v>118</v>
      </c>
      <c r="B119" t="s">
        <v>187</v>
      </c>
      <c r="C119" t="s">
        <v>231</v>
      </c>
      <c r="D119" s="115" t="b">
        <v>0</v>
      </c>
      <c r="E119" s="115" t="b">
        <v>0</v>
      </c>
      <c r="F119" s="115" t="b">
        <v>1</v>
      </c>
      <c r="G119" s="115" t="b">
        <v>0</v>
      </c>
      <c r="H119" s="115" t="b">
        <v>0</v>
      </c>
      <c r="I119" s="115" t="b">
        <v>1</v>
      </c>
      <c r="J119" s="115" t="b">
        <v>0</v>
      </c>
      <c r="K119" s="115" t="b">
        <v>0</v>
      </c>
      <c r="L119" s="115" t="b">
        <v>0</v>
      </c>
      <c r="M119" s="115" t="b">
        <v>0</v>
      </c>
      <c r="N119" s="115" t="b">
        <v>1</v>
      </c>
    </row>
    <row r="120" spans="1:15">
      <c r="A120" s="44">
        <v>119</v>
      </c>
      <c r="B120" t="s">
        <v>188</v>
      </c>
      <c r="C120" t="s">
        <v>218</v>
      </c>
      <c r="D120" s="115" t="b">
        <v>0</v>
      </c>
      <c r="E120" s="115" t="b">
        <v>1</v>
      </c>
      <c r="F120" s="115" t="b">
        <v>0</v>
      </c>
      <c r="G120" s="115" t="b">
        <v>0</v>
      </c>
      <c r="H120" s="115" t="b">
        <v>0</v>
      </c>
      <c r="I120" s="115" t="b">
        <v>0</v>
      </c>
      <c r="J120" s="115" t="b">
        <v>0</v>
      </c>
      <c r="K120" s="115" t="b">
        <v>0</v>
      </c>
      <c r="L120" s="115" t="b">
        <v>0</v>
      </c>
      <c r="M120" s="115" t="b">
        <v>0</v>
      </c>
      <c r="N120" s="115" t="b">
        <v>1</v>
      </c>
    </row>
    <row r="121" spans="1:15">
      <c r="A121" s="44">
        <v>120</v>
      </c>
      <c r="B121" t="s">
        <v>189</v>
      </c>
      <c r="C121" t="s">
        <v>215</v>
      </c>
      <c r="D121" s="115" t="b">
        <v>0</v>
      </c>
      <c r="E121" s="115" t="b">
        <v>1</v>
      </c>
      <c r="F121" s="115" t="b">
        <v>0</v>
      </c>
      <c r="G121" s="115" t="b">
        <v>1</v>
      </c>
      <c r="H121" s="115" t="b">
        <v>0</v>
      </c>
      <c r="I121" s="115" t="b">
        <v>1</v>
      </c>
      <c r="J121" s="115" t="b">
        <v>0</v>
      </c>
      <c r="K121" s="115" t="b">
        <v>0</v>
      </c>
      <c r="L121" s="115" t="b">
        <v>0</v>
      </c>
      <c r="M121" s="115" t="b">
        <v>0</v>
      </c>
      <c r="N121" s="115" t="b">
        <v>1</v>
      </c>
    </row>
    <row r="122" spans="1:15">
      <c r="A122" s="44">
        <v>121</v>
      </c>
      <c r="B122" t="s">
        <v>190</v>
      </c>
      <c r="C122" t="s">
        <v>240</v>
      </c>
      <c r="D122" s="115" t="b">
        <v>0</v>
      </c>
      <c r="E122" s="115" t="b">
        <v>0</v>
      </c>
      <c r="F122" s="115" t="b">
        <v>0</v>
      </c>
      <c r="G122" s="115" t="b">
        <v>0</v>
      </c>
      <c r="H122" s="115" t="b">
        <v>0</v>
      </c>
      <c r="I122" s="115" t="b">
        <v>1</v>
      </c>
      <c r="J122" s="115" t="b">
        <v>0</v>
      </c>
      <c r="K122" s="115" t="b">
        <v>0</v>
      </c>
      <c r="L122" s="115" t="b">
        <v>0</v>
      </c>
      <c r="M122" s="115" t="b">
        <v>0</v>
      </c>
      <c r="N122" s="115" t="b">
        <v>1</v>
      </c>
    </row>
    <row r="123" spans="1:15">
      <c r="A123" s="44">
        <v>122</v>
      </c>
      <c r="B123" t="s">
        <v>608</v>
      </c>
      <c r="C123" t="s">
        <v>609</v>
      </c>
      <c r="D123" s="115" t="b">
        <v>1</v>
      </c>
      <c r="E123" s="115" t="b">
        <v>0</v>
      </c>
      <c r="F123" s="115" t="b">
        <v>0</v>
      </c>
      <c r="G123" s="115" t="b">
        <v>0</v>
      </c>
      <c r="H123" s="115" t="b">
        <v>0</v>
      </c>
      <c r="I123" s="115" t="b">
        <v>0</v>
      </c>
      <c r="J123" s="115" t="b">
        <v>0</v>
      </c>
      <c r="K123" s="115" t="b">
        <v>0</v>
      </c>
      <c r="L123" s="115" t="b">
        <v>0</v>
      </c>
      <c r="M123" s="115" t="b">
        <v>0</v>
      </c>
      <c r="N123" s="115" t="b">
        <v>0</v>
      </c>
    </row>
    <row r="124" spans="1:15">
      <c r="A124" s="44">
        <v>123</v>
      </c>
      <c r="B124" t="s">
        <v>191</v>
      </c>
      <c r="C124" t="s">
        <v>610</v>
      </c>
      <c r="D124" s="115" t="b">
        <v>0</v>
      </c>
      <c r="E124" s="115" t="b">
        <v>0</v>
      </c>
      <c r="F124" s="115" t="b">
        <v>0</v>
      </c>
      <c r="G124" s="115" t="b">
        <v>0</v>
      </c>
      <c r="H124" s="115" t="b">
        <v>0</v>
      </c>
      <c r="I124" s="115" t="b">
        <v>1</v>
      </c>
      <c r="J124" s="115" t="b">
        <v>0</v>
      </c>
      <c r="K124" s="115" t="b">
        <v>0</v>
      </c>
      <c r="L124" s="115" t="b">
        <v>0</v>
      </c>
      <c r="M124" s="115" t="b">
        <v>1</v>
      </c>
      <c r="N124" s="115" t="b">
        <v>1</v>
      </c>
      <c r="O124" t="s">
        <v>611</v>
      </c>
    </row>
    <row r="125" spans="1:15">
      <c r="A125" s="44">
        <v>124</v>
      </c>
      <c r="B125" t="s">
        <v>413</v>
      </c>
      <c r="C125" t="s">
        <v>414</v>
      </c>
      <c r="D125" s="115" t="b">
        <v>0</v>
      </c>
      <c r="E125" s="115" t="b">
        <v>1</v>
      </c>
      <c r="F125" s="115" t="b">
        <v>1</v>
      </c>
      <c r="G125" s="115" t="b">
        <v>1</v>
      </c>
      <c r="H125" s="115" t="b">
        <v>1</v>
      </c>
      <c r="I125" s="115" t="b">
        <v>1</v>
      </c>
      <c r="J125" s="115" t="b">
        <v>0</v>
      </c>
      <c r="K125" s="115" t="b">
        <v>0</v>
      </c>
      <c r="L125" s="115" t="b">
        <v>0</v>
      </c>
      <c r="M125" s="115" t="b">
        <v>0</v>
      </c>
      <c r="N125" s="115" t="b">
        <v>1</v>
      </c>
    </row>
    <row r="126" spans="1:15">
      <c r="A126" s="44">
        <v>125</v>
      </c>
      <c r="B126" t="s">
        <v>193</v>
      </c>
      <c r="C126" t="s">
        <v>193</v>
      </c>
      <c r="D126" s="115" t="b">
        <v>0</v>
      </c>
      <c r="E126" s="115" t="b">
        <v>0</v>
      </c>
      <c r="F126" s="115" t="b">
        <v>0</v>
      </c>
      <c r="G126" s="115" t="b">
        <v>0</v>
      </c>
      <c r="H126" s="115" t="b">
        <v>1</v>
      </c>
      <c r="I126" s="115" t="b">
        <v>0</v>
      </c>
      <c r="J126" s="115" t="b">
        <v>0</v>
      </c>
      <c r="K126" s="115" t="b">
        <v>0</v>
      </c>
      <c r="L126" s="115" t="b">
        <v>0</v>
      </c>
      <c r="M126" s="115" t="b">
        <v>0</v>
      </c>
      <c r="N126" s="115" t="b">
        <v>1</v>
      </c>
    </row>
    <row r="127" spans="1:15">
      <c r="A127" s="44">
        <v>126</v>
      </c>
      <c r="B127" t="s">
        <v>612</v>
      </c>
      <c r="C127" t="s">
        <v>232</v>
      </c>
      <c r="D127" s="115" t="b">
        <v>0</v>
      </c>
      <c r="E127" s="115" t="b">
        <v>0</v>
      </c>
      <c r="F127" s="115" t="b">
        <v>1</v>
      </c>
      <c r="G127" s="115" t="b">
        <v>0</v>
      </c>
      <c r="H127" s="115" t="b">
        <v>0</v>
      </c>
      <c r="I127" s="115" t="b">
        <v>0</v>
      </c>
      <c r="J127" s="115" t="b">
        <v>0</v>
      </c>
      <c r="K127" s="115" t="b">
        <v>0</v>
      </c>
      <c r="L127" s="115" t="b">
        <v>0</v>
      </c>
      <c r="M127" s="115" t="b">
        <v>0</v>
      </c>
      <c r="N127" s="115" t="b">
        <v>1</v>
      </c>
    </row>
    <row r="128" spans="1:15">
      <c r="A128" s="44">
        <v>127</v>
      </c>
      <c r="B128" t="s">
        <v>630</v>
      </c>
      <c r="C128" t="s">
        <v>629</v>
      </c>
      <c r="D128" s="115" t="b">
        <v>0</v>
      </c>
      <c r="E128" s="115" t="b">
        <v>1</v>
      </c>
      <c r="F128" s="115" t="b">
        <v>0</v>
      </c>
      <c r="G128" s="115" t="b">
        <v>1</v>
      </c>
      <c r="H128" s="115" t="b">
        <v>0</v>
      </c>
      <c r="I128" s="115" t="b">
        <v>1</v>
      </c>
      <c r="J128" s="115" t="b">
        <v>0</v>
      </c>
      <c r="K128" s="115" t="b">
        <v>0</v>
      </c>
      <c r="L128" s="115" t="b">
        <v>0</v>
      </c>
      <c r="M128" s="115" t="b">
        <v>0</v>
      </c>
      <c r="N128" s="115" t="b">
        <v>1</v>
      </c>
    </row>
    <row r="129" spans="1:14">
      <c r="A129" s="44" t="s">
        <v>201</v>
      </c>
      <c r="B129" t="s">
        <v>512</v>
      </c>
      <c r="C129" t="s">
        <v>513</v>
      </c>
      <c r="D129" s="115" t="b">
        <v>0</v>
      </c>
      <c r="E129" s="115" t="b">
        <v>0</v>
      </c>
      <c r="F129" s="115" t="b">
        <v>0</v>
      </c>
      <c r="G129" s="115" t="b">
        <v>0</v>
      </c>
      <c r="H129" s="115" t="b">
        <v>0</v>
      </c>
      <c r="I129" s="115" t="b">
        <v>0</v>
      </c>
      <c r="J129" s="115" t="b">
        <v>0</v>
      </c>
      <c r="K129" s="115" t="b">
        <v>0</v>
      </c>
      <c r="L129" s="115" t="b">
        <v>0</v>
      </c>
      <c r="M129" s="115" t="b">
        <v>0</v>
      </c>
      <c r="N129" s="115" t="b">
        <v>0</v>
      </c>
    </row>
    <row r="130" spans="1:14">
      <c r="A130" s="44" t="s">
        <v>202</v>
      </c>
      <c r="B130" t="s">
        <v>511</v>
      </c>
      <c r="C130" t="s">
        <v>424</v>
      </c>
      <c r="D130" s="115" t="b">
        <v>0</v>
      </c>
      <c r="E130" s="115" t="b">
        <v>0</v>
      </c>
      <c r="F130" s="115" t="b">
        <v>0</v>
      </c>
      <c r="G130" s="115" t="b">
        <v>0</v>
      </c>
      <c r="H130" s="115" t="b">
        <v>0</v>
      </c>
      <c r="I130" s="115" t="b">
        <v>0</v>
      </c>
      <c r="J130" s="115" t="b">
        <v>0</v>
      </c>
      <c r="K130" s="115" t="b">
        <v>0</v>
      </c>
      <c r="L130" s="115" t="b">
        <v>0</v>
      </c>
      <c r="M130" s="115" t="b">
        <v>0</v>
      </c>
      <c r="N130" s="115" t="b">
        <v>0</v>
      </c>
    </row>
  </sheetData>
  <autoFilter ref="A1:P130" xr:uid="{5E614F70-DEF4-4361-88AA-6EB2E10FC9C6}">
    <sortState xmlns:xlrd2="http://schemas.microsoft.com/office/spreadsheetml/2017/richdata2" ref="A2:P128">
      <sortCondition ref="A1:A130"/>
    </sortState>
  </autoFilter>
  <phoneticPr fontId="6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0524-2F06-4AA0-B2CD-D99076851BD4}">
  <sheetPr codeName="Sheet7"/>
  <dimension ref="B1:G41"/>
  <sheetViews>
    <sheetView topLeftCell="B1" workbookViewId="0">
      <selection activeCell="D32" sqref="D32"/>
    </sheetView>
  </sheetViews>
  <sheetFormatPr defaultRowHeight="15"/>
  <cols>
    <col min="2" max="2" width="18.28515625" bestFit="1" customWidth="1"/>
    <col min="3" max="3" width="20.140625" bestFit="1" customWidth="1"/>
    <col min="4" max="4" width="18.28515625" bestFit="1" customWidth="1"/>
    <col min="5" max="5" width="21" bestFit="1" customWidth="1"/>
    <col min="6" max="6" width="24.85546875" bestFit="1" customWidth="1"/>
    <col min="7" max="7" width="18.28515625" bestFit="1" customWidth="1"/>
  </cols>
  <sheetData>
    <row r="1" spans="2:7">
      <c r="B1" s="29" t="s">
        <v>613</v>
      </c>
      <c r="C1" s="29" t="s">
        <v>614</v>
      </c>
      <c r="D1" s="29" t="s">
        <v>497</v>
      </c>
      <c r="E1" s="29" t="s">
        <v>498</v>
      </c>
      <c r="F1" s="29" t="s">
        <v>499</v>
      </c>
      <c r="G1" s="29" t="s">
        <v>500</v>
      </c>
    </row>
    <row r="2" spans="2:7">
      <c r="B2" t="s">
        <v>446</v>
      </c>
      <c r="C2" t="s">
        <v>22</v>
      </c>
      <c r="D2" t="s">
        <v>22</v>
      </c>
      <c r="E2" t="s">
        <v>22</v>
      </c>
      <c r="F2" t="s">
        <v>22</v>
      </c>
      <c r="G2" t="s">
        <v>22</v>
      </c>
    </row>
    <row r="3" spans="2:7">
      <c r="B3" t="s">
        <v>519</v>
      </c>
      <c r="C3" t="s">
        <v>265</v>
      </c>
      <c r="D3" t="s">
        <v>366</v>
      </c>
      <c r="E3" t="s">
        <v>236</v>
      </c>
      <c r="F3" t="s">
        <v>446</v>
      </c>
      <c r="G3" t="s">
        <v>508</v>
      </c>
    </row>
    <row r="4" spans="2:7">
      <c r="B4" t="s">
        <v>56</v>
      </c>
      <c r="C4" t="s">
        <v>519</v>
      </c>
      <c r="D4" t="s">
        <v>446</v>
      </c>
      <c r="E4" t="s">
        <v>362</v>
      </c>
      <c r="F4" t="s">
        <v>519</v>
      </c>
      <c r="G4" t="s">
        <v>265</v>
      </c>
    </row>
    <row r="5" spans="2:7">
      <c r="B5" t="s">
        <v>51</v>
      </c>
      <c r="C5" t="s">
        <v>56</v>
      </c>
      <c r="D5" t="s">
        <v>519</v>
      </c>
      <c r="E5" t="s">
        <v>265</v>
      </c>
      <c r="F5" t="s">
        <v>56</v>
      </c>
      <c r="G5" t="s">
        <v>244</v>
      </c>
    </row>
    <row r="6" spans="2:7">
      <c r="B6" t="s">
        <v>64</v>
      </c>
      <c r="C6" t="s">
        <v>51</v>
      </c>
      <c r="D6" t="s">
        <v>56</v>
      </c>
      <c r="E6" t="s">
        <v>518</v>
      </c>
      <c r="F6" t="s">
        <v>51</v>
      </c>
      <c r="G6" t="s">
        <v>273</v>
      </c>
    </row>
    <row r="7" spans="2:7">
      <c r="B7" t="s">
        <v>278</v>
      </c>
      <c r="C7" t="s">
        <v>60</v>
      </c>
      <c r="D7" t="s">
        <v>51</v>
      </c>
      <c r="E7" t="s">
        <v>56</v>
      </c>
      <c r="F7" t="s">
        <v>60</v>
      </c>
      <c r="G7" t="s">
        <v>271</v>
      </c>
    </row>
    <row r="8" spans="2:7">
      <c r="B8" t="s">
        <v>78</v>
      </c>
      <c r="C8" t="s">
        <v>64</v>
      </c>
      <c r="D8" t="s">
        <v>60</v>
      </c>
      <c r="E8" t="s">
        <v>51</v>
      </c>
      <c r="F8" t="s">
        <v>64</v>
      </c>
      <c r="G8" t="s">
        <v>272</v>
      </c>
    </row>
    <row r="9" spans="2:7">
      <c r="B9" t="s">
        <v>273</v>
      </c>
      <c r="C9" t="s">
        <v>273</v>
      </c>
      <c r="D9" t="s">
        <v>64</v>
      </c>
      <c r="E9" t="s">
        <v>60</v>
      </c>
      <c r="F9" t="s">
        <v>273</v>
      </c>
      <c r="G9" t="s">
        <v>281</v>
      </c>
    </row>
    <row r="10" spans="2:7">
      <c r="B10" t="s">
        <v>271</v>
      </c>
      <c r="C10" t="s">
        <v>271</v>
      </c>
      <c r="D10" t="s">
        <v>523</v>
      </c>
      <c r="E10" t="s">
        <v>64</v>
      </c>
      <c r="F10" t="s">
        <v>271</v>
      </c>
      <c r="G10" t="s">
        <v>242</v>
      </c>
    </row>
    <row r="11" spans="2:7">
      <c r="B11" t="s">
        <v>272</v>
      </c>
      <c r="C11" t="s">
        <v>272</v>
      </c>
      <c r="D11" t="s">
        <v>273</v>
      </c>
      <c r="E11" t="s">
        <v>278</v>
      </c>
      <c r="F11" t="s">
        <v>272</v>
      </c>
      <c r="G11" t="s">
        <v>114</v>
      </c>
    </row>
    <row r="12" spans="2:7">
      <c r="B12" t="s">
        <v>540</v>
      </c>
      <c r="C12" t="s">
        <v>88</v>
      </c>
      <c r="D12" t="s">
        <v>271</v>
      </c>
      <c r="E12" t="s">
        <v>273</v>
      </c>
      <c r="F12" t="s">
        <v>88</v>
      </c>
      <c r="G12" t="s">
        <v>268</v>
      </c>
    </row>
    <row r="13" spans="2:7">
      <c r="B13" t="s">
        <v>280</v>
      </c>
      <c r="C13" t="s">
        <v>279</v>
      </c>
      <c r="D13" t="s">
        <v>272</v>
      </c>
      <c r="E13" t="s">
        <v>271</v>
      </c>
      <c r="F13" t="s">
        <v>423</v>
      </c>
      <c r="G13" t="s">
        <v>270</v>
      </c>
    </row>
    <row r="14" spans="2:7">
      <c r="B14" t="s">
        <v>281</v>
      </c>
      <c r="C14" t="s">
        <v>281</v>
      </c>
      <c r="D14" t="s">
        <v>280</v>
      </c>
      <c r="E14" t="s">
        <v>272</v>
      </c>
      <c r="F14" t="s">
        <v>280</v>
      </c>
      <c r="G14" t="s">
        <v>263</v>
      </c>
    </row>
    <row r="15" spans="2:7">
      <c r="B15" t="s">
        <v>114</v>
      </c>
      <c r="C15" t="s">
        <v>114</v>
      </c>
      <c r="D15" t="s">
        <v>281</v>
      </c>
      <c r="E15" t="s">
        <v>538</v>
      </c>
      <c r="F15" t="s">
        <v>281</v>
      </c>
      <c r="G15" t="s">
        <v>241</v>
      </c>
    </row>
    <row r="16" spans="2:7">
      <c r="B16" t="s">
        <v>119</v>
      </c>
      <c r="C16" t="s">
        <v>361</v>
      </c>
      <c r="D16" t="s">
        <v>106</v>
      </c>
      <c r="E16" t="s">
        <v>281</v>
      </c>
      <c r="F16" t="s">
        <v>111</v>
      </c>
      <c r="G16" t="s">
        <v>269</v>
      </c>
    </row>
    <row r="17" spans="2:7">
      <c r="B17" t="s">
        <v>268</v>
      </c>
      <c r="C17" t="s">
        <v>268</v>
      </c>
      <c r="D17" t="s">
        <v>114</v>
      </c>
      <c r="E17" t="s">
        <v>114</v>
      </c>
      <c r="F17" t="s">
        <v>425</v>
      </c>
      <c r="G17" t="s">
        <v>228</v>
      </c>
    </row>
    <row r="18" spans="2:7">
      <c r="B18" t="s">
        <v>270</v>
      </c>
      <c r="C18" t="s">
        <v>270</v>
      </c>
      <c r="D18" t="s">
        <v>268</v>
      </c>
      <c r="E18" t="s">
        <v>268</v>
      </c>
      <c r="F18" t="s">
        <v>114</v>
      </c>
    </row>
    <row r="19" spans="2:7">
      <c r="B19" t="s">
        <v>127</v>
      </c>
      <c r="C19" t="s">
        <v>129</v>
      </c>
      <c r="D19" t="s">
        <v>270</v>
      </c>
      <c r="E19" t="s">
        <v>270</v>
      </c>
      <c r="F19" t="s">
        <v>361</v>
      </c>
    </row>
    <row r="20" spans="2:7">
      <c r="B20" t="s">
        <v>252</v>
      </c>
      <c r="C20" t="s">
        <v>353</v>
      </c>
      <c r="D20" t="s">
        <v>127</v>
      </c>
      <c r="E20" t="s">
        <v>129</v>
      </c>
      <c r="F20" t="s">
        <v>268</v>
      </c>
    </row>
    <row r="21" spans="2:7">
      <c r="B21" t="s">
        <v>473</v>
      </c>
      <c r="C21" t="s">
        <v>390</v>
      </c>
      <c r="D21" t="s">
        <v>252</v>
      </c>
      <c r="E21" t="s">
        <v>421</v>
      </c>
      <c r="F21" t="s">
        <v>270</v>
      </c>
    </row>
    <row r="22" spans="2:7">
      <c r="B22" t="s">
        <v>576</v>
      </c>
      <c r="C22" t="s">
        <v>233</v>
      </c>
      <c r="D22" t="s">
        <v>397</v>
      </c>
      <c r="E22" t="s">
        <v>252</v>
      </c>
      <c r="F22" t="s">
        <v>127</v>
      </c>
    </row>
    <row r="23" spans="2:7">
      <c r="B23" t="s">
        <v>578</v>
      </c>
      <c r="C23" t="s">
        <v>252</v>
      </c>
      <c r="D23" t="s">
        <v>160</v>
      </c>
      <c r="E23" t="s">
        <v>263</v>
      </c>
      <c r="F23" t="s">
        <v>353</v>
      </c>
    </row>
    <row r="24" spans="2:7">
      <c r="B24" t="s">
        <v>160</v>
      </c>
      <c r="C24" t="s">
        <v>263</v>
      </c>
      <c r="D24" t="s">
        <v>269</v>
      </c>
      <c r="E24" t="s">
        <v>152</v>
      </c>
      <c r="F24" t="s">
        <v>252</v>
      </c>
    </row>
    <row r="25" spans="2:7">
      <c r="B25" t="s">
        <v>269</v>
      </c>
      <c r="C25" t="s">
        <v>426</v>
      </c>
      <c r="D25" t="s">
        <v>214</v>
      </c>
      <c r="E25" t="s">
        <v>230</v>
      </c>
      <c r="F25" t="s">
        <v>420</v>
      </c>
    </row>
    <row r="26" spans="2:7">
      <c r="B26" t="s">
        <v>214</v>
      </c>
      <c r="C26" t="s">
        <v>420</v>
      </c>
      <c r="D26" t="s">
        <v>264</v>
      </c>
      <c r="E26" t="s">
        <v>229</v>
      </c>
      <c r="F26" t="s">
        <v>266</v>
      </c>
    </row>
    <row r="27" spans="2:7">
      <c r="B27" t="s">
        <v>224</v>
      </c>
      <c r="C27" t="s">
        <v>230</v>
      </c>
      <c r="D27" t="s">
        <v>216</v>
      </c>
      <c r="E27" t="s">
        <v>160</v>
      </c>
      <c r="F27" t="s">
        <v>239</v>
      </c>
    </row>
    <row r="28" spans="2:7">
      <c r="B28" t="s">
        <v>264</v>
      </c>
      <c r="C28" t="s">
        <v>229</v>
      </c>
      <c r="D28" t="s">
        <v>210</v>
      </c>
      <c r="E28" t="s">
        <v>269</v>
      </c>
      <c r="F28" t="s">
        <v>588</v>
      </c>
    </row>
    <row r="29" spans="2:7">
      <c r="B29" t="s">
        <v>216</v>
      </c>
      <c r="C29" t="s">
        <v>160</v>
      </c>
      <c r="D29" t="s">
        <v>186</v>
      </c>
      <c r="E29" t="s">
        <v>214</v>
      </c>
      <c r="F29" t="s">
        <v>160</v>
      </c>
    </row>
    <row r="30" spans="2:7">
      <c r="B30" t="s">
        <v>213</v>
      </c>
      <c r="C30" t="s">
        <v>269</v>
      </c>
      <c r="D30" t="s">
        <v>215</v>
      </c>
      <c r="E30" t="s">
        <v>224</v>
      </c>
      <c r="F30" t="s">
        <v>238</v>
      </c>
    </row>
    <row r="31" spans="2:7">
      <c r="B31" t="s">
        <v>210</v>
      </c>
      <c r="C31" t="s">
        <v>214</v>
      </c>
      <c r="D31" t="s">
        <v>414</v>
      </c>
      <c r="E31" t="s">
        <v>601</v>
      </c>
      <c r="F31" t="s">
        <v>269</v>
      </c>
    </row>
    <row r="32" spans="2:7">
      <c r="B32" t="s">
        <v>218</v>
      </c>
      <c r="C32" t="s">
        <v>211</v>
      </c>
      <c r="E32" t="s">
        <v>237</v>
      </c>
      <c r="F32" t="s">
        <v>214</v>
      </c>
    </row>
    <row r="33" spans="2:6">
      <c r="B33" t="s">
        <v>215</v>
      </c>
      <c r="C33" t="s">
        <v>601</v>
      </c>
      <c r="E33" t="s">
        <v>228</v>
      </c>
      <c r="F33" t="s">
        <v>264</v>
      </c>
    </row>
    <row r="34" spans="2:6">
      <c r="B34" t="s">
        <v>414</v>
      </c>
      <c r="C34" t="s">
        <v>228</v>
      </c>
      <c r="E34" t="s">
        <v>210</v>
      </c>
      <c r="F34" t="s">
        <v>211</v>
      </c>
    </row>
    <row r="35" spans="2:6">
      <c r="C35" t="s">
        <v>210</v>
      </c>
      <c r="E35" t="s">
        <v>414</v>
      </c>
      <c r="F35" t="s">
        <v>216</v>
      </c>
    </row>
    <row r="36" spans="2:6">
      <c r="C36" t="s">
        <v>231</v>
      </c>
      <c r="E36" t="s">
        <v>193</v>
      </c>
      <c r="F36" t="s">
        <v>210</v>
      </c>
    </row>
    <row r="37" spans="2:6">
      <c r="C37" t="s">
        <v>414</v>
      </c>
      <c r="F37" t="s">
        <v>231</v>
      </c>
    </row>
    <row r="38" spans="2:6">
      <c r="C38" t="s">
        <v>232</v>
      </c>
      <c r="F38" t="s">
        <v>215</v>
      </c>
    </row>
    <row r="39" spans="2:6">
      <c r="F39" t="s">
        <v>240</v>
      </c>
    </row>
    <row r="40" spans="2:6">
      <c r="F40" t="s">
        <v>610</v>
      </c>
    </row>
    <row r="41" spans="2:6">
      <c r="F41" t="s">
        <v>414</v>
      </c>
    </row>
  </sheetData>
  <phoneticPr fontId="6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0BAD0-DE82-44F5-8AB4-E28CAB5E8039}">
  <sheetPr codeName="Sheet8"/>
  <dimension ref="A1:B1033"/>
  <sheetViews>
    <sheetView topLeftCell="A485" workbookViewId="0">
      <selection activeCell="D1062" sqref="D1062"/>
    </sheetView>
  </sheetViews>
  <sheetFormatPr defaultRowHeight="15"/>
  <cols>
    <col min="1" max="1" width="22.28515625" bestFit="1" customWidth="1"/>
    <col min="2" max="2" width="23.85546875" bestFit="1" customWidth="1"/>
  </cols>
  <sheetData>
    <row r="1" spans="1:2">
      <c r="A1" t="s">
        <v>619</v>
      </c>
      <c r="B1" t="s">
        <v>620</v>
      </c>
    </row>
    <row r="2" spans="1:2">
      <c r="A2" s="160">
        <v>45658</v>
      </c>
      <c r="B2" s="44" t="str">
        <f t="shared" ref="B2:B65" si="0">_xlfn.WEBSERVICE("http://api.excelapi.org/datetime/holiday?date="&amp;A2)</f>
        <v>元日</v>
      </c>
    </row>
    <row r="3" spans="1:2" hidden="1">
      <c r="A3" s="160">
        <f t="shared" ref="A3:A66" si="1">A2+1</f>
        <v>45659</v>
      </c>
      <c r="B3" s="44" t="str">
        <f t="shared" si="0"/>
        <v/>
      </c>
    </row>
    <row r="4" spans="1:2" hidden="1">
      <c r="A4" s="160">
        <f t="shared" si="1"/>
        <v>45660</v>
      </c>
      <c r="B4" s="44" t="str">
        <f t="shared" si="0"/>
        <v/>
      </c>
    </row>
    <row r="5" spans="1:2" hidden="1">
      <c r="A5" s="160">
        <f t="shared" si="1"/>
        <v>45661</v>
      </c>
      <c r="B5" s="44" t="str">
        <f t="shared" si="0"/>
        <v/>
      </c>
    </row>
    <row r="6" spans="1:2" hidden="1">
      <c r="A6" s="160">
        <f t="shared" si="1"/>
        <v>45662</v>
      </c>
      <c r="B6" s="44" t="str">
        <f t="shared" si="0"/>
        <v/>
      </c>
    </row>
    <row r="7" spans="1:2" hidden="1">
      <c r="A7" s="160">
        <f t="shared" si="1"/>
        <v>45663</v>
      </c>
      <c r="B7" s="44" t="str">
        <f t="shared" si="0"/>
        <v/>
      </c>
    </row>
    <row r="8" spans="1:2" hidden="1">
      <c r="A8" s="160">
        <f t="shared" si="1"/>
        <v>45664</v>
      </c>
      <c r="B8" s="44" t="str">
        <f t="shared" si="0"/>
        <v/>
      </c>
    </row>
    <row r="9" spans="1:2" hidden="1">
      <c r="A9" s="160">
        <f t="shared" si="1"/>
        <v>45665</v>
      </c>
      <c r="B9" s="44" t="str">
        <f t="shared" si="0"/>
        <v/>
      </c>
    </row>
    <row r="10" spans="1:2" hidden="1">
      <c r="A10" s="160">
        <f t="shared" si="1"/>
        <v>45666</v>
      </c>
      <c r="B10" s="44" t="str">
        <f t="shared" si="0"/>
        <v/>
      </c>
    </row>
    <row r="11" spans="1:2" hidden="1">
      <c r="A11" s="160">
        <f t="shared" si="1"/>
        <v>45667</v>
      </c>
      <c r="B11" s="44" t="str">
        <f t="shared" si="0"/>
        <v/>
      </c>
    </row>
    <row r="12" spans="1:2" hidden="1">
      <c r="A12" s="160">
        <f t="shared" si="1"/>
        <v>45668</v>
      </c>
      <c r="B12" s="44" t="str">
        <f t="shared" si="0"/>
        <v/>
      </c>
    </row>
    <row r="13" spans="1:2" hidden="1">
      <c r="A13" s="160">
        <f t="shared" si="1"/>
        <v>45669</v>
      </c>
      <c r="B13" s="44" t="str">
        <f t="shared" si="0"/>
        <v/>
      </c>
    </row>
    <row r="14" spans="1:2">
      <c r="A14" s="160">
        <f t="shared" si="1"/>
        <v>45670</v>
      </c>
      <c r="B14" s="44" t="str">
        <f t="shared" si="0"/>
        <v>成人の日</v>
      </c>
    </row>
    <row r="15" spans="1:2" hidden="1">
      <c r="A15" s="160">
        <f t="shared" si="1"/>
        <v>45671</v>
      </c>
      <c r="B15" s="44" t="str">
        <f t="shared" si="0"/>
        <v/>
      </c>
    </row>
    <row r="16" spans="1:2" hidden="1">
      <c r="A16" s="160">
        <f t="shared" si="1"/>
        <v>45672</v>
      </c>
      <c r="B16" s="44" t="str">
        <f t="shared" si="0"/>
        <v/>
      </c>
    </row>
    <row r="17" spans="1:2" hidden="1">
      <c r="A17" s="160">
        <f t="shared" si="1"/>
        <v>45673</v>
      </c>
      <c r="B17" s="44" t="str">
        <f t="shared" si="0"/>
        <v/>
      </c>
    </row>
    <row r="18" spans="1:2" hidden="1">
      <c r="A18" s="160">
        <f t="shared" si="1"/>
        <v>45674</v>
      </c>
      <c r="B18" s="44" t="str">
        <f t="shared" si="0"/>
        <v/>
      </c>
    </row>
    <row r="19" spans="1:2" hidden="1">
      <c r="A19" s="160">
        <f t="shared" si="1"/>
        <v>45675</v>
      </c>
      <c r="B19" s="44" t="str">
        <f t="shared" si="0"/>
        <v/>
      </c>
    </row>
    <row r="20" spans="1:2" hidden="1">
      <c r="A20" s="160">
        <f t="shared" si="1"/>
        <v>45676</v>
      </c>
      <c r="B20" s="44" t="str">
        <f t="shared" si="0"/>
        <v/>
      </c>
    </row>
    <row r="21" spans="1:2" hidden="1">
      <c r="A21" s="160">
        <f t="shared" si="1"/>
        <v>45677</v>
      </c>
      <c r="B21" s="44" t="str">
        <f t="shared" si="0"/>
        <v/>
      </c>
    </row>
    <row r="22" spans="1:2" hidden="1">
      <c r="A22" s="160">
        <f t="shared" si="1"/>
        <v>45678</v>
      </c>
      <c r="B22" s="44" t="str">
        <f t="shared" si="0"/>
        <v/>
      </c>
    </row>
    <row r="23" spans="1:2" hidden="1">
      <c r="A23" s="160">
        <f t="shared" si="1"/>
        <v>45679</v>
      </c>
      <c r="B23" s="44" t="str">
        <f t="shared" si="0"/>
        <v/>
      </c>
    </row>
    <row r="24" spans="1:2" hidden="1">
      <c r="A24" s="160">
        <f t="shared" si="1"/>
        <v>45680</v>
      </c>
      <c r="B24" s="44" t="str">
        <f t="shared" si="0"/>
        <v/>
      </c>
    </row>
    <row r="25" spans="1:2" hidden="1">
      <c r="A25" s="160">
        <f t="shared" si="1"/>
        <v>45681</v>
      </c>
      <c r="B25" s="44" t="str">
        <f t="shared" si="0"/>
        <v/>
      </c>
    </row>
    <row r="26" spans="1:2" hidden="1">
      <c r="A26" s="160">
        <f t="shared" si="1"/>
        <v>45682</v>
      </c>
      <c r="B26" s="44" t="str">
        <f t="shared" si="0"/>
        <v/>
      </c>
    </row>
    <row r="27" spans="1:2" hidden="1">
      <c r="A27" s="160">
        <f t="shared" si="1"/>
        <v>45683</v>
      </c>
      <c r="B27" s="44" t="str">
        <f t="shared" si="0"/>
        <v/>
      </c>
    </row>
    <row r="28" spans="1:2" hidden="1">
      <c r="A28" s="160">
        <f t="shared" si="1"/>
        <v>45684</v>
      </c>
      <c r="B28" s="44" t="str">
        <f t="shared" si="0"/>
        <v/>
      </c>
    </row>
    <row r="29" spans="1:2" hidden="1">
      <c r="A29" s="160">
        <f t="shared" si="1"/>
        <v>45685</v>
      </c>
      <c r="B29" s="44" t="str">
        <f t="shared" si="0"/>
        <v/>
      </c>
    </row>
    <row r="30" spans="1:2" hidden="1">
      <c r="A30" s="160">
        <f t="shared" si="1"/>
        <v>45686</v>
      </c>
      <c r="B30" s="44" t="str">
        <f t="shared" si="0"/>
        <v/>
      </c>
    </row>
    <row r="31" spans="1:2" hidden="1">
      <c r="A31" s="160">
        <f t="shared" si="1"/>
        <v>45687</v>
      </c>
      <c r="B31" s="44" t="str">
        <f t="shared" si="0"/>
        <v/>
      </c>
    </row>
    <row r="32" spans="1:2" hidden="1">
      <c r="A32" s="160">
        <f t="shared" si="1"/>
        <v>45688</v>
      </c>
      <c r="B32" s="44" t="str">
        <f t="shared" si="0"/>
        <v/>
      </c>
    </row>
    <row r="33" spans="1:2" hidden="1">
      <c r="A33" s="160">
        <f t="shared" si="1"/>
        <v>45689</v>
      </c>
      <c r="B33" s="44" t="str">
        <f t="shared" si="0"/>
        <v/>
      </c>
    </row>
    <row r="34" spans="1:2" hidden="1">
      <c r="A34" s="160">
        <f t="shared" si="1"/>
        <v>45690</v>
      </c>
      <c r="B34" s="44" t="str">
        <f t="shared" si="0"/>
        <v/>
      </c>
    </row>
    <row r="35" spans="1:2" hidden="1">
      <c r="A35" s="160">
        <f t="shared" si="1"/>
        <v>45691</v>
      </c>
      <c r="B35" s="44" t="str">
        <f t="shared" si="0"/>
        <v/>
      </c>
    </row>
    <row r="36" spans="1:2" hidden="1">
      <c r="A36" s="160">
        <f t="shared" si="1"/>
        <v>45692</v>
      </c>
      <c r="B36" s="44" t="str">
        <f t="shared" si="0"/>
        <v/>
      </c>
    </row>
    <row r="37" spans="1:2" hidden="1">
      <c r="A37" s="160">
        <f t="shared" si="1"/>
        <v>45693</v>
      </c>
      <c r="B37" s="44" t="str">
        <f t="shared" si="0"/>
        <v/>
      </c>
    </row>
    <row r="38" spans="1:2" hidden="1">
      <c r="A38" s="160">
        <f t="shared" si="1"/>
        <v>45694</v>
      </c>
      <c r="B38" s="44" t="str">
        <f t="shared" si="0"/>
        <v/>
      </c>
    </row>
    <row r="39" spans="1:2" hidden="1">
      <c r="A39" s="160">
        <f t="shared" si="1"/>
        <v>45695</v>
      </c>
      <c r="B39" s="44" t="str">
        <f t="shared" si="0"/>
        <v/>
      </c>
    </row>
    <row r="40" spans="1:2" hidden="1">
      <c r="A40" s="160">
        <f t="shared" si="1"/>
        <v>45696</v>
      </c>
      <c r="B40" s="44" t="str">
        <f t="shared" si="0"/>
        <v/>
      </c>
    </row>
    <row r="41" spans="1:2" hidden="1">
      <c r="A41" s="160">
        <f t="shared" si="1"/>
        <v>45697</v>
      </c>
      <c r="B41" s="44" t="str">
        <f t="shared" si="0"/>
        <v/>
      </c>
    </row>
    <row r="42" spans="1:2" hidden="1">
      <c r="A42" s="160">
        <f t="shared" si="1"/>
        <v>45698</v>
      </c>
      <c r="B42" s="44" t="str">
        <f t="shared" si="0"/>
        <v/>
      </c>
    </row>
    <row r="43" spans="1:2">
      <c r="A43" s="160">
        <f t="shared" si="1"/>
        <v>45699</v>
      </c>
      <c r="B43" s="44" t="str">
        <f t="shared" si="0"/>
        <v>建国記念の日</v>
      </c>
    </row>
    <row r="44" spans="1:2" hidden="1">
      <c r="A44" s="160">
        <f t="shared" si="1"/>
        <v>45700</v>
      </c>
      <c r="B44" s="44" t="str">
        <f t="shared" si="0"/>
        <v/>
      </c>
    </row>
    <row r="45" spans="1:2" hidden="1">
      <c r="A45" s="160">
        <f t="shared" si="1"/>
        <v>45701</v>
      </c>
      <c r="B45" s="44" t="str">
        <f t="shared" si="0"/>
        <v/>
      </c>
    </row>
    <row r="46" spans="1:2" hidden="1">
      <c r="A46" s="160">
        <f t="shared" si="1"/>
        <v>45702</v>
      </c>
      <c r="B46" s="44" t="str">
        <f t="shared" si="0"/>
        <v/>
      </c>
    </row>
    <row r="47" spans="1:2" hidden="1">
      <c r="A47" s="160">
        <f t="shared" si="1"/>
        <v>45703</v>
      </c>
      <c r="B47" s="44" t="str">
        <f t="shared" si="0"/>
        <v/>
      </c>
    </row>
    <row r="48" spans="1:2" hidden="1">
      <c r="A48" s="160">
        <f t="shared" si="1"/>
        <v>45704</v>
      </c>
      <c r="B48" s="44" t="str">
        <f t="shared" si="0"/>
        <v/>
      </c>
    </row>
    <row r="49" spans="1:2" hidden="1">
      <c r="A49" s="160">
        <f t="shared" si="1"/>
        <v>45705</v>
      </c>
      <c r="B49" s="44" t="str">
        <f t="shared" si="0"/>
        <v/>
      </c>
    </row>
    <row r="50" spans="1:2" hidden="1">
      <c r="A50" s="160">
        <f t="shared" si="1"/>
        <v>45706</v>
      </c>
      <c r="B50" s="44" t="str">
        <f t="shared" si="0"/>
        <v/>
      </c>
    </row>
    <row r="51" spans="1:2" hidden="1">
      <c r="A51" s="160">
        <f t="shared" si="1"/>
        <v>45707</v>
      </c>
      <c r="B51" s="44" t="str">
        <f t="shared" si="0"/>
        <v/>
      </c>
    </row>
    <row r="52" spans="1:2" hidden="1">
      <c r="A52" s="160">
        <f t="shared" si="1"/>
        <v>45708</v>
      </c>
      <c r="B52" s="44" t="str">
        <f t="shared" si="0"/>
        <v/>
      </c>
    </row>
    <row r="53" spans="1:2" hidden="1">
      <c r="A53" s="160">
        <f t="shared" si="1"/>
        <v>45709</v>
      </c>
      <c r="B53" s="44" t="str">
        <f t="shared" si="0"/>
        <v/>
      </c>
    </row>
    <row r="54" spans="1:2" hidden="1">
      <c r="A54" s="160">
        <f t="shared" si="1"/>
        <v>45710</v>
      </c>
      <c r="B54" s="44" t="str">
        <f t="shared" si="0"/>
        <v/>
      </c>
    </row>
    <row r="55" spans="1:2">
      <c r="A55" s="160">
        <f t="shared" si="1"/>
        <v>45711</v>
      </c>
      <c r="B55" s="44" t="str">
        <f t="shared" si="0"/>
        <v>天皇誕生日</v>
      </c>
    </row>
    <row r="56" spans="1:2">
      <c r="A56" s="160">
        <f t="shared" si="1"/>
        <v>45712</v>
      </c>
      <c r="B56" s="44" t="str">
        <f t="shared" si="0"/>
        <v>振替休日</v>
      </c>
    </row>
    <row r="57" spans="1:2" hidden="1">
      <c r="A57" s="160">
        <f t="shared" si="1"/>
        <v>45713</v>
      </c>
      <c r="B57" s="44" t="str">
        <f t="shared" si="0"/>
        <v/>
      </c>
    </row>
    <row r="58" spans="1:2" hidden="1">
      <c r="A58" s="160">
        <f t="shared" si="1"/>
        <v>45714</v>
      </c>
      <c r="B58" s="44" t="str">
        <f t="shared" si="0"/>
        <v/>
      </c>
    </row>
    <row r="59" spans="1:2" hidden="1">
      <c r="A59" s="160">
        <f t="shared" si="1"/>
        <v>45715</v>
      </c>
      <c r="B59" s="44" t="str">
        <f t="shared" si="0"/>
        <v/>
      </c>
    </row>
    <row r="60" spans="1:2" hidden="1">
      <c r="A60" s="160">
        <f t="shared" si="1"/>
        <v>45716</v>
      </c>
      <c r="B60" s="44" t="str">
        <f t="shared" si="0"/>
        <v/>
      </c>
    </row>
    <row r="61" spans="1:2" hidden="1">
      <c r="A61" s="160">
        <f t="shared" si="1"/>
        <v>45717</v>
      </c>
      <c r="B61" s="44" t="str">
        <f t="shared" si="0"/>
        <v/>
      </c>
    </row>
    <row r="62" spans="1:2" hidden="1">
      <c r="A62" s="160">
        <f t="shared" si="1"/>
        <v>45718</v>
      </c>
      <c r="B62" s="44" t="str">
        <f t="shared" si="0"/>
        <v/>
      </c>
    </row>
    <row r="63" spans="1:2" hidden="1">
      <c r="A63" s="160">
        <f t="shared" si="1"/>
        <v>45719</v>
      </c>
      <c r="B63" s="44" t="str">
        <f t="shared" si="0"/>
        <v/>
      </c>
    </row>
    <row r="64" spans="1:2" hidden="1">
      <c r="A64" s="160">
        <f t="shared" si="1"/>
        <v>45720</v>
      </c>
      <c r="B64" s="44" t="str">
        <f t="shared" si="0"/>
        <v/>
      </c>
    </row>
    <row r="65" spans="1:2" hidden="1">
      <c r="A65" s="160">
        <f t="shared" si="1"/>
        <v>45721</v>
      </c>
      <c r="B65" s="44" t="str">
        <f t="shared" si="0"/>
        <v/>
      </c>
    </row>
    <row r="66" spans="1:2" hidden="1">
      <c r="A66" s="160">
        <f t="shared" si="1"/>
        <v>45722</v>
      </c>
      <c r="B66" s="44" t="str">
        <f t="shared" ref="B66:B129" si="2">_xlfn.WEBSERVICE("http://api.excelapi.org/datetime/holiday?date="&amp;A66)</f>
        <v/>
      </c>
    </row>
    <row r="67" spans="1:2" hidden="1">
      <c r="A67" s="160">
        <f t="shared" ref="A67:A130" si="3">A66+1</f>
        <v>45723</v>
      </c>
      <c r="B67" s="44" t="str">
        <f t="shared" si="2"/>
        <v/>
      </c>
    </row>
    <row r="68" spans="1:2" hidden="1">
      <c r="A68" s="160">
        <f t="shared" si="3"/>
        <v>45724</v>
      </c>
      <c r="B68" s="44" t="str">
        <f t="shared" si="2"/>
        <v/>
      </c>
    </row>
    <row r="69" spans="1:2" hidden="1">
      <c r="A69" s="160">
        <f t="shared" si="3"/>
        <v>45725</v>
      </c>
      <c r="B69" s="44" t="str">
        <f t="shared" si="2"/>
        <v/>
      </c>
    </row>
    <row r="70" spans="1:2" hidden="1">
      <c r="A70" s="160">
        <f t="shared" si="3"/>
        <v>45726</v>
      </c>
      <c r="B70" s="44" t="str">
        <f t="shared" si="2"/>
        <v/>
      </c>
    </row>
    <row r="71" spans="1:2" hidden="1">
      <c r="A71" s="160">
        <f t="shared" si="3"/>
        <v>45727</v>
      </c>
      <c r="B71" s="44" t="str">
        <f t="shared" si="2"/>
        <v/>
      </c>
    </row>
    <row r="72" spans="1:2" hidden="1">
      <c r="A72" s="160">
        <f t="shared" si="3"/>
        <v>45728</v>
      </c>
      <c r="B72" s="44" t="str">
        <f t="shared" si="2"/>
        <v/>
      </c>
    </row>
    <row r="73" spans="1:2" hidden="1">
      <c r="A73" s="160">
        <f t="shared" si="3"/>
        <v>45729</v>
      </c>
      <c r="B73" s="44" t="str">
        <f t="shared" si="2"/>
        <v/>
      </c>
    </row>
    <row r="74" spans="1:2" hidden="1">
      <c r="A74" s="160">
        <f t="shared" si="3"/>
        <v>45730</v>
      </c>
      <c r="B74" s="44" t="str">
        <f t="shared" si="2"/>
        <v/>
      </c>
    </row>
    <row r="75" spans="1:2" hidden="1">
      <c r="A75" s="160">
        <f t="shared" si="3"/>
        <v>45731</v>
      </c>
      <c r="B75" s="44" t="str">
        <f t="shared" si="2"/>
        <v/>
      </c>
    </row>
    <row r="76" spans="1:2" hidden="1">
      <c r="A76" s="160">
        <f t="shared" si="3"/>
        <v>45732</v>
      </c>
      <c r="B76" s="44" t="str">
        <f t="shared" si="2"/>
        <v/>
      </c>
    </row>
    <row r="77" spans="1:2" hidden="1">
      <c r="A77" s="160">
        <f t="shared" si="3"/>
        <v>45733</v>
      </c>
      <c r="B77" s="44" t="str">
        <f t="shared" si="2"/>
        <v/>
      </c>
    </row>
    <row r="78" spans="1:2" hidden="1">
      <c r="A78" s="160">
        <f t="shared" si="3"/>
        <v>45734</v>
      </c>
      <c r="B78" s="44" t="str">
        <f t="shared" si="2"/>
        <v/>
      </c>
    </row>
    <row r="79" spans="1:2" hidden="1">
      <c r="A79" s="160">
        <f t="shared" si="3"/>
        <v>45735</v>
      </c>
      <c r="B79" s="44" t="str">
        <f t="shared" si="2"/>
        <v/>
      </c>
    </row>
    <row r="80" spans="1:2">
      <c r="A80" s="160">
        <f t="shared" si="3"/>
        <v>45736</v>
      </c>
      <c r="B80" s="44" t="str">
        <f t="shared" si="2"/>
        <v>春分の日</v>
      </c>
    </row>
    <row r="81" spans="1:2" hidden="1">
      <c r="A81" s="160">
        <f t="shared" si="3"/>
        <v>45737</v>
      </c>
      <c r="B81" s="44" t="str">
        <f t="shared" si="2"/>
        <v/>
      </c>
    </row>
    <row r="82" spans="1:2" hidden="1">
      <c r="A82" s="160">
        <f t="shared" si="3"/>
        <v>45738</v>
      </c>
      <c r="B82" s="44" t="str">
        <f t="shared" si="2"/>
        <v/>
      </c>
    </row>
    <row r="83" spans="1:2" hidden="1">
      <c r="A83" s="160">
        <f t="shared" si="3"/>
        <v>45739</v>
      </c>
      <c r="B83" s="44" t="str">
        <f t="shared" si="2"/>
        <v/>
      </c>
    </row>
    <row r="84" spans="1:2" hidden="1">
      <c r="A84" s="160">
        <f t="shared" si="3"/>
        <v>45740</v>
      </c>
      <c r="B84" s="44" t="str">
        <f t="shared" si="2"/>
        <v/>
      </c>
    </row>
    <row r="85" spans="1:2" hidden="1">
      <c r="A85" s="160">
        <f t="shared" si="3"/>
        <v>45741</v>
      </c>
      <c r="B85" s="44" t="str">
        <f t="shared" si="2"/>
        <v/>
      </c>
    </row>
    <row r="86" spans="1:2" hidden="1">
      <c r="A86" s="160">
        <f t="shared" si="3"/>
        <v>45742</v>
      </c>
      <c r="B86" s="44" t="str">
        <f t="shared" si="2"/>
        <v/>
      </c>
    </row>
    <row r="87" spans="1:2" hidden="1">
      <c r="A87" s="160">
        <f t="shared" si="3"/>
        <v>45743</v>
      </c>
      <c r="B87" s="44" t="str">
        <f t="shared" si="2"/>
        <v/>
      </c>
    </row>
    <row r="88" spans="1:2" hidden="1">
      <c r="A88" s="160">
        <f t="shared" si="3"/>
        <v>45744</v>
      </c>
      <c r="B88" s="44" t="str">
        <f t="shared" si="2"/>
        <v/>
      </c>
    </row>
    <row r="89" spans="1:2" hidden="1">
      <c r="A89" s="160">
        <f t="shared" si="3"/>
        <v>45745</v>
      </c>
      <c r="B89" s="44" t="str">
        <f t="shared" si="2"/>
        <v/>
      </c>
    </row>
    <row r="90" spans="1:2" hidden="1">
      <c r="A90" s="160">
        <f t="shared" si="3"/>
        <v>45746</v>
      </c>
      <c r="B90" s="44" t="str">
        <f t="shared" si="2"/>
        <v/>
      </c>
    </row>
    <row r="91" spans="1:2" hidden="1">
      <c r="A91" s="160">
        <f t="shared" si="3"/>
        <v>45747</v>
      </c>
      <c r="B91" s="44" t="str">
        <f t="shared" si="2"/>
        <v/>
      </c>
    </row>
    <row r="92" spans="1:2" hidden="1">
      <c r="A92" s="160">
        <f t="shared" si="3"/>
        <v>45748</v>
      </c>
      <c r="B92" s="44" t="str">
        <f t="shared" si="2"/>
        <v/>
      </c>
    </row>
    <row r="93" spans="1:2" hidden="1">
      <c r="A93" s="160">
        <f t="shared" si="3"/>
        <v>45749</v>
      </c>
      <c r="B93" s="44" t="str">
        <f t="shared" si="2"/>
        <v/>
      </c>
    </row>
    <row r="94" spans="1:2" hidden="1">
      <c r="A94" s="160">
        <f t="shared" si="3"/>
        <v>45750</v>
      </c>
      <c r="B94" s="44" t="str">
        <f t="shared" si="2"/>
        <v/>
      </c>
    </row>
    <row r="95" spans="1:2" hidden="1">
      <c r="A95" s="160">
        <f t="shared" si="3"/>
        <v>45751</v>
      </c>
      <c r="B95" s="44" t="str">
        <f t="shared" si="2"/>
        <v/>
      </c>
    </row>
    <row r="96" spans="1:2" hidden="1">
      <c r="A96" s="160">
        <f t="shared" si="3"/>
        <v>45752</v>
      </c>
      <c r="B96" s="44" t="str">
        <f t="shared" si="2"/>
        <v/>
      </c>
    </row>
    <row r="97" spans="1:2" hidden="1">
      <c r="A97" s="160">
        <f t="shared" si="3"/>
        <v>45753</v>
      </c>
      <c r="B97" s="44" t="str">
        <f t="shared" si="2"/>
        <v/>
      </c>
    </row>
    <row r="98" spans="1:2" hidden="1">
      <c r="A98" s="160">
        <f t="shared" si="3"/>
        <v>45754</v>
      </c>
      <c r="B98" s="44" t="str">
        <f t="shared" si="2"/>
        <v/>
      </c>
    </row>
    <row r="99" spans="1:2" hidden="1">
      <c r="A99" s="160">
        <f t="shared" si="3"/>
        <v>45755</v>
      </c>
      <c r="B99" s="44" t="str">
        <f t="shared" si="2"/>
        <v/>
      </c>
    </row>
    <row r="100" spans="1:2" hidden="1">
      <c r="A100" s="160">
        <f t="shared" si="3"/>
        <v>45756</v>
      </c>
      <c r="B100" s="44" t="str">
        <f t="shared" si="2"/>
        <v/>
      </c>
    </row>
    <row r="101" spans="1:2" hidden="1">
      <c r="A101" s="160">
        <f t="shared" si="3"/>
        <v>45757</v>
      </c>
      <c r="B101" s="44" t="str">
        <f t="shared" si="2"/>
        <v/>
      </c>
    </row>
    <row r="102" spans="1:2" hidden="1">
      <c r="A102" s="160">
        <f t="shared" si="3"/>
        <v>45758</v>
      </c>
      <c r="B102" s="44" t="str">
        <f t="shared" si="2"/>
        <v/>
      </c>
    </row>
    <row r="103" spans="1:2" hidden="1">
      <c r="A103" s="160">
        <f t="shared" si="3"/>
        <v>45759</v>
      </c>
      <c r="B103" s="44" t="str">
        <f t="shared" si="2"/>
        <v/>
      </c>
    </row>
    <row r="104" spans="1:2" hidden="1">
      <c r="A104" s="160">
        <f t="shared" si="3"/>
        <v>45760</v>
      </c>
      <c r="B104" s="44" t="str">
        <f t="shared" si="2"/>
        <v/>
      </c>
    </row>
    <row r="105" spans="1:2" hidden="1">
      <c r="A105" s="160">
        <f t="shared" si="3"/>
        <v>45761</v>
      </c>
      <c r="B105" s="44" t="str">
        <f t="shared" si="2"/>
        <v/>
      </c>
    </row>
    <row r="106" spans="1:2" hidden="1">
      <c r="A106" s="160">
        <f t="shared" si="3"/>
        <v>45762</v>
      </c>
      <c r="B106" s="44" t="str">
        <f t="shared" si="2"/>
        <v/>
      </c>
    </row>
    <row r="107" spans="1:2" hidden="1">
      <c r="A107" s="160">
        <f t="shared" si="3"/>
        <v>45763</v>
      </c>
      <c r="B107" s="44" t="str">
        <f t="shared" si="2"/>
        <v/>
      </c>
    </row>
    <row r="108" spans="1:2" hidden="1">
      <c r="A108" s="160">
        <f t="shared" si="3"/>
        <v>45764</v>
      </c>
      <c r="B108" s="44" t="str">
        <f t="shared" si="2"/>
        <v/>
      </c>
    </row>
    <row r="109" spans="1:2" hidden="1">
      <c r="A109" s="160">
        <f t="shared" si="3"/>
        <v>45765</v>
      </c>
      <c r="B109" s="44" t="str">
        <f t="shared" si="2"/>
        <v/>
      </c>
    </row>
    <row r="110" spans="1:2" hidden="1">
      <c r="A110" s="160">
        <f t="shared" si="3"/>
        <v>45766</v>
      </c>
      <c r="B110" s="44" t="str">
        <f t="shared" si="2"/>
        <v/>
      </c>
    </row>
    <row r="111" spans="1:2" hidden="1">
      <c r="A111" s="160">
        <f t="shared" si="3"/>
        <v>45767</v>
      </c>
      <c r="B111" s="44" t="str">
        <f t="shared" si="2"/>
        <v/>
      </c>
    </row>
    <row r="112" spans="1:2" hidden="1">
      <c r="A112" s="160">
        <f t="shared" si="3"/>
        <v>45768</v>
      </c>
      <c r="B112" s="44" t="str">
        <f t="shared" si="2"/>
        <v/>
      </c>
    </row>
    <row r="113" spans="1:2" hidden="1">
      <c r="A113" s="160">
        <f t="shared" si="3"/>
        <v>45769</v>
      </c>
      <c r="B113" s="44" t="str">
        <f t="shared" si="2"/>
        <v/>
      </c>
    </row>
    <row r="114" spans="1:2" hidden="1">
      <c r="A114" s="160">
        <f t="shared" si="3"/>
        <v>45770</v>
      </c>
      <c r="B114" s="44" t="str">
        <f t="shared" si="2"/>
        <v/>
      </c>
    </row>
    <row r="115" spans="1:2" hidden="1">
      <c r="A115" s="160">
        <f t="shared" si="3"/>
        <v>45771</v>
      </c>
      <c r="B115" s="44" t="str">
        <f t="shared" si="2"/>
        <v/>
      </c>
    </row>
    <row r="116" spans="1:2" hidden="1">
      <c r="A116" s="160">
        <f t="shared" si="3"/>
        <v>45772</v>
      </c>
      <c r="B116" s="44" t="str">
        <f t="shared" si="2"/>
        <v/>
      </c>
    </row>
    <row r="117" spans="1:2" hidden="1">
      <c r="A117" s="160">
        <f t="shared" si="3"/>
        <v>45773</v>
      </c>
      <c r="B117" s="44" t="str">
        <f t="shared" si="2"/>
        <v/>
      </c>
    </row>
    <row r="118" spans="1:2" hidden="1">
      <c r="A118" s="160">
        <f t="shared" si="3"/>
        <v>45774</v>
      </c>
      <c r="B118" s="44" t="str">
        <f t="shared" si="2"/>
        <v/>
      </c>
    </row>
    <row r="119" spans="1:2" hidden="1">
      <c r="A119" s="160">
        <f t="shared" si="3"/>
        <v>45775</v>
      </c>
      <c r="B119" s="44" t="str">
        <f t="shared" si="2"/>
        <v/>
      </c>
    </row>
    <row r="120" spans="1:2">
      <c r="A120" s="160">
        <f t="shared" si="3"/>
        <v>45776</v>
      </c>
      <c r="B120" s="44" t="str">
        <f t="shared" si="2"/>
        <v>昭和の日</v>
      </c>
    </row>
    <row r="121" spans="1:2" hidden="1">
      <c r="A121" s="160">
        <f t="shared" si="3"/>
        <v>45777</v>
      </c>
      <c r="B121" s="44" t="str">
        <f t="shared" si="2"/>
        <v/>
      </c>
    </row>
    <row r="122" spans="1:2" hidden="1">
      <c r="A122" s="160">
        <f t="shared" si="3"/>
        <v>45778</v>
      </c>
      <c r="B122" s="44" t="str">
        <f t="shared" si="2"/>
        <v/>
      </c>
    </row>
    <row r="123" spans="1:2" hidden="1">
      <c r="A123" s="160">
        <f t="shared" si="3"/>
        <v>45779</v>
      </c>
      <c r="B123" s="44" t="str">
        <f t="shared" si="2"/>
        <v/>
      </c>
    </row>
    <row r="124" spans="1:2">
      <c r="A124" s="160">
        <f t="shared" si="3"/>
        <v>45780</v>
      </c>
      <c r="B124" s="44" t="str">
        <f t="shared" si="2"/>
        <v>憲法記念日</v>
      </c>
    </row>
    <row r="125" spans="1:2">
      <c r="A125" s="160">
        <f t="shared" si="3"/>
        <v>45781</v>
      </c>
      <c r="B125" s="44" t="str">
        <f t="shared" si="2"/>
        <v>みどりの日</v>
      </c>
    </row>
    <row r="126" spans="1:2">
      <c r="A126" s="160">
        <f t="shared" si="3"/>
        <v>45782</v>
      </c>
      <c r="B126" s="44" t="str">
        <f t="shared" si="2"/>
        <v>こどもの日</v>
      </c>
    </row>
    <row r="127" spans="1:2">
      <c r="A127" s="160">
        <f t="shared" si="3"/>
        <v>45783</v>
      </c>
      <c r="B127" s="44" t="str">
        <f t="shared" si="2"/>
        <v>振替休日</v>
      </c>
    </row>
    <row r="128" spans="1:2" hidden="1">
      <c r="A128" s="160">
        <f t="shared" si="3"/>
        <v>45784</v>
      </c>
      <c r="B128" s="44" t="str">
        <f t="shared" si="2"/>
        <v/>
      </c>
    </row>
    <row r="129" spans="1:2" hidden="1">
      <c r="A129" s="160">
        <f t="shared" si="3"/>
        <v>45785</v>
      </c>
      <c r="B129" s="44" t="str">
        <f t="shared" si="2"/>
        <v/>
      </c>
    </row>
    <row r="130" spans="1:2" hidden="1">
      <c r="A130" s="160">
        <f t="shared" si="3"/>
        <v>45786</v>
      </c>
      <c r="B130" s="44" t="str">
        <f t="shared" ref="B130:B193" si="4">_xlfn.WEBSERVICE("http://api.excelapi.org/datetime/holiday?date="&amp;A130)</f>
        <v/>
      </c>
    </row>
    <row r="131" spans="1:2" hidden="1">
      <c r="A131" s="160">
        <f t="shared" ref="A131:A194" si="5">A130+1</f>
        <v>45787</v>
      </c>
      <c r="B131" s="44" t="str">
        <f t="shared" si="4"/>
        <v/>
      </c>
    </row>
    <row r="132" spans="1:2" hidden="1">
      <c r="A132" s="160">
        <f t="shared" si="5"/>
        <v>45788</v>
      </c>
      <c r="B132" s="44" t="str">
        <f t="shared" si="4"/>
        <v/>
      </c>
    </row>
    <row r="133" spans="1:2" hidden="1">
      <c r="A133" s="160">
        <f t="shared" si="5"/>
        <v>45789</v>
      </c>
      <c r="B133" s="44" t="str">
        <f t="shared" si="4"/>
        <v/>
      </c>
    </row>
    <row r="134" spans="1:2" hidden="1">
      <c r="A134" s="160">
        <f t="shared" si="5"/>
        <v>45790</v>
      </c>
      <c r="B134" s="44" t="str">
        <f t="shared" si="4"/>
        <v/>
      </c>
    </row>
    <row r="135" spans="1:2" hidden="1">
      <c r="A135" s="160">
        <f t="shared" si="5"/>
        <v>45791</v>
      </c>
      <c r="B135" s="44" t="str">
        <f t="shared" si="4"/>
        <v/>
      </c>
    </row>
    <row r="136" spans="1:2" hidden="1">
      <c r="A136" s="160">
        <f t="shared" si="5"/>
        <v>45792</v>
      </c>
      <c r="B136" s="44" t="str">
        <f t="shared" si="4"/>
        <v/>
      </c>
    </row>
    <row r="137" spans="1:2" hidden="1">
      <c r="A137" s="160">
        <f t="shared" si="5"/>
        <v>45793</v>
      </c>
      <c r="B137" s="44" t="str">
        <f t="shared" si="4"/>
        <v/>
      </c>
    </row>
    <row r="138" spans="1:2" hidden="1">
      <c r="A138" s="160">
        <f t="shared" si="5"/>
        <v>45794</v>
      </c>
      <c r="B138" s="44" t="str">
        <f t="shared" si="4"/>
        <v/>
      </c>
    </row>
    <row r="139" spans="1:2" hidden="1">
      <c r="A139" s="160">
        <f t="shared" si="5"/>
        <v>45795</v>
      </c>
      <c r="B139" s="44" t="str">
        <f t="shared" si="4"/>
        <v/>
      </c>
    </row>
    <row r="140" spans="1:2" hidden="1">
      <c r="A140" s="160">
        <f t="shared" si="5"/>
        <v>45796</v>
      </c>
      <c r="B140" s="44" t="str">
        <f t="shared" si="4"/>
        <v/>
      </c>
    </row>
    <row r="141" spans="1:2" hidden="1">
      <c r="A141" s="160">
        <f t="shared" si="5"/>
        <v>45797</v>
      </c>
      <c r="B141" s="44" t="str">
        <f t="shared" si="4"/>
        <v/>
      </c>
    </row>
    <row r="142" spans="1:2" hidden="1">
      <c r="A142" s="160">
        <f t="shared" si="5"/>
        <v>45798</v>
      </c>
      <c r="B142" s="44" t="str">
        <f t="shared" si="4"/>
        <v/>
      </c>
    </row>
    <row r="143" spans="1:2" hidden="1">
      <c r="A143" s="160">
        <f t="shared" si="5"/>
        <v>45799</v>
      </c>
      <c r="B143" s="44" t="str">
        <f t="shared" si="4"/>
        <v/>
      </c>
    </row>
    <row r="144" spans="1:2" hidden="1">
      <c r="A144" s="160">
        <f t="shared" si="5"/>
        <v>45800</v>
      </c>
      <c r="B144" s="44" t="str">
        <f t="shared" si="4"/>
        <v/>
      </c>
    </row>
    <row r="145" spans="1:2" hidden="1">
      <c r="A145" s="160">
        <f t="shared" si="5"/>
        <v>45801</v>
      </c>
      <c r="B145" s="44" t="str">
        <f t="shared" si="4"/>
        <v/>
      </c>
    </row>
    <row r="146" spans="1:2" hidden="1">
      <c r="A146" s="160">
        <f t="shared" si="5"/>
        <v>45802</v>
      </c>
      <c r="B146" s="44" t="str">
        <f t="shared" si="4"/>
        <v/>
      </c>
    </row>
    <row r="147" spans="1:2" hidden="1">
      <c r="A147" s="160">
        <f t="shared" si="5"/>
        <v>45803</v>
      </c>
      <c r="B147" s="44" t="str">
        <f t="shared" si="4"/>
        <v/>
      </c>
    </row>
    <row r="148" spans="1:2" hidden="1">
      <c r="A148" s="160">
        <f t="shared" si="5"/>
        <v>45804</v>
      </c>
      <c r="B148" s="44" t="str">
        <f t="shared" si="4"/>
        <v/>
      </c>
    </row>
    <row r="149" spans="1:2" hidden="1">
      <c r="A149" s="160">
        <f t="shared" si="5"/>
        <v>45805</v>
      </c>
      <c r="B149" s="44" t="str">
        <f t="shared" si="4"/>
        <v/>
      </c>
    </row>
    <row r="150" spans="1:2" hidden="1">
      <c r="A150" s="160">
        <f t="shared" si="5"/>
        <v>45806</v>
      </c>
      <c r="B150" s="44" t="str">
        <f t="shared" si="4"/>
        <v/>
      </c>
    </row>
    <row r="151" spans="1:2" hidden="1">
      <c r="A151" s="160">
        <f t="shared" si="5"/>
        <v>45807</v>
      </c>
      <c r="B151" s="44" t="str">
        <f t="shared" si="4"/>
        <v/>
      </c>
    </row>
    <row r="152" spans="1:2" hidden="1">
      <c r="A152" s="160">
        <f t="shared" si="5"/>
        <v>45808</v>
      </c>
      <c r="B152" s="44" t="str">
        <f t="shared" si="4"/>
        <v/>
      </c>
    </row>
    <row r="153" spans="1:2" hidden="1">
      <c r="A153" s="160">
        <f t="shared" si="5"/>
        <v>45809</v>
      </c>
      <c r="B153" s="44" t="str">
        <f t="shared" si="4"/>
        <v/>
      </c>
    </row>
    <row r="154" spans="1:2" hidden="1">
      <c r="A154" s="160">
        <f t="shared" si="5"/>
        <v>45810</v>
      </c>
      <c r="B154" s="44" t="str">
        <f t="shared" si="4"/>
        <v/>
      </c>
    </row>
    <row r="155" spans="1:2" hidden="1">
      <c r="A155" s="160">
        <f t="shared" si="5"/>
        <v>45811</v>
      </c>
      <c r="B155" s="44" t="str">
        <f t="shared" si="4"/>
        <v/>
      </c>
    </row>
    <row r="156" spans="1:2" hidden="1">
      <c r="A156" s="160">
        <f t="shared" si="5"/>
        <v>45812</v>
      </c>
      <c r="B156" s="44" t="str">
        <f t="shared" si="4"/>
        <v/>
      </c>
    </row>
    <row r="157" spans="1:2" hidden="1">
      <c r="A157" s="160">
        <f t="shared" si="5"/>
        <v>45813</v>
      </c>
      <c r="B157" s="44" t="str">
        <f t="shared" si="4"/>
        <v/>
      </c>
    </row>
    <row r="158" spans="1:2" hidden="1">
      <c r="A158" s="160">
        <f t="shared" si="5"/>
        <v>45814</v>
      </c>
      <c r="B158" s="44" t="str">
        <f t="shared" si="4"/>
        <v/>
      </c>
    </row>
    <row r="159" spans="1:2" hidden="1">
      <c r="A159" s="160">
        <f t="shared" si="5"/>
        <v>45815</v>
      </c>
      <c r="B159" s="44" t="str">
        <f t="shared" si="4"/>
        <v/>
      </c>
    </row>
    <row r="160" spans="1:2" hidden="1">
      <c r="A160" s="160">
        <f t="shared" si="5"/>
        <v>45816</v>
      </c>
      <c r="B160" s="44" t="str">
        <f t="shared" si="4"/>
        <v/>
      </c>
    </row>
    <row r="161" spans="1:2" hidden="1">
      <c r="A161" s="160">
        <f t="shared" si="5"/>
        <v>45817</v>
      </c>
      <c r="B161" s="44" t="str">
        <f t="shared" si="4"/>
        <v/>
      </c>
    </row>
    <row r="162" spans="1:2" hidden="1">
      <c r="A162" s="160">
        <f t="shared" si="5"/>
        <v>45818</v>
      </c>
      <c r="B162" s="44" t="str">
        <f t="shared" si="4"/>
        <v/>
      </c>
    </row>
    <row r="163" spans="1:2" hidden="1">
      <c r="A163" s="160">
        <f t="shared" si="5"/>
        <v>45819</v>
      </c>
      <c r="B163" s="44" t="str">
        <f t="shared" si="4"/>
        <v/>
      </c>
    </row>
    <row r="164" spans="1:2" hidden="1">
      <c r="A164" s="160">
        <f t="shared" si="5"/>
        <v>45820</v>
      </c>
      <c r="B164" s="44" t="str">
        <f t="shared" si="4"/>
        <v/>
      </c>
    </row>
    <row r="165" spans="1:2" hidden="1">
      <c r="A165" s="160">
        <f t="shared" si="5"/>
        <v>45821</v>
      </c>
      <c r="B165" s="44" t="str">
        <f t="shared" si="4"/>
        <v/>
      </c>
    </row>
    <row r="166" spans="1:2" hidden="1">
      <c r="A166" s="160">
        <f t="shared" si="5"/>
        <v>45822</v>
      </c>
      <c r="B166" s="44" t="str">
        <f t="shared" si="4"/>
        <v/>
      </c>
    </row>
    <row r="167" spans="1:2" hidden="1">
      <c r="A167" s="160">
        <f t="shared" si="5"/>
        <v>45823</v>
      </c>
      <c r="B167" s="44" t="str">
        <f t="shared" si="4"/>
        <v/>
      </c>
    </row>
    <row r="168" spans="1:2" hidden="1">
      <c r="A168" s="160">
        <f t="shared" si="5"/>
        <v>45824</v>
      </c>
      <c r="B168" s="44" t="str">
        <f t="shared" si="4"/>
        <v/>
      </c>
    </row>
    <row r="169" spans="1:2" hidden="1">
      <c r="A169" s="160">
        <f t="shared" si="5"/>
        <v>45825</v>
      </c>
      <c r="B169" s="44" t="str">
        <f t="shared" si="4"/>
        <v/>
      </c>
    </row>
    <row r="170" spans="1:2" hidden="1">
      <c r="A170" s="160">
        <f t="shared" si="5"/>
        <v>45826</v>
      </c>
      <c r="B170" s="44" t="str">
        <f t="shared" si="4"/>
        <v/>
      </c>
    </row>
    <row r="171" spans="1:2" hidden="1">
      <c r="A171" s="160">
        <f t="shared" si="5"/>
        <v>45827</v>
      </c>
      <c r="B171" s="44" t="str">
        <f t="shared" si="4"/>
        <v/>
      </c>
    </row>
    <row r="172" spans="1:2" hidden="1">
      <c r="A172" s="160">
        <f t="shared" si="5"/>
        <v>45828</v>
      </c>
      <c r="B172" s="44" t="str">
        <f t="shared" si="4"/>
        <v/>
      </c>
    </row>
    <row r="173" spans="1:2" hidden="1">
      <c r="A173" s="160">
        <f t="shared" si="5"/>
        <v>45829</v>
      </c>
      <c r="B173" s="44" t="str">
        <f t="shared" si="4"/>
        <v/>
      </c>
    </row>
    <row r="174" spans="1:2" hidden="1">
      <c r="A174" s="160">
        <f t="shared" si="5"/>
        <v>45830</v>
      </c>
      <c r="B174" s="44" t="str">
        <f t="shared" si="4"/>
        <v/>
      </c>
    </row>
    <row r="175" spans="1:2" hidden="1">
      <c r="A175" s="160">
        <f t="shared" si="5"/>
        <v>45831</v>
      </c>
      <c r="B175" s="44" t="str">
        <f t="shared" si="4"/>
        <v/>
      </c>
    </row>
    <row r="176" spans="1:2" hidden="1">
      <c r="A176" s="160">
        <f t="shared" si="5"/>
        <v>45832</v>
      </c>
      <c r="B176" s="44" t="str">
        <f t="shared" si="4"/>
        <v/>
      </c>
    </row>
    <row r="177" spans="1:2" hidden="1">
      <c r="A177" s="160">
        <f t="shared" si="5"/>
        <v>45833</v>
      </c>
      <c r="B177" s="44" t="str">
        <f t="shared" si="4"/>
        <v/>
      </c>
    </row>
    <row r="178" spans="1:2" hidden="1">
      <c r="A178" s="160">
        <f t="shared" si="5"/>
        <v>45834</v>
      </c>
      <c r="B178" s="44" t="str">
        <f t="shared" si="4"/>
        <v/>
      </c>
    </row>
    <row r="179" spans="1:2" hidden="1">
      <c r="A179" s="160">
        <f t="shared" si="5"/>
        <v>45835</v>
      </c>
      <c r="B179" s="44" t="str">
        <f t="shared" si="4"/>
        <v/>
      </c>
    </row>
    <row r="180" spans="1:2" hidden="1">
      <c r="A180" s="160">
        <f t="shared" si="5"/>
        <v>45836</v>
      </c>
      <c r="B180" s="44" t="str">
        <f t="shared" si="4"/>
        <v/>
      </c>
    </row>
    <row r="181" spans="1:2" hidden="1">
      <c r="A181" s="160">
        <f t="shared" si="5"/>
        <v>45837</v>
      </c>
      <c r="B181" s="44" t="str">
        <f t="shared" si="4"/>
        <v/>
      </c>
    </row>
    <row r="182" spans="1:2" hidden="1">
      <c r="A182" s="160">
        <f t="shared" si="5"/>
        <v>45838</v>
      </c>
      <c r="B182" s="44" t="str">
        <f t="shared" si="4"/>
        <v/>
      </c>
    </row>
    <row r="183" spans="1:2" hidden="1">
      <c r="A183" s="160">
        <f t="shared" si="5"/>
        <v>45839</v>
      </c>
      <c r="B183" s="44" t="str">
        <f t="shared" si="4"/>
        <v/>
      </c>
    </row>
    <row r="184" spans="1:2" hidden="1">
      <c r="A184" s="160">
        <f t="shared" si="5"/>
        <v>45840</v>
      </c>
      <c r="B184" s="44" t="str">
        <f t="shared" si="4"/>
        <v/>
      </c>
    </row>
    <row r="185" spans="1:2" hidden="1">
      <c r="A185" s="160">
        <f t="shared" si="5"/>
        <v>45841</v>
      </c>
      <c r="B185" s="44" t="str">
        <f t="shared" si="4"/>
        <v/>
      </c>
    </row>
    <row r="186" spans="1:2" hidden="1">
      <c r="A186" s="160">
        <f t="shared" si="5"/>
        <v>45842</v>
      </c>
      <c r="B186" s="44" t="str">
        <f t="shared" si="4"/>
        <v/>
      </c>
    </row>
    <row r="187" spans="1:2" hidden="1">
      <c r="A187" s="160">
        <f t="shared" si="5"/>
        <v>45843</v>
      </c>
      <c r="B187" s="44" t="str">
        <f t="shared" si="4"/>
        <v/>
      </c>
    </row>
    <row r="188" spans="1:2" hidden="1">
      <c r="A188" s="160">
        <f t="shared" si="5"/>
        <v>45844</v>
      </c>
      <c r="B188" s="44" t="str">
        <f t="shared" si="4"/>
        <v/>
      </c>
    </row>
    <row r="189" spans="1:2" hidden="1">
      <c r="A189" s="160">
        <f t="shared" si="5"/>
        <v>45845</v>
      </c>
      <c r="B189" s="44" t="str">
        <f t="shared" si="4"/>
        <v/>
      </c>
    </row>
    <row r="190" spans="1:2" hidden="1">
      <c r="A190" s="160">
        <f t="shared" si="5"/>
        <v>45846</v>
      </c>
      <c r="B190" s="44" t="str">
        <f t="shared" si="4"/>
        <v/>
      </c>
    </row>
    <row r="191" spans="1:2" hidden="1">
      <c r="A191" s="160">
        <f t="shared" si="5"/>
        <v>45847</v>
      </c>
      <c r="B191" s="44" t="str">
        <f t="shared" si="4"/>
        <v/>
      </c>
    </row>
    <row r="192" spans="1:2" hidden="1">
      <c r="A192" s="160">
        <f t="shared" si="5"/>
        <v>45848</v>
      </c>
      <c r="B192" s="44" t="str">
        <f t="shared" si="4"/>
        <v/>
      </c>
    </row>
    <row r="193" spans="1:2" hidden="1">
      <c r="A193" s="160">
        <f t="shared" si="5"/>
        <v>45849</v>
      </c>
      <c r="B193" s="44" t="str">
        <f t="shared" si="4"/>
        <v/>
      </c>
    </row>
    <row r="194" spans="1:2" hidden="1">
      <c r="A194" s="160">
        <f t="shared" si="5"/>
        <v>45850</v>
      </c>
      <c r="B194" s="44" t="str">
        <f t="shared" ref="B194:B257" si="6">_xlfn.WEBSERVICE("http://api.excelapi.org/datetime/holiday?date="&amp;A194)</f>
        <v/>
      </c>
    </row>
    <row r="195" spans="1:2" hidden="1">
      <c r="A195" s="160">
        <f t="shared" ref="A195:A258" si="7">A194+1</f>
        <v>45851</v>
      </c>
      <c r="B195" s="44" t="str">
        <f t="shared" si="6"/>
        <v/>
      </c>
    </row>
    <row r="196" spans="1:2" hidden="1">
      <c r="A196" s="160">
        <f t="shared" si="7"/>
        <v>45852</v>
      </c>
      <c r="B196" s="44" t="str">
        <f t="shared" si="6"/>
        <v/>
      </c>
    </row>
    <row r="197" spans="1:2" hidden="1">
      <c r="A197" s="160">
        <f t="shared" si="7"/>
        <v>45853</v>
      </c>
      <c r="B197" s="44" t="str">
        <f t="shared" si="6"/>
        <v/>
      </c>
    </row>
    <row r="198" spans="1:2" hidden="1">
      <c r="A198" s="160">
        <f t="shared" si="7"/>
        <v>45854</v>
      </c>
      <c r="B198" s="44" t="str">
        <f t="shared" si="6"/>
        <v/>
      </c>
    </row>
    <row r="199" spans="1:2" hidden="1">
      <c r="A199" s="160">
        <f t="shared" si="7"/>
        <v>45855</v>
      </c>
      <c r="B199" s="44" t="str">
        <f t="shared" si="6"/>
        <v/>
      </c>
    </row>
    <row r="200" spans="1:2" hidden="1">
      <c r="A200" s="160">
        <f t="shared" si="7"/>
        <v>45856</v>
      </c>
      <c r="B200" s="44" t="str">
        <f t="shared" si="6"/>
        <v/>
      </c>
    </row>
    <row r="201" spans="1:2" hidden="1">
      <c r="A201" s="160">
        <f t="shared" si="7"/>
        <v>45857</v>
      </c>
      <c r="B201" s="44" t="str">
        <f t="shared" si="6"/>
        <v/>
      </c>
    </row>
    <row r="202" spans="1:2" hidden="1">
      <c r="A202" s="160">
        <f t="shared" si="7"/>
        <v>45858</v>
      </c>
      <c r="B202" s="44" t="str">
        <f t="shared" si="6"/>
        <v/>
      </c>
    </row>
    <row r="203" spans="1:2">
      <c r="A203" s="160">
        <f t="shared" si="7"/>
        <v>45859</v>
      </c>
      <c r="B203" s="44" t="str">
        <f t="shared" si="6"/>
        <v>海の日</v>
      </c>
    </row>
    <row r="204" spans="1:2" hidden="1">
      <c r="A204" s="160">
        <f t="shared" si="7"/>
        <v>45860</v>
      </c>
      <c r="B204" s="44" t="str">
        <f t="shared" si="6"/>
        <v/>
      </c>
    </row>
    <row r="205" spans="1:2" hidden="1">
      <c r="A205" s="160">
        <f t="shared" si="7"/>
        <v>45861</v>
      </c>
      <c r="B205" s="44" t="str">
        <f t="shared" si="6"/>
        <v/>
      </c>
    </row>
    <row r="206" spans="1:2" hidden="1">
      <c r="A206" s="160">
        <f t="shared" si="7"/>
        <v>45862</v>
      </c>
      <c r="B206" s="44" t="str">
        <f t="shared" si="6"/>
        <v/>
      </c>
    </row>
    <row r="207" spans="1:2" hidden="1">
      <c r="A207" s="160">
        <f t="shared" si="7"/>
        <v>45863</v>
      </c>
      <c r="B207" s="44" t="str">
        <f t="shared" si="6"/>
        <v/>
      </c>
    </row>
    <row r="208" spans="1:2" hidden="1">
      <c r="A208" s="160">
        <f t="shared" si="7"/>
        <v>45864</v>
      </c>
      <c r="B208" s="44" t="str">
        <f t="shared" si="6"/>
        <v/>
      </c>
    </row>
    <row r="209" spans="1:2" hidden="1">
      <c r="A209" s="160">
        <f t="shared" si="7"/>
        <v>45865</v>
      </c>
      <c r="B209" s="44" t="str">
        <f t="shared" si="6"/>
        <v/>
      </c>
    </row>
    <row r="210" spans="1:2" hidden="1">
      <c r="A210" s="160">
        <f t="shared" si="7"/>
        <v>45866</v>
      </c>
      <c r="B210" s="44" t="str">
        <f t="shared" si="6"/>
        <v/>
      </c>
    </row>
    <row r="211" spans="1:2" hidden="1">
      <c r="A211" s="160">
        <f t="shared" si="7"/>
        <v>45867</v>
      </c>
      <c r="B211" s="44" t="str">
        <f t="shared" si="6"/>
        <v/>
      </c>
    </row>
    <row r="212" spans="1:2" hidden="1">
      <c r="A212" s="160">
        <f t="shared" si="7"/>
        <v>45868</v>
      </c>
      <c r="B212" s="44" t="str">
        <f t="shared" si="6"/>
        <v/>
      </c>
    </row>
    <row r="213" spans="1:2" hidden="1">
      <c r="A213" s="160">
        <f t="shared" si="7"/>
        <v>45869</v>
      </c>
      <c r="B213" s="44" t="str">
        <f t="shared" si="6"/>
        <v/>
      </c>
    </row>
    <row r="214" spans="1:2" hidden="1">
      <c r="A214" s="160">
        <f t="shared" si="7"/>
        <v>45870</v>
      </c>
      <c r="B214" s="44" t="str">
        <f t="shared" si="6"/>
        <v/>
      </c>
    </row>
    <row r="215" spans="1:2" hidden="1">
      <c r="A215" s="160">
        <f t="shared" si="7"/>
        <v>45871</v>
      </c>
      <c r="B215" s="44" t="str">
        <f t="shared" si="6"/>
        <v/>
      </c>
    </row>
    <row r="216" spans="1:2" hidden="1">
      <c r="A216" s="160">
        <f t="shared" si="7"/>
        <v>45872</v>
      </c>
      <c r="B216" s="44" t="str">
        <f t="shared" si="6"/>
        <v/>
      </c>
    </row>
    <row r="217" spans="1:2" hidden="1">
      <c r="A217" s="160">
        <f t="shared" si="7"/>
        <v>45873</v>
      </c>
      <c r="B217" s="44" t="str">
        <f t="shared" si="6"/>
        <v/>
      </c>
    </row>
    <row r="218" spans="1:2" hidden="1">
      <c r="A218" s="160">
        <f t="shared" si="7"/>
        <v>45874</v>
      </c>
      <c r="B218" s="44" t="str">
        <f t="shared" si="6"/>
        <v/>
      </c>
    </row>
    <row r="219" spans="1:2" hidden="1">
      <c r="A219" s="160">
        <f t="shared" si="7"/>
        <v>45875</v>
      </c>
      <c r="B219" s="44" t="str">
        <f t="shared" si="6"/>
        <v/>
      </c>
    </row>
    <row r="220" spans="1:2" hidden="1">
      <c r="A220" s="160">
        <f t="shared" si="7"/>
        <v>45876</v>
      </c>
      <c r="B220" s="44" t="str">
        <f t="shared" si="6"/>
        <v/>
      </c>
    </row>
    <row r="221" spans="1:2" hidden="1">
      <c r="A221" s="160">
        <f t="shared" si="7"/>
        <v>45877</v>
      </c>
      <c r="B221" s="44" t="str">
        <f t="shared" si="6"/>
        <v/>
      </c>
    </row>
    <row r="222" spans="1:2" hidden="1">
      <c r="A222" s="160">
        <f t="shared" si="7"/>
        <v>45878</v>
      </c>
      <c r="B222" s="44" t="str">
        <f t="shared" si="6"/>
        <v/>
      </c>
    </row>
    <row r="223" spans="1:2" hidden="1">
      <c r="A223" s="160">
        <f t="shared" si="7"/>
        <v>45879</v>
      </c>
      <c r="B223" s="44" t="str">
        <f t="shared" si="6"/>
        <v/>
      </c>
    </row>
    <row r="224" spans="1:2">
      <c r="A224" s="160">
        <f t="shared" si="7"/>
        <v>45880</v>
      </c>
      <c r="B224" s="44" t="str">
        <f t="shared" si="6"/>
        <v>山の日</v>
      </c>
    </row>
    <row r="225" spans="1:2" hidden="1">
      <c r="A225" s="160">
        <f t="shared" si="7"/>
        <v>45881</v>
      </c>
      <c r="B225" s="44" t="str">
        <f t="shared" si="6"/>
        <v/>
      </c>
    </row>
    <row r="226" spans="1:2" hidden="1">
      <c r="A226" s="160">
        <f t="shared" si="7"/>
        <v>45882</v>
      </c>
      <c r="B226" s="44" t="str">
        <f t="shared" si="6"/>
        <v/>
      </c>
    </row>
    <row r="227" spans="1:2" hidden="1">
      <c r="A227" s="160">
        <f t="shared" si="7"/>
        <v>45883</v>
      </c>
      <c r="B227" s="44" t="str">
        <f t="shared" si="6"/>
        <v/>
      </c>
    </row>
    <row r="228" spans="1:2" hidden="1">
      <c r="A228" s="160">
        <f t="shared" si="7"/>
        <v>45884</v>
      </c>
      <c r="B228" s="44" t="str">
        <f t="shared" si="6"/>
        <v/>
      </c>
    </row>
    <row r="229" spans="1:2" hidden="1">
      <c r="A229" s="160">
        <f t="shared" si="7"/>
        <v>45885</v>
      </c>
      <c r="B229" s="44" t="str">
        <f t="shared" si="6"/>
        <v/>
      </c>
    </row>
    <row r="230" spans="1:2" hidden="1">
      <c r="A230" s="160">
        <f t="shared" si="7"/>
        <v>45886</v>
      </c>
      <c r="B230" s="44" t="str">
        <f t="shared" si="6"/>
        <v/>
      </c>
    </row>
    <row r="231" spans="1:2" hidden="1">
      <c r="A231" s="160">
        <f t="shared" si="7"/>
        <v>45887</v>
      </c>
      <c r="B231" s="44" t="str">
        <f t="shared" si="6"/>
        <v/>
      </c>
    </row>
    <row r="232" spans="1:2" hidden="1">
      <c r="A232" s="160">
        <f t="shared" si="7"/>
        <v>45888</v>
      </c>
      <c r="B232" s="44" t="str">
        <f t="shared" si="6"/>
        <v/>
      </c>
    </row>
    <row r="233" spans="1:2" hidden="1">
      <c r="A233" s="160">
        <f t="shared" si="7"/>
        <v>45889</v>
      </c>
      <c r="B233" s="44" t="str">
        <f t="shared" si="6"/>
        <v/>
      </c>
    </row>
    <row r="234" spans="1:2" hidden="1">
      <c r="A234" s="160">
        <f t="shared" si="7"/>
        <v>45890</v>
      </c>
      <c r="B234" s="44" t="str">
        <f t="shared" si="6"/>
        <v/>
      </c>
    </row>
    <row r="235" spans="1:2" hidden="1">
      <c r="A235" s="160">
        <f t="shared" si="7"/>
        <v>45891</v>
      </c>
      <c r="B235" s="44" t="str">
        <f t="shared" si="6"/>
        <v/>
      </c>
    </row>
    <row r="236" spans="1:2" hidden="1">
      <c r="A236" s="160">
        <f t="shared" si="7"/>
        <v>45892</v>
      </c>
      <c r="B236" s="44" t="str">
        <f t="shared" si="6"/>
        <v/>
      </c>
    </row>
    <row r="237" spans="1:2" hidden="1">
      <c r="A237" s="160">
        <f t="shared" si="7"/>
        <v>45893</v>
      </c>
      <c r="B237" s="44" t="str">
        <f t="shared" si="6"/>
        <v/>
      </c>
    </row>
    <row r="238" spans="1:2" hidden="1">
      <c r="A238" s="160">
        <f t="shared" si="7"/>
        <v>45894</v>
      </c>
      <c r="B238" s="44" t="str">
        <f t="shared" si="6"/>
        <v/>
      </c>
    </row>
    <row r="239" spans="1:2" hidden="1">
      <c r="A239" s="160">
        <f t="shared" si="7"/>
        <v>45895</v>
      </c>
      <c r="B239" s="44" t="str">
        <f t="shared" si="6"/>
        <v/>
      </c>
    </row>
    <row r="240" spans="1:2" hidden="1">
      <c r="A240" s="160">
        <f t="shared" si="7"/>
        <v>45896</v>
      </c>
      <c r="B240" s="44" t="str">
        <f t="shared" si="6"/>
        <v/>
      </c>
    </row>
    <row r="241" spans="1:2" hidden="1">
      <c r="A241" s="160">
        <f t="shared" si="7"/>
        <v>45897</v>
      </c>
      <c r="B241" s="44" t="str">
        <f t="shared" si="6"/>
        <v/>
      </c>
    </row>
    <row r="242" spans="1:2" hidden="1">
      <c r="A242" s="160">
        <f t="shared" si="7"/>
        <v>45898</v>
      </c>
      <c r="B242" s="44" t="str">
        <f t="shared" si="6"/>
        <v/>
      </c>
    </row>
    <row r="243" spans="1:2" hidden="1">
      <c r="A243" s="160">
        <f t="shared" si="7"/>
        <v>45899</v>
      </c>
      <c r="B243" s="44" t="str">
        <f t="shared" si="6"/>
        <v/>
      </c>
    </row>
    <row r="244" spans="1:2" hidden="1">
      <c r="A244" s="160">
        <f t="shared" si="7"/>
        <v>45900</v>
      </c>
      <c r="B244" s="44" t="str">
        <f t="shared" si="6"/>
        <v/>
      </c>
    </row>
    <row r="245" spans="1:2" hidden="1">
      <c r="A245" s="160">
        <f t="shared" si="7"/>
        <v>45901</v>
      </c>
      <c r="B245" s="44" t="str">
        <f t="shared" si="6"/>
        <v/>
      </c>
    </row>
    <row r="246" spans="1:2" hidden="1">
      <c r="A246" s="160">
        <f t="shared" si="7"/>
        <v>45902</v>
      </c>
      <c r="B246" s="44" t="str">
        <f t="shared" si="6"/>
        <v/>
      </c>
    </row>
    <row r="247" spans="1:2" hidden="1">
      <c r="A247" s="160">
        <f t="shared" si="7"/>
        <v>45903</v>
      </c>
      <c r="B247" s="44" t="str">
        <f t="shared" si="6"/>
        <v/>
      </c>
    </row>
    <row r="248" spans="1:2" hidden="1">
      <c r="A248" s="160">
        <f t="shared" si="7"/>
        <v>45904</v>
      </c>
      <c r="B248" s="44" t="str">
        <f t="shared" si="6"/>
        <v/>
      </c>
    </row>
    <row r="249" spans="1:2" hidden="1">
      <c r="A249" s="160">
        <f t="shared" si="7"/>
        <v>45905</v>
      </c>
      <c r="B249" s="44" t="str">
        <f t="shared" si="6"/>
        <v/>
      </c>
    </row>
    <row r="250" spans="1:2" hidden="1">
      <c r="A250" s="160">
        <f t="shared" si="7"/>
        <v>45906</v>
      </c>
      <c r="B250" s="44" t="str">
        <f t="shared" si="6"/>
        <v/>
      </c>
    </row>
    <row r="251" spans="1:2" hidden="1">
      <c r="A251" s="160">
        <f t="shared" si="7"/>
        <v>45907</v>
      </c>
      <c r="B251" s="44" t="str">
        <f t="shared" si="6"/>
        <v/>
      </c>
    </row>
    <row r="252" spans="1:2" hidden="1">
      <c r="A252" s="160">
        <f t="shared" si="7"/>
        <v>45908</v>
      </c>
      <c r="B252" s="44" t="str">
        <f t="shared" si="6"/>
        <v/>
      </c>
    </row>
    <row r="253" spans="1:2" hidden="1">
      <c r="A253" s="160">
        <f t="shared" si="7"/>
        <v>45909</v>
      </c>
      <c r="B253" s="44" t="str">
        <f t="shared" si="6"/>
        <v/>
      </c>
    </row>
    <row r="254" spans="1:2" hidden="1">
      <c r="A254" s="160">
        <f t="shared" si="7"/>
        <v>45910</v>
      </c>
      <c r="B254" s="44" t="str">
        <f t="shared" si="6"/>
        <v/>
      </c>
    </row>
    <row r="255" spans="1:2" hidden="1">
      <c r="A255" s="160">
        <f t="shared" si="7"/>
        <v>45911</v>
      </c>
      <c r="B255" s="44" t="str">
        <f t="shared" si="6"/>
        <v/>
      </c>
    </row>
    <row r="256" spans="1:2" hidden="1">
      <c r="A256" s="160">
        <f t="shared" si="7"/>
        <v>45912</v>
      </c>
      <c r="B256" s="44" t="str">
        <f t="shared" si="6"/>
        <v/>
      </c>
    </row>
    <row r="257" spans="1:2" hidden="1">
      <c r="A257" s="160">
        <f t="shared" si="7"/>
        <v>45913</v>
      </c>
      <c r="B257" s="44" t="str">
        <f t="shared" si="6"/>
        <v/>
      </c>
    </row>
    <row r="258" spans="1:2" hidden="1">
      <c r="A258" s="160">
        <f t="shared" si="7"/>
        <v>45914</v>
      </c>
      <c r="B258" s="44" t="str">
        <f t="shared" ref="B258:B321" si="8">_xlfn.WEBSERVICE("http://api.excelapi.org/datetime/holiday?date="&amp;A258)</f>
        <v/>
      </c>
    </row>
    <row r="259" spans="1:2">
      <c r="A259" s="160">
        <f t="shared" ref="A259:A322" si="9">A258+1</f>
        <v>45915</v>
      </c>
      <c r="B259" s="44" t="str">
        <f t="shared" si="8"/>
        <v>敬老の日</v>
      </c>
    </row>
    <row r="260" spans="1:2" hidden="1">
      <c r="A260" s="160">
        <f t="shared" si="9"/>
        <v>45916</v>
      </c>
      <c r="B260" s="44" t="str">
        <f t="shared" si="8"/>
        <v/>
      </c>
    </row>
    <row r="261" spans="1:2" hidden="1">
      <c r="A261" s="160">
        <f t="shared" si="9"/>
        <v>45917</v>
      </c>
      <c r="B261" s="44" t="str">
        <f t="shared" si="8"/>
        <v/>
      </c>
    </row>
    <row r="262" spans="1:2" hidden="1">
      <c r="A262" s="160">
        <f t="shared" si="9"/>
        <v>45918</v>
      </c>
      <c r="B262" s="44" t="str">
        <f t="shared" si="8"/>
        <v/>
      </c>
    </row>
    <row r="263" spans="1:2" hidden="1">
      <c r="A263" s="160">
        <f t="shared" si="9"/>
        <v>45919</v>
      </c>
      <c r="B263" s="44" t="str">
        <f t="shared" si="8"/>
        <v/>
      </c>
    </row>
    <row r="264" spans="1:2" hidden="1">
      <c r="A264" s="160">
        <f t="shared" si="9"/>
        <v>45920</v>
      </c>
      <c r="B264" s="44" t="str">
        <f t="shared" si="8"/>
        <v/>
      </c>
    </row>
    <row r="265" spans="1:2" hidden="1">
      <c r="A265" s="160">
        <f t="shared" si="9"/>
        <v>45921</v>
      </c>
      <c r="B265" s="44" t="str">
        <f t="shared" si="8"/>
        <v/>
      </c>
    </row>
    <row r="266" spans="1:2" hidden="1">
      <c r="A266" s="160">
        <f t="shared" si="9"/>
        <v>45922</v>
      </c>
      <c r="B266" s="44" t="str">
        <f t="shared" si="8"/>
        <v/>
      </c>
    </row>
    <row r="267" spans="1:2">
      <c r="A267" s="160">
        <f t="shared" si="9"/>
        <v>45923</v>
      </c>
      <c r="B267" s="44" t="str">
        <f t="shared" si="8"/>
        <v>秋分の日</v>
      </c>
    </row>
    <row r="268" spans="1:2" hidden="1">
      <c r="A268" s="160">
        <f t="shared" si="9"/>
        <v>45924</v>
      </c>
      <c r="B268" s="44" t="str">
        <f t="shared" si="8"/>
        <v/>
      </c>
    </row>
    <row r="269" spans="1:2" hidden="1">
      <c r="A269" s="160">
        <f t="shared" si="9"/>
        <v>45925</v>
      </c>
      <c r="B269" s="44" t="str">
        <f t="shared" si="8"/>
        <v/>
      </c>
    </row>
    <row r="270" spans="1:2" hidden="1">
      <c r="A270" s="160">
        <f t="shared" si="9"/>
        <v>45926</v>
      </c>
      <c r="B270" s="44" t="str">
        <f t="shared" si="8"/>
        <v/>
      </c>
    </row>
    <row r="271" spans="1:2" hidden="1">
      <c r="A271" s="160">
        <f t="shared" si="9"/>
        <v>45927</v>
      </c>
      <c r="B271" s="44" t="str">
        <f t="shared" si="8"/>
        <v/>
      </c>
    </row>
    <row r="272" spans="1:2" hidden="1">
      <c r="A272" s="160">
        <f t="shared" si="9"/>
        <v>45928</v>
      </c>
      <c r="B272" s="44" t="str">
        <f t="shared" si="8"/>
        <v/>
      </c>
    </row>
    <row r="273" spans="1:2" hidden="1">
      <c r="A273" s="160">
        <f t="shared" si="9"/>
        <v>45929</v>
      </c>
      <c r="B273" s="44" t="str">
        <f t="shared" si="8"/>
        <v/>
      </c>
    </row>
    <row r="274" spans="1:2" hidden="1">
      <c r="A274" s="160">
        <f t="shared" si="9"/>
        <v>45930</v>
      </c>
      <c r="B274" s="44" t="str">
        <f t="shared" si="8"/>
        <v/>
      </c>
    </row>
    <row r="275" spans="1:2" hidden="1">
      <c r="A275" s="160">
        <f t="shared" si="9"/>
        <v>45931</v>
      </c>
      <c r="B275" s="44" t="str">
        <f t="shared" si="8"/>
        <v/>
      </c>
    </row>
    <row r="276" spans="1:2" hidden="1">
      <c r="A276" s="160">
        <f t="shared" si="9"/>
        <v>45932</v>
      </c>
      <c r="B276" s="44" t="str">
        <f t="shared" si="8"/>
        <v/>
      </c>
    </row>
    <row r="277" spans="1:2" hidden="1">
      <c r="A277" s="160">
        <f t="shared" si="9"/>
        <v>45933</v>
      </c>
      <c r="B277" s="44" t="str">
        <f t="shared" si="8"/>
        <v/>
      </c>
    </row>
    <row r="278" spans="1:2" hidden="1">
      <c r="A278" s="160">
        <f t="shared" si="9"/>
        <v>45934</v>
      </c>
      <c r="B278" s="44" t="str">
        <f t="shared" si="8"/>
        <v/>
      </c>
    </row>
    <row r="279" spans="1:2" hidden="1">
      <c r="A279" s="160">
        <f t="shared" si="9"/>
        <v>45935</v>
      </c>
      <c r="B279" s="44" t="str">
        <f t="shared" si="8"/>
        <v/>
      </c>
    </row>
    <row r="280" spans="1:2" hidden="1">
      <c r="A280" s="160">
        <f t="shared" si="9"/>
        <v>45936</v>
      </c>
      <c r="B280" s="44" t="str">
        <f t="shared" si="8"/>
        <v/>
      </c>
    </row>
    <row r="281" spans="1:2" hidden="1">
      <c r="A281" s="160">
        <f t="shared" si="9"/>
        <v>45937</v>
      </c>
      <c r="B281" s="44" t="str">
        <f t="shared" si="8"/>
        <v/>
      </c>
    </row>
    <row r="282" spans="1:2" hidden="1">
      <c r="A282" s="160">
        <f t="shared" si="9"/>
        <v>45938</v>
      </c>
      <c r="B282" s="44" t="str">
        <f t="shared" si="8"/>
        <v/>
      </c>
    </row>
    <row r="283" spans="1:2" hidden="1">
      <c r="A283" s="160">
        <f t="shared" si="9"/>
        <v>45939</v>
      </c>
      <c r="B283" s="44" t="str">
        <f t="shared" si="8"/>
        <v/>
      </c>
    </row>
    <row r="284" spans="1:2" hidden="1">
      <c r="A284" s="160">
        <f t="shared" si="9"/>
        <v>45940</v>
      </c>
      <c r="B284" s="44" t="str">
        <f t="shared" si="8"/>
        <v/>
      </c>
    </row>
    <row r="285" spans="1:2" hidden="1">
      <c r="A285" s="160">
        <f t="shared" si="9"/>
        <v>45941</v>
      </c>
      <c r="B285" s="44" t="str">
        <f t="shared" si="8"/>
        <v/>
      </c>
    </row>
    <row r="286" spans="1:2" hidden="1">
      <c r="A286" s="160">
        <f t="shared" si="9"/>
        <v>45942</v>
      </c>
      <c r="B286" s="44" t="str">
        <f t="shared" si="8"/>
        <v/>
      </c>
    </row>
    <row r="287" spans="1:2">
      <c r="A287" s="160">
        <f t="shared" si="9"/>
        <v>45943</v>
      </c>
      <c r="B287" s="44" t="str">
        <f t="shared" si="8"/>
        <v>スポーツの日</v>
      </c>
    </row>
    <row r="288" spans="1:2" hidden="1">
      <c r="A288" s="160">
        <f t="shared" si="9"/>
        <v>45944</v>
      </c>
      <c r="B288" s="44" t="str">
        <f t="shared" si="8"/>
        <v/>
      </c>
    </row>
    <row r="289" spans="1:2" hidden="1">
      <c r="A289" s="160">
        <f t="shared" si="9"/>
        <v>45945</v>
      </c>
      <c r="B289" s="44" t="str">
        <f t="shared" si="8"/>
        <v/>
      </c>
    </row>
    <row r="290" spans="1:2" hidden="1">
      <c r="A290" s="160">
        <f t="shared" si="9"/>
        <v>45946</v>
      </c>
      <c r="B290" s="44" t="str">
        <f t="shared" si="8"/>
        <v/>
      </c>
    </row>
    <row r="291" spans="1:2" hidden="1">
      <c r="A291" s="160">
        <f t="shared" si="9"/>
        <v>45947</v>
      </c>
      <c r="B291" s="44" t="str">
        <f t="shared" si="8"/>
        <v/>
      </c>
    </row>
    <row r="292" spans="1:2" hidden="1">
      <c r="A292" s="160">
        <f t="shared" si="9"/>
        <v>45948</v>
      </c>
      <c r="B292" s="44" t="str">
        <f t="shared" si="8"/>
        <v/>
      </c>
    </row>
    <row r="293" spans="1:2" hidden="1">
      <c r="A293" s="160">
        <f t="shared" si="9"/>
        <v>45949</v>
      </c>
      <c r="B293" s="44" t="str">
        <f t="shared" si="8"/>
        <v/>
      </c>
    </row>
    <row r="294" spans="1:2" hidden="1">
      <c r="A294" s="160">
        <f t="shared" si="9"/>
        <v>45950</v>
      </c>
      <c r="B294" s="44" t="str">
        <f t="shared" si="8"/>
        <v/>
      </c>
    </row>
    <row r="295" spans="1:2" hidden="1">
      <c r="A295" s="160">
        <f t="shared" si="9"/>
        <v>45951</v>
      </c>
      <c r="B295" s="44" t="str">
        <f t="shared" si="8"/>
        <v/>
      </c>
    </row>
    <row r="296" spans="1:2" hidden="1">
      <c r="A296" s="160">
        <f t="shared" si="9"/>
        <v>45952</v>
      </c>
      <c r="B296" s="44" t="str">
        <f t="shared" si="8"/>
        <v/>
      </c>
    </row>
    <row r="297" spans="1:2" hidden="1">
      <c r="A297" s="160">
        <f t="shared" si="9"/>
        <v>45953</v>
      </c>
      <c r="B297" s="44" t="str">
        <f t="shared" si="8"/>
        <v/>
      </c>
    </row>
    <row r="298" spans="1:2" hidden="1">
      <c r="A298" s="160">
        <f t="shared" si="9"/>
        <v>45954</v>
      </c>
      <c r="B298" s="44" t="str">
        <f t="shared" si="8"/>
        <v/>
      </c>
    </row>
    <row r="299" spans="1:2" hidden="1">
      <c r="A299" s="160">
        <f t="shared" si="9"/>
        <v>45955</v>
      </c>
      <c r="B299" s="44" t="str">
        <f t="shared" si="8"/>
        <v/>
      </c>
    </row>
    <row r="300" spans="1:2" hidden="1">
      <c r="A300" s="160">
        <f t="shared" si="9"/>
        <v>45956</v>
      </c>
      <c r="B300" s="44" t="str">
        <f t="shared" si="8"/>
        <v/>
      </c>
    </row>
    <row r="301" spans="1:2" hidden="1">
      <c r="A301" s="160">
        <f t="shared" si="9"/>
        <v>45957</v>
      </c>
      <c r="B301" s="44" t="str">
        <f t="shared" si="8"/>
        <v/>
      </c>
    </row>
    <row r="302" spans="1:2" hidden="1">
      <c r="A302" s="160">
        <f t="shared" si="9"/>
        <v>45958</v>
      </c>
      <c r="B302" s="44" t="str">
        <f t="shared" si="8"/>
        <v/>
      </c>
    </row>
    <row r="303" spans="1:2" hidden="1">
      <c r="A303" s="160">
        <f t="shared" si="9"/>
        <v>45959</v>
      </c>
      <c r="B303" s="44" t="str">
        <f t="shared" si="8"/>
        <v/>
      </c>
    </row>
    <row r="304" spans="1:2" hidden="1">
      <c r="A304" s="160">
        <f t="shared" si="9"/>
        <v>45960</v>
      </c>
      <c r="B304" s="44" t="str">
        <f t="shared" si="8"/>
        <v/>
      </c>
    </row>
    <row r="305" spans="1:2" hidden="1">
      <c r="A305" s="160">
        <f t="shared" si="9"/>
        <v>45961</v>
      </c>
      <c r="B305" s="44" t="str">
        <f t="shared" si="8"/>
        <v/>
      </c>
    </row>
    <row r="306" spans="1:2" hidden="1">
      <c r="A306" s="160">
        <f t="shared" si="9"/>
        <v>45962</v>
      </c>
      <c r="B306" s="44" t="str">
        <f t="shared" si="8"/>
        <v/>
      </c>
    </row>
    <row r="307" spans="1:2" hidden="1">
      <c r="A307" s="160">
        <f t="shared" si="9"/>
        <v>45963</v>
      </c>
      <c r="B307" s="44" t="str">
        <f t="shared" si="8"/>
        <v/>
      </c>
    </row>
    <row r="308" spans="1:2">
      <c r="A308" s="160">
        <f t="shared" si="9"/>
        <v>45964</v>
      </c>
      <c r="B308" s="44" t="str">
        <f t="shared" si="8"/>
        <v>文化の日</v>
      </c>
    </row>
    <row r="309" spans="1:2" hidden="1">
      <c r="A309" s="160">
        <f t="shared" si="9"/>
        <v>45965</v>
      </c>
      <c r="B309" s="44" t="str">
        <f t="shared" si="8"/>
        <v/>
      </c>
    </row>
    <row r="310" spans="1:2" hidden="1">
      <c r="A310" s="160">
        <f t="shared" si="9"/>
        <v>45966</v>
      </c>
      <c r="B310" s="44" t="str">
        <f t="shared" si="8"/>
        <v/>
      </c>
    </row>
    <row r="311" spans="1:2" hidden="1">
      <c r="A311" s="160">
        <f t="shared" si="9"/>
        <v>45967</v>
      </c>
      <c r="B311" s="44" t="str">
        <f t="shared" si="8"/>
        <v/>
      </c>
    </row>
    <row r="312" spans="1:2" hidden="1">
      <c r="A312" s="160">
        <f t="shared" si="9"/>
        <v>45968</v>
      </c>
      <c r="B312" s="44" t="str">
        <f t="shared" si="8"/>
        <v/>
      </c>
    </row>
    <row r="313" spans="1:2" hidden="1">
      <c r="A313" s="160">
        <f t="shared" si="9"/>
        <v>45969</v>
      </c>
      <c r="B313" s="44" t="str">
        <f t="shared" si="8"/>
        <v/>
      </c>
    </row>
    <row r="314" spans="1:2" hidden="1">
      <c r="A314" s="160">
        <f t="shared" si="9"/>
        <v>45970</v>
      </c>
      <c r="B314" s="44" t="str">
        <f t="shared" si="8"/>
        <v/>
      </c>
    </row>
    <row r="315" spans="1:2" hidden="1">
      <c r="A315" s="160">
        <f t="shared" si="9"/>
        <v>45971</v>
      </c>
      <c r="B315" s="44" t="str">
        <f t="shared" si="8"/>
        <v/>
      </c>
    </row>
    <row r="316" spans="1:2" hidden="1">
      <c r="A316" s="160">
        <f t="shared" si="9"/>
        <v>45972</v>
      </c>
      <c r="B316" s="44" t="str">
        <f t="shared" si="8"/>
        <v/>
      </c>
    </row>
    <row r="317" spans="1:2" hidden="1">
      <c r="A317" s="160">
        <f t="shared" si="9"/>
        <v>45973</v>
      </c>
      <c r="B317" s="44" t="str">
        <f t="shared" si="8"/>
        <v/>
      </c>
    </row>
    <row r="318" spans="1:2" hidden="1">
      <c r="A318" s="160">
        <f t="shared" si="9"/>
        <v>45974</v>
      </c>
      <c r="B318" s="44" t="str">
        <f t="shared" si="8"/>
        <v/>
      </c>
    </row>
    <row r="319" spans="1:2" hidden="1">
      <c r="A319" s="160">
        <f t="shared" si="9"/>
        <v>45975</v>
      </c>
      <c r="B319" s="44" t="str">
        <f t="shared" si="8"/>
        <v/>
      </c>
    </row>
    <row r="320" spans="1:2" hidden="1">
      <c r="A320" s="160">
        <f t="shared" si="9"/>
        <v>45976</v>
      </c>
      <c r="B320" s="44" t="str">
        <f t="shared" si="8"/>
        <v/>
      </c>
    </row>
    <row r="321" spans="1:2" hidden="1">
      <c r="A321" s="160">
        <f t="shared" si="9"/>
        <v>45977</v>
      </c>
      <c r="B321" s="44" t="str">
        <f t="shared" si="8"/>
        <v/>
      </c>
    </row>
    <row r="322" spans="1:2" hidden="1">
      <c r="A322" s="160">
        <f t="shared" si="9"/>
        <v>45978</v>
      </c>
      <c r="B322" s="44" t="str">
        <f t="shared" ref="B322:B385" si="10">_xlfn.WEBSERVICE("http://api.excelapi.org/datetime/holiday?date="&amp;A322)</f>
        <v/>
      </c>
    </row>
    <row r="323" spans="1:2" hidden="1">
      <c r="A323" s="160">
        <f t="shared" ref="A323:A386" si="11">A322+1</f>
        <v>45979</v>
      </c>
      <c r="B323" s="44" t="str">
        <f t="shared" si="10"/>
        <v/>
      </c>
    </row>
    <row r="324" spans="1:2" hidden="1">
      <c r="A324" s="160">
        <f t="shared" si="11"/>
        <v>45980</v>
      </c>
      <c r="B324" s="44" t="str">
        <f t="shared" si="10"/>
        <v/>
      </c>
    </row>
    <row r="325" spans="1:2" hidden="1">
      <c r="A325" s="160">
        <f t="shared" si="11"/>
        <v>45981</v>
      </c>
      <c r="B325" s="44" t="str">
        <f t="shared" si="10"/>
        <v/>
      </c>
    </row>
    <row r="326" spans="1:2" hidden="1">
      <c r="A326" s="160">
        <f t="shared" si="11"/>
        <v>45982</v>
      </c>
      <c r="B326" s="44" t="str">
        <f t="shared" si="10"/>
        <v/>
      </c>
    </row>
    <row r="327" spans="1:2" hidden="1">
      <c r="A327" s="160">
        <f t="shared" si="11"/>
        <v>45983</v>
      </c>
      <c r="B327" s="44" t="str">
        <f t="shared" si="10"/>
        <v/>
      </c>
    </row>
    <row r="328" spans="1:2">
      <c r="A328" s="160">
        <f t="shared" si="11"/>
        <v>45984</v>
      </c>
      <c r="B328" s="44" t="str">
        <f t="shared" si="10"/>
        <v>勤労感謝の日</v>
      </c>
    </row>
    <row r="329" spans="1:2">
      <c r="A329" s="160">
        <f t="shared" si="11"/>
        <v>45985</v>
      </c>
      <c r="B329" s="44" t="str">
        <f t="shared" si="10"/>
        <v>振替休日</v>
      </c>
    </row>
    <row r="330" spans="1:2" hidden="1">
      <c r="A330" s="160">
        <f t="shared" si="11"/>
        <v>45986</v>
      </c>
      <c r="B330" s="44" t="str">
        <f t="shared" si="10"/>
        <v/>
      </c>
    </row>
    <row r="331" spans="1:2" hidden="1">
      <c r="A331" s="160">
        <f t="shared" si="11"/>
        <v>45987</v>
      </c>
      <c r="B331" s="44" t="str">
        <f t="shared" si="10"/>
        <v/>
      </c>
    </row>
    <row r="332" spans="1:2" hidden="1">
      <c r="A332" s="160">
        <f t="shared" si="11"/>
        <v>45988</v>
      </c>
      <c r="B332" s="44" t="str">
        <f t="shared" si="10"/>
        <v/>
      </c>
    </row>
    <row r="333" spans="1:2" hidden="1">
      <c r="A333" s="160">
        <f t="shared" si="11"/>
        <v>45989</v>
      </c>
      <c r="B333" s="44" t="str">
        <f t="shared" si="10"/>
        <v/>
      </c>
    </row>
    <row r="334" spans="1:2" hidden="1">
      <c r="A334" s="160">
        <f t="shared" si="11"/>
        <v>45990</v>
      </c>
      <c r="B334" s="44" t="str">
        <f t="shared" si="10"/>
        <v/>
      </c>
    </row>
    <row r="335" spans="1:2" hidden="1">
      <c r="A335" s="160">
        <f t="shared" si="11"/>
        <v>45991</v>
      </c>
      <c r="B335" s="44" t="str">
        <f t="shared" si="10"/>
        <v/>
      </c>
    </row>
    <row r="336" spans="1:2" hidden="1">
      <c r="A336" s="160">
        <f t="shared" si="11"/>
        <v>45992</v>
      </c>
      <c r="B336" s="44" t="str">
        <f t="shared" si="10"/>
        <v/>
      </c>
    </row>
    <row r="337" spans="1:2" hidden="1">
      <c r="A337" s="160">
        <f t="shared" si="11"/>
        <v>45993</v>
      </c>
      <c r="B337" s="44" t="str">
        <f t="shared" si="10"/>
        <v/>
      </c>
    </row>
    <row r="338" spans="1:2" hidden="1">
      <c r="A338" s="160">
        <f t="shared" si="11"/>
        <v>45994</v>
      </c>
      <c r="B338" s="44" t="str">
        <f t="shared" si="10"/>
        <v/>
      </c>
    </row>
    <row r="339" spans="1:2" hidden="1">
      <c r="A339" s="160">
        <f t="shared" si="11"/>
        <v>45995</v>
      </c>
      <c r="B339" s="44" t="str">
        <f t="shared" si="10"/>
        <v/>
      </c>
    </row>
    <row r="340" spans="1:2" hidden="1">
      <c r="A340" s="160">
        <f t="shared" si="11"/>
        <v>45996</v>
      </c>
      <c r="B340" s="44" t="str">
        <f t="shared" si="10"/>
        <v/>
      </c>
    </row>
    <row r="341" spans="1:2" hidden="1">
      <c r="A341" s="160">
        <f t="shared" si="11"/>
        <v>45997</v>
      </c>
      <c r="B341" s="44" t="str">
        <f t="shared" si="10"/>
        <v/>
      </c>
    </row>
    <row r="342" spans="1:2" hidden="1">
      <c r="A342" s="160">
        <f t="shared" si="11"/>
        <v>45998</v>
      </c>
      <c r="B342" s="44" t="str">
        <f t="shared" si="10"/>
        <v/>
      </c>
    </row>
    <row r="343" spans="1:2" hidden="1">
      <c r="A343" s="160">
        <f t="shared" si="11"/>
        <v>45999</v>
      </c>
      <c r="B343" s="44" t="str">
        <f t="shared" si="10"/>
        <v/>
      </c>
    </row>
    <row r="344" spans="1:2" hidden="1">
      <c r="A344" s="160">
        <f t="shared" si="11"/>
        <v>46000</v>
      </c>
      <c r="B344" s="44" t="str">
        <f t="shared" si="10"/>
        <v/>
      </c>
    </row>
    <row r="345" spans="1:2" hidden="1">
      <c r="A345" s="160">
        <f t="shared" si="11"/>
        <v>46001</v>
      </c>
      <c r="B345" s="44" t="str">
        <f t="shared" si="10"/>
        <v/>
      </c>
    </row>
    <row r="346" spans="1:2" hidden="1">
      <c r="A346" s="160">
        <f t="shared" si="11"/>
        <v>46002</v>
      </c>
      <c r="B346" s="44" t="str">
        <f t="shared" si="10"/>
        <v/>
      </c>
    </row>
    <row r="347" spans="1:2" hidden="1">
      <c r="A347" s="160">
        <f t="shared" si="11"/>
        <v>46003</v>
      </c>
      <c r="B347" s="44" t="str">
        <f t="shared" si="10"/>
        <v/>
      </c>
    </row>
    <row r="348" spans="1:2" hidden="1">
      <c r="A348" s="160">
        <f t="shared" si="11"/>
        <v>46004</v>
      </c>
      <c r="B348" s="44" t="str">
        <f t="shared" si="10"/>
        <v/>
      </c>
    </row>
    <row r="349" spans="1:2" hidden="1">
      <c r="A349" s="160">
        <f t="shared" si="11"/>
        <v>46005</v>
      </c>
      <c r="B349" s="44" t="str">
        <f t="shared" si="10"/>
        <v/>
      </c>
    </row>
    <row r="350" spans="1:2" hidden="1">
      <c r="A350" s="160">
        <f t="shared" si="11"/>
        <v>46006</v>
      </c>
      <c r="B350" s="44" t="str">
        <f t="shared" si="10"/>
        <v/>
      </c>
    </row>
    <row r="351" spans="1:2" hidden="1">
      <c r="A351" s="160">
        <f t="shared" si="11"/>
        <v>46007</v>
      </c>
      <c r="B351" s="44" t="str">
        <f t="shared" si="10"/>
        <v/>
      </c>
    </row>
    <row r="352" spans="1:2" hidden="1">
      <c r="A352" s="160">
        <f t="shared" si="11"/>
        <v>46008</v>
      </c>
      <c r="B352" s="44" t="str">
        <f t="shared" si="10"/>
        <v/>
      </c>
    </row>
    <row r="353" spans="1:2" hidden="1">
      <c r="A353" s="160">
        <f t="shared" si="11"/>
        <v>46009</v>
      </c>
      <c r="B353" s="44" t="str">
        <f t="shared" si="10"/>
        <v/>
      </c>
    </row>
    <row r="354" spans="1:2" hidden="1">
      <c r="A354" s="160">
        <f t="shared" si="11"/>
        <v>46010</v>
      </c>
      <c r="B354" s="44" t="str">
        <f t="shared" si="10"/>
        <v/>
      </c>
    </row>
    <row r="355" spans="1:2" hidden="1">
      <c r="A355" s="160">
        <f t="shared" si="11"/>
        <v>46011</v>
      </c>
      <c r="B355" s="44" t="str">
        <f t="shared" si="10"/>
        <v/>
      </c>
    </row>
    <row r="356" spans="1:2" hidden="1">
      <c r="A356" s="160">
        <f t="shared" si="11"/>
        <v>46012</v>
      </c>
      <c r="B356" s="44" t="str">
        <f t="shared" si="10"/>
        <v/>
      </c>
    </row>
    <row r="357" spans="1:2" hidden="1">
      <c r="A357" s="160">
        <f t="shared" si="11"/>
        <v>46013</v>
      </c>
      <c r="B357" s="44" t="str">
        <f t="shared" si="10"/>
        <v/>
      </c>
    </row>
    <row r="358" spans="1:2" hidden="1">
      <c r="A358" s="160">
        <f t="shared" si="11"/>
        <v>46014</v>
      </c>
      <c r="B358" s="44" t="str">
        <f t="shared" si="10"/>
        <v/>
      </c>
    </row>
    <row r="359" spans="1:2" hidden="1">
      <c r="A359" s="160">
        <f t="shared" si="11"/>
        <v>46015</v>
      </c>
      <c r="B359" s="44" t="str">
        <f t="shared" si="10"/>
        <v/>
      </c>
    </row>
    <row r="360" spans="1:2" hidden="1">
      <c r="A360" s="160">
        <f t="shared" si="11"/>
        <v>46016</v>
      </c>
      <c r="B360" s="44" t="str">
        <f t="shared" si="10"/>
        <v/>
      </c>
    </row>
    <row r="361" spans="1:2" hidden="1">
      <c r="A361" s="160">
        <f t="shared" si="11"/>
        <v>46017</v>
      </c>
      <c r="B361" s="44" t="str">
        <f t="shared" si="10"/>
        <v/>
      </c>
    </row>
    <row r="362" spans="1:2" hidden="1">
      <c r="A362" s="160">
        <f t="shared" si="11"/>
        <v>46018</v>
      </c>
      <c r="B362" s="44" t="str">
        <f t="shared" si="10"/>
        <v/>
      </c>
    </row>
    <row r="363" spans="1:2" hidden="1">
      <c r="A363" s="160">
        <f t="shared" si="11"/>
        <v>46019</v>
      </c>
      <c r="B363" s="44" t="str">
        <f t="shared" si="10"/>
        <v/>
      </c>
    </row>
    <row r="364" spans="1:2" hidden="1">
      <c r="A364" s="160">
        <f t="shared" si="11"/>
        <v>46020</v>
      </c>
      <c r="B364" s="44" t="str">
        <f t="shared" si="10"/>
        <v/>
      </c>
    </row>
    <row r="365" spans="1:2" hidden="1">
      <c r="A365" s="160">
        <f t="shared" si="11"/>
        <v>46021</v>
      </c>
      <c r="B365" s="44" t="str">
        <f t="shared" si="10"/>
        <v/>
      </c>
    </row>
    <row r="366" spans="1:2" hidden="1">
      <c r="A366" s="160">
        <f t="shared" si="11"/>
        <v>46022</v>
      </c>
      <c r="B366" s="44" t="str">
        <f t="shared" si="10"/>
        <v/>
      </c>
    </row>
    <row r="367" spans="1:2">
      <c r="A367" s="160">
        <f t="shared" si="11"/>
        <v>46023</v>
      </c>
      <c r="B367" s="44" t="str">
        <f t="shared" si="10"/>
        <v>元日</v>
      </c>
    </row>
    <row r="368" spans="1:2" hidden="1">
      <c r="A368" s="160">
        <f t="shared" si="11"/>
        <v>46024</v>
      </c>
      <c r="B368" s="44" t="str">
        <f t="shared" si="10"/>
        <v/>
      </c>
    </row>
    <row r="369" spans="1:2" hidden="1">
      <c r="A369" s="160">
        <f t="shared" si="11"/>
        <v>46025</v>
      </c>
      <c r="B369" s="44" t="str">
        <f t="shared" si="10"/>
        <v/>
      </c>
    </row>
    <row r="370" spans="1:2" hidden="1">
      <c r="A370" s="160">
        <f t="shared" si="11"/>
        <v>46026</v>
      </c>
      <c r="B370" s="44" t="str">
        <f t="shared" si="10"/>
        <v/>
      </c>
    </row>
    <row r="371" spans="1:2" hidden="1">
      <c r="A371" s="160">
        <f t="shared" si="11"/>
        <v>46027</v>
      </c>
      <c r="B371" s="44" t="str">
        <f t="shared" si="10"/>
        <v/>
      </c>
    </row>
    <row r="372" spans="1:2" hidden="1">
      <c r="A372" s="160">
        <f t="shared" si="11"/>
        <v>46028</v>
      </c>
      <c r="B372" s="44" t="str">
        <f t="shared" si="10"/>
        <v/>
      </c>
    </row>
    <row r="373" spans="1:2" hidden="1">
      <c r="A373" s="160">
        <f t="shared" si="11"/>
        <v>46029</v>
      </c>
      <c r="B373" s="44" t="str">
        <f t="shared" si="10"/>
        <v/>
      </c>
    </row>
    <row r="374" spans="1:2" hidden="1">
      <c r="A374" s="160">
        <f t="shared" si="11"/>
        <v>46030</v>
      </c>
      <c r="B374" s="44" t="str">
        <f t="shared" si="10"/>
        <v/>
      </c>
    </row>
    <row r="375" spans="1:2" hidden="1">
      <c r="A375" s="160">
        <f t="shared" si="11"/>
        <v>46031</v>
      </c>
      <c r="B375" s="44" t="str">
        <f t="shared" si="10"/>
        <v/>
      </c>
    </row>
    <row r="376" spans="1:2" hidden="1">
      <c r="A376" s="160">
        <f t="shared" si="11"/>
        <v>46032</v>
      </c>
      <c r="B376" s="44" t="str">
        <f t="shared" si="10"/>
        <v/>
      </c>
    </row>
    <row r="377" spans="1:2" hidden="1">
      <c r="A377" s="160">
        <f t="shared" si="11"/>
        <v>46033</v>
      </c>
      <c r="B377" s="44" t="str">
        <f t="shared" si="10"/>
        <v/>
      </c>
    </row>
    <row r="378" spans="1:2">
      <c r="A378" s="160">
        <f t="shared" si="11"/>
        <v>46034</v>
      </c>
      <c r="B378" s="44" t="str">
        <f t="shared" si="10"/>
        <v>成人の日</v>
      </c>
    </row>
    <row r="379" spans="1:2" hidden="1">
      <c r="A379" s="160">
        <f t="shared" si="11"/>
        <v>46035</v>
      </c>
      <c r="B379" s="44" t="str">
        <f t="shared" si="10"/>
        <v/>
      </c>
    </row>
    <row r="380" spans="1:2" hidden="1">
      <c r="A380" s="160">
        <f t="shared" si="11"/>
        <v>46036</v>
      </c>
      <c r="B380" s="44" t="str">
        <f t="shared" si="10"/>
        <v/>
      </c>
    </row>
    <row r="381" spans="1:2" hidden="1">
      <c r="A381" s="160">
        <f t="shared" si="11"/>
        <v>46037</v>
      </c>
      <c r="B381" s="44" t="str">
        <f t="shared" si="10"/>
        <v/>
      </c>
    </row>
    <row r="382" spans="1:2" hidden="1">
      <c r="A382" s="160">
        <f t="shared" si="11"/>
        <v>46038</v>
      </c>
      <c r="B382" s="44" t="str">
        <f t="shared" si="10"/>
        <v/>
      </c>
    </row>
    <row r="383" spans="1:2" hidden="1">
      <c r="A383" s="160">
        <f t="shared" si="11"/>
        <v>46039</v>
      </c>
      <c r="B383" s="44" t="str">
        <f t="shared" si="10"/>
        <v/>
      </c>
    </row>
    <row r="384" spans="1:2" hidden="1">
      <c r="A384" s="160">
        <f t="shared" si="11"/>
        <v>46040</v>
      </c>
      <c r="B384" s="44" t="str">
        <f t="shared" si="10"/>
        <v/>
      </c>
    </row>
    <row r="385" spans="1:2" hidden="1">
      <c r="A385" s="160">
        <f t="shared" si="11"/>
        <v>46041</v>
      </c>
      <c r="B385" s="44" t="str">
        <f t="shared" si="10"/>
        <v/>
      </c>
    </row>
    <row r="386" spans="1:2" hidden="1">
      <c r="A386" s="160">
        <f t="shared" si="11"/>
        <v>46042</v>
      </c>
      <c r="B386" s="44" t="str">
        <f t="shared" ref="B386:B449" si="12">_xlfn.WEBSERVICE("http://api.excelapi.org/datetime/holiday?date="&amp;A386)</f>
        <v/>
      </c>
    </row>
    <row r="387" spans="1:2" hidden="1">
      <c r="A387" s="160">
        <f t="shared" ref="A387:A450" si="13">A386+1</f>
        <v>46043</v>
      </c>
      <c r="B387" s="44" t="str">
        <f t="shared" si="12"/>
        <v/>
      </c>
    </row>
    <row r="388" spans="1:2" hidden="1">
      <c r="A388" s="160">
        <f t="shared" si="13"/>
        <v>46044</v>
      </c>
      <c r="B388" s="44" t="str">
        <f t="shared" si="12"/>
        <v/>
      </c>
    </row>
    <row r="389" spans="1:2" hidden="1">
      <c r="A389" s="160">
        <f t="shared" si="13"/>
        <v>46045</v>
      </c>
      <c r="B389" s="44" t="str">
        <f t="shared" si="12"/>
        <v/>
      </c>
    </row>
    <row r="390" spans="1:2" hidden="1">
      <c r="A390" s="160">
        <f t="shared" si="13"/>
        <v>46046</v>
      </c>
      <c r="B390" s="44" t="str">
        <f t="shared" si="12"/>
        <v/>
      </c>
    </row>
    <row r="391" spans="1:2" hidden="1">
      <c r="A391" s="160">
        <f t="shared" si="13"/>
        <v>46047</v>
      </c>
      <c r="B391" s="44" t="str">
        <f t="shared" si="12"/>
        <v/>
      </c>
    </row>
    <row r="392" spans="1:2" hidden="1">
      <c r="A392" s="160">
        <f t="shared" si="13"/>
        <v>46048</v>
      </c>
      <c r="B392" s="44" t="str">
        <f t="shared" si="12"/>
        <v/>
      </c>
    </row>
    <row r="393" spans="1:2" hidden="1">
      <c r="A393" s="160">
        <f t="shared" si="13"/>
        <v>46049</v>
      </c>
      <c r="B393" s="44" t="str">
        <f t="shared" si="12"/>
        <v/>
      </c>
    </row>
    <row r="394" spans="1:2" hidden="1">
      <c r="A394" s="160">
        <f t="shared" si="13"/>
        <v>46050</v>
      </c>
      <c r="B394" s="44" t="str">
        <f t="shared" si="12"/>
        <v/>
      </c>
    </row>
    <row r="395" spans="1:2" hidden="1">
      <c r="A395" s="160">
        <f t="shared" si="13"/>
        <v>46051</v>
      </c>
      <c r="B395" s="44" t="str">
        <f t="shared" si="12"/>
        <v/>
      </c>
    </row>
    <row r="396" spans="1:2" hidden="1">
      <c r="A396" s="160">
        <f t="shared" si="13"/>
        <v>46052</v>
      </c>
      <c r="B396" s="44" t="str">
        <f t="shared" si="12"/>
        <v/>
      </c>
    </row>
    <row r="397" spans="1:2" hidden="1">
      <c r="A397" s="160">
        <f t="shared" si="13"/>
        <v>46053</v>
      </c>
      <c r="B397" s="44" t="str">
        <f t="shared" si="12"/>
        <v/>
      </c>
    </row>
    <row r="398" spans="1:2" hidden="1">
      <c r="A398" s="160">
        <f t="shared" si="13"/>
        <v>46054</v>
      </c>
      <c r="B398" s="44" t="str">
        <f t="shared" si="12"/>
        <v/>
      </c>
    </row>
    <row r="399" spans="1:2" hidden="1">
      <c r="A399" s="160">
        <f t="shared" si="13"/>
        <v>46055</v>
      </c>
      <c r="B399" s="44" t="str">
        <f t="shared" si="12"/>
        <v/>
      </c>
    </row>
    <row r="400" spans="1:2" hidden="1">
      <c r="A400" s="160">
        <f t="shared" si="13"/>
        <v>46056</v>
      </c>
      <c r="B400" s="44" t="str">
        <f t="shared" si="12"/>
        <v/>
      </c>
    </row>
    <row r="401" spans="1:2" hidden="1">
      <c r="A401" s="160">
        <f t="shared" si="13"/>
        <v>46057</v>
      </c>
      <c r="B401" s="44" t="str">
        <f t="shared" si="12"/>
        <v/>
      </c>
    </row>
    <row r="402" spans="1:2" hidden="1">
      <c r="A402" s="160">
        <f t="shared" si="13"/>
        <v>46058</v>
      </c>
      <c r="B402" s="44" t="str">
        <f t="shared" si="12"/>
        <v/>
      </c>
    </row>
    <row r="403" spans="1:2" hidden="1">
      <c r="A403" s="160">
        <f t="shared" si="13"/>
        <v>46059</v>
      </c>
      <c r="B403" s="44" t="str">
        <f t="shared" si="12"/>
        <v/>
      </c>
    </row>
    <row r="404" spans="1:2" hidden="1">
      <c r="A404" s="160">
        <f t="shared" si="13"/>
        <v>46060</v>
      </c>
      <c r="B404" s="44" t="str">
        <f t="shared" si="12"/>
        <v/>
      </c>
    </row>
    <row r="405" spans="1:2" hidden="1">
      <c r="A405" s="160">
        <f t="shared" si="13"/>
        <v>46061</v>
      </c>
      <c r="B405" s="44" t="str">
        <f t="shared" si="12"/>
        <v/>
      </c>
    </row>
    <row r="406" spans="1:2" hidden="1">
      <c r="A406" s="160">
        <f t="shared" si="13"/>
        <v>46062</v>
      </c>
      <c r="B406" s="44" t="str">
        <f t="shared" si="12"/>
        <v/>
      </c>
    </row>
    <row r="407" spans="1:2" hidden="1">
      <c r="A407" s="160">
        <f t="shared" si="13"/>
        <v>46063</v>
      </c>
      <c r="B407" s="44" t="str">
        <f t="shared" si="12"/>
        <v/>
      </c>
    </row>
    <row r="408" spans="1:2">
      <c r="A408" s="160">
        <f t="shared" si="13"/>
        <v>46064</v>
      </c>
      <c r="B408" s="44" t="str">
        <f t="shared" si="12"/>
        <v>建国記念の日</v>
      </c>
    </row>
    <row r="409" spans="1:2" hidden="1">
      <c r="A409" s="160">
        <f t="shared" si="13"/>
        <v>46065</v>
      </c>
      <c r="B409" s="44" t="str">
        <f t="shared" si="12"/>
        <v/>
      </c>
    </row>
    <row r="410" spans="1:2" hidden="1">
      <c r="A410" s="160">
        <f t="shared" si="13"/>
        <v>46066</v>
      </c>
      <c r="B410" s="44" t="str">
        <f t="shared" si="12"/>
        <v/>
      </c>
    </row>
    <row r="411" spans="1:2" hidden="1">
      <c r="A411" s="160">
        <f t="shared" si="13"/>
        <v>46067</v>
      </c>
      <c r="B411" s="44" t="str">
        <f t="shared" si="12"/>
        <v/>
      </c>
    </row>
    <row r="412" spans="1:2" hidden="1">
      <c r="A412" s="160">
        <f t="shared" si="13"/>
        <v>46068</v>
      </c>
      <c r="B412" s="44" t="str">
        <f t="shared" si="12"/>
        <v/>
      </c>
    </row>
    <row r="413" spans="1:2" hidden="1">
      <c r="A413" s="160">
        <f t="shared" si="13"/>
        <v>46069</v>
      </c>
      <c r="B413" s="44" t="str">
        <f t="shared" si="12"/>
        <v/>
      </c>
    </row>
    <row r="414" spans="1:2" hidden="1">
      <c r="A414" s="160">
        <f t="shared" si="13"/>
        <v>46070</v>
      </c>
      <c r="B414" s="44" t="str">
        <f t="shared" si="12"/>
        <v/>
      </c>
    </row>
    <row r="415" spans="1:2" hidden="1">
      <c r="A415" s="160">
        <f t="shared" si="13"/>
        <v>46071</v>
      </c>
      <c r="B415" s="44" t="str">
        <f t="shared" si="12"/>
        <v/>
      </c>
    </row>
    <row r="416" spans="1:2" hidden="1">
      <c r="A416" s="160">
        <f t="shared" si="13"/>
        <v>46072</v>
      </c>
      <c r="B416" s="44" t="str">
        <f t="shared" si="12"/>
        <v/>
      </c>
    </row>
    <row r="417" spans="1:2" hidden="1">
      <c r="A417" s="160">
        <f t="shared" si="13"/>
        <v>46073</v>
      </c>
      <c r="B417" s="44" t="str">
        <f t="shared" si="12"/>
        <v/>
      </c>
    </row>
    <row r="418" spans="1:2" hidden="1">
      <c r="A418" s="160">
        <f t="shared" si="13"/>
        <v>46074</v>
      </c>
      <c r="B418" s="44" t="str">
        <f t="shared" si="12"/>
        <v/>
      </c>
    </row>
    <row r="419" spans="1:2" hidden="1">
      <c r="A419" s="160">
        <f t="shared" si="13"/>
        <v>46075</v>
      </c>
      <c r="B419" s="44" t="str">
        <f t="shared" si="12"/>
        <v/>
      </c>
    </row>
    <row r="420" spans="1:2">
      <c r="A420" s="160">
        <f t="shared" si="13"/>
        <v>46076</v>
      </c>
      <c r="B420" s="44" t="str">
        <f t="shared" si="12"/>
        <v>天皇誕生日</v>
      </c>
    </row>
    <row r="421" spans="1:2" hidden="1">
      <c r="A421" s="160">
        <f t="shared" si="13"/>
        <v>46077</v>
      </c>
      <c r="B421" s="44" t="str">
        <f t="shared" si="12"/>
        <v/>
      </c>
    </row>
    <row r="422" spans="1:2" hidden="1">
      <c r="A422" s="160">
        <f t="shared" si="13"/>
        <v>46078</v>
      </c>
      <c r="B422" s="44" t="str">
        <f t="shared" si="12"/>
        <v/>
      </c>
    </row>
    <row r="423" spans="1:2" hidden="1">
      <c r="A423" s="160">
        <f t="shared" si="13"/>
        <v>46079</v>
      </c>
      <c r="B423" s="44" t="str">
        <f t="shared" si="12"/>
        <v/>
      </c>
    </row>
    <row r="424" spans="1:2" hidden="1">
      <c r="A424" s="160">
        <f t="shared" si="13"/>
        <v>46080</v>
      </c>
      <c r="B424" s="44" t="str">
        <f t="shared" si="12"/>
        <v/>
      </c>
    </row>
    <row r="425" spans="1:2" hidden="1">
      <c r="A425" s="160">
        <f t="shared" si="13"/>
        <v>46081</v>
      </c>
      <c r="B425" s="44" t="str">
        <f t="shared" si="12"/>
        <v/>
      </c>
    </row>
    <row r="426" spans="1:2" hidden="1">
      <c r="A426" s="160">
        <f t="shared" si="13"/>
        <v>46082</v>
      </c>
      <c r="B426" s="44" t="str">
        <f t="shared" si="12"/>
        <v/>
      </c>
    </row>
    <row r="427" spans="1:2" hidden="1">
      <c r="A427" s="160">
        <f t="shared" si="13"/>
        <v>46083</v>
      </c>
      <c r="B427" s="44" t="str">
        <f t="shared" si="12"/>
        <v/>
      </c>
    </row>
    <row r="428" spans="1:2" hidden="1">
      <c r="A428" s="160">
        <f t="shared" si="13"/>
        <v>46084</v>
      </c>
      <c r="B428" s="44" t="str">
        <f t="shared" si="12"/>
        <v/>
      </c>
    </row>
    <row r="429" spans="1:2" hidden="1">
      <c r="A429" s="160">
        <f t="shared" si="13"/>
        <v>46085</v>
      </c>
      <c r="B429" s="44" t="str">
        <f t="shared" si="12"/>
        <v/>
      </c>
    </row>
    <row r="430" spans="1:2" hidden="1">
      <c r="A430" s="160">
        <f t="shared" si="13"/>
        <v>46086</v>
      </c>
      <c r="B430" s="44" t="str">
        <f t="shared" si="12"/>
        <v/>
      </c>
    </row>
    <row r="431" spans="1:2" hidden="1">
      <c r="A431" s="160">
        <f t="shared" si="13"/>
        <v>46087</v>
      </c>
      <c r="B431" s="44" t="str">
        <f t="shared" si="12"/>
        <v/>
      </c>
    </row>
    <row r="432" spans="1:2" hidden="1">
      <c r="A432" s="160">
        <f t="shared" si="13"/>
        <v>46088</v>
      </c>
      <c r="B432" s="44" t="str">
        <f t="shared" si="12"/>
        <v/>
      </c>
    </row>
    <row r="433" spans="1:2" hidden="1">
      <c r="A433" s="160">
        <f t="shared" si="13"/>
        <v>46089</v>
      </c>
      <c r="B433" s="44" t="str">
        <f t="shared" si="12"/>
        <v/>
      </c>
    </row>
    <row r="434" spans="1:2" hidden="1">
      <c r="A434" s="160">
        <f t="shared" si="13"/>
        <v>46090</v>
      </c>
      <c r="B434" s="44" t="str">
        <f t="shared" si="12"/>
        <v/>
      </c>
    </row>
    <row r="435" spans="1:2" hidden="1">
      <c r="A435" s="160">
        <f t="shared" si="13"/>
        <v>46091</v>
      </c>
      <c r="B435" s="44" t="str">
        <f t="shared" si="12"/>
        <v/>
      </c>
    </row>
    <row r="436" spans="1:2" hidden="1">
      <c r="A436" s="160">
        <f t="shared" si="13"/>
        <v>46092</v>
      </c>
      <c r="B436" s="44" t="str">
        <f t="shared" si="12"/>
        <v/>
      </c>
    </row>
    <row r="437" spans="1:2" hidden="1">
      <c r="A437" s="160">
        <f t="shared" si="13"/>
        <v>46093</v>
      </c>
      <c r="B437" s="44" t="str">
        <f t="shared" si="12"/>
        <v/>
      </c>
    </row>
    <row r="438" spans="1:2" hidden="1">
      <c r="A438" s="160">
        <f t="shared" si="13"/>
        <v>46094</v>
      </c>
      <c r="B438" s="44" t="str">
        <f t="shared" si="12"/>
        <v/>
      </c>
    </row>
    <row r="439" spans="1:2" hidden="1">
      <c r="A439" s="160">
        <f t="shared" si="13"/>
        <v>46095</v>
      </c>
      <c r="B439" s="44" t="str">
        <f t="shared" si="12"/>
        <v/>
      </c>
    </row>
    <row r="440" spans="1:2" hidden="1">
      <c r="A440" s="160">
        <f t="shared" si="13"/>
        <v>46096</v>
      </c>
      <c r="B440" s="44" t="str">
        <f t="shared" si="12"/>
        <v/>
      </c>
    </row>
    <row r="441" spans="1:2" hidden="1">
      <c r="A441" s="160">
        <f t="shared" si="13"/>
        <v>46097</v>
      </c>
      <c r="B441" s="44" t="str">
        <f t="shared" si="12"/>
        <v/>
      </c>
    </row>
    <row r="442" spans="1:2" hidden="1">
      <c r="A442" s="160">
        <f t="shared" si="13"/>
        <v>46098</v>
      </c>
      <c r="B442" s="44" t="str">
        <f t="shared" si="12"/>
        <v/>
      </c>
    </row>
    <row r="443" spans="1:2" hidden="1">
      <c r="A443" s="160">
        <f t="shared" si="13"/>
        <v>46099</v>
      </c>
      <c r="B443" s="44" t="str">
        <f t="shared" si="12"/>
        <v/>
      </c>
    </row>
    <row r="444" spans="1:2" hidden="1">
      <c r="A444" s="160">
        <f t="shared" si="13"/>
        <v>46100</v>
      </c>
      <c r="B444" s="44" t="str">
        <f t="shared" si="12"/>
        <v/>
      </c>
    </row>
    <row r="445" spans="1:2">
      <c r="A445" s="160">
        <f t="shared" si="13"/>
        <v>46101</v>
      </c>
      <c r="B445" s="44" t="str">
        <f t="shared" si="12"/>
        <v>春分の日</v>
      </c>
    </row>
    <row r="446" spans="1:2" hidden="1">
      <c r="A446" s="160">
        <f t="shared" si="13"/>
        <v>46102</v>
      </c>
      <c r="B446" s="44" t="str">
        <f t="shared" si="12"/>
        <v/>
      </c>
    </row>
    <row r="447" spans="1:2" hidden="1">
      <c r="A447" s="160">
        <f t="shared" si="13"/>
        <v>46103</v>
      </c>
      <c r="B447" s="44" t="str">
        <f t="shared" si="12"/>
        <v/>
      </c>
    </row>
    <row r="448" spans="1:2" hidden="1">
      <c r="A448" s="160">
        <f t="shared" si="13"/>
        <v>46104</v>
      </c>
      <c r="B448" s="44" t="str">
        <f t="shared" si="12"/>
        <v/>
      </c>
    </row>
    <row r="449" spans="1:2" hidden="1">
      <c r="A449" s="160">
        <f t="shared" si="13"/>
        <v>46105</v>
      </c>
      <c r="B449" s="44" t="str">
        <f t="shared" si="12"/>
        <v/>
      </c>
    </row>
    <row r="450" spans="1:2" hidden="1">
      <c r="A450" s="160">
        <f t="shared" si="13"/>
        <v>46106</v>
      </c>
      <c r="B450" s="44" t="str">
        <f t="shared" ref="B450:B513" si="14">_xlfn.WEBSERVICE("http://api.excelapi.org/datetime/holiday?date="&amp;A450)</f>
        <v/>
      </c>
    </row>
    <row r="451" spans="1:2" hidden="1">
      <c r="A451" s="160">
        <f t="shared" ref="A451:A514" si="15">A450+1</f>
        <v>46107</v>
      </c>
      <c r="B451" s="44" t="str">
        <f t="shared" si="14"/>
        <v/>
      </c>
    </row>
    <row r="452" spans="1:2" hidden="1">
      <c r="A452" s="160">
        <f t="shared" si="15"/>
        <v>46108</v>
      </c>
      <c r="B452" s="44" t="str">
        <f t="shared" si="14"/>
        <v/>
      </c>
    </row>
    <row r="453" spans="1:2" hidden="1">
      <c r="A453" s="160">
        <f t="shared" si="15"/>
        <v>46109</v>
      </c>
      <c r="B453" s="44" t="str">
        <f t="shared" si="14"/>
        <v/>
      </c>
    </row>
    <row r="454" spans="1:2" hidden="1">
      <c r="A454" s="160">
        <f t="shared" si="15"/>
        <v>46110</v>
      </c>
      <c r="B454" s="44" t="str">
        <f t="shared" si="14"/>
        <v/>
      </c>
    </row>
    <row r="455" spans="1:2" hidden="1">
      <c r="A455" s="160">
        <f t="shared" si="15"/>
        <v>46111</v>
      </c>
      <c r="B455" s="44" t="str">
        <f t="shared" si="14"/>
        <v/>
      </c>
    </row>
    <row r="456" spans="1:2" hidden="1">
      <c r="A456" s="160">
        <f t="shared" si="15"/>
        <v>46112</v>
      </c>
      <c r="B456" s="44" t="str">
        <f t="shared" si="14"/>
        <v/>
      </c>
    </row>
    <row r="457" spans="1:2" hidden="1">
      <c r="A457" s="160">
        <f t="shared" si="15"/>
        <v>46113</v>
      </c>
      <c r="B457" s="44" t="str">
        <f t="shared" si="14"/>
        <v/>
      </c>
    </row>
    <row r="458" spans="1:2" hidden="1">
      <c r="A458" s="160">
        <f t="shared" si="15"/>
        <v>46114</v>
      </c>
      <c r="B458" s="44" t="str">
        <f t="shared" si="14"/>
        <v/>
      </c>
    </row>
    <row r="459" spans="1:2" hidden="1">
      <c r="A459" s="160">
        <f t="shared" si="15"/>
        <v>46115</v>
      </c>
      <c r="B459" s="44" t="str">
        <f t="shared" si="14"/>
        <v/>
      </c>
    </row>
    <row r="460" spans="1:2" hidden="1">
      <c r="A460" s="160">
        <f t="shared" si="15"/>
        <v>46116</v>
      </c>
      <c r="B460" s="44" t="str">
        <f t="shared" si="14"/>
        <v/>
      </c>
    </row>
    <row r="461" spans="1:2" hidden="1">
      <c r="A461" s="160">
        <f t="shared" si="15"/>
        <v>46117</v>
      </c>
      <c r="B461" s="44" t="str">
        <f t="shared" si="14"/>
        <v/>
      </c>
    </row>
    <row r="462" spans="1:2" hidden="1">
      <c r="A462" s="160">
        <f t="shared" si="15"/>
        <v>46118</v>
      </c>
      <c r="B462" s="44" t="str">
        <f t="shared" si="14"/>
        <v/>
      </c>
    </row>
    <row r="463" spans="1:2" hidden="1">
      <c r="A463" s="160">
        <f t="shared" si="15"/>
        <v>46119</v>
      </c>
      <c r="B463" s="44" t="str">
        <f t="shared" si="14"/>
        <v/>
      </c>
    </row>
    <row r="464" spans="1:2" hidden="1">
      <c r="A464" s="160">
        <f t="shared" si="15"/>
        <v>46120</v>
      </c>
      <c r="B464" s="44" t="str">
        <f t="shared" si="14"/>
        <v/>
      </c>
    </row>
    <row r="465" spans="1:2" hidden="1">
      <c r="A465" s="160">
        <f t="shared" si="15"/>
        <v>46121</v>
      </c>
      <c r="B465" s="44" t="str">
        <f t="shared" si="14"/>
        <v/>
      </c>
    </row>
    <row r="466" spans="1:2" hidden="1">
      <c r="A466" s="160">
        <f t="shared" si="15"/>
        <v>46122</v>
      </c>
      <c r="B466" s="44" t="str">
        <f t="shared" si="14"/>
        <v/>
      </c>
    </row>
    <row r="467" spans="1:2" hidden="1">
      <c r="A467" s="160">
        <f t="shared" si="15"/>
        <v>46123</v>
      </c>
      <c r="B467" s="44" t="str">
        <f t="shared" si="14"/>
        <v/>
      </c>
    </row>
    <row r="468" spans="1:2" hidden="1">
      <c r="A468" s="160">
        <f t="shared" si="15"/>
        <v>46124</v>
      </c>
      <c r="B468" s="44" t="str">
        <f t="shared" si="14"/>
        <v/>
      </c>
    </row>
    <row r="469" spans="1:2" hidden="1">
      <c r="A469" s="160">
        <f t="shared" si="15"/>
        <v>46125</v>
      </c>
      <c r="B469" s="44" t="str">
        <f t="shared" si="14"/>
        <v/>
      </c>
    </row>
    <row r="470" spans="1:2" hidden="1">
      <c r="A470" s="160">
        <f t="shared" si="15"/>
        <v>46126</v>
      </c>
      <c r="B470" s="44" t="str">
        <f t="shared" si="14"/>
        <v/>
      </c>
    </row>
    <row r="471" spans="1:2" hidden="1">
      <c r="A471" s="160">
        <f t="shared" si="15"/>
        <v>46127</v>
      </c>
      <c r="B471" s="44" t="str">
        <f t="shared" si="14"/>
        <v/>
      </c>
    </row>
    <row r="472" spans="1:2" hidden="1">
      <c r="A472" s="160">
        <f t="shared" si="15"/>
        <v>46128</v>
      </c>
      <c r="B472" s="44" t="str">
        <f t="shared" si="14"/>
        <v/>
      </c>
    </row>
    <row r="473" spans="1:2" hidden="1">
      <c r="A473" s="160">
        <f t="shared" si="15"/>
        <v>46129</v>
      </c>
      <c r="B473" s="44" t="str">
        <f t="shared" si="14"/>
        <v/>
      </c>
    </row>
    <row r="474" spans="1:2" hidden="1">
      <c r="A474" s="160">
        <f t="shared" si="15"/>
        <v>46130</v>
      </c>
      <c r="B474" s="44" t="str">
        <f t="shared" si="14"/>
        <v/>
      </c>
    </row>
    <row r="475" spans="1:2" hidden="1">
      <c r="A475" s="160">
        <f t="shared" si="15"/>
        <v>46131</v>
      </c>
      <c r="B475" s="44" t="str">
        <f t="shared" si="14"/>
        <v/>
      </c>
    </row>
    <row r="476" spans="1:2" hidden="1">
      <c r="A476" s="160">
        <f t="shared" si="15"/>
        <v>46132</v>
      </c>
      <c r="B476" s="44" t="str">
        <f t="shared" si="14"/>
        <v/>
      </c>
    </row>
    <row r="477" spans="1:2" hidden="1">
      <c r="A477" s="160">
        <f t="shared" si="15"/>
        <v>46133</v>
      </c>
      <c r="B477" s="44" t="str">
        <f t="shared" si="14"/>
        <v/>
      </c>
    </row>
    <row r="478" spans="1:2" hidden="1">
      <c r="A478" s="160">
        <f t="shared" si="15"/>
        <v>46134</v>
      </c>
      <c r="B478" s="44" t="str">
        <f t="shared" si="14"/>
        <v/>
      </c>
    </row>
    <row r="479" spans="1:2" hidden="1">
      <c r="A479" s="160">
        <f t="shared" si="15"/>
        <v>46135</v>
      </c>
      <c r="B479" s="44" t="str">
        <f t="shared" si="14"/>
        <v/>
      </c>
    </row>
    <row r="480" spans="1:2" hidden="1">
      <c r="A480" s="160">
        <f t="shared" si="15"/>
        <v>46136</v>
      </c>
      <c r="B480" s="44" t="str">
        <f t="shared" si="14"/>
        <v/>
      </c>
    </row>
    <row r="481" spans="1:2" hidden="1">
      <c r="A481" s="160">
        <f t="shared" si="15"/>
        <v>46137</v>
      </c>
      <c r="B481" s="44" t="str">
        <f t="shared" si="14"/>
        <v/>
      </c>
    </row>
    <row r="482" spans="1:2" hidden="1">
      <c r="A482" s="160">
        <f t="shared" si="15"/>
        <v>46138</v>
      </c>
      <c r="B482" s="44" t="str">
        <f t="shared" si="14"/>
        <v/>
      </c>
    </row>
    <row r="483" spans="1:2" hidden="1">
      <c r="A483" s="160">
        <f t="shared" si="15"/>
        <v>46139</v>
      </c>
      <c r="B483" s="44" t="str">
        <f t="shared" si="14"/>
        <v/>
      </c>
    </row>
    <row r="484" spans="1:2" hidden="1">
      <c r="A484" s="160">
        <f t="shared" si="15"/>
        <v>46140</v>
      </c>
      <c r="B484" s="44" t="str">
        <f t="shared" si="14"/>
        <v/>
      </c>
    </row>
    <row r="485" spans="1:2">
      <c r="A485" s="160">
        <f t="shared" si="15"/>
        <v>46141</v>
      </c>
      <c r="B485" s="44" t="str">
        <f t="shared" si="14"/>
        <v>昭和の日</v>
      </c>
    </row>
    <row r="486" spans="1:2" hidden="1">
      <c r="A486" s="160">
        <f t="shared" si="15"/>
        <v>46142</v>
      </c>
      <c r="B486" s="44" t="str">
        <f t="shared" si="14"/>
        <v/>
      </c>
    </row>
    <row r="487" spans="1:2" hidden="1">
      <c r="A487" s="160">
        <f t="shared" si="15"/>
        <v>46143</v>
      </c>
      <c r="B487" s="44" t="str">
        <f t="shared" si="14"/>
        <v/>
      </c>
    </row>
    <row r="488" spans="1:2" hidden="1">
      <c r="A488" s="160">
        <f t="shared" si="15"/>
        <v>46144</v>
      </c>
      <c r="B488" s="44" t="str">
        <f t="shared" si="14"/>
        <v/>
      </c>
    </row>
    <row r="489" spans="1:2">
      <c r="A489" s="160">
        <f t="shared" si="15"/>
        <v>46145</v>
      </c>
      <c r="B489" s="44" t="str">
        <f t="shared" si="14"/>
        <v>憲法記念日</v>
      </c>
    </row>
    <row r="490" spans="1:2">
      <c r="A490" s="160">
        <f t="shared" si="15"/>
        <v>46146</v>
      </c>
      <c r="B490" s="44" t="str">
        <f t="shared" si="14"/>
        <v>みどりの日</v>
      </c>
    </row>
    <row r="491" spans="1:2">
      <c r="A491" s="160">
        <f t="shared" si="15"/>
        <v>46147</v>
      </c>
      <c r="B491" s="44" t="str">
        <f t="shared" si="14"/>
        <v>こどもの日</v>
      </c>
    </row>
    <row r="492" spans="1:2">
      <c r="A492" s="160">
        <f t="shared" si="15"/>
        <v>46148</v>
      </c>
      <c r="B492" s="44" t="str">
        <f t="shared" si="14"/>
        <v>振替休日</v>
      </c>
    </row>
    <row r="493" spans="1:2" hidden="1">
      <c r="A493" s="160">
        <f t="shared" si="15"/>
        <v>46149</v>
      </c>
      <c r="B493" s="44" t="str">
        <f t="shared" si="14"/>
        <v/>
      </c>
    </row>
    <row r="494" spans="1:2" hidden="1">
      <c r="A494" s="160">
        <f t="shared" si="15"/>
        <v>46150</v>
      </c>
      <c r="B494" s="44" t="str">
        <f t="shared" si="14"/>
        <v/>
      </c>
    </row>
    <row r="495" spans="1:2" hidden="1">
      <c r="A495" s="160">
        <f t="shared" si="15"/>
        <v>46151</v>
      </c>
      <c r="B495" s="44" t="str">
        <f t="shared" si="14"/>
        <v/>
      </c>
    </row>
    <row r="496" spans="1:2" hidden="1">
      <c r="A496" s="160">
        <f t="shared" si="15"/>
        <v>46152</v>
      </c>
      <c r="B496" s="44" t="str">
        <f t="shared" si="14"/>
        <v/>
      </c>
    </row>
    <row r="497" spans="1:2" hidden="1">
      <c r="A497" s="160">
        <f t="shared" si="15"/>
        <v>46153</v>
      </c>
      <c r="B497" s="44" t="str">
        <f t="shared" si="14"/>
        <v/>
      </c>
    </row>
    <row r="498" spans="1:2" hidden="1">
      <c r="A498" s="160">
        <f t="shared" si="15"/>
        <v>46154</v>
      </c>
      <c r="B498" s="44" t="str">
        <f t="shared" si="14"/>
        <v/>
      </c>
    </row>
    <row r="499" spans="1:2" hidden="1">
      <c r="A499" s="160">
        <f t="shared" si="15"/>
        <v>46155</v>
      </c>
      <c r="B499" s="44" t="str">
        <f t="shared" si="14"/>
        <v/>
      </c>
    </row>
    <row r="500" spans="1:2" hidden="1">
      <c r="A500" s="160">
        <f t="shared" si="15"/>
        <v>46156</v>
      </c>
      <c r="B500" s="44" t="str">
        <f t="shared" si="14"/>
        <v/>
      </c>
    </row>
    <row r="501" spans="1:2" hidden="1">
      <c r="A501" s="160">
        <f t="shared" si="15"/>
        <v>46157</v>
      </c>
      <c r="B501" s="44" t="str">
        <f t="shared" si="14"/>
        <v/>
      </c>
    </row>
    <row r="502" spans="1:2" hidden="1">
      <c r="A502" s="160">
        <f t="shared" si="15"/>
        <v>46158</v>
      </c>
      <c r="B502" s="44" t="str">
        <f t="shared" si="14"/>
        <v/>
      </c>
    </row>
    <row r="503" spans="1:2" hidden="1">
      <c r="A503" s="160">
        <f t="shared" si="15"/>
        <v>46159</v>
      </c>
      <c r="B503" s="44" t="str">
        <f t="shared" si="14"/>
        <v/>
      </c>
    </row>
    <row r="504" spans="1:2" hidden="1">
      <c r="A504" s="160">
        <f t="shared" si="15"/>
        <v>46160</v>
      </c>
      <c r="B504" s="44" t="str">
        <f t="shared" si="14"/>
        <v/>
      </c>
    </row>
    <row r="505" spans="1:2" hidden="1">
      <c r="A505" s="160">
        <f t="shared" si="15"/>
        <v>46161</v>
      </c>
      <c r="B505" s="44" t="str">
        <f t="shared" si="14"/>
        <v/>
      </c>
    </row>
    <row r="506" spans="1:2" hidden="1">
      <c r="A506" s="160">
        <f t="shared" si="15"/>
        <v>46162</v>
      </c>
      <c r="B506" s="44" t="str">
        <f t="shared" si="14"/>
        <v/>
      </c>
    </row>
    <row r="507" spans="1:2" hidden="1">
      <c r="A507" s="160">
        <f t="shared" si="15"/>
        <v>46163</v>
      </c>
      <c r="B507" s="44" t="str">
        <f t="shared" si="14"/>
        <v/>
      </c>
    </row>
    <row r="508" spans="1:2" hidden="1">
      <c r="A508" s="160">
        <f t="shared" si="15"/>
        <v>46164</v>
      </c>
      <c r="B508" s="44" t="str">
        <f t="shared" si="14"/>
        <v/>
      </c>
    </row>
    <row r="509" spans="1:2" hidden="1">
      <c r="A509" s="160">
        <f t="shared" si="15"/>
        <v>46165</v>
      </c>
      <c r="B509" s="44" t="str">
        <f t="shared" si="14"/>
        <v/>
      </c>
    </row>
    <row r="510" spans="1:2" hidden="1">
      <c r="A510" s="160">
        <f t="shared" si="15"/>
        <v>46166</v>
      </c>
      <c r="B510" s="44" t="str">
        <f t="shared" si="14"/>
        <v/>
      </c>
    </row>
    <row r="511" spans="1:2" hidden="1">
      <c r="A511" s="160">
        <f t="shared" si="15"/>
        <v>46167</v>
      </c>
      <c r="B511" s="44" t="str">
        <f t="shared" si="14"/>
        <v/>
      </c>
    </row>
    <row r="512" spans="1:2" hidden="1">
      <c r="A512" s="160">
        <f t="shared" si="15"/>
        <v>46168</v>
      </c>
      <c r="B512" s="44" t="str">
        <f t="shared" si="14"/>
        <v/>
      </c>
    </row>
    <row r="513" spans="1:2" hidden="1">
      <c r="A513" s="160">
        <f t="shared" si="15"/>
        <v>46169</v>
      </c>
      <c r="B513" s="44" t="str">
        <f t="shared" si="14"/>
        <v/>
      </c>
    </row>
    <row r="514" spans="1:2" hidden="1">
      <c r="A514" s="160">
        <f t="shared" si="15"/>
        <v>46170</v>
      </c>
      <c r="B514" s="44" t="str">
        <f t="shared" ref="B514:B577" si="16">_xlfn.WEBSERVICE("http://api.excelapi.org/datetime/holiday?date="&amp;A514)</f>
        <v/>
      </c>
    </row>
    <row r="515" spans="1:2" hidden="1">
      <c r="A515" s="160">
        <f t="shared" ref="A515:A578" si="17">A514+1</f>
        <v>46171</v>
      </c>
      <c r="B515" s="44" t="str">
        <f t="shared" si="16"/>
        <v/>
      </c>
    </row>
    <row r="516" spans="1:2" hidden="1">
      <c r="A516" s="160">
        <f t="shared" si="17"/>
        <v>46172</v>
      </c>
      <c r="B516" s="44" t="str">
        <f t="shared" si="16"/>
        <v/>
      </c>
    </row>
    <row r="517" spans="1:2" hidden="1">
      <c r="A517" s="160">
        <f t="shared" si="17"/>
        <v>46173</v>
      </c>
      <c r="B517" s="44" t="str">
        <f t="shared" si="16"/>
        <v/>
      </c>
    </row>
    <row r="518" spans="1:2" hidden="1">
      <c r="A518" s="160">
        <f t="shared" si="17"/>
        <v>46174</v>
      </c>
      <c r="B518" s="44" t="str">
        <f t="shared" si="16"/>
        <v/>
      </c>
    </row>
    <row r="519" spans="1:2" hidden="1">
      <c r="A519" s="160">
        <f t="shared" si="17"/>
        <v>46175</v>
      </c>
      <c r="B519" s="44" t="str">
        <f t="shared" si="16"/>
        <v/>
      </c>
    </row>
    <row r="520" spans="1:2" hidden="1">
      <c r="A520" s="160">
        <f t="shared" si="17"/>
        <v>46176</v>
      </c>
      <c r="B520" s="44" t="str">
        <f t="shared" si="16"/>
        <v/>
      </c>
    </row>
    <row r="521" spans="1:2" hidden="1">
      <c r="A521" s="160">
        <f t="shared" si="17"/>
        <v>46177</v>
      </c>
      <c r="B521" s="44" t="str">
        <f t="shared" si="16"/>
        <v/>
      </c>
    </row>
    <row r="522" spans="1:2" hidden="1">
      <c r="A522" s="160">
        <f t="shared" si="17"/>
        <v>46178</v>
      </c>
      <c r="B522" s="44" t="str">
        <f t="shared" si="16"/>
        <v/>
      </c>
    </row>
    <row r="523" spans="1:2" hidden="1">
      <c r="A523" s="160">
        <f t="shared" si="17"/>
        <v>46179</v>
      </c>
      <c r="B523" s="44" t="str">
        <f t="shared" si="16"/>
        <v/>
      </c>
    </row>
    <row r="524" spans="1:2" hidden="1">
      <c r="A524" s="160">
        <f t="shared" si="17"/>
        <v>46180</v>
      </c>
      <c r="B524" s="44" t="str">
        <f t="shared" si="16"/>
        <v/>
      </c>
    </row>
    <row r="525" spans="1:2" hidden="1">
      <c r="A525" s="160">
        <f t="shared" si="17"/>
        <v>46181</v>
      </c>
      <c r="B525" s="44" t="str">
        <f t="shared" si="16"/>
        <v/>
      </c>
    </row>
    <row r="526" spans="1:2" hidden="1">
      <c r="A526" s="160">
        <f t="shared" si="17"/>
        <v>46182</v>
      </c>
      <c r="B526" s="44" t="str">
        <f t="shared" si="16"/>
        <v/>
      </c>
    </row>
    <row r="527" spans="1:2" hidden="1">
      <c r="A527" s="160">
        <f t="shared" si="17"/>
        <v>46183</v>
      </c>
      <c r="B527" s="44" t="str">
        <f t="shared" si="16"/>
        <v/>
      </c>
    </row>
    <row r="528" spans="1:2" hidden="1">
      <c r="A528" s="160">
        <f t="shared" si="17"/>
        <v>46184</v>
      </c>
      <c r="B528" s="44" t="str">
        <f t="shared" si="16"/>
        <v/>
      </c>
    </row>
    <row r="529" spans="1:2" hidden="1">
      <c r="A529" s="160">
        <f t="shared" si="17"/>
        <v>46185</v>
      </c>
      <c r="B529" s="44" t="str">
        <f t="shared" si="16"/>
        <v/>
      </c>
    </row>
    <row r="530" spans="1:2" hidden="1">
      <c r="A530" s="160">
        <f t="shared" si="17"/>
        <v>46186</v>
      </c>
      <c r="B530" s="44" t="str">
        <f t="shared" si="16"/>
        <v/>
      </c>
    </row>
    <row r="531" spans="1:2" hidden="1">
      <c r="A531" s="160">
        <f t="shared" si="17"/>
        <v>46187</v>
      </c>
      <c r="B531" s="44" t="str">
        <f t="shared" si="16"/>
        <v/>
      </c>
    </row>
    <row r="532" spans="1:2" hidden="1">
      <c r="A532" s="160">
        <f t="shared" si="17"/>
        <v>46188</v>
      </c>
      <c r="B532" s="44" t="str">
        <f t="shared" si="16"/>
        <v/>
      </c>
    </row>
    <row r="533" spans="1:2" hidden="1">
      <c r="A533" s="160">
        <f t="shared" si="17"/>
        <v>46189</v>
      </c>
      <c r="B533" s="44" t="str">
        <f t="shared" si="16"/>
        <v/>
      </c>
    </row>
    <row r="534" spans="1:2" hidden="1">
      <c r="A534" s="160">
        <f t="shared" si="17"/>
        <v>46190</v>
      </c>
      <c r="B534" s="44" t="str">
        <f t="shared" si="16"/>
        <v/>
      </c>
    </row>
    <row r="535" spans="1:2" hidden="1">
      <c r="A535" s="160">
        <f t="shared" si="17"/>
        <v>46191</v>
      </c>
      <c r="B535" s="44" t="str">
        <f t="shared" si="16"/>
        <v/>
      </c>
    </row>
    <row r="536" spans="1:2" hidden="1">
      <c r="A536" s="160">
        <f t="shared" si="17"/>
        <v>46192</v>
      </c>
      <c r="B536" s="44" t="str">
        <f t="shared" si="16"/>
        <v/>
      </c>
    </row>
    <row r="537" spans="1:2" hidden="1">
      <c r="A537" s="160">
        <f t="shared" si="17"/>
        <v>46193</v>
      </c>
      <c r="B537" s="44" t="str">
        <f t="shared" si="16"/>
        <v/>
      </c>
    </row>
    <row r="538" spans="1:2" hidden="1">
      <c r="A538" s="160">
        <f t="shared" si="17"/>
        <v>46194</v>
      </c>
      <c r="B538" s="44" t="str">
        <f t="shared" si="16"/>
        <v/>
      </c>
    </row>
    <row r="539" spans="1:2" hidden="1">
      <c r="A539" s="160">
        <f t="shared" si="17"/>
        <v>46195</v>
      </c>
      <c r="B539" s="44" t="str">
        <f t="shared" si="16"/>
        <v/>
      </c>
    </row>
    <row r="540" spans="1:2" hidden="1">
      <c r="A540" s="160">
        <f t="shared" si="17"/>
        <v>46196</v>
      </c>
      <c r="B540" s="44" t="str">
        <f t="shared" si="16"/>
        <v/>
      </c>
    </row>
    <row r="541" spans="1:2" hidden="1">
      <c r="A541" s="160">
        <f t="shared" si="17"/>
        <v>46197</v>
      </c>
      <c r="B541" s="44" t="str">
        <f t="shared" si="16"/>
        <v/>
      </c>
    </row>
    <row r="542" spans="1:2" hidden="1">
      <c r="A542" s="160">
        <f t="shared" si="17"/>
        <v>46198</v>
      </c>
      <c r="B542" s="44" t="str">
        <f t="shared" si="16"/>
        <v/>
      </c>
    </row>
    <row r="543" spans="1:2" hidden="1">
      <c r="A543" s="160">
        <f t="shared" si="17"/>
        <v>46199</v>
      </c>
      <c r="B543" s="44" t="str">
        <f t="shared" si="16"/>
        <v/>
      </c>
    </row>
    <row r="544" spans="1:2" hidden="1">
      <c r="A544" s="160">
        <f t="shared" si="17"/>
        <v>46200</v>
      </c>
      <c r="B544" s="44" t="str">
        <f t="shared" si="16"/>
        <v/>
      </c>
    </row>
    <row r="545" spans="1:2" hidden="1">
      <c r="A545" s="160">
        <f t="shared" si="17"/>
        <v>46201</v>
      </c>
      <c r="B545" s="44" t="str">
        <f t="shared" si="16"/>
        <v/>
      </c>
    </row>
    <row r="546" spans="1:2" hidden="1">
      <c r="A546" s="160">
        <f t="shared" si="17"/>
        <v>46202</v>
      </c>
      <c r="B546" s="44" t="str">
        <f t="shared" si="16"/>
        <v/>
      </c>
    </row>
    <row r="547" spans="1:2" hidden="1">
      <c r="A547" s="160">
        <f t="shared" si="17"/>
        <v>46203</v>
      </c>
      <c r="B547" s="44" t="str">
        <f t="shared" si="16"/>
        <v/>
      </c>
    </row>
    <row r="548" spans="1:2" hidden="1">
      <c r="A548" s="160">
        <f t="shared" si="17"/>
        <v>46204</v>
      </c>
      <c r="B548" s="44" t="str">
        <f t="shared" si="16"/>
        <v/>
      </c>
    </row>
    <row r="549" spans="1:2" hidden="1">
      <c r="A549" s="160">
        <f t="shared" si="17"/>
        <v>46205</v>
      </c>
      <c r="B549" s="44" t="str">
        <f t="shared" si="16"/>
        <v/>
      </c>
    </row>
    <row r="550" spans="1:2" hidden="1">
      <c r="A550" s="160">
        <f t="shared" si="17"/>
        <v>46206</v>
      </c>
      <c r="B550" s="44" t="str">
        <f t="shared" si="16"/>
        <v/>
      </c>
    </row>
    <row r="551" spans="1:2" hidden="1">
      <c r="A551" s="160">
        <f t="shared" si="17"/>
        <v>46207</v>
      </c>
      <c r="B551" s="44" t="str">
        <f t="shared" si="16"/>
        <v/>
      </c>
    </row>
    <row r="552" spans="1:2" hidden="1">
      <c r="A552" s="160">
        <f t="shared" si="17"/>
        <v>46208</v>
      </c>
      <c r="B552" s="44" t="str">
        <f t="shared" si="16"/>
        <v/>
      </c>
    </row>
    <row r="553" spans="1:2" hidden="1">
      <c r="A553" s="160">
        <f t="shared" si="17"/>
        <v>46209</v>
      </c>
      <c r="B553" s="44" t="str">
        <f t="shared" si="16"/>
        <v/>
      </c>
    </row>
    <row r="554" spans="1:2" hidden="1">
      <c r="A554" s="160">
        <f t="shared" si="17"/>
        <v>46210</v>
      </c>
      <c r="B554" s="44" t="str">
        <f t="shared" si="16"/>
        <v/>
      </c>
    </row>
    <row r="555" spans="1:2" hidden="1">
      <c r="A555" s="160">
        <f t="shared" si="17"/>
        <v>46211</v>
      </c>
      <c r="B555" s="44" t="str">
        <f t="shared" si="16"/>
        <v/>
      </c>
    </row>
    <row r="556" spans="1:2" hidden="1">
      <c r="A556" s="160">
        <f t="shared" si="17"/>
        <v>46212</v>
      </c>
      <c r="B556" s="44" t="str">
        <f t="shared" si="16"/>
        <v/>
      </c>
    </row>
    <row r="557" spans="1:2" hidden="1">
      <c r="A557" s="160">
        <f t="shared" si="17"/>
        <v>46213</v>
      </c>
      <c r="B557" s="44" t="str">
        <f t="shared" si="16"/>
        <v/>
      </c>
    </row>
    <row r="558" spans="1:2" hidden="1">
      <c r="A558" s="160">
        <f t="shared" si="17"/>
        <v>46214</v>
      </c>
      <c r="B558" s="44" t="str">
        <f t="shared" si="16"/>
        <v/>
      </c>
    </row>
    <row r="559" spans="1:2" hidden="1">
      <c r="A559" s="160">
        <f t="shared" si="17"/>
        <v>46215</v>
      </c>
      <c r="B559" s="44" t="str">
        <f t="shared" si="16"/>
        <v/>
      </c>
    </row>
    <row r="560" spans="1:2" hidden="1">
      <c r="A560" s="160">
        <f t="shared" si="17"/>
        <v>46216</v>
      </c>
      <c r="B560" s="44" t="str">
        <f t="shared" si="16"/>
        <v/>
      </c>
    </row>
    <row r="561" spans="1:2" hidden="1">
      <c r="A561" s="160">
        <f t="shared" si="17"/>
        <v>46217</v>
      </c>
      <c r="B561" s="44" t="str">
        <f t="shared" si="16"/>
        <v/>
      </c>
    </row>
    <row r="562" spans="1:2" hidden="1">
      <c r="A562" s="160">
        <f t="shared" si="17"/>
        <v>46218</v>
      </c>
      <c r="B562" s="44" t="str">
        <f t="shared" si="16"/>
        <v/>
      </c>
    </row>
    <row r="563" spans="1:2" hidden="1">
      <c r="A563" s="160">
        <f t="shared" si="17"/>
        <v>46219</v>
      </c>
      <c r="B563" s="44" t="str">
        <f t="shared" si="16"/>
        <v/>
      </c>
    </row>
    <row r="564" spans="1:2" hidden="1">
      <c r="A564" s="160">
        <f t="shared" si="17"/>
        <v>46220</v>
      </c>
      <c r="B564" s="44" t="str">
        <f t="shared" si="16"/>
        <v/>
      </c>
    </row>
    <row r="565" spans="1:2" hidden="1">
      <c r="A565" s="160">
        <f t="shared" si="17"/>
        <v>46221</v>
      </c>
      <c r="B565" s="44" t="str">
        <f t="shared" si="16"/>
        <v/>
      </c>
    </row>
    <row r="566" spans="1:2" hidden="1">
      <c r="A566" s="160">
        <f t="shared" si="17"/>
        <v>46222</v>
      </c>
      <c r="B566" s="44" t="str">
        <f t="shared" si="16"/>
        <v/>
      </c>
    </row>
    <row r="567" spans="1:2">
      <c r="A567" s="160">
        <f t="shared" si="17"/>
        <v>46223</v>
      </c>
      <c r="B567" s="44" t="str">
        <f t="shared" si="16"/>
        <v>海の日</v>
      </c>
    </row>
    <row r="568" spans="1:2" hidden="1">
      <c r="A568" s="160">
        <f t="shared" si="17"/>
        <v>46224</v>
      </c>
      <c r="B568" s="44" t="str">
        <f t="shared" si="16"/>
        <v/>
      </c>
    </row>
    <row r="569" spans="1:2" hidden="1">
      <c r="A569" s="160">
        <f t="shared" si="17"/>
        <v>46225</v>
      </c>
      <c r="B569" s="44" t="str">
        <f t="shared" si="16"/>
        <v/>
      </c>
    </row>
    <row r="570" spans="1:2" hidden="1">
      <c r="A570" s="160">
        <f t="shared" si="17"/>
        <v>46226</v>
      </c>
      <c r="B570" s="44" t="str">
        <f t="shared" si="16"/>
        <v/>
      </c>
    </row>
    <row r="571" spans="1:2" hidden="1">
      <c r="A571" s="160">
        <f t="shared" si="17"/>
        <v>46227</v>
      </c>
      <c r="B571" s="44" t="str">
        <f t="shared" si="16"/>
        <v/>
      </c>
    </row>
    <row r="572" spans="1:2" hidden="1">
      <c r="A572" s="160">
        <f t="shared" si="17"/>
        <v>46228</v>
      </c>
      <c r="B572" s="44" t="str">
        <f t="shared" si="16"/>
        <v/>
      </c>
    </row>
    <row r="573" spans="1:2" hidden="1">
      <c r="A573" s="160">
        <f t="shared" si="17"/>
        <v>46229</v>
      </c>
      <c r="B573" s="44" t="str">
        <f t="shared" si="16"/>
        <v/>
      </c>
    </row>
    <row r="574" spans="1:2" hidden="1">
      <c r="A574" s="160">
        <f t="shared" si="17"/>
        <v>46230</v>
      </c>
      <c r="B574" s="44" t="str">
        <f t="shared" si="16"/>
        <v/>
      </c>
    </row>
    <row r="575" spans="1:2" hidden="1">
      <c r="A575" s="160">
        <f t="shared" si="17"/>
        <v>46231</v>
      </c>
      <c r="B575" s="44" t="str">
        <f t="shared" si="16"/>
        <v/>
      </c>
    </row>
    <row r="576" spans="1:2" hidden="1">
      <c r="A576" s="160">
        <f t="shared" si="17"/>
        <v>46232</v>
      </c>
      <c r="B576" s="44" t="str">
        <f t="shared" si="16"/>
        <v/>
      </c>
    </row>
    <row r="577" spans="1:2" hidden="1">
      <c r="A577" s="160">
        <f t="shared" si="17"/>
        <v>46233</v>
      </c>
      <c r="B577" s="44" t="str">
        <f t="shared" si="16"/>
        <v/>
      </c>
    </row>
    <row r="578" spans="1:2" hidden="1">
      <c r="A578" s="160">
        <f t="shared" si="17"/>
        <v>46234</v>
      </c>
      <c r="B578" s="44" t="str">
        <f t="shared" ref="B578:B641" si="18">_xlfn.WEBSERVICE("http://api.excelapi.org/datetime/holiday?date="&amp;A578)</f>
        <v/>
      </c>
    </row>
    <row r="579" spans="1:2" hidden="1">
      <c r="A579" s="160">
        <f t="shared" ref="A579:A642" si="19">A578+1</f>
        <v>46235</v>
      </c>
      <c r="B579" s="44" t="str">
        <f t="shared" si="18"/>
        <v/>
      </c>
    </row>
    <row r="580" spans="1:2" hidden="1">
      <c r="A580" s="160">
        <f t="shared" si="19"/>
        <v>46236</v>
      </c>
      <c r="B580" s="44" t="str">
        <f t="shared" si="18"/>
        <v/>
      </c>
    </row>
    <row r="581" spans="1:2" hidden="1">
      <c r="A581" s="160">
        <f t="shared" si="19"/>
        <v>46237</v>
      </c>
      <c r="B581" s="44" t="str">
        <f t="shared" si="18"/>
        <v/>
      </c>
    </row>
    <row r="582" spans="1:2" hidden="1">
      <c r="A582" s="160">
        <f t="shared" si="19"/>
        <v>46238</v>
      </c>
      <c r="B582" s="44" t="str">
        <f t="shared" si="18"/>
        <v/>
      </c>
    </row>
    <row r="583" spans="1:2" hidden="1">
      <c r="A583" s="160">
        <f t="shared" si="19"/>
        <v>46239</v>
      </c>
      <c r="B583" s="44" t="str">
        <f t="shared" si="18"/>
        <v/>
      </c>
    </row>
    <row r="584" spans="1:2" hidden="1">
      <c r="A584" s="160">
        <f t="shared" si="19"/>
        <v>46240</v>
      </c>
      <c r="B584" s="44" t="str">
        <f t="shared" si="18"/>
        <v/>
      </c>
    </row>
    <row r="585" spans="1:2" hidden="1">
      <c r="A585" s="160">
        <f t="shared" si="19"/>
        <v>46241</v>
      </c>
      <c r="B585" s="44" t="str">
        <f t="shared" si="18"/>
        <v/>
      </c>
    </row>
    <row r="586" spans="1:2" hidden="1">
      <c r="A586" s="160">
        <f t="shared" si="19"/>
        <v>46242</v>
      </c>
      <c r="B586" s="44" t="str">
        <f t="shared" si="18"/>
        <v/>
      </c>
    </row>
    <row r="587" spans="1:2" hidden="1">
      <c r="A587" s="160">
        <f t="shared" si="19"/>
        <v>46243</v>
      </c>
      <c r="B587" s="44" t="str">
        <f t="shared" si="18"/>
        <v/>
      </c>
    </row>
    <row r="588" spans="1:2" hidden="1">
      <c r="A588" s="160">
        <f t="shared" si="19"/>
        <v>46244</v>
      </c>
      <c r="B588" s="44" t="str">
        <f t="shared" si="18"/>
        <v/>
      </c>
    </row>
    <row r="589" spans="1:2">
      <c r="A589" s="160">
        <f t="shared" si="19"/>
        <v>46245</v>
      </c>
      <c r="B589" s="44" t="str">
        <f t="shared" si="18"/>
        <v>山の日</v>
      </c>
    </row>
    <row r="590" spans="1:2" hidden="1">
      <c r="A590" s="160">
        <f t="shared" si="19"/>
        <v>46246</v>
      </c>
      <c r="B590" s="44" t="str">
        <f t="shared" si="18"/>
        <v/>
      </c>
    </row>
    <row r="591" spans="1:2" hidden="1">
      <c r="A591" s="160">
        <f t="shared" si="19"/>
        <v>46247</v>
      </c>
      <c r="B591" s="44" t="str">
        <f t="shared" si="18"/>
        <v/>
      </c>
    </row>
    <row r="592" spans="1:2" hidden="1">
      <c r="A592" s="160">
        <f t="shared" si="19"/>
        <v>46248</v>
      </c>
      <c r="B592" s="44" t="str">
        <f t="shared" si="18"/>
        <v/>
      </c>
    </row>
    <row r="593" spans="1:2" hidden="1">
      <c r="A593" s="160">
        <f t="shared" si="19"/>
        <v>46249</v>
      </c>
      <c r="B593" s="44" t="str">
        <f t="shared" si="18"/>
        <v/>
      </c>
    </row>
    <row r="594" spans="1:2" hidden="1">
      <c r="A594" s="160">
        <f t="shared" si="19"/>
        <v>46250</v>
      </c>
      <c r="B594" s="44" t="str">
        <f t="shared" si="18"/>
        <v/>
      </c>
    </row>
    <row r="595" spans="1:2" hidden="1">
      <c r="A595" s="160">
        <f t="shared" si="19"/>
        <v>46251</v>
      </c>
      <c r="B595" s="44" t="str">
        <f t="shared" si="18"/>
        <v/>
      </c>
    </row>
    <row r="596" spans="1:2" hidden="1">
      <c r="A596" s="160">
        <f t="shared" si="19"/>
        <v>46252</v>
      </c>
      <c r="B596" s="44" t="str">
        <f t="shared" si="18"/>
        <v/>
      </c>
    </row>
    <row r="597" spans="1:2" hidden="1">
      <c r="A597" s="160">
        <f t="shared" si="19"/>
        <v>46253</v>
      </c>
      <c r="B597" s="44" t="str">
        <f t="shared" si="18"/>
        <v/>
      </c>
    </row>
    <row r="598" spans="1:2" hidden="1">
      <c r="A598" s="160">
        <f t="shared" si="19"/>
        <v>46254</v>
      </c>
      <c r="B598" s="44" t="str">
        <f t="shared" si="18"/>
        <v/>
      </c>
    </row>
    <row r="599" spans="1:2" hidden="1">
      <c r="A599" s="160">
        <f t="shared" si="19"/>
        <v>46255</v>
      </c>
      <c r="B599" s="44" t="str">
        <f t="shared" si="18"/>
        <v/>
      </c>
    </row>
    <row r="600" spans="1:2" hidden="1">
      <c r="A600" s="160">
        <f t="shared" si="19"/>
        <v>46256</v>
      </c>
      <c r="B600" s="44" t="str">
        <f t="shared" si="18"/>
        <v/>
      </c>
    </row>
    <row r="601" spans="1:2" hidden="1">
      <c r="A601" s="160">
        <f t="shared" si="19"/>
        <v>46257</v>
      </c>
      <c r="B601" s="44" t="str">
        <f t="shared" si="18"/>
        <v/>
      </c>
    </row>
    <row r="602" spans="1:2" hidden="1">
      <c r="A602" s="160">
        <f t="shared" si="19"/>
        <v>46258</v>
      </c>
      <c r="B602" s="44" t="str">
        <f t="shared" si="18"/>
        <v/>
      </c>
    </row>
    <row r="603" spans="1:2" hidden="1">
      <c r="A603" s="160">
        <f t="shared" si="19"/>
        <v>46259</v>
      </c>
      <c r="B603" s="44" t="str">
        <f t="shared" si="18"/>
        <v/>
      </c>
    </row>
    <row r="604" spans="1:2" hidden="1">
      <c r="A604" s="160">
        <f t="shared" si="19"/>
        <v>46260</v>
      </c>
      <c r="B604" s="44" t="str">
        <f t="shared" si="18"/>
        <v/>
      </c>
    </row>
    <row r="605" spans="1:2" hidden="1">
      <c r="A605" s="160">
        <f t="shared" si="19"/>
        <v>46261</v>
      </c>
      <c r="B605" s="44" t="str">
        <f t="shared" si="18"/>
        <v/>
      </c>
    </row>
    <row r="606" spans="1:2" hidden="1">
      <c r="A606" s="160">
        <f t="shared" si="19"/>
        <v>46262</v>
      </c>
      <c r="B606" s="44" t="str">
        <f t="shared" si="18"/>
        <v/>
      </c>
    </row>
    <row r="607" spans="1:2" hidden="1">
      <c r="A607" s="160">
        <f t="shared" si="19"/>
        <v>46263</v>
      </c>
      <c r="B607" s="44" t="str">
        <f t="shared" si="18"/>
        <v/>
      </c>
    </row>
    <row r="608" spans="1:2" hidden="1">
      <c r="A608" s="160">
        <f t="shared" si="19"/>
        <v>46264</v>
      </c>
      <c r="B608" s="44" t="str">
        <f t="shared" si="18"/>
        <v/>
      </c>
    </row>
    <row r="609" spans="1:2" hidden="1">
      <c r="A609" s="160">
        <f t="shared" si="19"/>
        <v>46265</v>
      </c>
      <c r="B609" s="44" t="str">
        <f t="shared" si="18"/>
        <v/>
      </c>
    </row>
    <row r="610" spans="1:2" hidden="1">
      <c r="A610" s="160">
        <f t="shared" si="19"/>
        <v>46266</v>
      </c>
      <c r="B610" s="44" t="str">
        <f t="shared" si="18"/>
        <v/>
      </c>
    </row>
    <row r="611" spans="1:2" hidden="1">
      <c r="A611" s="160">
        <f t="shared" si="19"/>
        <v>46267</v>
      </c>
      <c r="B611" s="44" t="str">
        <f t="shared" si="18"/>
        <v/>
      </c>
    </row>
    <row r="612" spans="1:2" hidden="1">
      <c r="A612" s="160">
        <f t="shared" si="19"/>
        <v>46268</v>
      </c>
      <c r="B612" s="44" t="str">
        <f t="shared" si="18"/>
        <v/>
      </c>
    </row>
    <row r="613" spans="1:2" hidden="1">
      <c r="A613" s="160">
        <f t="shared" si="19"/>
        <v>46269</v>
      </c>
      <c r="B613" s="44" t="str">
        <f t="shared" si="18"/>
        <v/>
      </c>
    </row>
    <row r="614" spans="1:2" hidden="1">
      <c r="A614" s="160">
        <f t="shared" si="19"/>
        <v>46270</v>
      </c>
      <c r="B614" s="44" t="str">
        <f t="shared" si="18"/>
        <v/>
      </c>
    </row>
    <row r="615" spans="1:2" hidden="1">
      <c r="A615" s="160">
        <f t="shared" si="19"/>
        <v>46271</v>
      </c>
      <c r="B615" s="44" t="str">
        <f t="shared" si="18"/>
        <v/>
      </c>
    </row>
    <row r="616" spans="1:2" hidden="1">
      <c r="A616" s="160">
        <f t="shared" si="19"/>
        <v>46272</v>
      </c>
      <c r="B616" s="44" t="str">
        <f t="shared" si="18"/>
        <v/>
      </c>
    </row>
    <row r="617" spans="1:2" hidden="1">
      <c r="A617" s="160">
        <f t="shared" si="19"/>
        <v>46273</v>
      </c>
      <c r="B617" s="44" t="str">
        <f t="shared" si="18"/>
        <v/>
      </c>
    </row>
    <row r="618" spans="1:2" hidden="1">
      <c r="A618" s="160">
        <f t="shared" si="19"/>
        <v>46274</v>
      </c>
      <c r="B618" s="44" t="str">
        <f t="shared" si="18"/>
        <v/>
      </c>
    </row>
    <row r="619" spans="1:2" hidden="1">
      <c r="A619" s="160">
        <f t="shared" si="19"/>
        <v>46275</v>
      </c>
      <c r="B619" s="44" t="str">
        <f t="shared" si="18"/>
        <v/>
      </c>
    </row>
    <row r="620" spans="1:2" hidden="1">
      <c r="A620" s="160">
        <f t="shared" si="19"/>
        <v>46276</v>
      </c>
      <c r="B620" s="44" t="str">
        <f t="shared" si="18"/>
        <v/>
      </c>
    </row>
    <row r="621" spans="1:2" hidden="1">
      <c r="A621" s="160">
        <f t="shared" si="19"/>
        <v>46277</v>
      </c>
      <c r="B621" s="44" t="str">
        <f t="shared" si="18"/>
        <v/>
      </c>
    </row>
    <row r="622" spans="1:2" hidden="1">
      <c r="A622" s="160">
        <f t="shared" si="19"/>
        <v>46278</v>
      </c>
      <c r="B622" s="44" t="str">
        <f t="shared" si="18"/>
        <v/>
      </c>
    </row>
    <row r="623" spans="1:2" hidden="1">
      <c r="A623" s="160">
        <f t="shared" si="19"/>
        <v>46279</v>
      </c>
      <c r="B623" s="44" t="str">
        <f t="shared" si="18"/>
        <v/>
      </c>
    </row>
    <row r="624" spans="1:2" hidden="1">
      <c r="A624" s="160">
        <f t="shared" si="19"/>
        <v>46280</v>
      </c>
      <c r="B624" s="44" t="str">
        <f t="shared" si="18"/>
        <v/>
      </c>
    </row>
    <row r="625" spans="1:2" hidden="1">
      <c r="A625" s="160">
        <f t="shared" si="19"/>
        <v>46281</v>
      </c>
      <c r="B625" s="44" t="str">
        <f t="shared" si="18"/>
        <v/>
      </c>
    </row>
    <row r="626" spans="1:2" hidden="1">
      <c r="A626" s="160">
        <f t="shared" si="19"/>
        <v>46282</v>
      </c>
      <c r="B626" s="44" t="str">
        <f t="shared" si="18"/>
        <v/>
      </c>
    </row>
    <row r="627" spans="1:2" hidden="1">
      <c r="A627" s="160">
        <f t="shared" si="19"/>
        <v>46283</v>
      </c>
      <c r="B627" s="44" t="str">
        <f t="shared" si="18"/>
        <v/>
      </c>
    </row>
    <row r="628" spans="1:2" hidden="1">
      <c r="A628" s="160">
        <f t="shared" si="19"/>
        <v>46284</v>
      </c>
      <c r="B628" s="44" t="str">
        <f t="shared" si="18"/>
        <v/>
      </c>
    </row>
    <row r="629" spans="1:2" hidden="1">
      <c r="A629" s="160">
        <f t="shared" si="19"/>
        <v>46285</v>
      </c>
      <c r="B629" s="44" t="str">
        <f t="shared" si="18"/>
        <v/>
      </c>
    </row>
    <row r="630" spans="1:2">
      <c r="A630" s="160">
        <f t="shared" si="19"/>
        <v>46286</v>
      </c>
      <c r="B630" s="44" t="str">
        <f t="shared" si="18"/>
        <v>敬老の日</v>
      </c>
    </row>
    <row r="631" spans="1:2">
      <c r="A631" s="160">
        <f t="shared" si="19"/>
        <v>46287</v>
      </c>
      <c r="B631" s="44" t="str">
        <f t="shared" si="18"/>
        <v>国民の休日</v>
      </c>
    </row>
    <row r="632" spans="1:2">
      <c r="A632" s="160">
        <f t="shared" si="19"/>
        <v>46288</v>
      </c>
      <c r="B632" s="44" t="str">
        <f t="shared" si="18"/>
        <v>秋分の日</v>
      </c>
    </row>
    <row r="633" spans="1:2" hidden="1">
      <c r="A633" s="160">
        <f t="shared" si="19"/>
        <v>46289</v>
      </c>
      <c r="B633" s="44" t="str">
        <f t="shared" si="18"/>
        <v/>
      </c>
    </row>
    <row r="634" spans="1:2" hidden="1">
      <c r="A634" s="160">
        <f t="shared" si="19"/>
        <v>46290</v>
      </c>
      <c r="B634" s="44" t="str">
        <f t="shared" si="18"/>
        <v/>
      </c>
    </row>
    <row r="635" spans="1:2" hidden="1">
      <c r="A635" s="160">
        <f t="shared" si="19"/>
        <v>46291</v>
      </c>
      <c r="B635" s="44" t="str">
        <f t="shared" si="18"/>
        <v/>
      </c>
    </row>
    <row r="636" spans="1:2" hidden="1">
      <c r="A636" s="160">
        <f t="shared" si="19"/>
        <v>46292</v>
      </c>
      <c r="B636" s="44" t="str">
        <f t="shared" si="18"/>
        <v/>
      </c>
    </row>
    <row r="637" spans="1:2" hidden="1">
      <c r="A637" s="160">
        <f t="shared" si="19"/>
        <v>46293</v>
      </c>
      <c r="B637" s="44" t="str">
        <f t="shared" si="18"/>
        <v/>
      </c>
    </row>
    <row r="638" spans="1:2" hidden="1">
      <c r="A638" s="160">
        <f t="shared" si="19"/>
        <v>46294</v>
      </c>
      <c r="B638" s="44" t="str">
        <f t="shared" si="18"/>
        <v/>
      </c>
    </row>
    <row r="639" spans="1:2" hidden="1">
      <c r="A639" s="160">
        <f t="shared" si="19"/>
        <v>46295</v>
      </c>
      <c r="B639" s="44" t="str">
        <f t="shared" si="18"/>
        <v/>
      </c>
    </row>
    <row r="640" spans="1:2" hidden="1">
      <c r="A640" s="160">
        <f t="shared" si="19"/>
        <v>46296</v>
      </c>
      <c r="B640" s="44" t="str">
        <f t="shared" si="18"/>
        <v/>
      </c>
    </row>
    <row r="641" spans="1:2" hidden="1">
      <c r="A641" s="160">
        <f t="shared" si="19"/>
        <v>46297</v>
      </c>
      <c r="B641" s="44" t="str">
        <f t="shared" si="18"/>
        <v/>
      </c>
    </row>
    <row r="642" spans="1:2" hidden="1">
      <c r="A642" s="160">
        <f t="shared" si="19"/>
        <v>46298</v>
      </c>
      <c r="B642" s="44" t="str">
        <f t="shared" ref="B642:B705" si="20">_xlfn.WEBSERVICE("http://api.excelapi.org/datetime/holiday?date="&amp;A642)</f>
        <v/>
      </c>
    </row>
    <row r="643" spans="1:2" hidden="1">
      <c r="A643" s="160">
        <f t="shared" ref="A643:A706" si="21">A642+1</f>
        <v>46299</v>
      </c>
      <c r="B643" s="44" t="str">
        <f t="shared" si="20"/>
        <v/>
      </c>
    </row>
    <row r="644" spans="1:2" hidden="1">
      <c r="A644" s="160">
        <f t="shared" si="21"/>
        <v>46300</v>
      </c>
      <c r="B644" s="44" t="str">
        <f t="shared" si="20"/>
        <v/>
      </c>
    </row>
    <row r="645" spans="1:2" hidden="1">
      <c r="A645" s="160">
        <f t="shared" si="21"/>
        <v>46301</v>
      </c>
      <c r="B645" s="44" t="str">
        <f t="shared" si="20"/>
        <v/>
      </c>
    </row>
    <row r="646" spans="1:2" hidden="1">
      <c r="A646" s="160">
        <f t="shared" si="21"/>
        <v>46302</v>
      </c>
      <c r="B646" s="44" t="str">
        <f t="shared" si="20"/>
        <v/>
      </c>
    </row>
    <row r="647" spans="1:2" hidden="1">
      <c r="A647" s="160">
        <f t="shared" si="21"/>
        <v>46303</v>
      </c>
      <c r="B647" s="44" t="str">
        <f t="shared" si="20"/>
        <v/>
      </c>
    </row>
    <row r="648" spans="1:2" hidden="1">
      <c r="A648" s="160">
        <f t="shared" si="21"/>
        <v>46304</v>
      </c>
      <c r="B648" s="44" t="str">
        <f t="shared" si="20"/>
        <v/>
      </c>
    </row>
    <row r="649" spans="1:2" hidden="1">
      <c r="A649" s="160">
        <f t="shared" si="21"/>
        <v>46305</v>
      </c>
      <c r="B649" s="44" t="str">
        <f t="shared" si="20"/>
        <v/>
      </c>
    </row>
    <row r="650" spans="1:2" hidden="1">
      <c r="A650" s="160">
        <f t="shared" si="21"/>
        <v>46306</v>
      </c>
      <c r="B650" s="44" t="str">
        <f t="shared" si="20"/>
        <v/>
      </c>
    </row>
    <row r="651" spans="1:2">
      <c r="A651" s="160">
        <f t="shared" si="21"/>
        <v>46307</v>
      </c>
      <c r="B651" s="44" t="str">
        <f t="shared" si="20"/>
        <v>スポーツの日</v>
      </c>
    </row>
    <row r="652" spans="1:2" hidden="1">
      <c r="A652" s="160">
        <f t="shared" si="21"/>
        <v>46308</v>
      </c>
      <c r="B652" s="44" t="str">
        <f t="shared" si="20"/>
        <v/>
      </c>
    </row>
    <row r="653" spans="1:2" hidden="1">
      <c r="A653" s="160">
        <f t="shared" si="21"/>
        <v>46309</v>
      </c>
      <c r="B653" s="44" t="str">
        <f t="shared" si="20"/>
        <v/>
      </c>
    </row>
    <row r="654" spans="1:2" hidden="1">
      <c r="A654" s="160">
        <f t="shared" si="21"/>
        <v>46310</v>
      </c>
      <c r="B654" s="44" t="str">
        <f t="shared" si="20"/>
        <v/>
      </c>
    </row>
    <row r="655" spans="1:2" hidden="1">
      <c r="A655" s="160">
        <f t="shared" si="21"/>
        <v>46311</v>
      </c>
      <c r="B655" s="44" t="str">
        <f t="shared" si="20"/>
        <v/>
      </c>
    </row>
    <row r="656" spans="1:2" hidden="1">
      <c r="A656" s="160">
        <f t="shared" si="21"/>
        <v>46312</v>
      </c>
      <c r="B656" s="44" t="str">
        <f t="shared" si="20"/>
        <v/>
      </c>
    </row>
    <row r="657" spans="1:2" hidden="1">
      <c r="A657" s="160">
        <f t="shared" si="21"/>
        <v>46313</v>
      </c>
      <c r="B657" s="44" t="str">
        <f t="shared" si="20"/>
        <v/>
      </c>
    </row>
    <row r="658" spans="1:2" hidden="1">
      <c r="A658" s="160">
        <f t="shared" si="21"/>
        <v>46314</v>
      </c>
      <c r="B658" s="44" t="str">
        <f t="shared" si="20"/>
        <v/>
      </c>
    </row>
    <row r="659" spans="1:2" hidden="1">
      <c r="A659" s="160">
        <f t="shared" si="21"/>
        <v>46315</v>
      </c>
      <c r="B659" s="44" t="str">
        <f t="shared" si="20"/>
        <v/>
      </c>
    </row>
    <row r="660" spans="1:2" hidden="1">
      <c r="A660" s="160">
        <f t="shared" si="21"/>
        <v>46316</v>
      </c>
      <c r="B660" s="44" t="str">
        <f t="shared" si="20"/>
        <v/>
      </c>
    </row>
    <row r="661" spans="1:2" hidden="1">
      <c r="A661" s="160">
        <f t="shared" si="21"/>
        <v>46317</v>
      </c>
      <c r="B661" s="44" t="str">
        <f t="shared" si="20"/>
        <v/>
      </c>
    </row>
    <row r="662" spans="1:2" hidden="1">
      <c r="A662" s="160">
        <f t="shared" si="21"/>
        <v>46318</v>
      </c>
      <c r="B662" s="44" t="str">
        <f t="shared" si="20"/>
        <v/>
      </c>
    </row>
    <row r="663" spans="1:2" hidden="1">
      <c r="A663" s="160">
        <f t="shared" si="21"/>
        <v>46319</v>
      </c>
      <c r="B663" s="44" t="str">
        <f t="shared" si="20"/>
        <v/>
      </c>
    </row>
    <row r="664" spans="1:2" hidden="1">
      <c r="A664" s="160">
        <f t="shared" si="21"/>
        <v>46320</v>
      </c>
      <c r="B664" s="44" t="str">
        <f t="shared" si="20"/>
        <v/>
      </c>
    </row>
    <row r="665" spans="1:2" hidden="1">
      <c r="A665" s="160">
        <f t="shared" si="21"/>
        <v>46321</v>
      </c>
      <c r="B665" s="44" t="str">
        <f t="shared" si="20"/>
        <v/>
      </c>
    </row>
    <row r="666" spans="1:2" hidden="1">
      <c r="A666" s="160">
        <f t="shared" si="21"/>
        <v>46322</v>
      </c>
      <c r="B666" s="44" t="str">
        <f t="shared" si="20"/>
        <v/>
      </c>
    </row>
    <row r="667" spans="1:2" hidden="1">
      <c r="A667" s="160">
        <f t="shared" si="21"/>
        <v>46323</v>
      </c>
      <c r="B667" s="44" t="str">
        <f t="shared" si="20"/>
        <v/>
      </c>
    </row>
    <row r="668" spans="1:2" hidden="1">
      <c r="A668" s="160">
        <f t="shared" si="21"/>
        <v>46324</v>
      </c>
      <c r="B668" s="44" t="str">
        <f t="shared" si="20"/>
        <v/>
      </c>
    </row>
    <row r="669" spans="1:2" hidden="1">
      <c r="A669" s="160">
        <f t="shared" si="21"/>
        <v>46325</v>
      </c>
      <c r="B669" s="44" t="str">
        <f t="shared" si="20"/>
        <v/>
      </c>
    </row>
    <row r="670" spans="1:2" hidden="1">
      <c r="A670" s="160">
        <f t="shared" si="21"/>
        <v>46326</v>
      </c>
      <c r="B670" s="44" t="str">
        <f t="shared" si="20"/>
        <v/>
      </c>
    </row>
    <row r="671" spans="1:2" hidden="1">
      <c r="A671" s="160">
        <f t="shared" si="21"/>
        <v>46327</v>
      </c>
      <c r="B671" s="44" t="str">
        <f t="shared" si="20"/>
        <v/>
      </c>
    </row>
    <row r="672" spans="1:2" hidden="1">
      <c r="A672" s="160">
        <f t="shared" si="21"/>
        <v>46328</v>
      </c>
      <c r="B672" s="44" t="str">
        <f t="shared" si="20"/>
        <v/>
      </c>
    </row>
    <row r="673" spans="1:2">
      <c r="A673" s="160">
        <f t="shared" si="21"/>
        <v>46329</v>
      </c>
      <c r="B673" s="44" t="str">
        <f t="shared" si="20"/>
        <v>文化の日</v>
      </c>
    </row>
    <row r="674" spans="1:2" hidden="1">
      <c r="A674" s="160">
        <f t="shared" si="21"/>
        <v>46330</v>
      </c>
      <c r="B674" s="44" t="str">
        <f t="shared" si="20"/>
        <v/>
      </c>
    </row>
    <row r="675" spans="1:2" hidden="1">
      <c r="A675" s="160">
        <f t="shared" si="21"/>
        <v>46331</v>
      </c>
      <c r="B675" s="44" t="str">
        <f t="shared" si="20"/>
        <v/>
      </c>
    </row>
    <row r="676" spans="1:2" hidden="1">
      <c r="A676" s="160">
        <f t="shared" si="21"/>
        <v>46332</v>
      </c>
      <c r="B676" s="44" t="str">
        <f t="shared" si="20"/>
        <v/>
      </c>
    </row>
    <row r="677" spans="1:2" hidden="1">
      <c r="A677" s="160">
        <f t="shared" si="21"/>
        <v>46333</v>
      </c>
      <c r="B677" s="44" t="str">
        <f t="shared" si="20"/>
        <v/>
      </c>
    </row>
    <row r="678" spans="1:2" hidden="1">
      <c r="A678" s="160">
        <f t="shared" si="21"/>
        <v>46334</v>
      </c>
      <c r="B678" s="44" t="str">
        <f t="shared" si="20"/>
        <v/>
      </c>
    </row>
    <row r="679" spans="1:2" hidden="1">
      <c r="A679" s="160">
        <f t="shared" si="21"/>
        <v>46335</v>
      </c>
      <c r="B679" s="44" t="str">
        <f t="shared" si="20"/>
        <v/>
      </c>
    </row>
    <row r="680" spans="1:2" hidden="1">
      <c r="A680" s="160">
        <f t="shared" si="21"/>
        <v>46336</v>
      </c>
      <c r="B680" s="44" t="str">
        <f t="shared" si="20"/>
        <v/>
      </c>
    </row>
    <row r="681" spans="1:2" hidden="1">
      <c r="A681" s="160">
        <f t="shared" si="21"/>
        <v>46337</v>
      </c>
      <c r="B681" s="44" t="str">
        <f t="shared" si="20"/>
        <v/>
      </c>
    </row>
    <row r="682" spans="1:2" hidden="1">
      <c r="A682" s="160">
        <f t="shared" si="21"/>
        <v>46338</v>
      </c>
      <c r="B682" s="44" t="str">
        <f t="shared" si="20"/>
        <v/>
      </c>
    </row>
    <row r="683" spans="1:2" hidden="1">
      <c r="A683" s="160">
        <f t="shared" si="21"/>
        <v>46339</v>
      </c>
      <c r="B683" s="44" t="str">
        <f t="shared" si="20"/>
        <v/>
      </c>
    </row>
    <row r="684" spans="1:2" hidden="1">
      <c r="A684" s="160">
        <f t="shared" si="21"/>
        <v>46340</v>
      </c>
      <c r="B684" s="44" t="str">
        <f t="shared" si="20"/>
        <v/>
      </c>
    </row>
    <row r="685" spans="1:2" hidden="1">
      <c r="A685" s="160">
        <f t="shared" si="21"/>
        <v>46341</v>
      </c>
      <c r="B685" s="44" t="str">
        <f t="shared" si="20"/>
        <v/>
      </c>
    </row>
    <row r="686" spans="1:2" hidden="1">
      <c r="A686" s="160">
        <f t="shared" si="21"/>
        <v>46342</v>
      </c>
      <c r="B686" s="44" t="str">
        <f t="shared" si="20"/>
        <v/>
      </c>
    </row>
    <row r="687" spans="1:2" hidden="1">
      <c r="A687" s="160">
        <f t="shared" si="21"/>
        <v>46343</v>
      </c>
      <c r="B687" s="44" t="str">
        <f t="shared" si="20"/>
        <v/>
      </c>
    </row>
    <row r="688" spans="1:2" hidden="1">
      <c r="A688" s="160">
        <f t="shared" si="21"/>
        <v>46344</v>
      </c>
      <c r="B688" s="44" t="str">
        <f t="shared" si="20"/>
        <v/>
      </c>
    </row>
    <row r="689" spans="1:2" hidden="1">
      <c r="A689" s="160">
        <f t="shared" si="21"/>
        <v>46345</v>
      </c>
      <c r="B689" s="44" t="str">
        <f t="shared" si="20"/>
        <v/>
      </c>
    </row>
    <row r="690" spans="1:2" hidden="1">
      <c r="A690" s="160">
        <f t="shared" si="21"/>
        <v>46346</v>
      </c>
      <c r="B690" s="44" t="str">
        <f t="shared" si="20"/>
        <v/>
      </c>
    </row>
    <row r="691" spans="1:2" hidden="1">
      <c r="A691" s="160">
        <f t="shared" si="21"/>
        <v>46347</v>
      </c>
      <c r="B691" s="44" t="str">
        <f t="shared" si="20"/>
        <v/>
      </c>
    </row>
    <row r="692" spans="1:2" hidden="1">
      <c r="A692" s="160">
        <f t="shared" si="21"/>
        <v>46348</v>
      </c>
      <c r="B692" s="44" t="str">
        <f t="shared" si="20"/>
        <v/>
      </c>
    </row>
    <row r="693" spans="1:2">
      <c r="A693" s="160">
        <f t="shared" si="21"/>
        <v>46349</v>
      </c>
      <c r="B693" s="44" t="str">
        <f t="shared" si="20"/>
        <v>勤労感謝の日</v>
      </c>
    </row>
    <row r="694" spans="1:2" hidden="1">
      <c r="A694" s="160">
        <f t="shared" si="21"/>
        <v>46350</v>
      </c>
      <c r="B694" s="44" t="str">
        <f t="shared" si="20"/>
        <v/>
      </c>
    </row>
    <row r="695" spans="1:2" hidden="1">
      <c r="A695" s="160">
        <f t="shared" si="21"/>
        <v>46351</v>
      </c>
      <c r="B695" s="44" t="str">
        <f t="shared" si="20"/>
        <v/>
      </c>
    </row>
    <row r="696" spans="1:2" hidden="1">
      <c r="A696" s="160">
        <f t="shared" si="21"/>
        <v>46352</v>
      </c>
      <c r="B696" s="44" t="str">
        <f t="shared" si="20"/>
        <v/>
      </c>
    </row>
    <row r="697" spans="1:2" hidden="1">
      <c r="A697" s="160">
        <f t="shared" si="21"/>
        <v>46353</v>
      </c>
      <c r="B697" s="44" t="str">
        <f t="shared" si="20"/>
        <v/>
      </c>
    </row>
    <row r="698" spans="1:2" hidden="1">
      <c r="A698" s="160">
        <f t="shared" si="21"/>
        <v>46354</v>
      </c>
      <c r="B698" s="44" t="str">
        <f t="shared" si="20"/>
        <v/>
      </c>
    </row>
    <row r="699" spans="1:2" hidden="1">
      <c r="A699" s="160">
        <f t="shared" si="21"/>
        <v>46355</v>
      </c>
      <c r="B699" s="44" t="str">
        <f t="shared" si="20"/>
        <v/>
      </c>
    </row>
    <row r="700" spans="1:2" hidden="1">
      <c r="A700" s="160">
        <f t="shared" si="21"/>
        <v>46356</v>
      </c>
      <c r="B700" s="44" t="str">
        <f t="shared" si="20"/>
        <v/>
      </c>
    </row>
    <row r="701" spans="1:2" hidden="1">
      <c r="A701" s="160">
        <f t="shared" si="21"/>
        <v>46357</v>
      </c>
      <c r="B701" s="44" t="str">
        <f t="shared" si="20"/>
        <v/>
      </c>
    </row>
    <row r="702" spans="1:2" hidden="1">
      <c r="A702" s="160">
        <f t="shared" si="21"/>
        <v>46358</v>
      </c>
      <c r="B702" s="44" t="str">
        <f t="shared" si="20"/>
        <v/>
      </c>
    </row>
    <row r="703" spans="1:2" hidden="1">
      <c r="A703" s="160">
        <f t="shared" si="21"/>
        <v>46359</v>
      </c>
      <c r="B703" s="44" t="str">
        <f t="shared" si="20"/>
        <v/>
      </c>
    </row>
    <row r="704" spans="1:2" hidden="1">
      <c r="A704" s="160">
        <f t="shared" si="21"/>
        <v>46360</v>
      </c>
      <c r="B704" s="44" t="str">
        <f t="shared" si="20"/>
        <v/>
      </c>
    </row>
    <row r="705" spans="1:2" hidden="1">
      <c r="A705" s="160">
        <f t="shared" si="21"/>
        <v>46361</v>
      </c>
      <c r="B705" s="44" t="str">
        <f t="shared" si="20"/>
        <v/>
      </c>
    </row>
    <row r="706" spans="1:2" hidden="1">
      <c r="A706" s="160">
        <f t="shared" si="21"/>
        <v>46362</v>
      </c>
      <c r="B706" s="44" t="str">
        <f t="shared" ref="B706:B769" si="22">_xlfn.WEBSERVICE("http://api.excelapi.org/datetime/holiday?date="&amp;A706)</f>
        <v/>
      </c>
    </row>
    <row r="707" spans="1:2" hidden="1">
      <c r="A707" s="160">
        <f t="shared" ref="A707:A770" si="23">A706+1</f>
        <v>46363</v>
      </c>
      <c r="B707" s="44" t="str">
        <f t="shared" si="22"/>
        <v/>
      </c>
    </row>
    <row r="708" spans="1:2" hidden="1">
      <c r="A708" s="160">
        <f t="shared" si="23"/>
        <v>46364</v>
      </c>
      <c r="B708" s="44" t="str">
        <f t="shared" si="22"/>
        <v/>
      </c>
    </row>
    <row r="709" spans="1:2" hidden="1">
      <c r="A709" s="160">
        <f t="shared" si="23"/>
        <v>46365</v>
      </c>
      <c r="B709" s="44" t="str">
        <f t="shared" si="22"/>
        <v/>
      </c>
    </row>
    <row r="710" spans="1:2" hidden="1">
      <c r="A710" s="160">
        <f t="shared" si="23"/>
        <v>46366</v>
      </c>
      <c r="B710" s="44" t="str">
        <f t="shared" si="22"/>
        <v/>
      </c>
    </row>
    <row r="711" spans="1:2" hidden="1">
      <c r="A711" s="160">
        <f t="shared" si="23"/>
        <v>46367</v>
      </c>
      <c r="B711" s="44" t="str">
        <f t="shared" si="22"/>
        <v/>
      </c>
    </row>
    <row r="712" spans="1:2" hidden="1">
      <c r="A712" s="160">
        <f t="shared" si="23"/>
        <v>46368</v>
      </c>
      <c r="B712" s="44" t="str">
        <f t="shared" si="22"/>
        <v/>
      </c>
    </row>
    <row r="713" spans="1:2" hidden="1">
      <c r="A713" s="160">
        <f t="shared" si="23"/>
        <v>46369</v>
      </c>
      <c r="B713" s="44" t="str">
        <f t="shared" si="22"/>
        <v/>
      </c>
    </row>
    <row r="714" spans="1:2" hidden="1">
      <c r="A714" s="160">
        <f t="shared" si="23"/>
        <v>46370</v>
      </c>
      <c r="B714" s="44" t="str">
        <f t="shared" si="22"/>
        <v/>
      </c>
    </row>
    <row r="715" spans="1:2" hidden="1">
      <c r="A715" s="160">
        <f t="shared" si="23"/>
        <v>46371</v>
      </c>
      <c r="B715" s="44" t="str">
        <f t="shared" si="22"/>
        <v/>
      </c>
    </row>
    <row r="716" spans="1:2" hidden="1">
      <c r="A716" s="160">
        <f t="shared" si="23"/>
        <v>46372</v>
      </c>
      <c r="B716" s="44" t="str">
        <f t="shared" si="22"/>
        <v/>
      </c>
    </row>
    <row r="717" spans="1:2" hidden="1">
      <c r="A717" s="160">
        <f t="shared" si="23"/>
        <v>46373</v>
      </c>
      <c r="B717" s="44" t="str">
        <f t="shared" si="22"/>
        <v/>
      </c>
    </row>
    <row r="718" spans="1:2" hidden="1">
      <c r="A718" s="160">
        <f t="shared" si="23"/>
        <v>46374</v>
      </c>
      <c r="B718" s="44" t="str">
        <f t="shared" si="22"/>
        <v/>
      </c>
    </row>
    <row r="719" spans="1:2" hidden="1">
      <c r="A719" s="160">
        <f t="shared" si="23"/>
        <v>46375</v>
      </c>
      <c r="B719" s="44" t="str">
        <f t="shared" si="22"/>
        <v/>
      </c>
    </row>
    <row r="720" spans="1:2" hidden="1">
      <c r="A720" s="160">
        <f t="shared" si="23"/>
        <v>46376</v>
      </c>
      <c r="B720" s="44" t="str">
        <f t="shared" si="22"/>
        <v/>
      </c>
    </row>
    <row r="721" spans="1:2" hidden="1">
      <c r="A721" s="160">
        <f t="shared" si="23"/>
        <v>46377</v>
      </c>
      <c r="B721" s="44" t="str">
        <f t="shared" si="22"/>
        <v/>
      </c>
    </row>
    <row r="722" spans="1:2" hidden="1">
      <c r="A722" s="160">
        <f t="shared" si="23"/>
        <v>46378</v>
      </c>
      <c r="B722" s="44" t="str">
        <f t="shared" si="22"/>
        <v/>
      </c>
    </row>
    <row r="723" spans="1:2" hidden="1">
      <c r="A723" s="160">
        <f t="shared" si="23"/>
        <v>46379</v>
      </c>
      <c r="B723" s="44" t="str">
        <f t="shared" si="22"/>
        <v/>
      </c>
    </row>
    <row r="724" spans="1:2" hidden="1">
      <c r="A724" s="160">
        <f t="shared" si="23"/>
        <v>46380</v>
      </c>
      <c r="B724" s="44" t="str">
        <f t="shared" si="22"/>
        <v/>
      </c>
    </row>
    <row r="725" spans="1:2" hidden="1">
      <c r="A725" s="160">
        <f t="shared" si="23"/>
        <v>46381</v>
      </c>
      <c r="B725" s="44" t="str">
        <f t="shared" si="22"/>
        <v/>
      </c>
    </row>
    <row r="726" spans="1:2" hidden="1">
      <c r="A726" s="160">
        <f t="shared" si="23"/>
        <v>46382</v>
      </c>
      <c r="B726" s="44" t="str">
        <f t="shared" si="22"/>
        <v/>
      </c>
    </row>
    <row r="727" spans="1:2" hidden="1">
      <c r="A727" s="160">
        <f t="shared" si="23"/>
        <v>46383</v>
      </c>
      <c r="B727" s="44" t="str">
        <f t="shared" si="22"/>
        <v/>
      </c>
    </row>
    <row r="728" spans="1:2" hidden="1">
      <c r="A728" s="160">
        <f t="shared" si="23"/>
        <v>46384</v>
      </c>
      <c r="B728" s="44" t="str">
        <f t="shared" si="22"/>
        <v/>
      </c>
    </row>
    <row r="729" spans="1:2" hidden="1">
      <c r="A729" s="160">
        <f t="shared" si="23"/>
        <v>46385</v>
      </c>
      <c r="B729" s="44" t="str">
        <f t="shared" si="22"/>
        <v/>
      </c>
    </row>
    <row r="730" spans="1:2" hidden="1">
      <c r="A730" s="160">
        <f t="shared" si="23"/>
        <v>46386</v>
      </c>
      <c r="B730" s="44" t="str">
        <f t="shared" si="22"/>
        <v/>
      </c>
    </row>
    <row r="731" spans="1:2" hidden="1">
      <c r="A731" s="160">
        <f t="shared" si="23"/>
        <v>46387</v>
      </c>
      <c r="B731" s="44" t="str">
        <f t="shared" si="22"/>
        <v/>
      </c>
    </row>
    <row r="732" spans="1:2">
      <c r="A732" s="160">
        <f t="shared" si="23"/>
        <v>46388</v>
      </c>
      <c r="B732" s="44" t="str">
        <f t="shared" si="22"/>
        <v>元日</v>
      </c>
    </row>
    <row r="733" spans="1:2" hidden="1">
      <c r="A733" s="160">
        <f t="shared" si="23"/>
        <v>46389</v>
      </c>
      <c r="B733" s="44" t="str">
        <f t="shared" si="22"/>
        <v/>
      </c>
    </row>
    <row r="734" spans="1:2" hidden="1">
      <c r="A734" s="160">
        <f t="shared" si="23"/>
        <v>46390</v>
      </c>
      <c r="B734" s="44" t="str">
        <f t="shared" si="22"/>
        <v/>
      </c>
    </row>
    <row r="735" spans="1:2" hidden="1">
      <c r="A735" s="160">
        <f t="shared" si="23"/>
        <v>46391</v>
      </c>
      <c r="B735" s="44" t="str">
        <f t="shared" si="22"/>
        <v/>
      </c>
    </row>
    <row r="736" spans="1:2" hidden="1">
      <c r="A736" s="160">
        <f t="shared" si="23"/>
        <v>46392</v>
      </c>
      <c r="B736" s="44" t="str">
        <f t="shared" si="22"/>
        <v/>
      </c>
    </row>
    <row r="737" spans="1:2" hidden="1">
      <c r="A737" s="160">
        <f t="shared" si="23"/>
        <v>46393</v>
      </c>
      <c r="B737" s="44" t="str">
        <f t="shared" si="22"/>
        <v/>
      </c>
    </row>
    <row r="738" spans="1:2" hidden="1">
      <c r="A738" s="160">
        <f t="shared" si="23"/>
        <v>46394</v>
      </c>
      <c r="B738" s="44" t="str">
        <f t="shared" si="22"/>
        <v/>
      </c>
    </row>
    <row r="739" spans="1:2" hidden="1">
      <c r="A739" s="160">
        <f t="shared" si="23"/>
        <v>46395</v>
      </c>
      <c r="B739" s="44" t="str">
        <f t="shared" si="22"/>
        <v/>
      </c>
    </row>
    <row r="740" spans="1:2" hidden="1">
      <c r="A740" s="160">
        <f t="shared" si="23"/>
        <v>46396</v>
      </c>
      <c r="B740" s="44" t="str">
        <f t="shared" si="22"/>
        <v/>
      </c>
    </row>
    <row r="741" spans="1:2" hidden="1">
      <c r="A741" s="160">
        <f t="shared" si="23"/>
        <v>46397</v>
      </c>
      <c r="B741" s="44" t="str">
        <f t="shared" si="22"/>
        <v/>
      </c>
    </row>
    <row r="742" spans="1:2">
      <c r="A742" s="160">
        <f t="shared" si="23"/>
        <v>46398</v>
      </c>
      <c r="B742" s="44" t="str">
        <f t="shared" si="22"/>
        <v>成人の日</v>
      </c>
    </row>
    <row r="743" spans="1:2" hidden="1">
      <c r="A743" s="160">
        <f t="shared" si="23"/>
        <v>46399</v>
      </c>
      <c r="B743" s="44" t="str">
        <f t="shared" si="22"/>
        <v/>
      </c>
    </row>
    <row r="744" spans="1:2" hidden="1">
      <c r="A744" s="160">
        <f t="shared" si="23"/>
        <v>46400</v>
      </c>
      <c r="B744" s="44" t="str">
        <f t="shared" si="22"/>
        <v/>
      </c>
    </row>
    <row r="745" spans="1:2" hidden="1">
      <c r="A745" s="160">
        <f t="shared" si="23"/>
        <v>46401</v>
      </c>
      <c r="B745" s="44" t="str">
        <f t="shared" si="22"/>
        <v/>
      </c>
    </row>
    <row r="746" spans="1:2" hidden="1">
      <c r="A746" s="160">
        <f t="shared" si="23"/>
        <v>46402</v>
      </c>
      <c r="B746" s="44" t="str">
        <f t="shared" si="22"/>
        <v/>
      </c>
    </row>
    <row r="747" spans="1:2" hidden="1">
      <c r="A747" s="160">
        <f t="shared" si="23"/>
        <v>46403</v>
      </c>
      <c r="B747" s="44" t="str">
        <f t="shared" si="22"/>
        <v/>
      </c>
    </row>
    <row r="748" spans="1:2" hidden="1">
      <c r="A748" s="160">
        <f t="shared" si="23"/>
        <v>46404</v>
      </c>
      <c r="B748" s="44" t="str">
        <f t="shared" si="22"/>
        <v/>
      </c>
    </row>
    <row r="749" spans="1:2" hidden="1">
      <c r="A749" s="160">
        <f t="shared" si="23"/>
        <v>46405</v>
      </c>
      <c r="B749" s="44" t="str">
        <f t="shared" si="22"/>
        <v/>
      </c>
    </row>
    <row r="750" spans="1:2" hidden="1">
      <c r="A750" s="160">
        <f t="shared" si="23"/>
        <v>46406</v>
      </c>
      <c r="B750" s="44" t="str">
        <f t="shared" si="22"/>
        <v/>
      </c>
    </row>
    <row r="751" spans="1:2" hidden="1">
      <c r="A751" s="160">
        <f t="shared" si="23"/>
        <v>46407</v>
      </c>
      <c r="B751" s="44" t="str">
        <f t="shared" si="22"/>
        <v/>
      </c>
    </row>
    <row r="752" spans="1:2" hidden="1">
      <c r="A752" s="160">
        <f t="shared" si="23"/>
        <v>46408</v>
      </c>
      <c r="B752" s="44" t="str">
        <f t="shared" si="22"/>
        <v/>
      </c>
    </row>
    <row r="753" spans="1:2" hidden="1">
      <c r="A753" s="160">
        <f t="shared" si="23"/>
        <v>46409</v>
      </c>
      <c r="B753" s="44" t="str">
        <f t="shared" si="22"/>
        <v/>
      </c>
    </row>
    <row r="754" spans="1:2" hidden="1">
      <c r="A754" s="160">
        <f t="shared" si="23"/>
        <v>46410</v>
      </c>
      <c r="B754" s="44" t="str">
        <f t="shared" si="22"/>
        <v/>
      </c>
    </row>
    <row r="755" spans="1:2" hidden="1">
      <c r="A755" s="160">
        <f t="shared" si="23"/>
        <v>46411</v>
      </c>
      <c r="B755" s="44" t="str">
        <f t="shared" si="22"/>
        <v/>
      </c>
    </row>
    <row r="756" spans="1:2" hidden="1">
      <c r="A756" s="160">
        <f t="shared" si="23"/>
        <v>46412</v>
      </c>
      <c r="B756" s="44" t="str">
        <f t="shared" si="22"/>
        <v/>
      </c>
    </row>
    <row r="757" spans="1:2" hidden="1">
      <c r="A757" s="160">
        <f t="shared" si="23"/>
        <v>46413</v>
      </c>
      <c r="B757" s="44" t="str">
        <f t="shared" si="22"/>
        <v/>
      </c>
    </row>
    <row r="758" spans="1:2" hidden="1">
      <c r="A758" s="160">
        <f t="shared" si="23"/>
        <v>46414</v>
      </c>
      <c r="B758" s="44" t="str">
        <f t="shared" si="22"/>
        <v/>
      </c>
    </row>
    <row r="759" spans="1:2" hidden="1">
      <c r="A759" s="160">
        <f t="shared" si="23"/>
        <v>46415</v>
      </c>
      <c r="B759" s="44" t="str">
        <f t="shared" si="22"/>
        <v/>
      </c>
    </row>
    <row r="760" spans="1:2" hidden="1">
      <c r="A760" s="160">
        <f t="shared" si="23"/>
        <v>46416</v>
      </c>
      <c r="B760" s="44" t="str">
        <f t="shared" si="22"/>
        <v/>
      </c>
    </row>
    <row r="761" spans="1:2" hidden="1">
      <c r="A761" s="160">
        <f t="shared" si="23"/>
        <v>46417</v>
      </c>
      <c r="B761" s="44" t="str">
        <f t="shared" si="22"/>
        <v/>
      </c>
    </row>
    <row r="762" spans="1:2" hidden="1">
      <c r="A762" s="160">
        <f t="shared" si="23"/>
        <v>46418</v>
      </c>
      <c r="B762" s="44" t="str">
        <f t="shared" si="22"/>
        <v/>
      </c>
    </row>
    <row r="763" spans="1:2" hidden="1">
      <c r="A763" s="160">
        <f t="shared" si="23"/>
        <v>46419</v>
      </c>
      <c r="B763" s="44" t="str">
        <f t="shared" si="22"/>
        <v/>
      </c>
    </row>
    <row r="764" spans="1:2" hidden="1">
      <c r="A764" s="160">
        <f t="shared" si="23"/>
        <v>46420</v>
      </c>
      <c r="B764" s="44" t="str">
        <f t="shared" si="22"/>
        <v/>
      </c>
    </row>
    <row r="765" spans="1:2" hidden="1">
      <c r="A765" s="160">
        <f t="shared" si="23"/>
        <v>46421</v>
      </c>
      <c r="B765" s="44" t="str">
        <f t="shared" si="22"/>
        <v/>
      </c>
    </row>
    <row r="766" spans="1:2" hidden="1">
      <c r="A766" s="160">
        <f t="shared" si="23"/>
        <v>46422</v>
      </c>
      <c r="B766" s="44" t="str">
        <f t="shared" si="22"/>
        <v/>
      </c>
    </row>
    <row r="767" spans="1:2" hidden="1">
      <c r="A767" s="160">
        <f t="shared" si="23"/>
        <v>46423</v>
      </c>
      <c r="B767" s="44" t="str">
        <f t="shared" si="22"/>
        <v/>
      </c>
    </row>
    <row r="768" spans="1:2" hidden="1">
      <c r="A768" s="160">
        <f t="shared" si="23"/>
        <v>46424</v>
      </c>
      <c r="B768" s="44" t="str">
        <f t="shared" si="22"/>
        <v/>
      </c>
    </row>
    <row r="769" spans="1:2" hidden="1">
      <c r="A769" s="160">
        <f t="shared" si="23"/>
        <v>46425</v>
      </c>
      <c r="B769" s="44" t="str">
        <f t="shared" si="22"/>
        <v/>
      </c>
    </row>
    <row r="770" spans="1:2" hidden="1">
      <c r="A770" s="160">
        <f t="shared" si="23"/>
        <v>46426</v>
      </c>
      <c r="B770" s="44" t="str">
        <f t="shared" ref="B770:B833" si="24">_xlfn.WEBSERVICE("http://api.excelapi.org/datetime/holiday?date="&amp;A770)</f>
        <v/>
      </c>
    </row>
    <row r="771" spans="1:2" hidden="1">
      <c r="A771" s="160">
        <f t="shared" ref="A771:A834" si="25">A770+1</f>
        <v>46427</v>
      </c>
      <c r="B771" s="44" t="str">
        <f t="shared" si="24"/>
        <v/>
      </c>
    </row>
    <row r="772" spans="1:2" hidden="1">
      <c r="A772" s="160">
        <f t="shared" si="25"/>
        <v>46428</v>
      </c>
      <c r="B772" s="44" t="str">
        <f t="shared" si="24"/>
        <v/>
      </c>
    </row>
    <row r="773" spans="1:2">
      <c r="A773" s="160">
        <f t="shared" si="25"/>
        <v>46429</v>
      </c>
      <c r="B773" s="44" t="str">
        <f t="shared" si="24"/>
        <v>建国記念の日</v>
      </c>
    </row>
    <row r="774" spans="1:2" hidden="1">
      <c r="A774" s="160">
        <f t="shared" si="25"/>
        <v>46430</v>
      </c>
      <c r="B774" s="44" t="str">
        <f t="shared" si="24"/>
        <v/>
      </c>
    </row>
    <row r="775" spans="1:2" hidden="1">
      <c r="A775" s="160">
        <f t="shared" si="25"/>
        <v>46431</v>
      </c>
      <c r="B775" s="44" t="str">
        <f t="shared" si="24"/>
        <v/>
      </c>
    </row>
    <row r="776" spans="1:2" hidden="1">
      <c r="A776" s="160">
        <f t="shared" si="25"/>
        <v>46432</v>
      </c>
      <c r="B776" s="44" t="str">
        <f t="shared" si="24"/>
        <v/>
      </c>
    </row>
    <row r="777" spans="1:2" hidden="1">
      <c r="A777" s="160">
        <f t="shared" si="25"/>
        <v>46433</v>
      </c>
      <c r="B777" s="44" t="str">
        <f t="shared" si="24"/>
        <v/>
      </c>
    </row>
    <row r="778" spans="1:2" hidden="1">
      <c r="A778" s="160">
        <f t="shared" si="25"/>
        <v>46434</v>
      </c>
      <c r="B778" s="44" t="str">
        <f t="shared" si="24"/>
        <v/>
      </c>
    </row>
    <row r="779" spans="1:2" hidden="1">
      <c r="A779" s="160">
        <f t="shared" si="25"/>
        <v>46435</v>
      </c>
      <c r="B779" s="44" t="str">
        <f t="shared" si="24"/>
        <v/>
      </c>
    </row>
    <row r="780" spans="1:2" hidden="1">
      <c r="A780" s="160">
        <f t="shared" si="25"/>
        <v>46436</v>
      </c>
      <c r="B780" s="44" t="str">
        <f t="shared" si="24"/>
        <v/>
      </c>
    </row>
    <row r="781" spans="1:2" hidden="1">
      <c r="A781" s="160">
        <f t="shared" si="25"/>
        <v>46437</v>
      </c>
      <c r="B781" s="44" t="str">
        <f t="shared" si="24"/>
        <v/>
      </c>
    </row>
    <row r="782" spans="1:2" hidden="1">
      <c r="A782" s="160">
        <f t="shared" si="25"/>
        <v>46438</v>
      </c>
      <c r="B782" s="44" t="str">
        <f t="shared" si="24"/>
        <v/>
      </c>
    </row>
    <row r="783" spans="1:2" hidden="1">
      <c r="A783" s="160">
        <f t="shared" si="25"/>
        <v>46439</v>
      </c>
      <c r="B783" s="44" t="str">
        <f t="shared" si="24"/>
        <v/>
      </c>
    </row>
    <row r="784" spans="1:2" hidden="1">
      <c r="A784" s="160">
        <f t="shared" si="25"/>
        <v>46440</v>
      </c>
      <c r="B784" s="44" t="str">
        <f t="shared" si="24"/>
        <v/>
      </c>
    </row>
    <row r="785" spans="1:2">
      <c r="A785" s="160">
        <f t="shared" si="25"/>
        <v>46441</v>
      </c>
      <c r="B785" s="44" t="str">
        <f t="shared" si="24"/>
        <v>天皇誕生日</v>
      </c>
    </row>
    <row r="786" spans="1:2" hidden="1">
      <c r="A786" s="160">
        <f t="shared" si="25"/>
        <v>46442</v>
      </c>
      <c r="B786" s="44" t="str">
        <f t="shared" si="24"/>
        <v/>
      </c>
    </row>
    <row r="787" spans="1:2" hidden="1">
      <c r="A787" s="160">
        <f t="shared" si="25"/>
        <v>46443</v>
      </c>
      <c r="B787" s="44" t="str">
        <f t="shared" si="24"/>
        <v/>
      </c>
    </row>
    <row r="788" spans="1:2" hidden="1">
      <c r="A788" s="160">
        <f t="shared" si="25"/>
        <v>46444</v>
      </c>
      <c r="B788" s="44" t="str">
        <f t="shared" si="24"/>
        <v/>
      </c>
    </row>
    <row r="789" spans="1:2" hidden="1">
      <c r="A789" s="160">
        <f t="shared" si="25"/>
        <v>46445</v>
      </c>
      <c r="B789" s="44" t="str">
        <f t="shared" si="24"/>
        <v/>
      </c>
    </row>
    <row r="790" spans="1:2" hidden="1">
      <c r="A790" s="160">
        <f t="shared" si="25"/>
        <v>46446</v>
      </c>
      <c r="B790" s="44" t="str">
        <f t="shared" si="24"/>
        <v/>
      </c>
    </row>
    <row r="791" spans="1:2" hidden="1">
      <c r="A791" s="160">
        <f t="shared" si="25"/>
        <v>46447</v>
      </c>
      <c r="B791" s="44" t="str">
        <f t="shared" si="24"/>
        <v/>
      </c>
    </row>
    <row r="792" spans="1:2" hidden="1">
      <c r="A792" s="160">
        <f t="shared" si="25"/>
        <v>46448</v>
      </c>
      <c r="B792" s="44" t="str">
        <f t="shared" si="24"/>
        <v/>
      </c>
    </row>
    <row r="793" spans="1:2" hidden="1">
      <c r="A793" s="160">
        <f t="shared" si="25"/>
        <v>46449</v>
      </c>
      <c r="B793" s="44" t="str">
        <f t="shared" si="24"/>
        <v/>
      </c>
    </row>
    <row r="794" spans="1:2" hidden="1">
      <c r="A794" s="160">
        <f t="shared" si="25"/>
        <v>46450</v>
      </c>
      <c r="B794" s="44" t="str">
        <f t="shared" si="24"/>
        <v/>
      </c>
    </row>
    <row r="795" spans="1:2" hidden="1">
      <c r="A795" s="160">
        <f t="shared" si="25"/>
        <v>46451</v>
      </c>
      <c r="B795" s="44" t="str">
        <f t="shared" si="24"/>
        <v/>
      </c>
    </row>
    <row r="796" spans="1:2" hidden="1">
      <c r="A796" s="160">
        <f t="shared" si="25"/>
        <v>46452</v>
      </c>
      <c r="B796" s="44" t="str">
        <f t="shared" si="24"/>
        <v/>
      </c>
    </row>
    <row r="797" spans="1:2" hidden="1">
      <c r="A797" s="160">
        <f t="shared" si="25"/>
        <v>46453</v>
      </c>
      <c r="B797" s="44" t="str">
        <f t="shared" si="24"/>
        <v/>
      </c>
    </row>
    <row r="798" spans="1:2" hidden="1">
      <c r="A798" s="160">
        <f t="shared" si="25"/>
        <v>46454</v>
      </c>
      <c r="B798" s="44" t="str">
        <f t="shared" si="24"/>
        <v/>
      </c>
    </row>
    <row r="799" spans="1:2" hidden="1">
      <c r="A799" s="160">
        <f t="shared" si="25"/>
        <v>46455</v>
      </c>
      <c r="B799" s="44" t="str">
        <f t="shared" si="24"/>
        <v/>
      </c>
    </row>
    <row r="800" spans="1:2" hidden="1">
      <c r="A800" s="160">
        <f t="shared" si="25"/>
        <v>46456</v>
      </c>
      <c r="B800" s="44" t="str">
        <f t="shared" si="24"/>
        <v/>
      </c>
    </row>
    <row r="801" spans="1:2" hidden="1">
      <c r="A801" s="160">
        <f t="shared" si="25"/>
        <v>46457</v>
      </c>
      <c r="B801" s="44" t="str">
        <f t="shared" si="24"/>
        <v/>
      </c>
    </row>
    <row r="802" spans="1:2" hidden="1">
      <c r="A802" s="160">
        <f t="shared" si="25"/>
        <v>46458</v>
      </c>
      <c r="B802" s="44" t="str">
        <f t="shared" si="24"/>
        <v/>
      </c>
    </row>
    <row r="803" spans="1:2" hidden="1">
      <c r="A803" s="160">
        <f t="shared" si="25"/>
        <v>46459</v>
      </c>
      <c r="B803" s="44" t="str">
        <f t="shared" si="24"/>
        <v/>
      </c>
    </row>
    <row r="804" spans="1:2" hidden="1">
      <c r="A804" s="160">
        <f t="shared" si="25"/>
        <v>46460</v>
      </c>
      <c r="B804" s="44" t="str">
        <f t="shared" si="24"/>
        <v/>
      </c>
    </row>
    <row r="805" spans="1:2" hidden="1">
      <c r="A805" s="160">
        <f t="shared" si="25"/>
        <v>46461</v>
      </c>
      <c r="B805" s="44" t="str">
        <f t="shared" si="24"/>
        <v/>
      </c>
    </row>
    <row r="806" spans="1:2" hidden="1">
      <c r="A806" s="160">
        <f t="shared" si="25"/>
        <v>46462</v>
      </c>
      <c r="B806" s="44" t="str">
        <f t="shared" si="24"/>
        <v/>
      </c>
    </row>
    <row r="807" spans="1:2" hidden="1">
      <c r="A807" s="160">
        <f t="shared" si="25"/>
        <v>46463</v>
      </c>
      <c r="B807" s="44" t="str">
        <f t="shared" si="24"/>
        <v/>
      </c>
    </row>
    <row r="808" spans="1:2" hidden="1">
      <c r="A808" s="160">
        <f t="shared" si="25"/>
        <v>46464</v>
      </c>
      <c r="B808" s="44" t="str">
        <f t="shared" si="24"/>
        <v/>
      </c>
    </row>
    <row r="809" spans="1:2" hidden="1">
      <c r="A809" s="160">
        <f t="shared" si="25"/>
        <v>46465</v>
      </c>
      <c r="B809" s="44" t="str">
        <f t="shared" si="24"/>
        <v/>
      </c>
    </row>
    <row r="810" spans="1:2" hidden="1">
      <c r="A810" s="160">
        <f t="shared" si="25"/>
        <v>46466</v>
      </c>
      <c r="B810" s="44" t="str">
        <f t="shared" si="24"/>
        <v/>
      </c>
    </row>
    <row r="811" spans="1:2">
      <c r="A811" s="160">
        <f t="shared" si="25"/>
        <v>46467</v>
      </c>
      <c r="B811" s="44" t="str">
        <f t="shared" si="24"/>
        <v>春分の日</v>
      </c>
    </row>
    <row r="812" spans="1:2">
      <c r="A812" s="160">
        <f t="shared" si="25"/>
        <v>46468</v>
      </c>
      <c r="B812" s="44" t="str">
        <f t="shared" si="24"/>
        <v>振替休日</v>
      </c>
    </row>
    <row r="813" spans="1:2" hidden="1">
      <c r="A813" s="160">
        <f t="shared" si="25"/>
        <v>46469</v>
      </c>
      <c r="B813" s="44" t="str">
        <f t="shared" si="24"/>
        <v/>
      </c>
    </row>
    <row r="814" spans="1:2" hidden="1">
      <c r="A814" s="160">
        <f t="shared" si="25"/>
        <v>46470</v>
      </c>
      <c r="B814" s="44" t="str">
        <f t="shared" si="24"/>
        <v/>
      </c>
    </row>
    <row r="815" spans="1:2" hidden="1">
      <c r="A815" s="160">
        <f t="shared" si="25"/>
        <v>46471</v>
      </c>
      <c r="B815" s="44" t="str">
        <f t="shared" si="24"/>
        <v/>
      </c>
    </row>
    <row r="816" spans="1:2" hidden="1">
      <c r="A816" s="160">
        <f t="shared" si="25"/>
        <v>46472</v>
      </c>
      <c r="B816" s="44" t="str">
        <f t="shared" si="24"/>
        <v/>
      </c>
    </row>
    <row r="817" spans="1:2" hidden="1">
      <c r="A817" s="160">
        <f t="shared" si="25"/>
        <v>46473</v>
      </c>
      <c r="B817" s="44" t="str">
        <f t="shared" si="24"/>
        <v/>
      </c>
    </row>
    <row r="818" spans="1:2" hidden="1">
      <c r="A818" s="160">
        <f t="shared" si="25"/>
        <v>46474</v>
      </c>
      <c r="B818" s="44" t="str">
        <f t="shared" si="24"/>
        <v/>
      </c>
    </row>
    <row r="819" spans="1:2" hidden="1">
      <c r="A819" s="160">
        <f t="shared" si="25"/>
        <v>46475</v>
      </c>
      <c r="B819" s="44" t="str">
        <f t="shared" si="24"/>
        <v/>
      </c>
    </row>
    <row r="820" spans="1:2" hidden="1">
      <c r="A820" s="160">
        <f t="shared" si="25"/>
        <v>46476</v>
      </c>
      <c r="B820" s="44" t="str">
        <f t="shared" si="24"/>
        <v/>
      </c>
    </row>
    <row r="821" spans="1:2" hidden="1">
      <c r="A821" s="160">
        <f t="shared" si="25"/>
        <v>46477</v>
      </c>
      <c r="B821" s="44" t="str">
        <f t="shared" si="24"/>
        <v/>
      </c>
    </row>
    <row r="822" spans="1:2" hidden="1">
      <c r="A822" s="160">
        <f t="shared" si="25"/>
        <v>46478</v>
      </c>
      <c r="B822" s="44" t="str">
        <f t="shared" si="24"/>
        <v/>
      </c>
    </row>
    <row r="823" spans="1:2" hidden="1">
      <c r="A823" s="160">
        <f t="shared" si="25"/>
        <v>46479</v>
      </c>
      <c r="B823" s="44" t="str">
        <f t="shared" si="24"/>
        <v/>
      </c>
    </row>
    <row r="824" spans="1:2" hidden="1">
      <c r="A824" s="160">
        <f t="shared" si="25"/>
        <v>46480</v>
      </c>
      <c r="B824" s="44" t="str">
        <f t="shared" si="24"/>
        <v/>
      </c>
    </row>
    <row r="825" spans="1:2" hidden="1">
      <c r="A825" s="160">
        <f t="shared" si="25"/>
        <v>46481</v>
      </c>
      <c r="B825" s="44" t="str">
        <f t="shared" si="24"/>
        <v/>
      </c>
    </row>
    <row r="826" spans="1:2" hidden="1">
      <c r="A826" s="160">
        <f t="shared" si="25"/>
        <v>46482</v>
      </c>
      <c r="B826" s="44" t="str">
        <f t="shared" si="24"/>
        <v/>
      </c>
    </row>
    <row r="827" spans="1:2" hidden="1">
      <c r="A827" s="160">
        <f t="shared" si="25"/>
        <v>46483</v>
      </c>
      <c r="B827" s="44" t="str">
        <f t="shared" si="24"/>
        <v/>
      </c>
    </row>
    <row r="828" spans="1:2" hidden="1">
      <c r="A828" s="160">
        <f t="shared" si="25"/>
        <v>46484</v>
      </c>
      <c r="B828" s="44" t="str">
        <f t="shared" si="24"/>
        <v/>
      </c>
    </row>
    <row r="829" spans="1:2" hidden="1">
      <c r="A829" s="160">
        <f t="shared" si="25"/>
        <v>46485</v>
      </c>
      <c r="B829" s="44" t="str">
        <f t="shared" si="24"/>
        <v/>
      </c>
    </row>
    <row r="830" spans="1:2" hidden="1">
      <c r="A830" s="160">
        <f t="shared" si="25"/>
        <v>46486</v>
      </c>
      <c r="B830" s="44" t="str">
        <f t="shared" si="24"/>
        <v/>
      </c>
    </row>
    <row r="831" spans="1:2" hidden="1">
      <c r="A831" s="160">
        <f t="shared" si="25"/>
        <v>46487</v>
      </c>
      <c r="B831" s="44" t="str">
        <f t="shared" si="24"/>
        <v/>
      </c>
    </row>
    <row r="832" spans="1:2" hidden="1">
      <c r="A832" s="160">
        <f t="shared" si="25"/>
        <v>46488</v>
      </c>
      <c r="B832" s="44" t="str">
        <f t="shared" si="24"/>
        <v/>
      </c>
    </row>
    <row r="833" spans="1:2" hidden="1">
      <c r="A833" s="160">
        <f t="shared" si="25"/>
        <v>46489</v>
      </c>
      <c r="B833" s="44" t="str">
        <f t="shared" si="24"/>
        <v/>
      </c>
    </row>
    <row r="834" spans="1:2" hidden="1">
      <c r="A834" s="160">
        <f t="shared" si="25"/>
        <v>46490</v>
      </c>
      <c r="B834" s="44" t="str">
        <f t="shared" ref="B834:B897" si="26">_xlfn.WEBSERVICE("http://api.excelapi.org/datetime/holiday?date="&amp;A834)</f>
        <v/>
      </c>
    </row>
    <row r="835" spans="1:2" hidden="1">
      <c r="A835" s="160">
        <f t="shared" ref="A835:A898" si="27">A834+1</f>
        <v>46491</v>
      </c>
      <c r="B835" s="44" t="str">
        <f t="shared" si="26"/>
        <v/>
      </c>
    </row>
    <row r="836" spans="1:2" hidden="1">
      <c r="A836" s="160">
        <f t="shared" si="27"/>
        <v>46492</v>
      </c>
      <c r="B836" s="44" t="str">
        <f t="shared" si="26"/>
        <v/>
      </c>
    </row>
    <row r="837" spans="1:2" hidden="1">
      <c r="A837" s="160">
        <f t="shared" si="27"/>
        <v>46493</v>
      </c>
      <c r="B837" s="44" t="str">
        <f t="shared" si="26"/>
        <v/>
      </c>
    </row>
    <row r="838" spans="1:2" hidden="1">
      <c r="A838" s="160">
        <f t="shared" si="27"/>
        <v>46494</v>
      </c>
      <c r="B838" s="44" t="str">
        <f t="shared" si="26"/>
        <v/>
      </c>
    </row>
    <row r="839" spans="1:2" hidden="1">
      <c r="A839" s="160">
        <f t="shared" si="27"/>
        <v>46495</v>
      </c>
      <c r="B839" s="44" t="str">
        <f t="shared" si="26"/>
        <v/>
      </c>
    </row>
    <row r="840" spans="1:2" hidden="1">
      <c r="A840" s="160">
        <f t="shared" si="27"/>
        <v>46496</v>
      </c>
      <c r="B840" s="44" t="str">
        <f t="shared" si="26"/>
        <v/>
      </c>
    </row>
    <row r="841" spans="1:2" hidden="1">
      <c r="A841" s="160">
        <f t="shared" si="27"/>
        <v>46497</v>
      </c>
      <c r="B841" s="44" t="str">
        <f t="shared" si="26"/>
        <v/>
      </c>
    </row>
    <row r="842" spans="1:2" hidden="1">
      <c r="A842" s="160">
        <f t="shared" si="27"/>
        <v>46498</v>
      </c>
      <c r="B842" s="44" t="str">
        <f t="shared" si="26"/>
        <v/>
      </c>
    </row>
    <row r="843" spans="1:2" hidden="1">
      <c r="A843" s="160">
        <f t="shared" si="27"/>
        <v>46499</v>
      </c>
      <c r="B843" s="44" t="str">
        <f t="shared" si="26"/>
        <v/>
      </c>
    </row>
    <row r="844" spans="1:2" hidden="1">
      <c r="A844" s="160">
        <f t="shared" si="27"/>
        <v>46500</v>
      </c>
      <c r="B844" s="44" t="str">
        <f t="shared" si="26"/>
        <v/>
      </c>
    </row>
    <row r="845" spans="1:2" hidden="1">
      <c r="A845" s="160">
        <f t="shared" si="27"/>
        <v>46501</v>
      </c>
      <c r="B845" s="44" t="str">
        <f t="shared" si="26"/>
        <v/>
      </c>
    </row>
    <row r="846" spans="1:2" hidden="1">
      <c r="A846" s="160">
        <f t="shared" si="27"/>
        <v>46502</v>
      </c>
      <c r="B846" s="44" t="str">
        <f t="shared" si="26"/>
        <v/>
      </c>
    </row>
    <row r="847" spans="1:2" hidden="1">
      <c r="A847" s="160">
        <f t="shared" si="27"/>
        <v>46503</v>
      </c>
      <c r="B847" s="44" t="str">
        <f t="shared" si="26"/>
        <v/>
      </c>
    </row>
    <row r="848" spans="1:2" hidden="1">
      <c r="A848" s="160">
        <f t="shared" si="27"/>
        <v>46504</v>
      </c>
      <c r="B848" s="44" t="str">
        <f t="shared" si="26"/>
        <v/>
      </c>
    </row>
    <row r="849" spans="1:2" hidden="1">
      <c r="A849" s="160">
        <f t="shared" si="27"/>
        <v>46505</v>
      </c>
      <c r="B849" s="44" t="str">
        <f t="shared" si="26"/>
        <v/>
      </c>
    </row>
    <row r="850" spans="1:2">
      <c r="A850" s="160">
        <f t="shared" si="27"/>
        <v>46506</v>
      </c>
      <c r="B850" s="44" t="str">
        <f t="shared" si="26"/>
        <v>昭和の日</v>
      </c>
    </row>
    <row r="851" spans="1:2" hidden="1">
      <c r="A851" s="160">
        <f t="shared" si="27"/>
        <v>46507</v>
      </c>
      <c r="B851" s="44" t="str">
        <f t="shared" si="26"/>
        <v/>
      </c>
    </row>
    <row r="852" spans="1:2" hidden="1">
      <c r="A852" s="160">
        <f t="shared" si="27"/>
        <v>46508</v>
      </c>
      <c r="B852" s="44" t="str">
        <f t="shared" si="26"/>
        <v/>
      </c>
    </row>
    <row r="853" spans="1:2" hidden="1">
      <c r="A853" s="160">
        <f t="shared" si="27"/>
        <v>46509</v>
      </c>
      <c r="B853" s="44" t="str">
        <f t="shared" si="26"/>
        <v/>
      </c>
    </row>
    <row r="854" spans="1:2">
      <c r="A854" s="160">
        <f t="shared" si="27"/>
        <v>46510</v>
      </c>
      <c r="B854" s="44" t="str">
        <f t="shared" si="26"/>
        <v>憲法記念日</v>
      </c>
    </row>
    <row r="855" spans="1:2">
      <c r="A855" s="160">
        <f t="shared" si="27"/>
        <v>46511</v>
      </c>
      <c r="B855" s="44" t="str">
        <f t="shared" si="26"/>
        <v>みどりの日</v>
      </c>
    </row>
    <row r="856" spans="1:2">
      <c r="A856" s="160">
        <f t="shared" si="27"/>
        <v>46512</v>
      </c>
      <c r="B856" s="44" t="str">
        <f t="shared" si="26"/>
        <v>こどもの日</v>
      </c>
    </row>
    <row r="857" spans="1:2" hidden="1">
      <c r="A857" s="160">
        <f t="shared" si="27"/>
        <v>46513</v>
      </c>
      <c r="B857" s="44" t="str">
        <f t="shared" si="26"/>
        <v/>
      </c>
    </row>
    <row r="858" spans="1:2" hidden="1">
      <c r="A858" s="160">
        <f t="shared" si="27"/>
        <v>46514</v>
      </c>
      <c r="B858" s="44" t="str">
        <f t="shared" si="26"/>
        <v/>
      </c>
    </row>
    <row r="859" spans="1:2" hidden="1">
      <c r="A859" s="160">
        <f t="shared" si="27"/>
        <v>46515</v>
      </c>
      <c r="B859" s="44" t="str">
        <f t="shared" si="26"/>
        <v/>
      </c>
    </row>
    <row r="860" spans="1:2" hidden="1">
      <c r="A860" s="160">
        <f t="shared" si="27"/>
        <v>46516</v>
      </c>
      <c r="B860" s="44" t="str">
        <f t="shared" si="26"/>
        <v/>
      </c>
    </row>
    <row r="861" spans="1:2" hidden="1">
      <c r="A861" s="160">
        <f t="shared" si="27"/>
        <v>46517</v>
      </c>
      <c r="B861" s="44" t="str">
        <f t="shared" si="26"/>
        <v/>
      </c>
    </row>
    <row r="862" spans="1:2" hidden="1">
      <c r="A862" s="160">
        <f t="shared" si="27"/>
        <v>46518</v>
      </c>
      <c r="B862" s="44" t="str">
        <f t="shared" si="26"/>
        <v/>
      </c>
    </row>
    <row r="863" spans="1:2" hidden="1">
      <c r="A863" s="160">
        <f t="shared" si="27"/>
        <v>46519</v>
      </c>
      <c r="B863" s="44" t="str">
        <f t="shared" si="26"/>
        <v/>
      </c>
    </row>
    <row r="864" spans="1:2" hidden="1">
      <c r="A864" s="160">
        <f t="shared" si="27"/>
        <v>46520</v>
      </c>
      <c r="B864" s="44" t="str">
        <f t="shared" si="26"/>
        <v/>
      </c>
    </row>
    <row r="865" spans="1:2" hidden="1">
      <c r="A865" s="160">
        <f t="shared" si="27"/>
        <v>46521</v>
      </c>
      <c r="B865" s="44" t="str">
        <f t="shared" si="26"/>
        <v/>
      </c>
    </row>
    <row r="866" spans="1:2" hidden="1">
      <c r="A866" s="160">
        <f t="shared" si="27"/>
        <v>46522</v>
      </c>
      <c r="B866" s="44" t="str">
        <f t="shared" si="26"/>
        <v/>
      </c>
    </row>
    <row r="867" spans="1:2" hidden="1">
      <c r="A867" s="160">
        <f t="shared" si="27"/>
        <v>46523</v>
      </c>
      <c r="B867" s="44" t="str">
        <f t="shared" si="26"/>
        <v/>
      </c>
    </row>
    <row r="868" spans="1:2" hidden="1">
      <c r="A868" s="160">
        <f t="shared" si="27"/>
        <v>46524</v>
      </c>
      <c r="B868" s="44" t="str">
        <f t="shared" si="26"/>
        <v/>
      </c>
    </row>
    <row r="869" spans="1:2" hidden="1">
      <c r="A869" s="160">
        <f t="shared" si="27"/>
        <v>46525</v>
      </c>
      <c r="B869" s="44" t="str">
        <f t="shared" si="26"/>
        <v/>
      </c>
    </row>
    <row r="870" spans="1:2" hidden="1">
      <c r="A870" s="160">
        <f t="shared" si="27"/>
        <v>46526</v>
      </c>
      <c r="B870" s="44" t="str">
        <f t="shared" si="26"/>
        <v/>
      </c>
    </row>
    <row r="871" spans="1:2" hidden="1">
      <c r="A871" s="160">
        <f t="shared" si="27"/>
        <v>46527</v>
      </c>
      <c r="B871" s="44" t="str">
        <f t="shared" si="26"/>
        <v/>
      </c>
    </row>
    <row r="872" spans="1:2" hidden="1">
      <c r="A872" s="160">
        <f t="shared" si="27"/>
        <v>46528</v>
      </c>
      <c r="B872" s="44" t="str">
        <f t="shared" si="26"/>
        <v/>
      </c>
    </row>
    <row r="873" spans="1:2" hidden="1">
      <c r="A873" s="160">
        <f t="shared" si="27"/>
        <v>46529</v>
      </c>
      <c r="B873" s="44" t="str">
        <f t="shared" si="26"/>
        <v/>
      </c>
    </row>
    <row r="874" spans="1:2" hidden="1">
      <c r="A874" s="160">
        <f t="shared" si="27"/>
        <v>46530</v>
      </c>
      <c r="B874" s="44" t="str">
        <f t="shared" si="26"/>
        <v/>
      </c>
    </row>
    <row r="875" spans="1:2" hidden="1">
      <c r="A875" s="160">
        <f t="shared" si="27"/>
        <v>46531</v>
      </c>
      <c r="B875" s="44" t="str">
        <f t="shared" si="26"/>
        <v/>
      </c>
    </row>
    <row r="876" spans="1:2" hidden="1">
      <c r="A876" s="160">
        <f t="shared" si="27"/>
        <v>46532</v>
      </c>
      <c r="B876" s="44" t="str">
        <f t="shared" si="26"/>
        <v/>
      </c>
    </row>
    <row r="877" spans="1:2" hidden="1">
      <c r="A877" s="160">
        <f t="shared" si="27"/>
        <v>46533</v>
      </c>
      <c r="B877" s="44" t="str">
        <f t="shared" si="26"/>
        <v/>
      </c>
    </row>
    <row r="878" spans="1:2" hidden="1">
      <c r="A878" s="160">
        <f t="shared" si="27"/>
        <v>46534</v>
      </c>
      <c r="B878" s="44" t="str">
        <f t="shared" si="26"/>
        <v/>
      </c>
    </row>
    <row r="879" spans="1:2" hidden="1">
      <c r="A879" s="160">
        <f t="shared" si="27"/>
        <v>46535</v>
      </c>
      <c r="B879" s="44" t="str">
        <f t="shared" si="26"/>
        <v/>
      </c>
    </row>
    <row r="880" spans="1:2" hidden="1">
      <c r="A880" s="160">
        <f t="shared" si="27"/>
        <v>46536</v>
      </c>
      <c r="B880" s="44" t="str">
        <f t="shared" si="26"/>
        <v/>
      </c>
    </row>
    <row r="881" spans="1:2" hidden="1">
      <c r="A881" s="160">
        <f t="shared" si="27"/>
        <v>46537</v>
      </c>
      <c r="B881" s="44" t="str">
        <f t="shared" si="26"/>
        <v/>
      </c>
    </row>
    <row r="882" spans="1:2" hidden="1">
      <c r="A882" s="160">
        <f t="shared" si="27"/>
        <v>46538</v>
      </c>
      <c r="B882" s="44" t="str">
        <f t="shared" si="26"/>
        <v/>
      </c>
    </row>
    <row r="883" spans="1:2" hidden="1">
      <c r="A883" s="160">
        <f t="shared" si="27"/>
        <v>46539</v>
      </c>
      <c r="B883" s="44" t="str">
        <f t="shared" si="26"/>
        <v/>
      </c>
    </row>
    <row r="884" spans="1:2" hidden="1">
      <c r="A884" s="160">
        <f t="shared" si="27"/>
        <v>46540</v>
      </c>
      <c r="B884" s="44" t="str">
        <f t="shared" si="26"/>
        <v/>
      </c>
    </row>
    <row r="885" spans="1:2" hidden="1">
      <c r="A885" s="160">
        <f t="shared" si="27"/>
        <v>46541</v>
      </c>
      <c r="B885" s="44" t="str">
        <f t="shared" si="26"/>
        <v/>
      </c>
    </row>
    <row r="886" spans="1:2" hidden="1">
      <c r="A886" s="160">
        <f t="shared" si="27"/>
        <v>46542</v>
      </c>
      <c r="B886" s="44" t="str">
        <f t="shared" si="26"/>
        <v/>
      </c>
    </row>
    <row r="887" spans="1:2" hidden="1">
      <c r="A887" s="160">
        <f t="shared" si="27"/>
        <v>46543</v>
      </c>
      <c r="B887" s="44" t="str">
        <f t="shared" si="26"/>
        <v/>
      </c>
    </row>
    <row r="888" spans="1:2" hidden="1">
      <c r="A888" s="160">
        <f t="shared" si="27"/>
        <v>46544</v>
      </c>
      <c r="B888" s="44" t="str">
        <f t="shared" si="26"/>
        <v/>
      </c>
    </row>
    <row r="889" spans="1:2" hidden="1">
      <c r="A889" s="160">
        <f t="shared" si="27"/>
        <v>46545</v>
      </c>
      <c r="B889" s="44" t="str">
        <f t="shared" si="26"/>
        <v/>
      </c>
    </row>
    <row r="890" spans="1:2" hidden="1">
      <c r="A890" s="160">
        <f t="shared" si="27"/>
        <v>46546</v>
      </c>
      <c r="B890" s="44" t="str">
        <f t="shared" si="26"/>
        <v/>
      </c>
    </row>
    <row r="891" spans="1:2" hidden="1">
      <c r="A891" s="160">
        <f t="shared" si="27"/>
        <v>46547</v>
      </c>
      <c r="B891" s="44" t="str">
        <f t="shared" si="26"/>
        <v/>
      </c>
    </row>
    <row r="892" spans="1:2" hidden="1">
      <c r="A892" s="160">
        <f t="shared" si="27"/>
        <v>46548</v>
      </c>
      <c r="B892" s="44" t="str">
        <f t="shared" si="26"/>
        <v/>
      </c>
    </row>
    <row r="893" spans="1:2" hidden="1">
      <c r="A893" s="160">
        <f t="shared" si="27"/>
        <v>46549</v>
      </c>
      <c r="B893" s="44" t="str">
        <f t="shared" si="26"/>
        <v/>
      </c>
    </row>
    <row r="894" spans="1:2" hidden="1">
      <c r="A894" s="160">
        <f t="shared" si="27"/>
        <v>46550</v>
      </c>
      <c r="B894" s="44" t="str">
        <f t="shared" si="26"/>
        <v/>
      </c>
    </row>
    <row r="895" spans="1:2" hidden="1">
      <c r="A895" s="160">
        <f t="shared" si="27"/>
        <v>46551</v>
      </c>
      <c r="B895" s="44" t="str">
        <f t="shared" si="26"/>
        <v/>
      </c>
    </row>
    <row r="896" spans="1:2" hidden="1">
      <c r="A896" s="160">
        <f t="shared" si="27"/>
        <v>46552</v>
      </c>
      <c r="B896" s="44" t="str">
        <f t="shared" si="26"/>
        <v/>
      </c>
    </row>
    <row r="897" spans="1:2" hidden="1">
      <c r="A897" s="160">
        <f t="shared" si="27"/>
        <v>46553</v>
      </c>
      <c r="B897" s="44" t="str">
        <f t="shared" si="26"/>
        <v/>
      </c>
    </row>
    <row r="898" spans="1:2" hidden="1">
      <c r="A898" s="160">
        <f t="shared" si="27"/>
        <v>46554</v>
      </c>
      <c r="B898" s="44" t="str">
        <f t="shared" ref="B898:B961" si="28">_xlfn.WEBSERVICE("http://api.excelapi.org/datetime/holiday?date="&amp;A898)</f>
        <v/>
      </c>
    </row>
    <row r="899" spans="1:2" hidden="1">
      <c r="A899" s="160">
        <f t="shared" ref="A899:A962" si="29">A898+1</f>
        <v>46555</v>
      </c>
      <c r="B899" s="44" t="str">
        <f t="shared" si="28"/>
        <v/>
      </c>
    </row>
    <row r="900" spans="1:2" hidden="1">
      <c r="A900" s="160">
        <f t="shared" si="29"/>
        <v>46556</v>
      </c>
      <c r="B900" s="44" t="str">
        <f t="shared" si="28"/>
        <v/>
      </c>
    </row>
    <row r="901" spans="1:2" hidden="1">
      <c r="A901" s="160">
        <f t="shared" si="29"/>
        <v>46557</v>
      </c>
      <c r="B901" s="44" t="str">
        <f t="shared" si="28"/>
        <v/>
      </c>
    </row>
    <row r="902" spans="1:2" hidden="1">
      <c r="A902" s="160">
        <f t="shared" si="29"/>
        <v>46558</v>
      </c>
      <c r="B902" s="44" t="str">
        <f t="shared" si="28"/>
        <v/>
      </c>
    </row>
    <row r="903" spans="1:2" hidden="1">
      <c r="A903" s="160">
        <f t="shared" si="29"/>
        <v>46559</v>
      </c>
      <c r="B903" s="44" t="str">
        <f t="shared" si="28"/>
        <v/>
      </c>
    </row>
    <row r="904" spans="1:2" hidden="1">
      <c r="A904" s="160">
        <f t="shared" si="29"/>
        <v>46560</v>
      </c>
      <c r="B904" s="44" t="str">
        <f t="shared" si="28"/>
        <v/>
      </c>
    </row>
    <row r="905" spans="1:2" hidden="1">
      <c r="A905" s="160">
        <f t="shared" si="29"/>
        <v>46561</v>
      </c>
      <c r="B905" s="44" t="str">
        <f t="shared" si="28"/>
        <v/>
      </c>
    </row>
    <row r="906" spans="1:2" hidden="1">
      <c r="A906" s="160">
        <f t="shared" si="29"/>
        <v>46562</v>
      </c>
      <c r="B906" s="44" t="str">
        <f t="shared" si="28"/>
        <v/>
      </c>
    </row>
    <row r="907" spans="1:2" hidden="1">
      <c r="A907" s="160">
        <f t="shared" si="29"/>
        <v>46563</v>
      </c>
      <c r="B907" s="44" t="str">
        <f t="shared" si="28"/>
        <v/>
      </c>
    </row>
    <row r="908" spans="1:2" hidden="1">
      <c r="A908" s="160">
        <f t="shared" si="29"/>
        <v>46564</v>
      </c>
      <c r="B908" s="44" t="str">
        <f t="shared" si="28"/>
        <v/>
      </c>
    </row>
    <row r="909" spans="1:2" hidden="1">
      <c r="A909" s="160">
        <f t="shared" si="29"/>
        <v>46565</v>
      </c>
      <c r="B909" s="44" t="str">
        <f t="shared" si="28"/>
        <v/>
      </c>
    </row>
    <row r="910" spans="1:2" hidden="1">
      <c r="A910" s="160">
        <f t="shared" si="29"/>
        <v>46566</v>
      </c>
      <c r="B910" s="44" t="str">
        <f t="shared" si="28"/>
        <v/>
      </c>
    </row>
    <row r="911" spans="1:2" hidden="1">
      <c r="A911" s="160">
        <f t="shared" si="29"/>
        <v>46567</v>
      </c>
      <c r="B911" s="44" t="str">
        <f t="shared" si="28"/>
        <v/>
      </c>
    </row>
    <row r="912" spans="1:2" hidden="1">
      <c r="A912" s="160">
        <f t="shared" si="29"/>
        <v>46568</v>
      </c>
      <c r="B912" s="44" t="str">
        <f t="shared" si="28"/>
        <v/>
      </c>
    </row>
    <row r="913" spans="1:2" hidden="1">
      <c r="A913" s="160">
        <f t="shared" si="29"/>
        <v>46569</v>
      </c>
      <c r="B913" s="44" t="str">
        <f t="shared" si="28"/>
        <v/>
      </c>
    </row>
    <row r="914" spans="1:2" hidden="1">
      <c r="A914" s="160">
        <f t="shared" si="29"/>
        <v>46570</v>
      </c>
      <c r="B914" s="44" t="str">
        <f t="shared" si="28"/>
        <v/>
      </c>
    </row>
    <row r="915" spans="1:2" hidden="1">
      <c r="A915" s="160">
        <f t="shared" si="29"/>
        <v>46571</v>
      </c>
      <c r="B915" s="44" t="str">
        <f t="shared" si="28"/>
        <v/>
      </c>
    </row>
    <row r="916" spans="1:2" hidden="1">
      <c r="A916" s="160">
        <f t="shared" si="29"/>
        <v>46572</v>
      </c>
      <c r="B916" s="44" t="str">
        <f t="shared" si="28"/>
        <v/>
      </c>
    </row>
    <row r="917" spans="1:2" hidden="1">
      <c r="A917" s="160">
        <f t="shared" si="29"/>
        <v>46573</v>
      </c>
      <c r="B917" s="44" t="str">
        <f t="shared" si="28"/>
        <v/>
      </c>
    </row>
    <row r="918" spans="1:2" hidden="1">
      <c r="A918" s="160">
        <f t="shared" si="29"/>
        <v>46574</v>
      </c>
      <c r="B918" s="44" t="str">
        <f t="shared" si="28"/>
        <v/>
      </c>
    </row>
    <row r="919" spans="1:2" hidden="1">
      <c r="A919" s="160">
        <f t="shared" si="29"/>
        <v>46575</v>
      </c>
      <c r="B919" s="44" t="str">
        <f t="shared" si="28"/>
        <v/>
      </c>
    </row>
    <row r="920" spans="1:2" hidden="1">
      <c r="A920" s="160">
        <f t="shared" si="29"/>
        <v>46576</v>
      </c>
      <c r="B920" s="44" t="str">
        <f t="shared" si="28"/>
        <v/>
      </c>
    </row>
    <row r="921" spans="1:2" hidden="1">
      <c r="A921" s="160">
        <f t="shared" si="29"/>
        <v>46577</v>
      </c>
      <c r="B921" s="44" t="str">
        <f t="shared" si="28"/>
        <v/>
      </c>
    </row>
    <row r="922" spans="1:2" hidden="1">
      <c r="A922" s="160">
        <f t="shared" si="29"/>
        <v>46578</v>
      </c>
      <c r="B922" s="44" t="str">
        <f t="shared" si="28"/>
        <v/>
      </c>
    </row>
    <row r="923" spans="1:2" hidden="1">
      <c r="A923" s="160">
        <f t="shared" si="29"/>
        <v>46579</v>
      </c>
      <c r="B923" s="44" t="str">
        <f t="shared" si="28"/>
        <v/>
      </c>
    </row>
    <row r="924" spans="1:2" hidden="1">
      <c r="A924" s="160">
        <f t="shared" si="29"/>
        <v>46580</v>
      </c>
      <c r="B924" s="44" t="str">
        <f t="shared" si="28"/>
        <v/>
      </c>
    </row>
    <row r="925" spans="1:2" hidden="1">
      <c r="A925" s="160">
        <f t="shared" si="29"/>
        <v>46581</v>
      </c>
      <c r="B925" s="44" t="str">
        <f t="shared" si="28"/>
        <v/>
      </c>
    </row>
    <row r="926" spans="1:2" hidden="1">
      <c r="A926" s="160">
        <f t="shared" si="29"/>
        <v>46582</v>
      </c>
      <c r="B926" s="44" t="str">
        <f t="shared" si="28"/>
        <v/>
      </c>
    </row>
    <row r="927" spans="1:2" hidden="1">
      <c r="A927" s="160">
        <f t="shared" si="29"/>
        <v>46583</v>
      </c>
      <c r="B927" s="44" t="str">
        <f t="shared" si="28"/>
        <v/>
      </c>
    </row>
    <row r="928" spans="1:2" hidden="1">
      <c r="A928" s="160">
        <f t="shared" si="29"/>
        <v>46584</v>
      </c>
      <c r="B928" s="44" t="str">
        <f t="shared" si="28"/>
        <v/>
      </c>
    </row>
    <row r="929" spans="1:2" hidden="1">
      <c r="A929" s="160">
        <f t="shared" si="29"/>
        <v>46585</v>
      </c>
      <c r="B929" s="44" t="str">
        <f t="shared" si="28"/>
        <v/>
      </c>
    </row>
    <row r="930" spans="1:2" hidden="1">
      <c r="A930" s="160">
        <f t="shared" si="29"/>
        <v>46586</v>
      </c>
      <c r="B930" s="44" t="str">
        <f t="shared" si="28"/>
        <v/>
      </c>
    </row>
    <row r="931" spans="1:2">
      <c r="A931" s="160">
        <f t="shared" si="29"/>
        <v>46587</v>
      </c>
      <c r="B931" s="44" t="str">
        <f t="shared" si="28"/>
        <v>海の日</v>
      </c>
    </row>
    <row r="932" spans="1:2" hidden="1">
      <c r="A932" s="160">
        <f t="shared" si="29"/>
        <v>46588</v>
      </c>
      <c r="B932" s="44" t="str">
        <f t="shared" si="28"/>
        <v/>
      </c>
    </row>
    <row r="933" spans="1:2" hidden="1">
      <c r="A933" s="160">
        <f t="shared" si="29"/>
        <v>46589</v>
      </c>
      <c r="B933" s="44" t="str">
        <f t="shared" si="28"/>
        <v/>
      </c>
    </row>
    <row r="934" spans="1:2" hidden="1">
      <c r="A934" s="160">
        <f t="shared" si="29"/>
        <v>46590</v>
      </c>
      <c r="B934" s="44" t="str">
        <f t="shared" si="28"/>
        <v/>
      </c>
    </row>
    <row r="935" spans="1:2" hidden="1">
      <c r="A935" s="160">
        <f t="shared" si="29"/>
        <v>46591</v>
      </c>
      <c r="B935" s="44" t="str">
        <f t="shared" si="28"/>
        <v/>
      </c>
    </row>
    <row r="936" spans="1:2" hidden="1">
      <c r="A936" s="160">
        <f t="shared" si="29"/>
        <v>46592</v>
      </c>
      <c r="B936" s="44" t="str">
        <f t="shared" si="28"/>
        <v/>
      </c>
    </row>
    <row r="937" spans="1:2" hidden="1">
      <c r="A937" s="160">
        <f t="shared" si="29"/>
        <v>46593</v>
      </c>
      <c r="B937" s="44" t="str">
        <f t="shared" si="28"/>
        <v/>
      </c>
    </row>
    <row r="938" spans="1:2" hidden="1">
      <c r="A938" s="160">
        <f t="shared" si="29"/>
        <v>46594</v>
      </c>
      <c r="B938" s="44" t="str">
        <f t="shared" si="28"/>
        <v/>
      </c>
    </row>
    <row r="939" spans="1:2" hidden="1">
      <c r="A939" s="160">
        <f t="shared" si="29"/>
        <v>46595</v>
      </c>
      <c r="B939" s="44" t="str">
        <f t="shared" si="28"/>
        <v/>
      </c>
    </row>
    <row r="940" spans="1:2" hidden="1">
      <c r="A940" s="160">
        <f t="shared" si="29"/>
        <v>46596</v>
      </c>
      <c r="B940" s="44" t="str">
        <f t="shared" si="28"/>
        <v/>
      </c>
    </row>
    <row r="941" spans="1:2" hidden="1">
      <c r="A941" s="160">
        <f t="shared" si="29"/>
        <v>46597</v>
      </c>
      <c r="B941" s="44" t="str">
        <f t="shared" si="28"/>
        <v/>
      </c>
    </row>
    <row r="942" spans="1:2" hidden="1">
      <c r="A942" s="160">
        <f t="shared" si="29"/>
        <v>46598</v>
      </c>
      <c r="B942" s="44" t="str">
        <f t="shared" si="28"/>
        <v/>
      </c>
    </row>
    <row r="943" spans="1:2" hidden="1">
      <c r="A943" s="160">
        <f t="shared" si="29"/>
        <v>46599</v>
      </c>
      <c r="B943" s="44" t="str">
        <f t="shared" si="28"/>
        <v/>
      </c>
    </row>
    <row r="944" spans="1:2" hidden="1">
      <c r="A944" s="160">
        <f t="shared" si="29"/>
        <v>46600</v>
      </c>
      <c r="B944" s="44" t="str">
        <f t="shared" si="28"/>
        <v/>
      </c>
    </row>
    <row r="945" spans="1:2" hidden="1">
      <c r="A945" s="160">
        <f t="shared" si="29"/>
        <v>46601</v>
      </c>
      <c r="B945" s="44" t="str">
        <f t="shared" si="28"/>
        <v/>
      </c>
    </row>
    <row r="946" spans="1:2" hidden="1">
      <c r="A946" s="160">
        <f t="shared" si="29"/>
        <v>46602</v>
      </c>
      <c r="B946" s="44" t="str">
        <f t="shared" si="28"/>
        <v/>
      </c>
    </row>
    <row r="947" spans="1:2" hidden="1">
      <c r="A947" s="160">
        <f t="shared" si="29"/>
        <v>46603</v>
      </c>
      <c r="B947" s="44" t="str">
        <f t="shared" si="28"/>
        <v/>
      </c>
    </row>
    <row r="948" spans="1:2" hidden="1">
      <c r="A948" s="160">
        <f t="shared" si="29"/>
        <v>46604</v>
      </c>
      <c r="B948" s="44" t="str">
        <f t="shared" si="28"/>
        <v/>
      </c>
    </row>
    <row r="949" spans="1:2" hidden="1">
      <c r="A949" s="160">
        <f t="shared" si="29"/>
        <v>46605</v>
      </c>
      <c r="B949" s="44" t="str">
        <f t="shared" si="28"/>
        <v/>
      </c>
    </row>
    <row r="950" spans="1:2" hidden="1">
      <c r="A950" s="160">
        <f t="shared" si="29"/>
        <v>46606</v>
      </c>
      <c r="B950" s="44" t="str">
        <f t="shared" si="28"/>
        <v/>
      </c>
    </row>
    <row r="951" spans="1:2" hidden="1">
      <c r="A951" s="160">
        <f t="shared" si="29"/>
        <v>46607</v>
      </c>
      <c r="B951" s="44" t="str">
        <f t="shared" si="28"/>
        <v/>
      </c>
    </row>
    <row r="952" spans="1:2" hidden="1">
      <c r="A952" s="160">
        <f t="shared" si="29"/>
        <v>46608</v>
      </c>
      <c r="B952" s="44" t="str">
        <f t="shared" si="28"/>
        <v/>
      </c>
    </row>
    <row r="953" spans="1:2" hidden="1">
      <c r="A953" s="160">
        <f t="shared" si="29"/>
        <v>46609</v>
      </c>
      <c r="B953" s="44" t="str">
        <f t="shared" si="28"/>
        <v/>
      </c>
    </row>
    <row r="954" spans="1:2">
      <c r="A954" s="160">
        <f t="shared" si="29"/>
        <v>46610</v>
      </c>
      <c r="B954" s="44" t="str">
        <f t="shared" si="28"/>
        <v>山の日</v>
      </c>
    </row>
    <row r="955" spans="1:2" hidden="1">
      <c r="A955" s="160">
        <f t="shared" si="29"/>
        <v>46611</v>
      </c>
      <c r="B955" s="44" t="str">
        <f t="shared" si="28"/>
        <v/>
      </c>
    </row>
    <row r="956" spans="1:2" hidden="1">
      <c r="A956" s="160">
        <f t="shared" si="29"/>
        <v>46612</v>
      </c>
      <c r="B956" s="44" t="str">
        <f t="shared" si="28"/>
        <v/>
      </c>
    </row>
    <row r="957" spans="1:2" hidden="1">
      <c r="A957" s="160">
        <f t="shared" si="29"/>
        <v>46613</v>
      </c>
      <c r="B957" s="44" t="str">
        <f t="shared" si="28"/>
        <v/>
      </c>
    </row>
    <row r="958" spans="1:2" hidden="1">
      <c r="A958" s="160">
        <f t="shared" si="29"/>
        <v>46614</v>
      </c>
      <c r="B958" s="44" t="str">
        <f t="shared" si="28"/>
        <v/>
      </c>
    </row>
    <row r="959" spans="1:2" hidden="1">
      <c r="A959" s="160">
        <f t="shared" si="29"/>
        <v>46615</v>
      </c>
      <c r="B959" s="44" t="str">
        <f t="shared" si="28"/>
        <v/>
      </c>
    </row>
    <row r="960" spans="1:2" hidden="1">
      <c r="A960" s="160">
        <f t="shared" si="29"/>
        <v>46616</v>
      </c>
      <c r="B960" s="44" t="str">
        <f t="shared" si="28"/>
        <v/>
      </c>
    </row>
    <row r="961" spans="1:2" hidden="1">
      <c r="A961" s="160">
        <f t="shared" si="29"/>
        <v>46617</v>
      </c>
      <c r="B961" s="44" t="str">
        <f t="shared" si="28"/>
        <v/>
      </c>
    </row>
    <row r="962" spans="1:2" hidden="1">
      <c r="A962" s="160">
        <f t="shared" si="29"/>
        <v>46618</v>
      </c>
      <c r="B962" s="44" t="str">
        <f t="shared" ref="B962:B1025" si="30">_xlfn.WEBSERVICE("http://api.excelapi.org/datetime/holiday?date="&amp;A962)</f>
        <v/>
      </c>
    </row>
    <row r="963" spans="1:2" hidden="1">
      <c r="A963" s="160">
        <f t="shared" ref="A963:A1026" si="31">A962+1</f>
        <v>46619</v>
      </c>
      <c r="B963" s="44" t="str">
        <f t="shared" si="30"/>
        <v/>
      </c>
    </row>
    <row r="964" spans="1:2" hidden="1">
      <c r="A964" s="160">
        <f t="shared" si="31"/>
        <v>46620</v>
      </c>
      <c r="B964" s="44" t="str">
        <f t="shared" si="30"/>
        <v/>
      </c>
    </row>
    <row r="965" spans="1:2" hidden="1">
      <c r="A965" s="160">
        <f t="shared" si="31"/>
        <v>46621</v>
      </c>
      <c r="B965" s="44" t="str">
        <f t="shared" si="30"/>
        <v/>
      </c>
    </row>
    <row r="966" spans="1:2" hidden="1">
      <c r="A966" s="160">
        <f t="shared" si="31"/>
        <v>46622</v>
      </c>
      <c r="B966" s="44" t="str">
        <f t="shared" si="30"/>
        <v/>
      </c>
    </row>
    <row r="967" spans="1:2" hidden="1">
      <c r="A967" s="160">
        <f t="shared" si="31"/>
        <v>46623</v>
      </c>
      <c r="B967" s="44" t="str">
        <f t="shared" si="30"/>
        <v/>
      </c>
    </row>
    <row r="968" spans="1:2" hidden="1">
      <c r="A968" s="160">
        <f t="shared" si="31"/>
        <v>46624</v>
      </c>
      <c r="B968" s="44" t="str">
        <f t="shared" si="30"/>
        <v/>
      </c>
    </row>
    <row r="969" spans="1:2" hidden="1">
      <c r="A969" s="160">
        <f t="shared" si="31"/>
        <v>46625</v>
      </c>
      <c r="B969" s="44" t="str">
        <f t="shared" si="30"/>
        <v/>
      </c>
    </row>
    <row r="970" spans="1:2" hidden="1">
      <c r="A970" s="160">
        <f t="shared" si="31"/>
        <v>46626</v>
      </c>
      <c r="B970" s="44" t="str">
        <f t="shared" si="30"/>
        <v/>
      </c>
    </row>
    <row r="971" spans="1:2" hidden="1">
      <c r="A971" s="160">
        <f t="shared" si="31"/>
        <v>46627</v>
      </c>
      <c r="B971" s="44" t="str">
        <f t="shared" si="30"/>
        <v/>
      </c>
    </row>
    <row r="972" spans="1:2" hidden="1">
      <c r="A972" s="160">
        <f t="shared" si="31"/>
        <v>46628</v>
      </c>
      <c r="B972" s="44" t="str">
        <f t="shared" si="30"/>
        <v/>
      </c>
    </row>
    <row r="973" spans="1:2" hidden="1">
      <c r="A973" s="160">
        <f t="shared" si="31"/>
        <v>46629</v>
      </c>
      <c r="B973" s="44" t="str">
        <f t="shared" si="30"/>
        <v/>
      </c>
    </row>
    <row r="974" spans="1:2" hidden="1">
      <c r="A974" s="160">
        <f t="shared" si="31"/>
        <v>46630</v>
      </c>
      <c r="B974" s="44" t="str">
        <f t="shared" si="30"/>
        <v/>
      </c>
    </row>
    <row r="975" spans="1:2" hidden="1">
      <c r="A975" s="160">
        <f t="shared" si="31"/>
        <v>46631</v>
      </c>
      <c r="B975" s="44" t="str">
        <f t="shared" si="30"/>
        <v/>
      </c>
    </row>
    <row r="976" spans="1:2" hidden="1">
      <c r="A976" s="160">
        <f t="shared" si="31"/>
        <v>46632</v>
      </c>
      <c r="B976" s="44" t="str">
        <f t="shared" si="30"/>
        <v/>
      </c>
    </row>
    <row r="977" spans="1:2" hidden="1">
      <c r="A977" s="160">
        <f t="shared" si="31"/>
        <v>46633</v>
      </c>
      <c r="B977" s="44" t="str">
        <f t="shared" si="30"/>
        <v/>
      </c>
    </row>
    <row r="978" spans="1:2" hidden="1">
      <c r="A978" s="160">
        <f t="shared" si="31"/>
        <v>46634</v>
      </c>
      <c r="B978" s="44" t="str">
        <f t="shared" si="30"/>
        <v/>
      </c>
    </row>
    <row r="979" spans="1:2" hidden="1">
      <c r="A979" s="160">
        <f t="shared" si="31"/>
        <v>46635</v>
      </c>
      <c r="B979" s="44" t="str">
        <f t="shared" si="30"/>
        <v/>
      </c>
    </row>
    <row r="980" spans="1:2" hidden="1">
      <c r="A980" s="160">
        <f t="shared" si="31"/>
        <v>46636</v>
      </c>
      <c r="B980" s="44" t="str">
        <f t="shared" si="30"/>
        <v/>
      </c>
    </row>
    <row r="981" spans="1:2" hidden="1">
      <c r="A981" s="160">
        <f t="shared" si="31"/>
        <v>46637</v>
      </c>
      <c r="B981" s="44" t="str">
        <f t="shared" si="30"/>
        <v/>
      </c>
    </row>
    <row r="982" spans="1:2" hidden="1">
      <c r="A982" s="160">
        <f t="shared" si="31"/>
        <v>46638</v>
      </c>
      <c r="B982" s="44" t="str">
        <f t="shared" si="30"/>
        <v/>
      </c>
    </row>
    <row r="983" spans="1:2" hidden="1">
      <c r="A983" s="160">
        <f t="shared" si="31"/>
        <v>46639</v>
      </c>
      <c r="B983" s="44" t="str">
        <f t="shared" si="30"/>
        <v/>
      </c>
    </row>
    <row r="984" spans="1:2" hidden="1">
      <c r="A984" s="160">
        <f t="shared" si="31"/>
        <v>46640</v>
      </c>
      <c r="B984" s="44" t="str">
        <f t="shared" si="30"/>
        <v/>
      </c>
    </row>
    <row r="985" spans="1:2" hidden="1">
      <c r="A985" s="160">
        <f t="shared" si="31"/>
        <v>46641</v>
      </c>
      <c r="B985" s="44" t="str">
        <f t="shared" si="30"/>
        <v/>
      </c>
    </row>
    <row r="986" spans="1:2" hidden="1">
      <c r="A986" s="160">
        <f t="shared" si="31"/>
        <v>46642</v>
      </c>
      <c r="B986" s="44" t="str">
        <f t="shared" si="30"/>
        <v/>
      </c>
    </row>
    <row r="987" spans="1:2" hidden="1">
      <c r="A987" s="160">
        <f t="shared" si="31"/>
        <v>46643</v>
      </c>
      <c r="B987" s="44" t="str">
        <f t="shared" si="30"/>
        <v/>
      </c>
    </row>
    <row r="988" spans="1:2" hidden="1">
      <c r="A988" s="160">
        <f t="shared" si="31"/>
        <v>46644</v>
      </c>
      <c r="B988" s="44" t="str">
        <f t="shared" si="30"/>
        <v/>
      </c>
    </row>
    <row r="989" spans="1:2" hidden="1">
      <c r="A989" s="160">
        <f t="shared" si="31"/>
        <v>46645</v>
      </c>
      <c r="B989" s="44" t="str">
        <f t="shared" si="30"/>
        <v/>
      </c>
    </row>
    <row r="990" spans="1:2" hidden="1">
      <c r="A990" s="160">
        <f t="shared" si="31"/>
        <v>46646</v>
      </c>
      <c r="B990" s="44" t="str">
        <f t="shared" si="30"/>
        <v/>
      </c>
    </row>
    <row r="991" spans="1:2" hidden="1">
      <c r="A991" s="160">
        <f t="shared" si="31"/>
        <v>46647</v>
      </c>
      <c r="B991" s="44" t="str">
        <f t="shared" si="30"/>
        <v/>
      </c>
    </row>
    <row r="992" spans="1:2" hidden="1">
      <c r="A992" s="160">
        <f t="shared" si="31"/>
        <v>46648</v>
      </c>
      <c r="B992" s="44" t="str">
        <f t="shared" si="30"/>
        <v/>
      </c>
    </row>
    <row r="993" spans="1:2" hidden="1">
      <c r="A993" s="160">
        <f t="shared" si="31"/>
        <v>46649</v>
      </c>
      <c r="B993" s="44" t="str">
        <f t="shared" si="30"/>
        <v/>
      </c>
    </row>
    <row r="994" spans="1:2">
      <c r="A994" s="160">
        <f t="shared" si="31"/>
        <v>46650</v>
      </c>
      <c r="B994" s="44" t="str">
        <f t="shared" si="30"/>
        <v>敬老の日</v>
      </c>
    </row>
    <row r="995" spans="1:2" hidden="1">
      <c r="A995" s="160">
        <f t="shared" si="31"/>
        <v>46651</v>
      </c>
      <c r="B995" s="44" t="str">
        <f t="shared" si="30"/>
        <v/>
      </c>
    </row>
    <row r="996" spans="1:2" hidden="1">
      <c r="A996" s="160">
        <f t="shared" si="31"/>
        <v>46652</v>
      </c>
      <c r="B996" s="44" t="str">
        <f t="shared" si="30"/>
        <v/>
      </c>
    </row>
    <row r="997" spans="1:2">
      <c r="A997" s="160">
        <f t="shared" si="31"/>
        <v>46653</v>
      </c>
      <c r="B997" s="44" t="str">
        <f t="shared" si="30"/>
        <v>秋分の日</v>
      </c>
    </row>
    <row r="998" spans="1:2" hidden="1">
      <c r="A998" s="160">
        <f t="shared" si="31"/>
        <v>46654</v>
      </c>
      <c r="B998" s="44" t="str">
        <f t="shared" si="30"/>
        <v/>
      </c>
    </row>
    <row r="999" spans="1:2" hidden="1">
      <c r="A999" s="160">
        <f t="shared" si="31"/>
        <v>46655</v>
      </c>
      <c r="B999" s="44" t="str">
        <f t="shared" si="30"/>
        <v/>
      </c>
    </row>
    <row r="1000" spans="1:2" hidden="1">
      <c r="A1000" s="160">
        <f t="shared" si="31"/>
        <v>46656</v>
      </c>
      <c r="B1000" s="44" t="str">
        <f t="shared" si="30"/>
        <v/>
      </c>
    </row>
    <row r="1001" spans="1:2" hidden="1">
      <c r="A1001" s="160">
        <f t="shared" si="31"/>
        <v>46657</v>
      </c>
      <c r="B1001" s="44" t="str">
        <f t="shared" si="30"/>
        <v/>
      </c>
    </row>
    <row r="1002" spans="1:2" hidden="1">
      <c r="A1002" s="160">
        <f t="shared" si="31"/>
        <v>46658</v>
      </c>
      <c r="B1002" s="44" t="str">
        <f t="shared" si="30"/>
        <v/>
      </c>
    </row>
    <row r="1003" spans="1:2" hidden="1">
      <c r="A1003" s="160">
        <f t="shared" si="31"/>
        <v>46659</v>
      </c>
      <c r="B1003" s="44" t="str">
        <f t="shared" si="30"/>
        <v/>
      </c>
    </row>
    <row r="1004" spans="1:2" hidden="1">
      <c r="A1004" s="160">
        <f t="shared" si="31"/>
        <v>46660</v>
      </c>
      <c r="B1004" s="44" t="str">
        <f t="shared" si="30"/>
        <v/>
      </c>
    </row>
    <row r="1005" spans="1:2" hidden="1">
      <c r="A1005" s="160">
        <f t="shared" si="31"/>
        <v>46661</v>
      </c>
      <c r="B1005" s="44" t="str">
        <f t="shared" si="30"/>
        <v/>
      </c>
    </row>
    <row r="1006" spans="1:2" hidden="1">
      <c r="A1006" s="160">
        <f t="shared" si="31"/>
        <v>46662</v>
      </c>
      <c r="B1006" s="44" t="str">
        <f t="shared" si="30"/>
        <v/>
      </c>
    </row>
    <row r="1007" spans="1:2" hidden="1">
      <c r="A1007" s="160">
        <f t="shared" si="31"/>
        <v>46663</v>
      </c>
      <c r="B1007" s="44" t="str">
        <f t="shared" si="30"/>
        <v/>
      </c>
    </row>
    <row r="1008" spans="1:2" hidden="1">
      <c r="A1008" s="160">
        <f t="shared" si="31"/>
        <v>46664</v>
      </c>
      <c r="B1008" s="44" t="str">
        <f t="shared" si="30"/>
        <v/>
      </c>
    </row>
    <row r="1009" spans="1:2" hidden="1">
      <c r="A1009" s="160">
        <f t="shared" si="31"/>
        <v>46665</v>
      </c>
      <c r="B1009" s="44" t="str">
        <f t="shared" si="30"/>
        <v/>
      </c>
    </row>
    <row r="1010" spans="1:2" hidden="1">
      <c r="A1010" s="160">
        <f t="shared" si="31"/>
        <v>46666</v>
      </c>
      <c r="B1010" s="44" t="str">
        <f t="shared" si="30"/>
        <v/>
      </c>
    </row>
    <row r="1011" spans="1:2" hidden="1">
      <c r="A1011" s="160">
        <f t="shared" si="31"/>
        <v>46667</v>
      </c>
      <c r="B1011" s="44" t="str">
        <f t="shared" si="30"/>
        <v/>
      </c>
    </row>
    <row r="1012" spans="1:2" hidden="1">
      <c r="A1012" s="160">
        <f t="shared" si="31"/>
        <v>46668</v>
      </c>
      <c r="B1012" s="44" t="str">
        <f t="shared" si="30"/>
        <v/>
      </c>
    </row>
    <row r="1013" spans="1:2" hidden="1">
      <c r="A1013" s="160">
        <f t="shared" si="31"/>
        <v>46669</v>
      </c>
      <c r="B1013" s="44" t="str">
        <f t="shared" si="30"/>
        <v/>
      </c>
    </row>
    <row r="1014" spans="1:2" hidden="1">
      <c r="A1014" s="160">
        <f t="shared" si="31"/>
        <v>46670</v>
      </c>
      <c r="B1014" s="44" t="str">
        <f t="shared" si="30"/>
        <v/>
      </c>
    </row>
    <row r="1015" spans="1:2">
      <c r="A1015" s="160">
        <f t="shared" si="31"/>
        <v>46671</v>
      </c>
      <c r="B1015" s="44" t="str">
        <f t="shared" si="30"/>
        <v>スポーツの日</v>
      </c>
    </row>
    <row r="1016" spans="1:2" hidden="1">
      <c r="A1016" s="160">
        <f t="shared" si="31"/>
        <v>46672</v>
      </c>
      <c r="B1016" s="44" t="str">
        <f t="shared" si="30"/>
        <v/>
      </c>
    </row>
    <row r="1017" spans="1:2" hidden="1">
      <c r="A1017" s="160">
        <f t="shared" si="31"/>
        <v>46673</v>
      </c>
      <c r="B1017" s="44" t="str">
        <f t="shared" si="30"/>
        <v/>
      </c>
    </row>
    <row r="1018" spans="1:2" hidden="1">
      <c r="A1018" s="160">
        <f t="shared" si="31"/>
        <v>46674</v>
      </c>
      <c r="B1018" s="44" t="str">
        <f t="shared" si="30"/>
        <v/>
      </c>
    </row>
    <row r="1019" spans="1:2" hidden="1">
      <c r="A1019" s="160">
        <f t="shared" si="31"/>
        <v>46675</v>
      </c>
      <c r="B1019" s="44" t="str">
        <f t="shared" si="30"/>
        <v/>
      </c>
    </row>
    <row r="1020" spans="1:2" hidden="1">
      <c r="A1020" s="160">
        <f t="shared" si="31"/>
        <v>46676</v>
      </c>
      <c r="B1020" s="44" t="str">
        <f t="shared" si="30"/>
        <v/>
      </c>
    </row>
    <row r="1021" spans="1:2" hidden="1">
      <c r="A1021" s="160">
        <f t="shared" si="31"/>
        <v>46677</v>
      </c>
      <c r="B1021" s="44" t="str">
        <f t="shared" si="30"/>
        <v/>
      </c>
    </row>
    <row r="1022" spans="1:2" hidden="1">
      <c r="A1022" s="160">
        <f t="shared" si="31"/>
        <v>46678</v>
      </c>
      <c r="B1022" s="44" t="str">
        <f t="shared" si="30"/>
        <v/>
      </c>
    </row>
    <row r="1023" spans="1:2" hidden="1">
      <c r="A1023" s="160">
        <f t="shared" si="31"/>
        <v>46679</v>
      </c>
      <c r="B1023" s="44" t="str">
        <f t="shared" si="30"/>
        <v/>
      </c>
    </row>
    <row r="1024" spans="1:2" hidden="1">
      <c r="A1024" s="160">
        <f t="shared" si="31"/>
        <v>46680</v>
      </c>
      <c r="B1024" s="44" t="str">
        <f t="shared" si="30"/>
        <v/>
      </c>
    </row>
    <row r="1025" spans="1:2" hidden="1">
      <c r="A1025" s="160">
        <f t="shared" si="31"/>
        <v>46681</v>
      </c>
      <c r="B1025" s="44" t="str">
        <f t="shared" si="30"/>
        <v/>
      </c>
    </row>
    <row r="1026" spans="1:2" hidden="1">
      <c r="A1026" s="160">
        <f t="shared" si="31"/>
        <v>46682</v>
      </c>
      <c r="B1026" s="44" t="str">
        <f t="shared" ref="B1026:B1033" si="32">_xlfn.WEBSERVICE("http://api.excelapi.org/datetime/holiday?date="&amp;A1026)</f>
        <v/>
      </c>
    </row>
    <row r="1027" spans="1:2" hidden="1">
      <c r="A1027" s="160">
        <f t="shared" ref="A1027:A1033" si="33">A1026+1</f>
        <v>46683</v>
      </c>
      <c r="B1027" s="44" t="str">
        <f t="shared" si="32"/>
        <v/>
      </c>
    </row>
    <row r="1028" spans="1:2" hidden="1">
      <c r="A1028" s="160">
        <f t="shared" si="33"/>
        <v>46684</v>
      </c>
      <c r="B1028" s="44" t="str">
        <f t="shared" si="32"/>
        <v/>
      </c>
    </row>
    <row r="1029" spans="1:2" hidden="1">
      <c r="A1029" s="160">
        <f t="shared" si="33"/>
        <v>46685</v>
      </c>
      <c r="B1029" s="44" t="str">
        <f t="shared" si="32"/>
        <v/>
      </c>
    </row>
    <row r="1030" spans="1:2" hidden="1">
      <c r="A1030" s="160">
        <f t="shared" si="33"/>
        <v>46686</v>
      </c>
      <c r="B1030" s="44" t="str">
        <f t="shared" si="32"/>
        <v/>
      </c>
    </row>
    <row r="1031" spans="1:2" hidden="1">
      <c r="A1031" s="160">
        <f t="shared" si="33"/>
        <v>46687</v>
      </c>
      <c r="B1031" s="44" t="str">
        <f t="shared" si="32"/>
        <v/>
      </c>
    </row>
    <row r="1032" spans="1:2" hidden="1">
      <c r="A1032" s="160">
        <f t="shared" si="33"/>
        <v>46688</v>
      </c>
      <c r="B1032" s="44" t="str">
        <f t="shared" si="32"/>
        <v/>
      </c>
    </row>
    <row r="1033" spans="1:2" hidden="1">
      <c r="A1033" s="160">
        <f t="shared" si="33"/>
        <v>46689</v>
      </c>
      <c r="B1033" s="44" t="str">
        <f t="shared" si="32"/>
        <v/>
      </c>
    </row>
  </sheetData>
  <phoneticPr fontId="6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E9B06-08E7-42A9-AFD9-9FAEACE74218}">
  <sheetPr codeName="Sheet1"/>
  <dimension ref="A1"/>
  <sheetViews>
    <sheetView workbookViewId="0"/>
  </sheetViews>
  <sheetFormatPr defaultRowHeight="15"/>
  <sheetData/>
  <phoneticPr fontId="6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4657-4160-4FE1-9B2D-11BD98A9E096}">
  <sheetPr codeName="Sheet10"/>
  <dimension ref="A1"/>
  <sheetViews>
    <sheetView workbookViewId="0"/>
  </sheetViews>
  <sheetFormatPr defaultRowHeight="15"/>
  <sheetData/>
  <phoneticPr fontId="61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4CCE1-144F-4329-9D4C-42340D721146}">
  <dimension ref="A1"/>
  <sheetViews>
    <sheetView workbookViewId="0"/>
  </sheetViews>
  <sheetFormatPr defaultRowHeight="15"/>
  <sheetData/>
  <phoneticPr fontId="61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AEEDF3-144A-4ACE-9EE0-0289D5EFAE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10</vt:i4>
      </vt:variant>
    </vt:vector>
  </HeadingPairs>
  <TitlesOfParts>
    <vt:vector size="22" baseType="lpstr">
      <vt:lpstr>ﾘｽﾄマスタ</vt:lpstr>
      <vt:lpstr>2024</vt:lpstr>
      <vt:lpstr>シフト抽出</vt:lpstr>
      <vt:lpstr>マップ用</vt:lpstr>
      <vt:lpstr>シフトスケジュール</vt:lpstr>
      <vt:lpstr>予定表</vt:lpstr>
      <vt:lpstr>曜日別回収表</vt:lpstr>
      <vt:lpstr>Sheet2</vt:lpstr>
      <vt:lpstr>syukujitsu</vt:lpstr>
      <vt:lpstr>Sheet1</vt:lpstr>
      <vt:lpstr>Sheet3</vt:lpstr>
      <vt:lpstr>Sheet4</vt:lpstr>
      <vt:lpstr>'2024'!_employees</vt:lpstr>
      <vt:lpstr>予定表!_employees</vt:lpstr>
      <vt:lpstr>_employees</vt:lpstr>
      <vt:lpstr>'2024'!_positions</vt:lpstr>
      <vt:lpstr>予定表!_positions</vt:lpstr>
      <vt:lpstr>_positions</vt:lpstr>
      <vt:lpstr>eee</vt:lpstr>
      <vt:lpstr>popo</vt:lpstr>
      <vt:lpstr>'2024'!Print_Area</vt:lpstr>
      <vt:lpstr>シフトスケジュール!Print_Area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松明志洋</dc:creator>
  <cp:keywords/>
  <dc:description/>
  <cp:lastModifiedBy>志洋 松明</cp:lastModifiedBy>
  <cp:revision/>
  <cp:lastPrinted>2026-08-12T07:12:46Z</cp:lastPrinted>
  <dcterms:created xsi:type="dcterms:W3CDTF">2019-09-19T04:54:09Z</dcterms:created>
  <dcterms:modified xsi:type="dcterms:W3CDTF">2026-08-12T08:02:05Z</dcterms:modified>
  <cp:category/>
  <cp:contentStatus/>
</cp:coreProperties>
</file>